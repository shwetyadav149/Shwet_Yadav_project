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E:\excel assignment\"/>
    </mc:Choice>
  </mc:AlternateContent>
  <xr:revisionPtr revIDLastSave="0" documentId="13_ncr:1_{DB9F792E-1977-41DB-B72D-517DCC320F85}" xr6:coauthVersionLast="47" xr6:coauthVersionMax="47" xr10:uidLastSave="{00000000-0000-0000-0000-000000000000}"/>
  <bookViews>
    <workbookView xWindow="-96" yWindow="0" windowWidth="14016" windowHeight="12336" firstSheet="4" activeTab="4" xr2:uid="{00000000-000D-0000-FFFF-FFFF00000000}"/>
  </bookViews>
  <sheets>
    <sheet name="Product_Data" sheetId="1" r:id="rId1"/>
    <sheet name="Product_Sales_Profit_Analysis" sheetId="2" r:id="rId2"/>
    <sheet name="Inventory_Stockout_Analysis" sheetId="3" r:id="rId3"/>
    <sheet name="Product_Performance_Comparison" sheetId="4" r:id="rId4"/>
    <sheet name="Advertising_ROI_Analysis" sheetId="5" r:id="rId5"/>
    <sheet name="Business_Insights" sheetId="6" r:id="rId6"/>
  </sheets>
  <definedNames>
    <definedName name="Slicer_Year">#N/A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X646" i="1"/>
  <c r="X304" i="1"/>
  <c r="X5" i="1"/>
  <c r="X211" i="1"/>
  <c r="X7" i="1"/>
  <c r="X8" i="1"/>
  <c r="X356" i="1"/>
  <c r="X10" i="1"/>
  <c r="X11" i="1"/>
  <c r="X12" i="1"/>
  <c r="X963" i="1"/>
  <c r="X14" i="1"/>
  <c r="X15" i="1"/>
  <c r="X72" i="1"/>
  <c r="X17" i="1"/>
  <c r="X577" i="1"/>
  <c r="X122" i="1"/>
  <c r="X20" i="1"/>
  <c r="X21" i="1"/>
  <c r="X22" i="1"/>
  <c r="X23" i="1"/>
  <c r="X24" i="1"/>
  <c r="X25" i="1"/>
  <c r="X26" i="1"/>
  <c r="X27" i="1"/>
  <c r="X28" i="1"/>
  <c r="X29" i="1"/>
  <c r="X30" i="1"/>
  <c r="X80" i="1"/>
  <c r="X32" i="1"/>
  <c r="X33" i="1"/>
  <c r="X34" i="1"/>
  <c r="X35" i="1"/>
  <c r="X36" i="1"/>
  <c r="X241" i="1"/>
  <c r="X38" i="1"/>
  <c r="X39" i="1"/>
  <c r="X40" i="1"/>
  <c r="X41" i="1"/>
  <c r="X722" i="1"/>
  <c r="X43" i="1"/>
  <c r="X44" i="1"/>
  <c r="X45" i="1"/>
  <c r="X347" i="1"/>
  <c r="X494" i="1"/>
  <c r="X48" i="1"/>
  <c r="X49" i="1"/>
  <c r="X50" i="1"/>
  <c r="X51" i="1"/>
  <c r="X475" i="1"/>
  <c r="X53" i="1"/>
  <c r="X54" i="1"/>
  <c r="X55" i="1"/>
  <c r="X56" i="1"/>
  <c r="X412" i="1"/>
  <c r="X58" i="1"/>
  <c r="X59" i="1"/>
  <c r="X60" i="1"/>
  <c r="X61" i="1"/>
  <c r="X981" i="1"/>
  <c r="X63" i="1"/>
  <c r="X64" i="1"/>
  <c r="X65" i="1"/>
  <c r="X685" i="1"/>
  <c r="X829" i="1"/>
  <c r="X68" i="1"/>
  <c r="X13" i="1"/>
  <c r="X70" i="1"/>
  <c r="X9" i="1"/>
  <c r="X645" i="1"/>
  <c r="X73" i="1"/>
  <c r="X74" i="1"/>
  <c r="X75" i="1"/>
  <c r="X76" i="1"/>
  <c r="X77" i="1"/>
  <c r="X78" i="1"/>
  <c r="X641" i="1"/>
  <c r="X37" i="1"/>
  <c r="X81" i="1"/>
  <c r="X82" i="1"/>
  <c r="X83" i="1"/>
  <c r="X543" i="1"/>
  <c r="X85" i="1"/>
  <c r="X86" i="1"/>
  <c r="X87" i="1"/>
  <c r="X800" i="1"/>
  <c r="X700" i="1"/>
  <c r="X90" i="1"/>
  <c r="X449" i="1"/>
  <c r="X92" i="1"/>
  <c r="X639" i="1"/>
  <c r="X955" i="1"/>
  <c r="X95" i="1"/>
  <c r="X96" i="1"/>
  <c r="X232" i="1"/>
  <c r="X687" i="1"/>
  <c r="X99" i="1"/>
  <c r="X100" i="1"/>
  <c r="X101" i="1"/>
  <c r="X102" i="1"/>
  <c r="X103" i="1"/>
  <c r="X104" i="1"/>
  <c r="X105" i="1"/>
  <c r="X106" i="1"/>
  <c r="X107" i="1"/>
  <c r="X108" i="1"/>
  <c r="X109" i="1"/>
  <c r="X172" i="1"/>
  <c r="X111" i="1"/>
  <c r="X112" i="1"/>
  <c r="X113" i="1"/>
  <c r="X715" i="1"/>
  <c r="X115" i="1"/>
  <c r="X986" i="1"/>
  <c r="X117" i="1"/>
  <c r="X118" i="1"/>
  <c r="X119" i="1"/>
  <c r="X120" i="1"/>
  <c r="X653" i="1"/>
  <c r="X4" i="1"/>
  <c r="X123" i="1"/>
  <c r="X789" i="1"/>
  <c r="X125" i="1"/>
  <c r="X126" i="1"/>
  <c r="X634" i="1"/>
  <c r="X128" i="1"/>
  <c r="X129" i="1"/>
  <c r="X130" i="1"/>
  <c r="X131" i="1"/>
  <c r="X132" i="1"/>
  <c r="X133" i="1"/>
  <c r="X134" i="1"/>
  <c r="X135" i="1"/>
  <c r="X136" i="1"/>
  <c r="X137" i="1"/>
  <c r="X138" i="1"/>
  <c r="X139" i="1"/>
  <c r="X140" i="1"/>
  <c r="X141" i="1"/>
  <c r="X142" i="1"/>
  <c r="X143" i="1"/>
  <c r="X144" i="1"/>
  <c r="X145" i="1"/>
  <c r="X844" i="1"/>
  <c r="X97" i="1"/>
  <c r="X148" i="1"/>
  <c r="X149" i="1"/>
  <c r="X150" i="1"/>
  <c r="X758" i="1"/>
  <c r="X152" i="1"/>
  <c r="X153" i="1"/>
  <c r="X154" i="1"/>
  <c r="X155" i="1"/>
  <c r="X156" i="1"/>
  <c r="X157" i="1"/>
  <c r="X158" i="1"/>
  <c r="X159" i="1"/>
  <c r="X160" i="1"/>
  <c r="X161" i="1"/>
  <c r="X162" i="1"/>
  <c r="X163" i="1"/>
  <c r="X164" i="1"/>
  <c r="X440" i="1"/>
  <c r="X166" i="1"/>
  <c r="X571" i="1"/>
  <c r="X310" i="1"/>
  <c r="X169" i="1"/>
  <c r="X170" i="1"/>
  <c r="X171" i="1"/>
  <c r="X516" i="1"/>
  <c r="X173" i="1"/>
  <c r="X174" i="1"/>
  <c r="X175" i="1"/>
  <c r="X305" i="1"/>
  <c r="X177" i="1"/>
  <c r="X178" i="1"/>
  <c r="X179" i="1"/>
  <c r="X180" i="1"/>
  <c r="X181" i="1"/>
  <c r="X114" i="1"/>
  <c r="X183" i="1"/>
  <c r="X184" i="1"/>
  <c r="X185" i="1"/>
  <c r="X186" i="1"/>
  <c r="X187" i="1"/>
  <c r="X188" i="1"/>
  <c r="X692" i="1"/>
  <c r="X190" i="1"/>
  <c r="X191" i="1"/>
  <c r="X192" i="1"/>
  <c r="X193" i="1"/>
  <c r="X194" i="1"/>
  <c r="X195" i="1"/>
  <c r="X196" i="1"/>
  <c r="X197" i="1"/>
  <c r="X198" i="1"/>
  <c r="X199" i="1"/>
  <c r="X200" i="1"/>
  <c r="X201" i="1"/>
  <c r="X202" i="1"/>
  <c r="X468" i="1"/>
  <c r="X204" i="1"/>
  <c r="X205" i="1"/>
  <c r="X206" i="1"/>
  <c r="X207" i="1"/>
  <c r="X208" i="1"/>
  <c r="X3" i="1"/>
  <c r="X210" i="1"/>
  <c r="X774" i="1"/>
  <c r="X212" i="1"/>
  <c r="X213" i="1"/>
  <c r="X214" i="1"/>
  <c r="X215" i="1"/>
  <c r="X216" i="1"/>
  <c r="X217" i="1"/>
  <c r="X218" i="1"/>
  <c r="X98" i="1"/>
  <c r="X560" i="1"/>
  <c r="X221" i="1"/>
  <c r="X222" i="1"/>
  <c r="X223" i="1"/>
  <c r="X224" i="1"/>
  <c r="X225" i="1"/>
  <c r="X226" i="1"/>
  <c r="X227" i="1"/>
  <c r="X228" i="1"/>
  <c r="X229" i="1"/>
  <c r="X230" i="1"/>
  <c r="X977" i="1"/>
  <c r="X802" i="1"/>
  <c r="X931" i="1"/>
  <c r="X234" i="1"/>
  <c r="X235" i="1"/>
  <c r="X828" i="1"/>
  <c r="X237" i="1"/>
  <c r="X238" i="1"/>
  <c r="X909" i="1"/>
  <c r="X240" i="1"/>
  <c r="X737" i="1"/>
  <c r="X242" i="1"/>
  <c r="X47" i="1"/>
  <c r="X244" i="1"/>
  <c r="X245" i="1"/>
  <c r="X246" i="1"/>
  <c r="X127" i="1"/>
  <c r="X248" i="1"/>
  <c r="X231" i="1"/>
  <c r="X250" i="1"/>
  <c r="X251" i="1"/>
  <c r="X252" i="1"/>
  <c r="X253" i="1"/>
  <c r="X254" i="1"/>
  <c r="X255" i="1"/>
  <c r="X914" i="1"/>
  <c r="X538" i="1"/>
  <c r="X258" i="1"/>
  <c r="X259" i="1"/>
  <c r="X260" i="1"/>
  <c r="X498" i="1"/>
  <c r="X262" i="1"/>
  <c r="X363" i="1"/>
  <c r="X264" i="1"/>
  <c r="X265" i="1"/>
  <c r="X266" i="1"/>
  <c r="X267" i="1"/>
  <c r="X268" i="1"/>
  <c r="X269" i="1"/>
  <c r="X270" i="1"/>
  <c r="X271" i="1"/>
  <c r="X16" i="1"/>
  <c r="X273" i="1"/>
  <c r="X249" i="1"/>
  <c r="X275" i="1"/>
  <c r="X276" i="1"/>
  <c r="X277" i="1"/>
  <c r="X278" i="1"/>
  <c r="X279" i="1"/>
  <c r="X280" i="1"/>
  <c r="X281" i="1"/>
  <c r="X282" i="1"/>
  <c r="X261" i="1"/>
  <c r="X284" i="1"/>
  <c r="X285" i="1"/>
  <c r="X286" i="1"/>
  <c r="X287" i="1"/>
  <c r="X984" i="1"/>
  <c r="X656" i="1"/>
  <c r="X290" i="1"/>
  <c r="X291" i="1"/>
  <c r="X292" i="1"/>
  <c r="X496" i="1"/>
  <c r="X294" i="1"/>
  <c r="X295" i="1"/>
  <c r="X296" i="1"/>
  <c r="X297" i="1"/>
  <c r="X298" i="1"/>
  <c r="X299" i="1"/>
  <c r="X300" i="1"/>
  <c r="X301" i="1"/>
  <c r="X302" i="1"/>
  <c r="X303" i="1"/>
  <c r="X670" i="1"/>
  <c r="X953" i="1"/>
  <c r="X306" i="1"/>
  <c r="X433" i="1"/>
  <c r="X308" i="1"/>
  <c r="X623" i="1"/>
  <c r="X71" i="1"/>
  <c r="X311" i="1"/>
  <c r="X804" i="1"/>
  <c r="X313" i="1"/>
  <c r="X151" i="1"/>
  <c r="X315" i="1"/>
  <c r="X316" i="1"/>
  <c r="X317" i="1"/>
  <c r="X318" i="1"/>
  <c r="X319" i="1"/>
  <c r="X320" i="1"/>
  <c r="X609" i="1"/>
  <c r="X798" i="1"/>
  <c r="X323" i="1"/>
  <c r="X324" i="1"/>
  <c r="X325" i="1"/>
  <c r="X326" i="1"/>
  <c r="X683" i="1"/>
  <c r="X360" i="1"/>
  <c r="X329" i="1"/>
  <c r="X330" i="1"/>
  <c r="X698" i="1"/>
  <c r="X902" i="1"/>
  <c r="X333" i="1"/>
  <c r="X334" i="1"/>
  <c r="X335" i="1"/>
  <c r="X336" i="1"/>
  <c r="X337" i="1"/>
  <c r="X338" i="1"/>
  <c r="X339" i="1"/>
  <c r="X340" i="1"/>
  <c r="X67" i="1"/>
  <c r="X342" i="1"/>
  <c r="X343" i="1"/>
  <c r="X344" i="1"/>
  <c r="X345" i="1"/>
  <c r="X346" i="1"/>
  <c r="X697" i="1"/>
  <c r="X453" i="1"/>
  <c r="X349" i="1"/>
  <c r="X350" i="1"/>
  <c r="X263" i="1"/>
  <c r="X352" i="1"/>
  <c r="X353" i="1"/>
  <c r="X354" i="1"/>
  <c r="X355" i="1"/>
  <c r="X247" i="1"/>
  <c r="X357" i="1"/>
  <c r="X358" i="1"/>
  <c r="X359" i="1"/>
  <c r="X31" i="1"/>
  <c r="X361" i="1"/>
  <c r="X362" i="1"/>
  <c r="X987" i="1"/>
  <c r="X364" i="1"/>
  <c r="X365" i="1"/>
  <c r="X366" i="1"/>
  <c r="X367" i="1"/>
  <c r="X368" i="1"/>
  <c r="X369" i="1"/>
  <c r="X370" i="1"/>
  <c r="X371" i="1"/>
  <c r="X511" i="1"/>
  <c r="X373" i="1"/>
  <c r="X374" i="1"/>
  <c r="X375" i="1"/>
  <c r="X376" i="1"/>
  <c r="X377" i="1"/>
  <c r="X378" i="1"/>
  <c r="X379" i="1"/>
  <c r="X236" i="1"/>
  <c r="X381" i="1"/>
  <c r="X382" i="1"/>
  <c r="X332" i="1"/>
  <c r="X384" i="1"/>
  <c r="X791" i="1"/>
  <c r="X393" i="1"/>
  <c r="X387" i="1"/>
  <c r="X388" i="1"/>
  <c r="X389" i="1"/>
  <c r="X390" i="1"/>
  <c r="X391" i="1"/>
  <c r="X936" i="1"/>
  <c r="X93" i="1"/>
  <c r="X394" i="1"/>
  <c r="X395" i="1"/>
  <c r="X66" i="1"/>
  <c r="X397" i="1"/>
  <c r="X398" i="1"/>
  <c r="X399" i="1"/>
  <c r="X886" i="1"/>
  <c r="X88" i="1"/>
  <c r="X402" i="1"/>
  <c r="X403" i="1"/>
  <c r="X575" i="1"/>
  <c r="X405" i="1"/>
  <c r="X406" i="1"/>
  <c r="X407" i="1"/>
  <c r="X408" i="1"/>
  <c r="X409" i="1"/>
  <c r="X708" i="1"/>
  <c r="X411" i="1"/>
  <c r="X682" i="1"/>
  <c r="X413" i="1"/>
  <c r="X414" i="1"/>
  <c r="X415" i="1"/>
  <c r="X416" i="1"/>
  <c r="X417" i="1"/>
  <c r="X293" i="1"/>
  <c r="X419" i="1"/>
  <c r="X288" i="1"/>
  <c r="X421" i="1"/>
  <c r="X422" i="1"/>
  <c r="X423" i="1"/>
  <c r="X116" i="1"/>
  <c r="X425" i="1"/>
  <c r="X426" i="1"/>
  <c r="X427" i="1"/>
  <c r="X428" i="1"/>
  <c r="X429" i="1"/>
  <c r="X903" i="1"/>
  <c r="X431" i="1"/>
  <c r="X432" i="1"/>
  <c r="X572" i="1"/>
  <c r="X434" i="1"/>
  <c r="X435" i="1"/>
  <c r="X495" i="1"/>
  <c r="X437" i="1"/>
  <c r="X438" i="1"/>
  <c r="X439" i="1"/>
  <c r="X168" i="1"/>
  <c r="X441" i="1"/>
  <c r="X442" i="1"/>
  <c r="X443" i="1"/>
  <c r="X444" i="1"/>
  <c r="X445" i="1"/>
  <c r="X410" i="1"/>
  <c r="X447" i="1"/>
  <c r="X448" i="1"/>
  <c r="X146" i="1"/>
  <c r="X450" i="1"/>
  <c r="X451" i="1"/>
  <c r="X452" i="1"/>
  <c r="X843" i="1"/>
  <c r="X550" i="1"/>
  <c r="X455" i="1"/>
  <c r="X456" i="1"/>
  <c r="X457" i="1"/>
  <c r="X458" i="1"/>
  <c r="X459" i="1"/>
  <c r="X89" i="1"/>
  <c r="X461" i="1"/>
  <c r="X462" i="1"/>
  <c r="X463" i="1"/>
  <c r="X464" i="1"/>
  <c r="X465" i="1"/>
  <c r="X404" i="1"/>
  <c r="X467" i="1"/>
  <c r="X62" i="1"/>
  <c r="X469" i="1"/>
  <c r="X729" i="1"/>
  <c r="X471" i="1"/>
  <c r="X633" i="1"/>
  <c r="X473" i="1"/>
  <c r="X559" i="1"/>
  <c r="X84" i="1"/>
  <c r="X476" i="1"/>
  <c r="X477" i="1"/>
  <c r="X110" i="1"/>
  <c r="X479" i="1"/>
  <c r="X480" i="1"/>
  <c r="X481" i="1"/>
  <c r="X482" i="1"/>
  <c r="X483" i="1"/>
  <c r="X484" i="1"/>
  <c r="X485" i="1"/>
  <c r="X79" i="1"/>
  <c r="X487" i="1"/>
  <c r="X488" i="1"/>
  <c r="X489" i="1"/>
  <c r="X436" i="1"/>
  <c r="X460" i="1"/>
  <c r="X307" i="1"/>
  <c r="X493" i="1"/>
  <c r="X490" i="1"/>
  <c r="X52" i="1"/>
  <c r="X491" i="1"/>
  <c r="X348" i="1"/>
  <c r="X396" i="1"/>
  <c r="X499" i="1"/>
  <c r="X579" i="1"/>
  <c r="X501" i="1"/>
  <c r="X401" i="1"/>
  <c r="X503" i="1"/>
  <c r="X504" i="1"/>
  <c r="X536" i="1"/>
  <c r="X506" i="1"/>
  <c r="X507" i="1"/>
  <c r="X508" i="1"/>
  <c r="X57" i="1"/>
  <c r="X510" i="1"/>
  <c r="X420" i="1"/>
  <c r="X512" i="1"/>
  <c r="X513" i="1"/>
  <c r="X514" i="1"/>
  <c r="X515" i="1"/>
  <c r="X928" i="1"/>
  <c r="X517" i="1"/>
  <c r="X518" i="1"/>
  <c r="X519" i="1"/>
  <c r="X520" i="1"/>
  <c r="X521" i="1"/>
  <c r="X522" i="1"/>
  <c r="X523" i="1"/>
  <c r="X524" i="1"/>
  <c r="X525" i="1"/>
  <c r="X526" i="1"/>
  <c r="X527" i="1"/>
  <c r="X528" i="1"/>
  <c r="X386" i="1"/>
  <c r="X530" i="1"/>
  <c r="X531" i="1"/>
  <c r="X896" i="1"/>
  <c r="X478" i="1"/>
  <c r="X534" i="1"/>
  <c r="X535" i="1"/>
  <c r="X621" i="1"/>
  <c r="X537" i="1"/>
  <c r="X219" i="1"/>
  <c r="X539" i="1"/>
  <c r="X540" i="1"/>
  <c r="X541" i="1"/>
  <c r="X542" i="1"/>
  <c r="X919" i="1"/>
  <c r="X544" i="1"/>
  <c r="X759" i="1"/>
  <c r="X546" i="1"/>
  <c r="X547" i="1"/>
  <c r="X548" i="1"/>
  <c r="X549" i="1"/>
  <c r="X780" i="1"/>
  <c r="X551" i="1"/>
  <c r="X552" i="1"/>
  <c r="X553" i="1"/>
  <c r="X554" i="1"/>
  <c r="X466" i="1"/>
  <c r="X556" i="1"/>
  <c r="X557" i="1"/>
  <c r="X558" i="1"/>
  <c r="X680" i="1"/>
  <c r="X854" i="1"/>
  <c r="X561" i="1"/>
  <c r="X562" i="1"/>
  <c r="X563" i="1"/>
  <c r="X570" i="1"/>
  <c r="X565" i="1"/>
  <c r="X566" i="1"/>
  <c r="X567" i="1"/>
  <c r="X568" i="1"/>
  <c r="X569" i="1"/>
  <c r="X418" i="1"/>
  <c r="X233" i="1"/>
  <c r="X46" i="1"/>
  <c r="X573" i="1"/>
  <c r="X574" i="1"/>
  <c r="X312" i="1"/>
  <c r="X576" i="1"/>
  <c r="X666" i="1"/>
  <c r="X578" i="1"/>
  <c r="X322" i="1"/>
  <c r="X580" i="1"/>
  <c r="X581" i="1"/>
  <c r="X582" i="1"/>
  <c r="X583" i="1"/>
  <c r="X584" i="1"/>
  <c r="X585" i="1"/>
  <c r="X679" i="1"/>
  <c r="X587" i="1"/>
  <c r="X588" i="1"/>
  <c r="X589" i="1"/>
  <c r="X590" i="1"/>
  <c r="X591" i="1"/>
  <c r="X592" i="1"/>
  <c r="X593" i="1"/>
  <c r="X594" i="1"/>
  <c r="X274" i="1"/>
  <c r="X596" i="1"/>
  <c r="X597" i="1"/>
  <c r="X598" i="1"/>
  <c r="X599" i="1"/>
  <c r="X392" i="1"/>
  <c r="X601" i="1"/>
  <c r="X602" i="1"/>
  <c r="X603" i="1"/>
  <c r="X604" i="1"/>
  <c r="X605" i="1"/>
  <c r="X606" i="1"/>
  <c r="X607" i="1"/>
  <c r="X608" i="1"/>
  <c r="X283" i="1"/>
  <c r="X610" i="1"/>
  <c r="X611" i="1"/>
  <c r="X612" i="1"/>
  <c r="X613" i="1"/>
  <c r="X614" i="1"/>
  <c r="X615" i="1"/>
  <c r="X616" i="1"/>
  <c r="X617" i="1"/>
  <c r="X351" i="1"/>
  <c r="X619" i="1"/>
  <c r="X620" i="1"/>
  <c r="X6" i="1"/>
  <c r="X622" i="1"/>
  <c r="X220" i="1"/>
  <c r="X167" i="1"/>
  <c r="X189" i="1"/>
  <c r="X626" i="1"/>
  <c r="X627" i="1"/>
  <c r="X628" i="1"/>
  <c r="X629" i="1"/>
  <c r="X630" i="1"/>
  <c r="X631" i="1"/>
  <c r="X632" i="1"/>
  <c r="X972" i="1"/>
  <c r="X243" i="1"/>
  <c r="X635" i="1"/>
  <c r="X636" i="1"/>
  <c r="X637" i="1"/>
  <c r="X638" i="1"/>
  <c r="X42" i="1"/>
  <c r="X640" i="1"/>
  <c r="X500" i="1"/>
  <c r="X642" i="1"/>
  <c r="X257" i="1"/>
  <c r="X644" i="1"/>
  <c r="X18" i="1"/>
  <c r="X470" i="1"/>
  <c r="X647" i="1"/>
  <c r="X852" i="1"/>
  <c r="X649" i="1"/>
  <c r="X650" i="1"/>
  <c r="X651" i="1"/>
  <c r="X652" i="1"/>
  <c r="X555" i="1"/>
  <c r="X654" i="1"/>
  <c r="X655" i="1"/>
  <c r="X720" i="1"/>
  <c r="X19" i="1"/>
  <c r="X658" i="1"/>
  <c r="X659" i="1"/>
  <c r="X660" i="1"/>
  <c r="X661" i="1"/>
  <c r="X662" i="1"/>
  <c r="X663" i="1"/>
  <c r="X664" i="1"/>
  <c r="X665" i="1"/>
  <c r="X424" i="1"/>
  <c r="X667" i="1"/>
  <c r="X668" i="1"/>
  <c r="X669" i="1"/>
  <c r="X643" i="1"/>
  <c r="X671" i="1"/>
  <c r="X672" i="1"/>
  <c r="X372" i="1"/>
  <c r="X674" i="1"/>
  <c r="X380" i="1"/>
  <c r="X676" i="1"/>
  <c r="X677" i="1"/>
  <c r="X678" i="1"/>
  <c r="X454" i="1"/>
  <c r="X532" i="1"/>
  <c r="X681" i="1"/>
  <c r="X176" i="1"/>
  <c r="X961" i="1"/>
  <c r="X684" i="1"/>
  <c r="X446" i="1"/>
  <c r="X686" i="1"/>
  <c r="X564" i="1"/>
  <c r="X688" i="1"/>
  <c r="X689" i="1"/>
  <c r="X690" i="1"/>
  <c r="X691" i="1"/>
  <c r="X182" i="1"/>
  <c r="X693" i="1"/>
  <c r="X694" i="1"/>
  <c r="X695" i="1"/>
  <c r="X696" i="1"/>
  <c r="X738" i="1"/>
  <c r="X69" i="1"/>
  <c r="X699" i="1"/>
  <c r="X94" i="1"/>
  <c r="X701" i="1"/>
  <c r="X702" i="1"/>
  <c r="X703" i="1"/>
  <c r="X704" i="1"/>
  <c r="X705" i="1"/>
  <c r="X706" i="1"/>
  <c r="X707" i="1"/>
  <c r="X256" i="1"/>
  <c r="X709" i="1"/>
  <c r="X710" i="1"/>
  <c r="X331" i="1"/>
  <c r="X712" i="1"/>
  <c r="X713" i="1"/>
  <c r="X714" i="1"/>
  <c r="X486" i="1"/>
  <c r="X716" i="1"/>
  <c r="X717" i="1"/>
  <c r="X718" i="1"/>
  <c r="X719" i="1"/>
  <c r="X824" i="1"/>
  <c r="X721" i="1"/>
  <c r="X289" i="1"/>
  <c r="X723" i="1"/>
  <c r="X724" i="1"/>
  <c r="X725" i="1"/>
  <c r="X726" i="1"/>
  <c r="X727" i="1"/>
  <c r="X728" i="1"/>
  <c r="X328" i="1"/>
  <c r="X730" i="1"/>
  <c r="X731" i="1"/>
  <c r="X732" i="1"/>
  <c r="X733" i="1"/>
  <c r="X734" i="1"/>
  <c r="X735" i="1"/>
  <c r="X675" i="1"/>
  <c r="X648" i="1"/>
  <c r="X165" i="1"/>
  <c r="X739" i="1"/>
  <c r="X740" i="1"/>
  <c r="X741" i="1"/>
  <c r="X742" i="1"/>
  <c r="X743" i="1"/>
  <c r="X744" i="1"/>
  <c r="X745" i="1"/>
  <c r="X746" i="1"/>
  <c r="X747" i="1"/>
  <c r="X748" i="1"/>
  <c r="X749" i="1"/>
  <c r="X750" i="1"/>
  <c r="X751" i="1"/>
  <c r="X752" i="1"/>
  <c r="X753" i="1"/>
  <c r="X754" i="1"/>
  <c r="X755" i="1"/>
  <c r="X209" i="1"/>
  <c r="X757" i="1"/>
  <c r="X736" i="1"/>
  <c r="X509" i="1"/>
  <c r="X760" i="1"/>
  <c r="X761" i="1"/>
  <c r="X762" i="1"/>
  <c r="X763" i="1"/>
  <c r="X764" i="1"/>
  <c r="X765" i="1"/>
  <c r="X766" i="1"/>
  <c r="X767" i="1"/>
  <c r="X768" i="1"/>
  <c r="X769" i="1"/>
  <c r="X770" i="1"/>
  <c r="X771" i="1"/>
  <c r="X772" i="1"/>
  <c r="X773" i="1"/>
  <c r="X937" i="1"/>
  <c r="X775" i="1"/>
  <c r="X827" i="1"/>
  <c r="X777" i="1"/>
  <c r="X778" i="1"/>
  <c r="X779" i="1"/>
  <c r="X959" i="1"/>
  <c r="X781" i="1"/>
  <c r="X782" i="1"/>
  <c r="X783" i="1"/>
  <c r="X600" i="1"/>
  <c r="X785" i="1"/>
  <c r="X786" i="1"/>
  <c r="X787" i="1"/>
  <c r="X788" i="1"/>
  <c r="X883" i="1"/>
  <c r="X790" i="1"/>
  <c r="X595" i="1"/>
  <c r="X792" i="1"/>
  <c r="X793" i="1"/>
  <c r="X794" i="1"/>
  <c r="X795" i="1"/>
  <c r="X796" i="1"/>
  <c r="X797" i="1"/>
  <c r="X618" i="1"/>
  <c r="X799" i="1"/>
  <c r="X898" i="1"/>
  <c r="X801" i="1"/>
  <c r="X908" i="1"/>
  <c r="X803" i="1"/>
  <c r="X472" i="1"/>
  <c r="X805" i="1"/>
  <c r="X806" i="1"/>
  <c r="X807" i="1"/>
  <c r="X808" i="1"/>
  <c r="X809" i="1"/>
  <c r="X810" i="1"/>
  <c r="X811" i="1"/>
  <c r="X812" i="1"/>
  <c r="X813" i="1"/>
  <c r="X814" i="1"/>
  <c r="X815" i="1"/>
  <c r="X816" i="1"/>
  <c r="X124" i="1"/>
  <c r="X818" i="1"/>
  <c r="X819" i="1"/>
  <c r="X820" i="1"/>
  <c r="X821" i="1"/>
  <c r="X822" i="1"/>
  <c r="X823" i="1"/>
  <c r="X91" i="1"/>
  <c r="X825" i="1"/>
  <c r="X826" i="1"/>
  <c r="X474" i="1"/>
  <c r="X272" i="1"/>
  <c r="X121" i="1"/>
  <c r="X830" i="1"/>
  <c r="X831" i="1"/>
  <c r="X832" i="1"/>
  <c r="X833" i="1"/>
  <c r="X834" i="1"/>
  <c r="X385" i="1"/>
  <c r="X836" i="1"/>
  <c r="X837" i="1"/>
  <c r="X838" i="1"/>
  <c r="X839" i="1"/>
  <c r="X840" i="1"/>
  <c r="X841" i="1"/>
  <c r="X842" i="1"/>
  <c r="X657" i="1"/>
  <c r="X309" i="1"/>
  <c r="X845" i="1"/>
  <c r="X846" i="1"/>
  <c r="X847" i="1"/>
  <c r="X848" i="1"/>
  <c r="X849" i="1"/>
  <c r="X850" i="1"/>
  <c r="X851" i="1"/>
  <c r="X314" i="1"/>
  <c r="X853" i="1"/>
  <c r="X533"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492" i="1"/>
  <c r="X884" i="1"/>
  <c r="X885" i="1"/>
  <c r="X817" i="1"/>
  <c r="X887" i="1"/>
  <c r="X888" i="1"/>
  <c r="X889" i="1"/>
  <c r="X890" i="1"/>
  <c r="X891" i="1"/>
  <c r="X892" i="1"/>
  <c r="X893" i="1"/>
  <c r="X894" i="1"/>
  <c r="X895" i="1"/>
  <c r="X502" i="1"/>
  <c r="X897" i="1"/>
  <c r="X147" i="1"/>
  <c r="X899" i="1"/>
  <c r="X900" i="1"/>
  <c r="X901" i="1"/>
  <c r="X586" i="1"/>
  <c r="X400" i="1"/>
  <c r="X776" i="1"/>
  <c r="X905" i="1"/>
  <c r="X906" i="1"/>
  <c r="X907" i="1"/>
  <c r="X711" i="1"/>
  <c r="X756" i="1"/>
  <c r="X910" i="1"/>
  <c r="X911" i="1"/>
  <c r="X912" i="1"/>
  <c r="X913" i="1"/>
  <c r="X327" i="1"/>
  <c r="X915" i="1"/>
  <c r="X916" i="1"/>
  <c r="X917" i="1"/>
  <c r="X918" i="1"/>
  <c r="X529" i="1"/>
  <c r="X920" i="1"/>
  <c r="X921" i="1"/>
  <c r="X922" i="1"/>
  <c r="X923" i="1"/>
  <c r="X924" i="1"/>
  <c r="X925" i="1"/>
  <c r="X926" i="1"/>
  <c r="X927" i="1"/>
  <c r="X341" i="1"/>
  <c r="X929" i="1"/>
  <c r="X930" i="1"/>
  <c r="X497" i="1"/>
  <c r="X932" i="1"/>
  <c r="X933" i="1"/>
  <c r="X934" i="1"/>
  <c r="X935" i="1"/>
  <c r="X383" i="1"/>
  <c r="X624" i="1"/>
  <c r="X938" i="1"/>
  <c r="X939" i="1"/>
  <c r="X940" i="1"/>
  <c r="X941" i="1"/>
  <c r="X942" i="1"/>
  <c r="X943" i="1"/>
  <c r="X944" i="1"/>
  <c r="X945" i="1"/>
  <c r="X946" i="1"/>
  <c r="X947" i="1"/>
  <c r="X948" i="1"/>
  <c r="X949" i="1"/>
  <c r="X950" i="1"/>
  <c r="X951" i="1"/>
  <c r="X952" i="1"/>
  <c r="X835" i="1"/>
  <c r="X954" i="1"/>
  <c r="X545" i="1"/>
  <c r="X956" i="1"/>
  <c r="X957" i="1"/>
  <c r="X958" i="1"/>
  <c r="X505" i="1"/>
  <c r="X960" i="1"/>
  <c r="X904" i="1"/>
  <c r="X962" i="1"/>
  <c r="X673" i="1"/>
  <c r="X964" i="1"/>
  <c r="X965" i="1"/>
  <c r="X966" i="1"/>
  <c r="X967" i="1"/>
  <c r="X968" i="1"/>
  <c r="X969" i="1"/>
  <c r="X970" i="1"/>
  <c r="X971" i="1"/>
  <c r="X625" i="1"/>
  <c r="X973" i="1"/>
  <c r="X974" i="1"/>
  <c r="X975" i="1"/>
  <c r="X976" i="1"/>
  <c r="X239" i="1"/>
  <c r="X978" i="1"/>
  <c r="X979" i="1"/>
  <c r="X980" i="1"/>
  <c r="X321" i="1"/>
  <c r="X982" i="1"/>
  <c r="X983" i="1"/>
  <c r="X430" i="1"/>
  <c r="X985" i="1"/>
  <c r="X203" i="1"/>
  <c r="X784" i="1"/>
  <c r="X988" i="1"/>
  <c r="X989" i="1"/>
  <c r="X990" i="1"/>
  <c r="X991" i="1"/>
  <c r="X992" i="1"/>
  <c r="X993" i="1"/>
  <c r="X994" i="1"/>
  <c r="X995" i="1"/>
  <c r="X996" i="1"/>
  <c r="X997" i="1"/>
  <c r="X998" i="1"/>
  <c r="X999" i="1"/>
  <c r="X1000" i="1"/>
  <c r="X1001" i="1"/>
  <c r="Z1" i="1"/>
  <c r="W101" i="1" s="1"/>
  <c r="V2" i="1"/>
  <c r="V646" i="1"/>
  <c r="V304" i="1"/>
  <c r="V5" i="1"/>
  <c r="V211" i="1"/>
  <c r="V7" i="1"/>
  <c r="V8" i="1"/>
  <c r="V356" i="1"/>
  <c r="V10" i="1"/>
  <c r="V11" i="1"/>
  <c r="V12" i="1"/>
  <c r="V963" i="1"/>
  <c r="V14" i="1"/>
  <c r="V15" i="1"/>
  <c r="V72" i="1"/>
  <c r="V17" i="1"/>
  <c r="V577" i="1"/>
  <c r="V122" i="1"/>
  <c r="V20" i="1"/>
  <c r="V21" i="1"/>
  <c r="V22" i="1"/>
  <c r="V23" i="1"/>
  <c r="V24" i="1"/>
  <c r="V25" i="1"/>
  <c r="V26" i="1"/>
  <c r="V27" i="1"/>
  <c r="V28" i="1"/>
  <c r="V29" i="1"/>
  <c r="V30" i="1"/>
  <c r="V80" i="1"/>
  <c r="V32" i="1"/>
  <c r="V33" i="1"/>
  <c r="V34" i="1"/>
  <c r="V35" i="1"/>
  <c r="V36" i="1"/>
  <c r="V241" i="1"/>
  <c r="V38" i="1"/>
  <c r="V39" i="1"/>
  <c r="V40" i="1"/>
  <c r="V41" i="1"/>
  <c r="V722" i="1"/>
  <c r="V43" i="1"/>
  <c r="V44" i="1"/>
  <c r="V45" i="1"/>
  <c r="V347" i="1"/>
  <c r="V494" i="1"/>
  <c r="V48" i="1"/>
  <c r="V49" i="1"/>
  <c r="V50" i="1"/>
  <c r="V51" i="1"/>
  <c r="V475" i="1"/>
  <c r="V53" i="1"/>
  <c r="V54" i="1"/>
  <c r="V55" i="1"/>
  <c r="V56" i="1"/>
  <c r="V412" i="1"/>
  <c r="V58" i="1"/>
  <c r="V59" i="1"/>
  <c r="V60" i="1"/>
  <c r="V61" i="1"/>
  <c r="V981" i="1"/>
  <c r="V63" i="1"/>
  <c r="V64" i="1"/>
  <c r="V65" i="1"/>
  <c r="V685" i="1"/>
  <c r="V829" i="1"/>
  <c r="V68" i="1"/>
  <c r="V13" i="1"/>
  <c r="V70" i="1"/>
  <c r="V9" i="1"/>
  <c r="V645" i="1"/>
  <c r="V73" i="1"/>
  <c r="V74" i="1"/>
  <c r="V75" i="1"/>
  <c r="V76" i="1"/>
  <c r="V77" i="1"/>
  <c r="V78" i="1"/>
  <c r="V641" i="1"/>
  <c r="V37" i="1"/>
  <c r="V81" i="1"/>
  <c r="V82" i="1"/>
  <c r="V83" i="1"/>
  <c r="V543" i="1"/>
  <c r="V85" i="1"/>
  <c r="V86" i="1"/>
  <c r="V87" i="1"/>
  <c r="V800" i="1"/>
  <c r="V700" i="1"/>
  <c r="V90" i="1"/>
  <c r="V449" i="1"/>
  <c r="V92" i="1"/>
  <c r="V639" i="1"/>
  <c r="V955" i="1"/>
  <c r="V95" i="1"/>
  <c r="V96" i="1"/>
  <c r="V232" i="1"/>
  <c r="V687" i="1"/>
  <c r="V99" i="1"/>
  <c r="V100" i="1"/>
  <c r="V101" i="1"/>
  <c r="V102" i="1"/>
  <c r="V103" i="1"/>
  <c r="V104" i="1"/>
  <c r="V105" i="1"/>
  <c r="V106" i="1"/>
  <c r="V107" i="1"/>
  <c r="V108" i="1"/>
  <c r="V109" i="1"/>
  <c r="V172" i="1"/>
  <c r="V111" i="1"/>
  <c r="V112" i="1"/>
  <c r="V113" i="1"/>
  <c r="V715" i="1"/>
  <c r="V115" i="1"/>
  <c r="V986" i="1"/>
  <c r="V117" i="1"/>
  <c r="V118" i="1"/>
  <c r="V119" i="1"/>
  <c r="V120" i="1"/>
  <c r="V653" i="1"/>
  <c r="V4" i="1"/>
  <c r="V123" i="1"/>
  <c r="V789" i="1"/>
  <c r="V125" i="1"/>
  <c r="V126" i="1"/>
  <c r="V634" i="1"/>
  <c r="V128" i="1"/>
  <c r="V129" i="1"/>
  <c r="V130" i="1"/>
  <c r="V131" i="1"/>
  <c r="V132" i="1"/>
  <c r="V133" i="1"/>
  <c r="V134" i="1"/>
  <c r="V135" i="1"/>
  <c r="V136" i="1"/>
  <c r="V137" i="1"/>
  <c r="V138" i="1"/>
  <c r="V139" i="1"/>
  <c r="V140" i="1"/>
  <c r="V141" i="1"/>
  <c r="V142" i="1"/>
  <c r="V143" i="1"/>
  <c r="V144" i="1"/>
  <c r="V145" i="1"/>
  <c r="V844" i="1"/>
  <c r="V97" i="1"/>
  <c r="V148" i="1"/>
  <c r="V149" i="1"/>
  <c r="V150" i="1"/>
  <c r="V758" i="1"/>
  <c r="V152" i="1"/>
  <c r="V153" i="1"/>
  <c r="V154" i="1"/>
  <c r="V155" i="1"/>
  <c r="V156" i="1"/>
  <c r="V157" i="1"/>
  <c r="V158" i="1"/>
  <c r="V159" i="1"/>
  <c r="V160" i="1"/>
  <c r="V161" i="1"/>
  <c r="V162" i="1"/>
  <c r="V163" i="1"/>
  <c r="V164" i="1"/>
  <c r="V440" i="1"/>
  <c r="V166" i="1"/>
  <c r="V571" i="1"/>
  <c r="V310" i="1"/>
  <c r="V169" i="1"/>
  <c r="V170" i="1"/>
  <c r="V171" i="1"/>
  <c r="V516" i="1"/>
  <c r="V173" i="1"/>
  <c r="V174" i="1"/>
  <c r="V175" i="1"/>
  <c r="V305" i="1"/>
  <c r="V177" i="1"/>
  <c r="V178" i="1"/>
  <c r="V179" i="1"/>
  <c r="V180" i="1"/>
  <c r="V181" i="1"/>
  <c r="V114" i="1"/>
  <c r="V183" i="1"/>
  <c r="V184" i="1"/>
  <c r="V185" i="1"/>
  <c r="V186" i="1"/>
  <c r="V187" i="1"/>
  <c r="V188" i="1"/>
  <c r="V692" i="1"/>
  <c r="V190" i="1"/>
  <c r="V191" i="1"/>
  <c r="V192" i="1"/>
  <c r="V193" i="1"/>
  <c r="V194" i="1"/>
  <c r="V195" i="1"/>
  <c r="V196" i="1"/>
  <c r="V197" i="1"/>
  <c r="V198" i="1"/>
  <c r="V199" i="1"/>
  <c r="V200" i="1"/>
  <c r="V201" i="1"/>
  <c r="V202" i="1"/>
  <c r="V468" i="1"/>
  <c r="V204" i="1"/>
  <c r="V205" i="1"/>
  <c r="V206" i="1"/>
  <c r="V207" i="1"/>
  <c r="V208" i="1"/>
  <c r="V3" i="1"/>
  <c r="V210" i="1"/>
  <c r="V774" i="1"/>
  <c r="V212" i="1"/>
  <c r="V213" i="1"/>
  <c r="V214" i="1"/>
  <c r="V215" i="1"/>
  <c r="V216" i="1"/>
  <c r="V217" i="1"/>
  <c r="V218" i="1"/>
  <c r="V98" i="1"/>
  <c r="V560" i="1"/>
  <c r="V221" i="1"/>
  <c r="V222" i="1"/>
  <c r="V223" i="1"/>
  <c r="V224" i="1"/>
  <c r="V225" i="1"/>
  <c r="V226" i="1"/>
  <c r="V227" i="1"/>
  <c r="V228" i="1"/>
  <c r="V229" i="1"/>
  <c r="V230" i="1"/>
  <c r="V977" i="1"/>
  <c r="V802" i="1"/>
  <c r="V931" i="1"/>
  <c r="V234" i="1"/>
  <c r="V235" i="1"/>
  <c r="V828" i="1"/>
  <c r="V237" i="1"/>
  <c r="V238" i="1"/>
  <c r="V909" i="1"/>
  <c r="V240" i="1"/>
  <c r="V737" i="1"/>
  <c r="V242" i="1"/>
  <c r="V47" i="1"/>
  <c r="V244" i="1"/>
  <c r="V245" i="1"/>
  <c r="V246" i="1"/>
  <c r="V127" i="1"/>
  <c r="V248" i="1"/>
  <c r="V231" i="1"/>
  <c r="V250" i="1"/>
  <c r="V251" i="1"/>
  <c r="V252" i="1"/>
  <c r="V253" i="1"/>
  <c r="V254" i="1"/>
  <c r="V255" i="1"/>
  <c r="V914" i="1"/>
  <c r="V538" i="1"/>
  <c r="V258" i="1"/>
  <c r="V259" i="1"/>
  <c r="V260" i="1"/>
  <c r="V498" i="1"/>
  <c r="V262" i="1"/>
  <c r="V363" i="1"/>
  <c r="V264" i="1"/>
  <c r="V265" i="1"/>
  <c r="V266" i="1"/>
  <c r="V267" i="1"/>
  <c r="V268" i="1"/>
  <c r="V269" i="1"/>
  <c r="V270" i="1"/>
  <c r="V271" i="1"/>
  <c r="V16" i="1"/>
  <c r="V273" i="1"/>
  <c r="V249" i="1"/>
  <c r="V275" i="1"/>
  <c r="V276" i="1"/>
  <c r="V277" i="1"/>
  <c r="V278" i="1"/>
  <c r="V279" i="1"/>
  <c r="V280" i="1"/>
  <c r="V281" i="1"/>
  <c r="V282" i="1"/>
  <c r="V261" i="1"/>
  <c r="V284" i="1"/>
  <c r="V285" i="1"/>
  <c r="V286" i="1"/>
  <c r="V287" i="1"/>
  <c r="V984" i="1"/>
  <c r="V656" i="1"/>
  <c r="V290" i="1"/>
  <c r="V291" i="1"/>
  <c r="V292" i="1"/>
  <c r="V496" i="1"/>
  <c r="V294" i="1"/>
  <c r="V295" i="1"/>
  <c r="V296" i="1"/>
  <c r="V297" i="1"/>
  <c r="V298" i="1"/>
  <c r="V299" i="1"/>
  <c r="V300" i="1"/>
  <c r="V301" i="1"/>
  <c r="V302" i="1"/>
  <c r="V303" i="1"/>
  <c r="V670" i="1"/>
  <c r="V953" i="1"/>
  <c r="V306" i="1"/>
  <c r="V433" i="1"/>
  <c r="V308" i="1"/>
  <c r="V623" i="1"/>
  <c r="V71" i="1"/>
  <c r="V311" i="1"/>
  <c r="V804" i="1"/>
  <c r="V313" i="1"/>
  <c r="V151" i="1"/>
  <c r="V315" i="1"/>
  <c r="V316" i="1"/>
  <c r="V317" i="1"/>
  <c r="V318" i="1"/>
  <c r="V319" i="1"/>
  <c r="V320" i="1"/>
  <c r="V609" i="1"/>
  <c r="V798" i="1"/>
  <c r="V323" i="1"/>
  <c r="V324" i="1"/>
  <c r="V325" i="1"/>
  <c r="V326" i="1"/>
  <c r="V683" i="1"/>
  <c r="V360" i="1"/>
  <c r="V329" i="1"/>
  <c r="V330" i="1"/>
  <c r="V698" i="1"/>
  <c r="V902" i="1"/>
  <c r="V333" i="1"/>
  <c r="V334" i="1"/>
  <c r="V335" i="1"/>
  <c r="V336" i="1"/>
  <c r="V337" i="1"/>
  <c r="V338" i="1"/>
  <c r="V339" i="1"/>
  <c r="V340" i="1"/>
  <c r="V67" i="1"/>
  <c r="V342" i="1"/>
  <c r="V343" i="1"/>
  <c r="V344" i="1"/>
  <c r="V345" i="1"/>
  <c r="V346" i="1"/>
  <c r="V697" i="1"/>
  <c r="V453" i="1"/>
  <c r="V349" i="1"/>
  <c r="V350" i="1"/>
  <c r="V263" i="1"/>
  <c r="V352" i="1"/>
  <c r="V353" i="1"/>
  <c r="V354" i="1"/>
  <c r="V355" i="1"/>
  <c r="V247" i="1"/>
  <c r="V357" i="1"/>
  <c r="V358" i="1"/>
  <c r="V359" i="1"/>
  <c r="V31" i="1"/>
  <c r="V361" i="1"/>
  <c r="V362" i="1"/>
  <c r="V987" i="1"/>
  <c r="V364" i="1"/>
  <c r="V365" i="1"/>
  <c r="V366" i="1"/>
  <c r="V367" i="1"/>
  <c r="V368" i="1"/>
  <c r="V369" i="1"/>
  <c r="V370" i="1"/>
  <c r="V371" i="1"/>
  <c r="V511" i="1"/>
  <c r="V373" i="1"/>
  <c r="V374" i="1"/>
  <c r="V375" i="1"/>
  <c r="V376" i="1"/>
  <c r="V377" i="1"/>
  <c r="V378" i="1"/>
  <c r="V379" i="1"/>
  <c r="V236" i="1"/>
  <c r="V381" i="1"/>
  <c r="V382" i="1"/>
  <c r="V332" i="1"/>
  <c r="V384" i="1"/>
  <c r="V791" i="1"/>
  <c r="V393" i="1"/>
  <c r="V387" i="1"/>
  <c r="V388" i="1"/>
  <c r="V389" i="1"/>
  <c r="V390" i="1"/>
  <c r="V391" i="1"/>
  <c r="V936" i="1"/>
  <c r="V93" i="1"/>
  <c r="V394" i="1"/>
  <c r="V395" i="1"/>
  <c r="V66" i="1"/>
  <c r="V397" i="1"/>
  <c r="V398" i="1"/>
  <c r="V399" i="1"/>
  <c r="V886" i="1"/>
  <c r="V88" i="1"/>
  <c r="V402" i="1"/>
  <c r="V403" i="1"/>
  <c r="V575" i="1"/>
  <c r="V405" i="1"/>
  <c r="V406" i="1"/>
  <c r="V407" i="1"/>
  <c r="V408" i="1"/>
  <c r="V409" i="1"/>
  <c r="V708" i="1"/>
  <c r="V411" i="1"/>
  <c r="V682" i="1"/>
  <c r="V413" i="1"/>
  <c r="V414" i="1"/>
  <c r="V415" i="1"/>
  <c r="V416" i="1"/>
  <c r="V417" i="1"/>
  <c r="V293" i="1"/>
  <c r="V419" i="1"/>
  <c r="V288" i="1"/>
  <c r="V421" i="1"/>
  <c r="V422" i="1"/>
  <c r="V423" i="1"/>
  <c r="V116" i="1"/>
  <c r="V425" i="1"/>
  <c r="V426" i="1"/>
  <c r="V427" i="1"/>
  <c r="V428" i="1"/>
  <c r="V429" i="1"/>
  <c r="V903" i="1"/>
  <c r="V431" i="1"/>
  <c r="V432" i="1"/>
  <c r="V572" i="1"/>
  <c r="V434" i="1"/>
  <c r="V435" i="1"/>
  <c r="V495" i="1"/>
  <c r="V437" i="1"/>
  <c r="V438" i="1"/>
  <c r="V439" i="1"/>
  <c r="V168" i="1"/>
  <c r="V441" i="1"/>
  <c r="V442" i="1"/>
  <c r="V443" i="1"/>
  <c r="V444" i="1"/>
  <c r="V445" i="1"/>
  <c r="V410" i="1"/>
  <c r="V447" i="1"/>
  <c r="V448" i="1"/>
  <c r="V146" i="1"/>
  <c r="V450" i="1"/>
  <c r="V451" i="1"/>
  <c r="V452" i="1"/>
  <c r="V843" i="1"/>
  <c r="V550" i="1"/>
  <c r="V455" i="1"/>
  <c r="V456" i="1"/>
  <c r="V457" i="1"/>
  <c r="V458" i="1"/>
  <c r="V459" i="1"/>
  <c r="V89" i="1"/>
  <c r="V461" i="1"/>
  <c r="V462" i="1"/>
  <c r="V463" i="1"/>
  <c r="V464" i="1"/>
  <c r="V465" i="1"/>
  <c r="V404" i="1"/>
  <c r="V467" i="1"/>
  <c r="V62" i="1"/>
  <c r="V469" i="1"/>
  <c r="V729" i="1"/>
  <c r="V471" i="1"/>
  <c r="V633" i="1"/>
  <c r="V473" i="1"/>
  <c r="V559" i="1"/>
  <c r="V84" i="1"/>
  <c r="V476" i="1"/>
  <c r="V477" i="1"/>
  <c r="V110" i="1"/>
  <c r="V479" i="1"/>
  <c r="V480" i="1"/>
  <c r="V481" i="1"/>
  <c r="V482" i="1"/>
  <c r="V483" i="1"/>
  <c r="V484" i="1"/>
  <c r="V485" i="1"/>
  <c r="V79" i="1"/>
  <c r="V487" i="1"/>
  <c r="V488" i="1"/>
  <c r="V489" i="1"/>
  <c r="V436" i="1"/>
  <c r="V460" i="1"/>
  <c r="V307" i="1"/>
  <c r="V493" i="1"/>
  <c r="V490" i="1"/>
  <c r="V52" i="1"/>
  <c r="V491" i="1"/>
  <c r="V348" i="1"/>
  <c r="V396" i="1"/>
  <c r="V499" i="1"/>
  <c r="V579" i="1"/>
  <c r="V501" i="1"/>
  <c r="V401" i="1"/>
  <c r="V503" i="1"/>
  <c r="V504" i="1"/>
  <c r="V536" i="1"/>
  <c r="V506" i="1"/>
  <c r="V507" i="1"/>
  <c r="V508" i="1"/>
  <c r="V57" i="1"/>
  <c r="V510" i="1"/>
  <c r="V420" i="1"/>
  <c r="V512" i="1"/>
  <c r="V513" i="1"/>
  <c r="V514" i="1"/>
  <c r="V515" i="1"/>
  <c r="V928" i="1"/>
  <c r="V517" i="1"/>
  <c r="V518" i="1"/>
  <c r="V519" i="1"/>
  <c r="V520" i="1"/>
  <c r="V521" i="1"/>
  <c r="V522" i="1"/>
  <c r="V523" i="1"/>
  <c r="V524" i="1"/>
  <c r="V525" i="1"/>
  <c r="V526" i="1"/>
  <c r="V527" i="1"/>
  <c r="V528" i="1"/>
  <c r="V386" i="1"/>
  <c r="V530" i="1"/>
  <c r="V531" i="1"/>
  <c r="V896" i="1"/>
  <c r="V478" i="1"/>
  <c r="V534" i="1"/>
  <c r="V535" i="1"/>
  <c r="V621" i="1"/>
  <c r="V537" i="1"/>
  <c r="V219" i="1"/>
  <c r="V539" i="1"/>
  <c r="V540" i="1"/>
  <c r="V541" i="1"/>
  <c r="V542" i="1"/>
  <c r="V919" i="1"/>
  <c r="V544" i="1"/>
  <c r="V759" i="1"/>
  <c r="V546" i="1"/>
  <c r="V547" i="1"/>
  <c r="V548" i="1"/>
  <c r="V549" i="1"/>
  <c r="V780" i="1"/>
  <c r="V551" i="1"/>
  <c r="V552" i="1"/>
  <c r="V553" i="1"/>
  <c r="V554" i="1"/>
  <c r="V466" i="1"/>
  <c r="V556" i="1"/>
  <c r="V557" i="1"/>
  <c r="V558" i="1"/>
  <c r="V680" i="1"/>
  <c r="V854" i="1"/>
  <c r="V561" i="1"/>
  <c r="V562" i="1"/>
  <c r="V563" i="1"/>
  <c r="V570" i="1"/>
  <c r="V565" i="1"/>
  <c r="V566" i="1"/>
  <c r="V567" i="1"/>
  <c r="V568" i="1"/>
  <c r="V569" i="1"/>
  <c r="V418" i="1"/>
  <c r="V233" i="1"/>
  <c r="V46" i="1"/>
  <c r="V573" i="1"/>
  <c r="V574" i="1"/>
  <c r="V312" i="1"/>
  <c r="V576" i="1"/>
  <c r="V666" i="1"/>
  <c r="V578" i="1"/>
  <c r="V322" i="1"/>
  <c r="V580" i="1"/>
  <c r="V581" i="1"/>
  <c r="V582" i="1"/>
  <c r="V583" i="1"/>
  <c r="V584" i="1"/>
  <c r="V585" i="1"/>
  <c r="V679" i="1"/>
  <c r="V587" i="1"/>
  <c r="V588" i="1"/>
  <c r="V589" i="1"/>
  <c r="V590" i="1"/>
  <c r="V591" i="1"/>
  <c r="V592" i="1"/>
  <c r="V593" i="1"/>
  <c r="V594" i="1"/>
  <c r="V274" i="1"/>
  <c r="V596" i="1"/>
  <c r="V597" i="1"/>
  <c r="V598" i="1"/>
  <c r="V599" i="1"/>
  <c r="V392" i="1"/>
  <c r="V601" i="1"/>
  <c r="V602" i="1"/>
  <c r="V603" i="1"/>
  <c r="V604" i="1"/>
  <c r="V605" i="1"/>
  <c r="V606" i="1"/>
  <c r="V607" i="1"/>
  <c r="V608" i="1"/>
  <c r="V283" i="1"/>
  <c r="V610" i="1"/>
  <c r="V611" i="1"/>
  <c r="V612" i="1"/>
  <c r="V613" i="1"/>
  <c r="V614" i="1"/>
  <c r="V615" i="1"/>
  <c r="V616" i="1"/>
  <c r="V617" i="1"/>
  <c r="V351" i="1"/>
  <c r="V619" i="1"/>
  <c r="V620" i="1"/>
  <c r="V6" i="1"/>
  <c r="V622" i="1"/>
  <c r="V220" i="1"/>
  <c r="V167" i="1"/>
  <c r="V189" i="1"/>
  <c r="V626" i="1"/>
  <c r="V627" i="1"/>
  <c r="V628" i="1"/>
  <c r="V629" i="1"/>
  <c r="V630" i="1"/>
  <c r="V631" i="1"/>
  <c r="V632" i="1"/>
  <c r="V972" i="1"/>
  <c r="V243" i="1"/>
  <c r="V635" i="1"/>
  <c r="V636" i="1"/>
  <c r="V637" i="1"/>
  <c r="V638" i="1"/>
  <c r="V42" i="1"/>
  <c r="V640" i="1"/>
  <c r="V500" i="1"/>
  <c r="V642" i="1"/>
  <c r="V257" i="1"/>
  <c r="V644" i="1"/>
  <c r="V18" i="1"/>
  <c r="V470" i="1"/>
  <c r="V647" i="1"/>
  <c r="V852" i="1"/>
  <c r="V649" i="1"/>
  <c r="V650" i="1"/>
  <c r="V651" i="1"/>
  <c r="V652" i="1"/>
  <c r="V555" i="1"/>
  <c r="V654" i="1"/>
  <c r="V655" i="1"/>
  <c r="V720" i="1"/>
  <c r="V19" i="1"/>
  <c r="V658" i="1"/>
  <c r="V659" i="1"/>
  <c r="V660" i="1"/>
  <c r="V661" i="1"/>
  <c r="V662" i="1"/>
  <c r="V663" i="1"/>
  <c r="V664" i="1"/>
  <c r="V665" i="1"/>
  <c r="V424" i="1"/>
  <c r="V667" i="1"/>
  <c r="V668" i="1"/>
  <c r="V669" i="1"/>
  <c r="V643" i="1"/>
  <c r="V671" i="1"/>
  <c r="V672" i="1"/>
  <c r="V372" i="1"/>
  <c r="V674" i="1"/>
  <c r="V380" i="1"/>
  <c r="V676" i="1"/>
  <c r="V677" i="1"/>
  <c r="V678" i="1"/>
  <c r="V454" i="1"/>
  <c r="V532" i="1"/>
  <c r="V681" i="1"/>
  <c r="V176" i="1"/>
  <c r="V961" i="1"/>
  <c r="V684" i="1"/>
  <c r="V446" i="1"/>
  <c r="V686" i="1"/>
  <c r="V564" i="1"/>
  <c r="V688" i="1"/>
  <c r="V689" i="1"/>
  <c r="V690" i="1"/>
  <c r="V691" i="1"/>
  <c r="V182" i="1"/>
  <c r="V693" i="1"/>
  <c r="V694" i="1"/>
  <c r="V695" i="1"/>
  <c r="V696" i="1"/>
  <c r="V738" i="1"/>
  <c r="V69" i="1"/>
  <c r="V699" i="1"/>
  <c r="V94" i="1"/>
  <c r="V701" i="1"/>
  <c r="V702" i="1"/>
  <c r="V703" i="1"/>
  <c r="V704" i="1"/>
  <c r="V705" i="1"/>
  <c r="V706" i="1"/>
  <c r="V707" i="1"/>
  <c r="V256" i="1"/>
  <c r="V709" i="1"/>
  <c r="V710" i="1"/>
  <c r="V331" i="1"/>
  <c r="V712" i="1"/>
  <c r="V713" i="1"/>
  <c r="V714" i="1"/>
  <c r="V486" i="1"/>
  <c r="V716" i="1"/>
  <c r="V717" i="1"/>
  <c r="V718" i="1"/>
  <c r="V719" i="1"/>
  <c r="V824" i="1"/>
  <c r="V721" i="1"/>
  <c r="V289" i="1"/>
  <c r="V723" i="1"/>
  <c r="V724" i="1"/>
  <c r="V725" i="1"/>
  <c r="V726" i="1"/>
  <c r="V727" i="1"/>
  <c r="V728" i="1"/>
  <c r="V328" i="1"/>
  <c r="V730" i="1"/>
  <c r="V731" i="1"/>
  <c r="V732" i="1"/>
  <c r="V733" i="1"/>
  <c r="V734" i="1"/>
  <c r="V735" i="1"/>
  <c r="V675" i="1"/>
  <c r="V648" i="1"/>
  <c r="V165" i="1"/>
  <c r="V739" i="1"/>
  <c r="V740" i="1"/>
  <c r="V741" i="1"/>
  <c r="V742" i="1"/>
  <c r="V743" i="1"/>
  <c r="V744" i="1"/>
  <c r="V745" i="1"/>
  <c r="V746" i="1"/>
  <c r="V747" i="1"/>
  <c r="V748" i="1"/>
  <c r="V749" i="1"/>
  <c r="V750" i="1"/>
  <c r="V751" i="1"/>
  <c r="V752" i="1"/>
  <c r="V753" i="1"/>
  <c r="V754" i="1"/>
  <c r="V755" i="1"/>
  <c r="V209" i="1"/>
  <c r="V757" i="1"/>
  <c r="V736" i="1"/>
  <c r="V509" i="1"/>
  <c r="V760" i="1"/>
  <c r="V761" i="1"/>
  <c r="V762" i="1"/>
  <c r="V763" i="1"/>
  <c r="V764" i="1"/>
  <c r="V765" i="1"/>
  <c r="V766" i="1"/>
  <c r="V767" i="1"/>
  <c r="V768" i="1"/>
  <c r="V769" i="1"/>
  <c r="V770" i="1"/>
  <c r="V771" i="1"/>
  <c r="V772" i="1"/>
  <c r="V773" i="1"/>
  <c r="V937" i="1"/>
  <c r="V775" i="1"/>
  <c r="V827" i="1"/>
  <c r="V777" i="1"/>
  <c r="V778" i="1"/>
  <c r="V779" i="1"/>
  <c r="V959" i="1"/>
  <c r="V781" i="1"/>
  <c r="V782" i="1"/>
  <c r="V783" i="1"/>
  <c r="V600" i="1"/>
  <c r="V785" i="1"/>
  <c r="V786" i="1"/>
  <c r="V787" i="1"/>
  <c r="V788" i="1"/>
  <c r="V883" i="1"/>
  <c r="V790" i="1"/>
  <c r="V595" i="1"/>
  <c r="V792" i="1"/>
  <c r="V793" i="1"/>
  <c r="V794" i="1"/>
  <c r="V795" i="1"/>
  <c r="V796" i="1"/>
  <c r="V797" i="1"/>
  <c r="V618" i="1"/>
  <c r="V799" i="1"/>
  <c r="V898" i="1"/>
  <c r="V801" i="1"/>
  <c r="V908" i="1"/>
  <c r="V803" i="1"/>
  <c r="V472" i="1"/>
  <c r="V805" i="1"/>
  <c r="V806" i="1"/>
  <c r="V807" i="1"/>
  <c r="V808" i="1"/>
  <c r="V809" i="1"/>
  <c r="V810" i="1"/>
  <c r="V811" i="1"/>
  <c r="V812" i="1"/>
  <c r="V813" i="1"/>
  <c r="V814" i="1"/>
  <c r="V815" i="1"/>
  <c r="V816" i="1"/>
  <c r="V124" i="1"/>
  <c r="V818" i="1"/>
  <c r="V819" i="1"/>
  <c r="V820" i="1"/>
  <c r="V821" i="1"/>
  <c r="V822" i="1"/>
  <c r="V823" i="1"/>
  <c r="V91" i="1"/>
  <c r="V825" i="1"/>
  <c r="V826" i="1"/>
  <c r="V474" i="1"/>
  <c r="V272" i="1"/>
  <c r="V121" i="1"/>
  <c r="V830" i="1"/>
  <c r="V831" i="1"/>
  <c r="V832" i="1"/>
  <c r="V833" i="1"/>
  <c r="V834" i="1"/>
  <c r="V385" i="1"/>
  <c r="V836" i="1"/>
  <c r="V837" i="1"/>
  <c r="V838" i="1"/>
  <c r="V839" i="1"/>
  <c r="V840" i="1"/>
  <c r="V841" i="1"/>
  <c r="V842" i="1"/>
  <c r="V657" i="1"/>
  <c r="V309" i="1"/>
  <c r="V845" i="1"/>
  <c r="V846" i="1"/>
  <c r="V847" i="1"/>
  <c r="V848" i="1"/>
  <c r="V849" i="1"/>
  <c r="V850" i="1"/>
  <c r="V851" i="1"/>
  <c r="V314" i="1"/>
  <c r="V853" i="1"/>
  <c r="V533"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492" i="1"/>
  <c r="V884" i="1"/>
  <c r="V885" i="1"/>
  <c r="V817" i="1"/>
  <c r="V887" i="1"/>
  <c r="V888" i="1"/>
  <c r="V889" i="1"/>
  <c r="V890" i="1"/>
  <c r="V891" i="1"/>
  <c r="V892" i="1"/>
  <c r="V893" i="1"/>
  <c r="V894" i="1"/>
  <c r="V895" i="1"/>
  <c r="V502" i="1"/>
  <c r="V897" i="1"/>
  <c r="V147" i="1"/>
  <c r="V899" i="1"/>
  <c r="V900" i="1"/>
  <c r="V901" i="1"/>
  <c r="V586" i="1"/>
  <c r="V400" i="1"/>
  <c r="V776" i="1"/>
  <c r="V905" i="1"/>
  <c r="V906" i="1"/>
  <c r="V907" i="1"/>
  <c r="V711" i="1"/>
  <c r="V756" i="1"/>
  <c r="V910" i="1"/>
  <c r="V911" i="1"/>
  <c r="V912" i="1"/>
  <c r="V913" i="1"/>
  <c r="V327" i="1"/>
  <c r="V915" i="1"/>
  <c r="V916" i="1"/>
  <c r="V917" i="1"/>
  <c r="V918" i="1"/>
  <c r="V529" i="1"/>
  <c r="V920" i="1"/>
  <c r="V921" i="1"/>
  <c r="V922" i="1"/>
  <c r="V923" i="1"/>
  <c r="V924" i="1"/>
  <c r="V925" i="1"/>
  <c r="V926" i="1"/>
  <c r="V927" i="1"/>
  <c r="V341" i="1"/>
  <c r="V929" i="1"/>
  <c r="V930" i="1"/>
  <c r="V497" i="1"/>
  <c r="V932" i="1"/>
  <c r="V933" i="1"/>
  <c r="V934" i="1"/>
  <c r="V935" i="1"/>
  <c r="V383" i="1"/>
  <c r="V624" i="1"/>
  <c r="V938" i="1"/>
  <c r="V939" i="1"/>
  <c r="V940" i="1"/>
  <c r="V941" i="1"/>
  <c r="V942" i="1"/>
  <c r="V943" i="1"/>
  <c r="V944" i="1"/>
  <c r="V945" i="1"/>
  <c r="V946" i="1"/>
  <c r="V947" i="1"/>
  <c r="V948" i="1"/>
  <c r="V949" i="1"/>
  <c r="V950" i="1"/>
  <c r="V951" i="1"/>
  <c r="V952" i="1"/>
  <c r="V835" i="1"/>
  <c r="V954" i="1"/>
  <c r="V545" i="1"/>
  <c r="V956" i="1"/>
  <c r="V957" i="1"/>
  <c r="V958" i="1"/>
  <c r="V505" i="1"/>
  <c r="V960" i="1"/>
  <c r="V904" i="1"/>
  <c r="V962" i="1"/>
  <c r="V673" i="1"/>
  <c r="V964" i="1"/>
  <c r="V965" i="1"/>
  <c r="V966" i="1"/>
  <c r="V967" i="1"/>
  <c r="V968" i="1"/>
  <c r="V969" i="1"/>
  <c r="V970" i="1"/>
  <c r="V971" i="1"/>
  <c r="V625" i="1"/>
  <c r="V973" i="1"/>
  <c r="V974" i="1"/>
  <c r="V975" i="1"/>
  <c r="V976" i="1"/>
  <c r="V239" i="1"/>
  <c r="V978" i="1"/>
  <c r="V979" i="1"/>
  <c r="V980" i="1"/>
  <c r="V321" i="1"/>
  <c r="V982" i="1"/>
  <c r="V983" i="1"/>
  <c r="V430" i="1"/>
  <c r="V985" i="1"/>
  <c r="V203" i="1"/>
  <c r="V784" i="1"/>
  <c r="V988" i="1"/>
  <c r="V989" i="1"/>
  <c r="V990" i="1"/>
  <c r="V991" i="1"/>
  <c r="V992" i="1"/>
  <c r="V993" i="1"/>
  <c r="V994" i="1"/>
  <c r="V995" i="1"/>
  <c r="V996" i="1"/>
  <c r="V997" i="1"/>
  <c r="V998" i="1"/>
  <c r="V999" i="1"/>
  <c r="V1000" i="1"/>
  <c r="V1001" i="1"/>
  <c r="T2" i="1"/>
  <c r="T646" i="1"/>
  <c r="T304" i="1"/>
  <c r="T5" i="1"/>
  <c r="T211" i="1"/>
  <c r="T7" i="1"/>
  <c r="T8" i="1"/>
  <c r="T356" i="1"/>
  <c r="T10" i="1"/>
  <c r="T11" i="1"/>
  <c r="T12" i="1"/>
  <c r="T963" i="1"/>
  <c r="T14" i="1"/>
  <c r="T15" i="1"/>
  <c r="U15" i="1" s="1"/>
  <c r="T72" i="1"/>
  <c r="T17" i="1"/>
  <c r="T577" i="1"/>
  <c r="T122" i="1"/>
  <c r="T20" i="1"/>
  <c r="T21" i="1"/>
  <c r="T22" i="1"/>
  <c r="T23" i="1"/>
  <c r="U23" i="1" s="1"/>
  <c r="T24" i="1"/>
  <c r="T25" i="1"/>
  <c r="T26" i="1"/>
  <c r="T27" i="1"/>
  <c r="T28" i="1"/>
  <c r="T29" i="1"/>
  <c r="T30" i="1"/>
  <c r="T80" i="1"/>
  <c r="U80" i="1" s="1"/>
  <c r="T32" i="1"/>
  <c r="T33" i="1"/>
  <c r="T34" i="1"/>
  <c r="T35" i="1"/>
  <c r="T36" i="1"/>
  <c r="T241" i="1"/>
  <c r="T38" i="1"/>
  <c r="T39" i="1"/>
  <c r="U39" i="1" s="1"/>
  <c r="T40" i="1"/>
  <c r="T41" i="1"/>
  <c r="T722" i="1"/>
  <c r="T43" i="1"/>
  <c r="T44" i="1"/>
  <c r="T45" i="1"/>
  <c r="T347" i="1"/>
  <c r="T494" i="1"/>
  <c r="U494" i="1" s="1"/>
  <c r="T48" i="1"/>
  <c r="T49" i="1"/>
  <c r="T50" i="1"/>
  <c r="T51" i="1"/>
  <c r="T475" i="1"/>
  <c r="T53" i="1"/>
  <c r="T54" i="1"/>
  <c r="T55" i="1"/>
  <c r="U55" i="1" s="1"/>
  <c r="T56" i="1"/>
  <c r="T412" i="1"/>
  <c r="T58" i="1"/>
  <c r="T59" i="1"/>
  <c r="T60" i="1"/>
  <c r="T61" i="1"/>
  <c r="T981" i="1"/>
  <c r="T63" i="1"/>
  <c r="U63" i="1" s="1"/>
  <c r="T64" i="1"/>
  <c r="T65" i="1"/>
  <c r="T685" i="1"/>
  <c r="T829" i="1"/>
  <c r="T68" i="1"/>
  <c r="T13" i="1"/>
  <c r="T70" i="1"/>
  <c r="T9" i="1"/>
  <c r="U9" i="1" s="1"/>
  <c r="T645" i="1"/>
  <c r="T73" i="1"/>
  <c r="T74" i="1"/>
  <c r="T75" i="1"/>
  <c r="T76" i="1"/>
  <c r="T77" i="1"/>
  <c r="T78" i="1"/>
  <c r="T641" i="1"/>
  <c r="U641" i="1" s="1"/>
  <c r="T37" i="1"/>
  <c r="T81" i="1"/>
  <c r="T82" i="1"/>
  <c r="T83" i="1"/>
  <c r="T543" i="1"/>
  <c r="T85" i="1"/>
  <c r="T86" i="1"/>
  <c r="T87" i="1"/>
  <c r="U87" i="1" s="1"/>
  <c r="T800" i="1"/>
  <c r="T700" i="1"/>
  <c r="T90" i="1"/>
  <c r="T449" i="1"/>
  <c r="T92" i="1"/>
  <c r="T639" i="1"/>
  <c r="T955" i="1"/>
  <c r="T95" i="1"/>
  <c r="U95" i="1" s="1"/>
  <c r="T96" i="1"/>
  <c r="T232" i="1"/>
  <c r="T687" i="1"/>
  <c r="T99" i="1"/>
  <c r="T100" i="1"/>
  <c r="T101" i="1"/>
  <c r="T102" i="1"/>
  <c r="T103" i="1"/>
  <c r="U103" i="1" s="1"/>
  <c r="T104" i="1"/>
  <c r="T105" i="1"/>
  <c r="T106" i="1"/>
  <c r="T107" i="1"/>
  <c r="T108" i="1"/>
  <c r="T109" i="1"/>
  <c r="T172" i="1"/>
  <c r="T111" i="1"/>
  <c r="U111" i="1" s="1"/>
  <c r="T112" i="1"/>
  <c r="T113" i="1"/>
  <c r="T715" i="1"/>
  <c r="T115" i="1"/>
  <c r="T986" i="1"/>
  <c r="T117" i="1"/>
  <c r="T118" i="1"/>
  <c r="T119" i="1"/>
  <c r="U119" i="1" s="1"/>
  <c r="T120" i="1"/>
  <c r="T653" i="1"/>
  <c r="T4" i="1"/>
  <c r="T123" i="1"/>
  <c r="T789" i="1"/>
  <c r="T125" i="1"/>
  <c r="T126" i="1"/>
  <c r="T634" i="1"/>
  <c r="U634" i="1" s="1"/>
  <c r="T128" i="1"/>
  <c r="T129" i="1"/>
  <c r="T130" i="1"/>
  <c r="T131" i="1"/>
  <c r="T132" i="1"/>
  <c r="T133" i="1"/>
  <c r="T134" i="1"/>
  <c r="T135" i="1"/>
  <c r="U135" i="1" s="1"/>
  <c r="T136" i="1"/>
  <c r="T137" i="1"/>
  <c r="T138" i="1"/>
  <c r="T139" i="1"/>
  <c r="T140" i="1"/>
  <c r="T141" i="1"/>
  <c r="T142" i="1"/>
  <c r="T143" i="1"/>
  <c r="U143" i="1" s="1"/>
  <c r="T144" i="1"/>
  <c r="T145" i="1"/>
  <c r="T844" i="1"/>
  <c r="T97" i="1"/>
  <c r="T148" i="1"/>
  <c r="T149" i="1"/>
  <c r="T150" i="1"/>
  <c r="T758" i="1"/>
  <c r="U758" i="1" s="1"/>
  <c r="T152" i="1"/>
  <c r="T153" i="1"/>
  <c r="T154" i="1"/>
  <c r="T155" i="1"/>
  <c r="T156" i="1"/>
  <c r="T157" i="1"/>
  <c r="T158" i="1"/>
  <c r="T159" i="1"/>
  <c r="U159" i="1" s="1"/>
  <c r="T160" i="1"/>
  <c r="T161" i="1"/>
  <c r="T162" i="1"/>
  <c r="T163" i="1"/>
  <c r="T164" i="1"/>
  <c r="T440" i="1"/>
  <c r="T166" i="1"/>
  <c r="T571" i="1"/>
  <c r="U571" i="1" s="1"/>
  <c r="T310" i="1"/>
  <c r="T169" i="1"/>
  <c r="T170" i="1"/>
  <c r="T171" i="1"/>
  <c r="T516" i="1"/>
  <c r="T173" i="1"/>
  <c r="T174" i="1"/>
  <c r="T175" i="1"/>
  <c r="U175" i="1" s="1"/>
  <c r="T305" i="1"/>
  <c r="T177" i="1"/>
  <c r="T178" i="1"/>
  <c r="T179" i="1"/>
  <c r="T180" i="1"/>
  <c r="T181" i="1"/>
  <c r="T114" i="1"/>
  <c r="T183" i="1"/>
  <c r="U183" i="1" s="1"/>
  <c r="T184" i="1"/>
  <c r="T185" i="1"/>
  <c r="T186" i="1"/>
  <c r="T187" i="1"/>
  <c r="T188" i="1"/>
  <c r="T692" i="1"/>
  <c r="T190" i="1"/>
  <c r="T191" i="1"/>
  <c r="U191" i="1" s="1"/>
  <c r="T192" i="1"/>
  <c r="T193" i="1"/>
  <c r="T194" i="1"/>
  <c r="T195" i="1"/>
  <c r="T196" i="1"/>
  <c r="T197" i="1"/>
  <c r="T198" i="1"/>
  <c r="T199" i="1"/>
  <c r="U199" i="1" s="1"/>
  <c r="T200" i="1"/>
  <c r="T201" i="1"/>
  <c r="T202" i="1"/>
  <c r="T468" i="1"/>
  <c r="T204" i="1"/>
  <c r="T205" i="1"/>
  <c r="T206" i="1"/>
  <c r="T207" i="1"/>
  <c r="U207" i="1" s="1"/>
  <c r="T208" i="1"/>
  <c r="T3" i="1"/>
  <c r="T210" i="1"/>
  <c r="T774" i="1"/>
  <c r="T212" i="1"/>
  <c r="T213" i="1"/>
  <c r="T214" i="1"/>
  <c r="T215" i="1"/>
  <c r="U215" i="1" s="1"/>
  <c r="T216" i="1"/>
  <c r="T217" i="1"/>
  <c r="T218" i="1"/>
  <c r="T98" i="1"/>
  <c r="T560" i="1"/>
  <c r="T221" i="1"/>
  <c r="T222" i="1"/>
  <c r="T223" i="1"/>
  <c r="U223" i="1" s="1"/>
  <c r="T224" i="1"/>
  <c r="T225" i="1"/>
  <c r="T226" i="1"/>
  <c r="T227" i="1"/>
  <c r="T228" i="1"/>
  <c r="T229" i="1"/>
  <c r="T230" i="1"/>
  <c r="T977" i="1"/>
  <c r="U977" i="1" s="1"/>
  <c r="T802" i="1"/>
  <c r="T931" i="1"/>
  <c r="T234" i="1"/>
  <c r="T235" i="1"/>
  <c r="T828" i="1"/>
  <c r="T237" i="1"/>
  <c r="T238" i="1"/>
  <c r="T909" i="1"/>
  <c r="U909" i="1" s="1"/>
  <c r="T240" i="1"/>
  <c r="T737" i="1"/>
  <c r="T242" i="1"/>
  <c r="T47" i="1"/>
  <c r="T244" i="1"/>
  <c r="T245" i="1"/>
  <c r="T246" i="1"/>
  <c r="T127" i="1"/>
  <c r="U127" i="1" s="1"/>
  <c r="T248" i="1"/>
  <c r="T231" i="1"/>
  <c r="T250" i="1"/>
  <c r="T251" i="1"/>
  <c r="T252" i="1"/>
  <c r="T253" i="1"/>
  <c r="T254" i="1"/>
  <c r="T255" i="1"/>
  <c r="U255" i="1" s="1"/>
  <c r="T914" i="1"/>
  <c r="T538" i="1"/>
  <c r="T258" i="1"/>
  <c r="T259" i="1"/>
  <c r="T260" i="1"/>
  <c r="T498" i="1"/>
  <c r="T262" i="1"/>
  <c r="T363" i="1"/>
  <c r="U363" i="1" s="1"/>
  <c r="T264" i="1"/>
  <c r="T265" i="1"/>
  <c r="T266" i="1"/>
  <c r="T267" i="1"/>
  <c r="T268" i="1"/>
  <c r="T269" i="1"/>
  <c r="T270" i="1"/>
  <c r="T271" i="1"/>
  <c r="U271" i="1" s="1"/>
  <c r="T16" i="1"/>
  <c r="T273" i="1"/>
  <c r="T249" i="1"/>
  <c r="T275" i="1"/>
  <c r="T276" i="1"/>
  <c r="T277" i="1"/>
  <c r="T278" i="1"/>
  <c r="T279" i="1"/>
  <c r="U279" i="1" s="1"/>
  <c r="T280" i="1"/>
  <c r="T281" i="1"/>
  <c r="T282" i="1"/>
  <c r="T261" i="1"/>
  <c r="T284" i="1"/>
  <c r="T285" i="1"/>
  <c r="T286" i="1"/>
  <c r="T287" i="1"/>
  <c r="U287" i="1" s="1"/>
  <c r="T984" i="1"/>
  <c r="T656" i="1"/>
  <c r="T290" i="1"/>
  <c r="T291" i="1"/>
  <c r="T292" i="1"/>
  <c r="T496" i="1"/>
  <c r="T294" i="1"/>
  <c r="T295" i="1"/>
  <c r="U295" i="1" s="1"/>
  <c r="T296" i="1"/>
  <c r="T297" i="1"/>
  <c r="T298" i="1"/>
  <c r="T299" i="1"/>
  <c r="T300" i="1"/>
  <c r="T301" i="1"/>
  <c r="T302" i="1"/>
  <c r="T303" i="1"/>
  <c r="T670" i="1"/>
  <c r="T953" i="1"/>
  <c r="T306" i="1"/>
  <c r="T433" i="1"/>
  <c r="T308" i="1"/>
  <c r="T623" i="1"/>
  <c r="T71" i="1"/>
  <c r="T311" i="1"/>
  <c r="T804" i="1"/>
  <c r="T313" i="1"/>
  <c r="T151" i="1"/>
  <c r="T315" i="1"/>
  <c r="T316" i="1"/>
  <c r="T317" i="1"/>
  <c r="T318" i="1"/>
  <c r="T319" i="1"/>
  <c r="T320" i="1"/>
  <c r="T609" i="1"/>
  <c r="T798" i="1"/>
  <c r="T323" i="1"/>
  <c r="T324" i="1"/>
  <c r="T325" i="1"/>
  <c r="T326" i="1"/>
  <c r="T683" i="1"/>
  <c r="T360" i="1"/>
  <c r="T329" i="1"/>
  <c r="T330" i="1"/>
  <c r="T698" i="1"/>
  <c r="T902" i="1"/>
  <c r="T333" i="1"/>
  <c r="T334" i="1"/>
  <c r="T335" i="1"/>
  <c r="T336" i="1"/>
  <c r="T337" i="1"/>
  <c r="T338" i="1"/>
  <c r="T339" i="1"/>
  <c r="T340" i="1"/>
  <c r="T67" i="1"/>
  <c r="T342" i="1"/>
  <c r="T343" i="1"/>
  <c r="T344" i="1"/>
  <c r="T345" i="1"/>
  <c r="T346" i="1"/>
  <c r="T697" i="1"/>
  <c r="T453" i="1"/>
  <c r="T349" i="1"/>
  <c r="T350" i="1"/>
  <c r="T263" i="1"/>
  <c r="T352" i="1"/>
  <c r="T353" i="1"/>
  <c r="T354" i="1"/>
  <c r="T355" i="1"/>
  <c r="T247" i="1"/>
  <c r="T357" i="1"/>
  <c r="T358" i="1"/>
  <c r="T359" i="1"/>
  <c r="T31" i="1"/>
  <c r="T361" i="1"/>
  <c r="T362" i="1"/>
  <c r="T987" i="1"/>
  <c r="T364" i="1"/>
  <c r="T365" i="1"/>
  <c r="T366" i="1"/>
  <c r="T367" i="1"/>
  <c r="T368" i="1"/>
  <c r="T369" i="1"/>
  <c r="T370" i="1"/>
  <c r="T371" i="1"/>
  <c r="T511" i="1"/>
  <c r="T373" i="1"/>
  <c r="T374" i="1"/>
  <c r="T375" i="1"/>
  <c r="T376" i="1"/>
  <c r="T377" i="1"/>
  <c r="T378" i="1"/>
  <c r="T379" i="1"/>
  <c r="T236" i="1"/>
  <c r="T381" i="1"/>
  <c r="T382" i="1"/>
  <c r="T332" i="1"/>
  <c r="T384" i="1"/>
  <c r="T791" i="1"/>
  <c r="T393" i="1"/>
  <c r="T387" i="1"/>
  <c r="T388" i="1"/>
  <c r="T389" i="1"/>
  <c r="T390" i="1"/>
  <c r="T391" i="1"/>
  <c r="T936" i="1"/>
  <c r="T93" i="1"/>
  <c r="T394" i="1"/>
  <c r="T395" i="1"/>
  <c r="T66" i="1"/>
  <c r="T397" i="1"/>
  <c r="T398" i="1"/>
  <c r="T399" i="1"/>
  <c r="T886" i="1"/>
  <c r="T88" i="1"/>
  <c r="T402" i="1"/>
  <c r="T403" i="1"/>
  <c r="T575" i="1"/>
  <c r="T405" i="1"/>
  <c r="T406" i="1"/>
  <c r="T407" i="1"/>
  <c r="T408" i="1"/>
  <c r="T409" i="1"/>
  <c r="T708" i="1"/>
  <c r="T411" i="1"/>
  <c r="T682" i="1"/>
  <c r="T413" i="1"/>
  <c r="T414" i="1"/>
  <c r="T415" i="1"/>
  <c r="T416" i="1"/>
  <c r="T417" i="1"/>
  <c r="T293" i="1"/>
  <c r="T419" i="1"/>
  <c r="T288" i="1"/>
  <c r="T421" i="1"/>
  <c r="T422" i="1"/>
  <c r="T423" i="1"/>
  <c r="T116" i="1"/>
  <c r="T425" i="1"/>
  <c r="T426" i="1"/>
  <c r="T427" i="1"/>
  <c r="T428" i="1"/>
  <c r="T429" i="1"/>
  <c r="T903" i="1"/>
  <c r="T431" i="1"/>
  <c r="T432" i="1"/>
  <c r="T572" i="1"/>
  <c r="T434" i="1"/>
  <c r="T435" i="1"/>
  <c r="T495" i="1"/>
  <c r="T437" i="1"/>
  <c r="T438" i="1"/>
  <c r="T439" i="1"/>
  <c r="T168" i="1"/>
  <c r="T441" i="1"/>
  <c r="T442" i="1"/>
  <c r="T443" i="1"/>
  <c r="T444" i="1"/>
  <c r="T445" i="1"/>
  <c r="T410" i="1"/>
  <c r="T447" i="1"/>
  <c r="T448" i="1"/>
  <c r="T146" i="1"/>
  <c r="T450" i="1"/>
  <c r="T451" i="1"/>
  <c r="T452" i="1"/>
  <c r="T843" i="1"/>
  <c r="T550" i="1"/>
  <c r="T455" i="1"/>
  <c r="T456" i="1"/>
  <c r="T457" i="1"/>
  <c r="T458" i="1"/>
  <c r="T459" i="1"/>
  <c r="T89" i="1"/>
  <c r="T461" i="1"/>
  <c r="T462" i="1"/>
  <c r="T463" i="1"/>
  <c r="T464" i="1"/>
  <c r="T465" i="1"/>
  <c r="T404" i="1"/>
  <c r="T467" i="1"/>
  <c r="T62" i="1"/>
  <c r="T469" i="1"/>
  <c r="T729" i="1"/>
  <c r="T471" i="1"/>
  <c r="T633" i="1"/>
  <c r="T473" i="1"/>
  <c r="T559" i="1"/>
  <c r="T84" i="1"/>
  <c r="T476" i="1"/>
  <c r="T477" i="1"/>
  <c r="T110" i="1"/>
  <c r="T479" i="1"/>
  <c r="T480" i="1"/>
  <c r="T481" i="1"/>
  <c r="T482" i="1"/>
  <c r="T483" i="1"/>
  <c r="T484" i="1"/>
  <c r="T485" i="1"/>
  <c r="T79" i="1"/>
  <c r="T487" i="1"/>
  <c r="T488" i="1"/>
  <c r="T489" i="1"/>
  <c r="T436" i="1"/>
  <c r="T460" i="1"/>
  <c r="T307" i="1"/>
  <c r="T493" i="1"/>
  <c r="T490" i="1"/>
  <c r="T52" i="1"/>
  <c r="T491" i="1"/>
  <c r="T348" i="1"/>
  <c r="T396" i="1"/>
  <c r="T499" i="1"/>
  <c r="T579" i="1"/>
  <c r="T501" i="1"/>
  <c r="T401" i="1"/>
  <c r="T503" i="1"/>
  <c r="T504" i="1"/>
  <c r="T536" i="1"/>
  <c r="T506" i="1"/>
  <c r="T507" i="1"/>
  <c r="T508" i="1"/>
  <c r="T57" i="1"/>
  <c r="T510" i="1"/>
  <c r="T420" i="1"/>
  <c r="T512" i="1"/>
  <c r="T513" i="1"/>
  <c r="T514" i="1"/>
  <c r="T515" i="1"/>
  <c r="T928" i="1"/>
  <c r="T517" i="1"/>
  <c r="T518" i="1"/>
  <c r="T519" i="1"/>
  <c r="T520" i="1"/>
  <c r="T521" i="1"/>
  <c r="T522" i="1"/>
  <c r="T523" i="1"/>
  <c r="T524" i="1"/>
  <c r="T525" i="1"/>
  <c r="T526" i="1"/>
  <c r="T527" i="1"/>
  <c r="T528" i="1"/>
  <c r="T386" i="1"/>
  <c r="T530" i="1"/>
  <c r="T531" i="1"/>
  <c r="T896" i="1"/>
  <c r="T478" i="1"/>
  <c r="T534" i="1"/>
  <c r="T535" i="1"/>
  <c r="T621" i="1"/>
  <c r="T537" i="1"/>
  <c r="T219" i="1"/>
  <c r="T539" i="1"/>
  <c r="T540" i="1"/>
  <c r="T541" i="1"/>
  <c r="T542" i="1"/>
  <c r="T919" i="1"/>
  <c r="T544" i="1"/>
  <c r="T759" i="1"/>
  <c r="T546" i="1"/>
  <c r="T547" i="1"/>
  <c r="T548" i="1"/>
  <c r="T549" i="1"/>
  <c r="T780" i="1"/>
  <c r="T551" i="1"/>
  <c r="T552" i="1"/>
  <c r="T553" i="1"/>
  <c r="T554" i="1"/>
  <c r="T466" i="1"/>
  <c r="T556" i="1"/>
  <c r="T557" i="1"/>
  <c r="T558" i="1"/>
  <c r="T680" i="1"/>
  <c r="T854" i="1"/>
  <c r="T561" i="1"/>
  <c r="T562" i="1"/>
  <c r="T563" i="1"/>
  <c r="T570" i="1"/>
  <c r="T565" i="1"/>
  <c r="T566" i="1"/>
  <c r="T567" i="1"/>
  <c r="T568" i="1"/>
  <c r="T569" i="1"/>
  <c r="T418" i="1"/>
  <c r="T233" i="1"/>
  <c r="T46" i="1"/>
  <c r="T573" i="1"/>
  <c r="T574" i="1"/>
  <c r="T312" i="1"/>
  <c r="T576" i="1"/>
  <c r="T666" i="1"/>
  <c r="T578" i="1"/>
  <c r="T322" i="1"/>
  <c r="T580" i="1"/>
  <c r="T581" i="1"/>
  <c r="T582" i="1"/>
  <c r="T583" i="1"/>
  <c r="T584" i="1"/>
  <c r="T585" i="1"/>
  <c r="T679" i="1"/>
  <c r="T587" i="1"/>
  <c r="T588" i="1"/>
  <c r="T589" i="1"/>
  <c r="T590" i="1"/>
  <c r="T591" i="1"/>
  <c r="T592" i="1"/>
  <c r="T593" i="1"/>
  <c r="T594" i="1"/>
  <c r="T274" i="1"/>
  <c r="T596" i="1"/>
  <c r="T597" i="1"/>
  <c r="T598" i="1"/>
  <c r="T599" i="1"/>
  <c r="T392" i="1"/>
  <c r="T601" i="1"/>
  <c r="T602" i="1"/>
  <c r="T603" i="1"/>
  <c r="T604" i="1"/>
  <c r="T605" i="1"/>
  <c r="T606" i="1"/>
  <c r="T607" i="1"/>
  <c r="T608" i="1"/>
  <c r="T283" i="1"/>
  <c r="T610" i="1"/>
  <c r="T611" i="1"/>
  <c r="T612" i="1"/>
  <c r="T613" i="1"/>
  <c r="T614" i="1"/>
  <c r="T615" i="1"/>
  <c r="T616" i="1"/>
  <c r="T617" i="1"/>
  <c r="T351" i="1"/>
  <c r="T619" i="1"/>
  <c r="T620" i="1"/>
  <c r="T6" i="1"/>
  <c r="T622" i="1"/>
  <c r="T220" i="1"/>
  <c r="T167" i="1"/>
  <c r="T189" i="1"/>
  <c r="T626" i="1"/>
  <c r="T627" i="1"/>
  <c r="T628" i="1"/>
  <c r="T629" i="1"/>
  <c r="T630" i="1"/>
  <c r="T631" i="1"/>
  <c r="T632" i="1"/>
  <c r="T972" i="1"/>
  <c r="T243" i="1"/>
  <c r="T635" i="1"/>
  <c r="T636" i="1"/>
  <c r="T637" i="1"/>
  <c r="T638" i="1"/>
  <c r="T42" i="1"/>
  <c r="T640" i="1"/>
  <c r="T500" i="1"/>
  <c r="T642" i="1"/>
  <c r="T257" i="1"/>
  <c r="T644" i="1"/>
  <c r="T18" i="1"/>
  <c r="T470" i="1"/>
  <c r="T647" i="1"/>
  <c r="T852" i="1"/>
  <c r="T649" i="1"/>
  <c r="T650" i="1"/>
  <c r="T651" i="1"/>
  <c r="T652" i="1"/>
  <c r="T555" i="1"/>
  <c r="T654" i="1"/>
  <c r="T655" i="1"/>
  <c r="T720" i="1"/>
  <c r="T19" i="1"/>
  <c r="T658" i="1"/>
  <c r="T659" i="1"/>
  <c r="T660" i="1"/>
  <c r="T661" i="1"/>
  <c r="T662" i="1"/>
  <c r="T663" i="1"/>
  <c r="T664" i="1"/>
  <c r="T665" i="1"/>
  <c r="T424" i="1"/>
  <c r="T667" i="1"/>
  <c r="T668" i="1"/>
  <c r="T669" i="1"/>
  <c r="T643" i="1"/>
  <c r="T671" i="1"/>
  <c r="T672" i="1"/>
  <c r="T372" i="1"/>
  <c r="T674" i="1"/>
  <c r="T380" i="1"/>
  <c r="T676" i="1"/>
  <c r="T677" i="1"/>
  <c r="T678" i="1"/>
  <c r="T454" i="1"/>
  <c r="T532" i="1"/>
  <c r="T681" i="1"/>
  <c r="T176" i="1"/>
  <c r="T961" i="1"/>
  <c r="T684" i="1"/>
  <c r="T446" i="1"/>
  <c r="T686" i="1"/>
  <c r="T564" i="1"/>
  <c r="T688" i="1"/>
  <c r="T689" i="1"/>
  <c r="T690" i="1"/>
  <c r="T691" i="1"/>
  <c r="T182" i="1"/>
  <c r="T693" i="1"/>
  <c r="T694" i="1"/>
  <c r="T695" i="1"/>
  <c r="T696" i="1"/>
  <c r="T738" i="1"/>
  <c r="T69" i="1"/>
  <c r="T699" i="1"/>
  <c r="T94" i="1"/>
  <c r="T701" i="1"/>
  <c r="T702" i="1"/>
  <c r="T703" i="1"/>
  <c r="T704" i="1"/>
  <c r="T705" i="1"/>
  <c r="T706" i="1"/>
  <c r="T707" i="1"/>
  <c r="T256" i="1"/>
  <c r="T709" i="1"/>
  <c r="T710" i="1"/>
  <c r="T331" i="1"/>
  <c r="T712" i="1"/>
  <c r="T713" i="1"/>
  <c r="T714" i="1"/>
  <c r="T486" i="1"/>
  <c r="T716" i="1"/>
  <c r="T717" i="1"/>
  <c r="T718" i="1"/>
  <c r="T719" i="1"/>
  <c r="T824" i="1"/>
  <c r="T721" i="1"/>
  <c r="T289" i="1"/>
  <c r="T723" i="1"/>
  <c r="T724" i="1"/>
  <c r="T725" i="1"/>
  <c r="T726" i="1"/>
  <c r="T727" i="1"/>
  <c r="T728" i="1"/>
  <c r="T328" i="1"/>
  <c r="T730" i="1"/>
  <c r="T731" i="1"/>
  <c r="T732" i="1"/>
  <c r="T733" i="1"/>
  <c r="T734" i="1"/>
  <c r="T735" i="1"/>
  <c r="T675" i="1"/>
  <c r="T648" i="1"/>
  <c r="T165" i="1"/>
  <c r="T739" i="1"/>
  <c r="T740" i="1"/>
  <c r="T741" i="1"/>
  <c r="T742" i="1"/>
  <c r="T743" i="1"/>
  <c r="T744" i="1"/>
  <c r="T745" i="1"/>
  <c r="T746" i="1"/>
  <c r="T747" i="1"/>
  <c r="T748" i="1"/>
  <c r="T749" i="1"/>
  <c r="T750" i="1"/>
  <c r="T751" i="1"/>
  <c r="T752" i="1"/>
  <c r="T753" i="1"/>
  <c r="T754" i="1"/>
  <c r="T755" i="1"/>
  <c r="T209" i="1"/>
  <c r="T757" i="1"/>
  <c r="T736" i="1"/>
  <c r="T509" i="1"/>
  <c r="T760" i="1"/>
  <c r="T761" i="1"/>
  <c r="T762" i="1"/>
  <c r="T763" i="1"/>
  <c r="T764" i="1"/>
  <c r="T765" i="1"/>
  <c r="T766" i="1"/>
  <c r="T767" i="1"/>
  <c r="T768" i="1"/>
  <c r="T769" i="1"/>
  <c r="T770" i="1"/>
  <c r="T771" i="1"/>
  <c r="T772" i="1"/>
  <c r="T773" i="1"/>
  <c r="T937" i="1"/>
  <c r="T775" i="1"/>
  <c r="T827" i="1"/>
  <c r="T777" i="1"/>
  <c r="T778" i="1"/>
  <c r="T779" i="1"/>
  <c r="T959" i="1"/>
  <c r="T781" i="1"/>
  <c r="T782" i="1"/>
  <c r="T783" i="1"/>
  <c r="T600" i="1"/>
  <c r="T785" i="1"/>
  <c r="T786" i="1"/>
  <c r="T787" i="1"/>
  <c r="T788" i="1"/>
  <c r="T883" i="1"/>
  <c r="T790" i="1"/>
  <c r="T595" i="1"/>
  <c r="T792" i="1"/>
  <c r="T793" i="1"/>
  <c r="T794" i="1"/>
  <c r="T795" i="1"/>
  <c r="T796" i="1"/>
  <c r="T797" i="1"/>
  <c r="T618" i="1"/>
  <c r="T799" i="1"/>
  <c r="T898" i="1"/>
  <c r="T801" i="1"/>
  <c r="T908" i="1"/>
  <c r="T803" i="1"/>
  <c r="T472" i="1"/>
  <c r="T805" i="1"/>
  <c r="T806" i="1"/>
  <c r="T807" i="1"/>
  <c r="T808" i="1"/>
  <c r="T809" i="1"/>
  <c r="T810" i="1"/>
  <c r="T811" i="1"/>
  <c r="T812" i="1"/>
  <c r="T813" i="1"/>
  <c r="T814" i="1"/>
  <c r="T815" i="1"/>
  <c r="T816" i="1"/>
  <c r="T124" i="1"/>
  <c r="T818" i="1"/>
  <c r="T819" i="1"/>
  <c r="T820" i="1"/>
  <c r="T821" i="1"/>
  <c r="T822" i="1"/>
  <c r="T823" i="1"/>
  <c r="T91" i="1"/>
  <c r="T825" i="1"/>
  <c r="T826" i="1"/>
  <c r="T474" i="1"/>
  <c r="T272" i="1"/>
  <c r="T121" i="1"/>
  <c r="T830" i="1"/>
  <c r="T831" i="1"/>
  <c r="T832" i="1"/>
  <c r="T833" i="1"/>
  <c r="T834" i="1"/>
  <c r="T385" i="1"/>
  <c r="T836" i="1"/>
  <c r="T837" i="1"/>
  <c r="T838" i="1"/>
  <c r="T839" i="1"/>
  <c r="T840" i="1"/>
  <c r="T841" i="1"/>
  <c r="T842" i="1"/>
  <c r="T657" i="1"/>
  <c r="T309" i="1"/>
  <c r="T845" i="1"/>
  <c r="T846" i="1"/>
  <c r="T847" i="1"/>
  <c r="T848" i="1"/>
  <c r="T849" i="1"/>
  <c r="T850" i="1"/>
  <c r="T851" i="1"/>
  <c r="T314" i="1"/>
  <c r="T853" i="1"/>
  <c r="T533"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492" i="1"/>
  <c r="T884" i="1"/>
  <c r="T885" i="1"/>
  <c r="T817" i="1"/>
  <c r="T887" i="1"/>
  <c r="T888" i="1"/>
  <c r="T889" i="1"/>
  <c r="T890" i="1"/>
  <c r="T891" i="1"/>
  <c r="T892" i="1"/>
  <c r="T893" i="1"/>
  <c r="T894" i="1"/>
  <c r="T895" i="1"/>
  <c r="T502" i="1"/>
  <c r="T897" i="1"/>
  <c r="T147" i="1"/>
  <c r="T899" i="1"/>
  <c r="T900" i="1"/>
  <c r="T901" i="1"/>
  <c r="T586" i="1"/>
  <c r="T400" i="1"/>
  <c r="T776" i="1"/>
  <c r="T905" i="1"/>
  <c r="T906" i="1"/>
  <c r="T907" i="1"/>
  <c r="T711" i="1"/>
  <c r="T756" i="1"/>
  <c r="T910" i="1"/>
  <c r="T911" i="1"/>
  <c r="T912" i="1"/>
  <c r="T913" i="1"/>
  <c r="T327" i="1"/>
  <c r="T915" i="1"/>
  <c r="T916" i="1"/>
  <c r="T917" i="1"/>
  <c r="T918" i="1"/>
  <c r="T529" i="1"/>
  <c r="T920" i="1"/>
  <c r="T921" i="1"/>
  <c r="T922" i="1"/>
  <c r="T923" i="1"/>
  <c r="T924" i="1"/>
  <c r="T925" i="1"/>
  <c r="T926" i="1"/>
  <c r="T927" i="1"/>
  <c r="T341" i="1"/>
  <c r="T929" i="1"/>
  <c r="T930" i="1"/>
  <c r="T497" i="1"/>
  <c r="T932" i="1"/>
  <c r="T933" i="1"/>
  <c r="T934" i="1"/>
  <c r="T935" i="1"/>
  <c r="T383" i="1"/>
  <c r="T624" i="1"/>
  <c r="T938" i="1"/>
  <c r="T939" i="1"/>
  <c r="T940" i="1"/>
  <c r="T941" i="1"/>
  <c r="T942" i="1"/>
  <c r="T943" i="1"/>
  <c r="T944" i="1"/>
  <c r="T945" i="1"/>
  <c r="T946" i="1"/>
  <c r="T947" i="1"/>
  <c r="T948" i="1"/>
  <c r="T949" i="1"/>
  <c r="T950" i="1"/>
  <c r="T951" i="1"/>
  <c r="T952" i="1"/>
  <c r="T835" i="1"/>
  <c r="T954" i="1"/>
  <c r="T545" i="1"/>
  <c r="T956" i="1"/>
  <c r="T957" i="1"/>
  <c r="T958" i="1"/>
  <c r="T505" i="1"/>
  <c r="T960" i="1"/>
  <c r="T904" i="1"/>
  <c r="T962" i="1"/>
  <c r="T673" i="1"/>
  <c r="T964" i="1"/>
  <c r="T965" i="1"/>
  <c r="T966" i="1"/>
  <c r="T967" i="1"/>
  <c r="T968" i="1"/>
  <c r="T969" i="1"/>
  <c r="T970" i="1"/>
  <c r="T971" i="1"/>
  <c r="T625" i="1"/>
  <c r="T973" i="1"/>
  <c r="T974" i="1"/>
  <c r="T975" i="1"/>
  <c r="T976" i="1"/>
  <c r="T239" i="1"/>
  <c r="T978" i="1"/>
  <c r="T979" i="1"/>
  <c r="T980" i="1"/>
  <c r="T321" i="1"/>
  <c r="T982" i="1"/>
  <c r="T983" i="1"/>
  <c r="T430" i="1"/>
  <c r="T985" i="1"/>
  <c r="T203" i="1"/>
  <c r="T784" i="1"/>
  <c r="T988" i="1"/>
  <c r="T989" i="1"/>
  <c r="T990" i="1"/>
  <c r="T991" i="1"/>
  <c r="T992" i="1"/>
  <c r="T993" i="1"/>
  <c r="T994" i="1"/>
  <c r="T995" i="1"/>
  <c r="T996" i="1"/>
  <c r="T997" i="1"/>
  <c r="T998" i="1"/>
  <c r="T999" i="1"/>
  <c r="T1000" i="1"/>
  <c r="T1001" i="1"/>
  <c r="U940" i="1" l="1"/>
  <c r="U876" i="1"/>
  <c r="U272" i="1"/>
  <c r="U772" i="1"/>
  <c r="U716" i="1"/>
  <c r="U668" i="1"/>
  <c r="U620" i="1"/>
  <c r="U580" i="1"/>
  <c r="U540" i="1"/>
  <c r="U62" i="1"/>
  <c r="U203" i="1"/>
  <c r="U962" i="1"/>
  <c r="U938" i="1"/>
  <c r="U327" i="1"/>
  <c r="U890" i="1"/>
  <c r="U866" i="1"/>
  <c r="U842" i="1"/>
  <c r="U818" i="1"/>
  <c r="U794" i="1"/>
  <c r="U770" i="1"/>
  <c r="U746" i="1"/>
  <c r="U289" i="1"/>
  <c r="U690" i="1"/>
  <c r="U658" i="1"/>
  <c r="U650" i="1"/>
  <c r="U1001" i="1"/>
  <c r="U239" i="1"/>
  <c r="U945" i="1"/>
  <c r="U929" i="1"/>
  <c r="U913" i="1"/>
  <c r="U889" i="1"/>
  <c r="U1000" i="1"/>
  <c r="U992" i="1"/>
  <c r="U430" i="1"/>
  <c r="U976" i="1"/>
  <c r="U968" i="1"/>
  <c r="U960" i="1"/>
  <c r="U952" i="1"/>
  <c r="U944" i="1"/>
  <c r="U383" i="1"/>
  <c r="U341" i="1"/>
  <c r="U920" i="1"/>
  <c r="U912" i="1"/>
  <c r="U776" i="1"/>
  <c r="U502" i="1"/>
  <c r="U888" i="1"/>
  <c r="U880" i="1"/>
  <c r="U872" i="1"/>
  <c r="U864" i="1"/>
  <c r="U856" i="1"/>
  <c r="U848" i="1"/>
  <c r="U840" i="1"/>
  <c r="U832" i="1"/>
  <c r="U91" i="1"/>
  <c r="U816" i="1"/>
  <c r="U808" i="1"/>
  <c r="U898" i="1"/>
  <c r="U792" i="1"/>
  <c r="U600" i="1"/>
  <c r="U827" i="1"/>
  <c r="U768" i="1"/>
  <c r="U760" i="1"/>
  <c r="U752" i="1"/>
  <c r="U744" i="1"/>
  <c r="U675" i="1"/>
  <c r="U728" i="1"/>
  <c r="U824" i="1"/>
  <c r="U712" i="1"/>
  <c r="U704" i="1"/>
  <c r="U696" i="1"/>
  <c r="U688" i="1"/>
  <c r="U532" i="1"/>
  <c r="U672" i="1"/>
  <c r="U664" i="1"/>
  <c r="U720" i="1"/>
  <c r="U852" i="1"/>
  <c r="U640" i="1"/>
  <c r="U632" i="1"/>
  <c r="U167" i="1"/>
  <c r="U616" i="1"/>
  <c r="U608" i="1"/>
  <c r="U392" i="1"/>
  <c r="U592" i="1"/>
  <c r="U584" i="1"/>
  <c r="U576" i="1"/>
  <c r="U568" i="1"/>
  <c r="U854" i="1"/>
  <c r="U552" i="1"/>
  <c r="U544" i="1"/>
  <c r="U621" i="1"/>
  <c r="U528" i="1"/>
  <c r="U520" i="1"/>
  <c r="U512" i="1"/>
  <c r="U504" i="1"/>
  <c r="U491" i="1"/>
  <c r="U488" i="1"/>
  <c r="U480" i="1"/>
  <c r="U633" i="1"/>
  <c r="U464" i="1"/>
  <c r="U456" i="1"/>
  <c r="U448" i="1"/>
  <c r="U168" i="1"/>
  <c r="U432" i="1"/>
  <c r="U116" i="1"/>
  <c r="U416" i="1"/>
  <c r="U956" i="1"/>
  <c r="U892" i="1"/>
  <c r="U820" i="1"/>
  <c r="U724" i="1"/>
  <c r="U69" i="1"/>
  <c r="U424" i="1"/>
  <c r="U642" i="1"/>
  <c r="U993" i="1"/>
  <c r="U904" i="1"/>
  <c r="U999" i="1"/>
  <c r="U983" i="1"/>
  <c r="U505" i="1"/>
  <c r="U943" i="1"/>
  <c r="U935" i="1"/>
  <c r="U927" i="1"/>
  <c r="U529" i="1"/>
  <c r="U911" i="1"/>
  <c r="U400" i="1"/>
  <c r="U895" i="1"/>
  <c r="U887" i="1"/>
  <c r="U879" i="1"/>
  <c r="U871" i="1"/>
  <c r="U863" i="1"/>
  <c r="U855" i="1"/>
  <c r="U847" i="1"/>
  <c r="U839" i="1"/>
  <c r="U831" i="1"/>
  <c r="U823" i="1"/>
  <c r="U815" i="1"/>
  <c r="U807" i="1"/>
  <c r="U799" i="1"/>
  <c r="U595" i="1"/>
  <c r="U783" i="1"/>
  <c r="U775" i="1"/>
  <c r="U767" i="1"/>
  <c r="U509" i="1"/>
  <c r="U751" i="1"/>
  <c r="U743" i="1"/>
  <c r="U735" i="1"/>
  <c r="U727" i="1"/>
  <c r="U719" i="1"/>
  <c r="U331" i="1"/>
  <c r="U703" i="1"/>
  <c r="U695" i="1"/>
  <c r="U564" i="1"/>
  <c r="U454" i="1"/>
  <c r="U671" i="1"/>
  <c r="U663" i="1"/>
  <c r="U655" i="1"/>
  <c r="U647" i="1"/>
  <c r="U42" i="1"/>
  <c r="U631" i="1"/>
  <c r="U220" i="1"/>
  <c r="U615" i="1"/>
  <c r="U607" i="1"/>
  <c r="U599" i="1"/>
  <c r="U591" i="1"/>
  <c r="U583" i="1"/>
  <c r="U312" i="1"/>
  <c r="U567" i="1"/>
  <c r="U680" i="1"/>
  <c r="U551" i="1"/>
  <c r="U919" i="1"/>
  <c r="U535" i="1"/>
  <c r="U527" i="1"/>
  <c r="U519" i="1"/>
  <c r="U420" i="1"/>
  <c r="U503" i="1"/>
  <c r="U52" i="1"/>
  <c r="U487" i="1"/>
  <c r="U479" i="1"/>
  <c r="U471" i="1"/>
  <c r="U463" i="1"/>
  <c r="U455" i="1"/>
  <c r="U447" i="1"/>
  <c r="U439" i="1"/>
  <c r="U431" i="1"/>
  <c r="U423" i="1"/>
  <c r="U415" i="1"/>
  <c r="U407" i="1"/>
  <c r="U399" i="1"/>
  <c r="U391" i="1"/>
  <c r="U332" i="1"/>
  <c r="U375" i="1"/>
  <c r="U367" i="1"/>
  <c r="U359" i="1"/>
  <c r="U263" i="1"/>
  <c r="U343" i="1"/>
  <c r="U335" i="1"/>
  <c r="U683" i="1"/>
  <c r="U319" i="1"/>
  <c r="U311" i="1"/>
  <c r="U303" i="1"/>
  <c r="U988" i="1"/>
  <c r="U924" i="1"/>
  <c r="U868" i="1"/>
  <c r="U812" i="1"/>
  <c r="U764" i="1"/>
  <c r="U256" i="1"/>
  <c r="U660" i="1"/>
  <c r="U628" i="1"/>
  <c r="U588" i="1"/>
  <c r="U548" i="1"/>
  <c r="U476" i="1"/>
  <c r="U994" i="1"/>
  <c r="U970" i="1"/>
  <c r="U946" i="1"/>
  <c r="U922" i="1"/>
  <c r="U147" i="1"/>
  <c r="U874" i="1"/>
  <c r="U850" i="1"/>
  <c r="U826" i="1"/>
  <c r="U908" i="1"/>
  <c r="U778" i="1"/>
  <c r="U754" i="1"/>
  <c r="U730" i="1"/>
  <c r="U706" i="1"/>
  <c r="U674" i="1"/>
  <c r="U243" i="1"/>
  <c r="U985" i="1"/>
  <c r="U835" i="1"/>
  <c r="U991" i="1"/>
  <c r="U975" i="1"/>
  <c r="U967" i="1"/>
  <c r="U951" i="1"/>
  <c r="U998" i="1"/>
  <c r="U990" i="1"/>
  <c r="U982" i="1"/>
  <c r="U974" i="1"/>
  <c r="U966" i="1"/>
  <c r="U958" i="1"/>
  <c r="U950" i="1"/>
  <c r="U942" i="1"/>
  <c r="U934" i="1"/>
  <c r="U926" i="1"/>
  <c r="U918" i="1"/>
  <c r="U910" i="1"/>
  <c r="U586" i="1"/>
  <c r="U894" i="1"/>
  <c r="U817" i="1"/>
  <c r="U878" i="1"/>
  <c r="U870" i="1"/>
  <c r="U862" i="1"/>
  <c r="U533" i="1"/>
  <c r="U846" i="1"/>
  <c r="U838" i="1"/>
  <c r="U830" i="1"/>
  <c r="U822" i="1"/>
  <c r="U814" i="1"/>
  <c r="U806" i="1"/>
  <c r="U618" i="1"/>
  <c r="U790" i="1"/>
  <c r="U782" i="1"/>
  <c r="U937" i="1"/>
  <c r="U766" i="1"/>
  <c r="U736" i="1"/>
  <c r="U750" i="1"/>
  <c r="U742" i="1"/>
  <c r="U734" i="1"/>
  <c r="U726" i="1"/>
  <c r="U718" i="1"/>
  <c r="U710" i="1"/>
  <c r="U702" i="1"/>
  <c r="U694" i="1"/>
  <c r="U686" i="1"/>
  <c r="U678" i="1"/>
  <c r="U643" i="1"/>
  <c r="U662" i="1"/>
  <c r="U654" i="1"/>
  <c r="U470" i="1"/>
  <c r="U638" i="1"/>
  <c r="U630" i="1"/>
  <c r="U622" i="1"/>
  <c r="U614" i="1"/>
  <c r="U606" i="1"/>
  <c r="U598" i="1"/>
  <c r="U590" i="1"/>
  <c r="U582" i="1"/>
  <c r="U574" i="1"/>
  <c r="U566" i="1"/>
  <c r="U558" i="1"/>
  <c r="U780" i="1"/>
  <c r="U542" i="1"/>
  <c r="U534" i="1"/>
  <c r="U526" i="1"/>
  <c r="U518" i="1"/>
  <c r="U510" i="1"/>
  <c r="U401" i="1"/>
  <c r="U490" i="1"/>
  <c r="U79" i="1"/>
  <c r="U110" i="1"/>
  <c r="U729" i="1"/>
  <c r="U462" i="1"/>
  <c r="U550" i="1"/>
  <c r="U410" i="1"/>
  <c r="U438" i="1"/>
  <c r="U903" i="1"/>
  <c r="U422" i="1"/>
  <c r="U414" i="1"/>
  <c r="U406" i="1"/>
  <c r="U398" i="1"/>
  <c r="U390" i="1"/>
  <c r="U382" i="1"/>
  <c r="U374" i="1"/>
  <c r="U366" i="1"/>
  <c r="U980" i="1"/>
  <c r="U932" i="1"/>
  <c r="U884" i="1"/>
  <c r="U309" i="1"/>
  <c r="U796" i="1"/>
  <c r="U748" i="1"/>
  <c r="U676" i="1"/>
  <c r="U928" i="1"/>
  <c r="U997" i="1"/>
  <c r="U989" i="1"/>
  <c r="U321" i="1"/>
  <c r="U973" i="1"/>
  <c r="U965" i="1"/>
  <c r="U957" i="1"/>
  <c r="U949" i="1"/>
  <c r="U941" i="1"/>
  <c r="U933" i="1"/>
  <c r="U925" i="1"/>
  <c r="U917" i="1"/>
  <c r="U756" i="1"/>
  <c r="U901" i="1"/>
  <c r="U893" i="1"/>
  <c r="U885" i="1"/>
  <c r="U877" i="1"/>
  <c r="U869" i="1"/>
  <c r="U861" i="1"/>
  <c r="U853" i="1"/>
  <c r="U845" i="1"/>
  <c r="U837" i="1"/>
  <c r="U121" i="1"/>
  <c r="U821" i="1"/>
  <c r="U813" i="1"/>
  <c r="U805" i="1"/>
  <c r="U797" i="1"/>
  <c r="U883" i="1"/>
  <c r="U781" i="1"/>
  <c r="U773" i="1"/>
  <c r="U765" i="1"/>
  <c r="U757" i="1"/>
  <c r="U749" i="1"/>
  <c r="U741" i="1"/>
  <c r="U733" i="1"/>
  <c r="U725" i="1"/>
  <c r="U717" i="1"/>
  <c r="U709" i="1"/>
  <c r="U701" i="1"/>
  <c r="U693" i="1"/>
  <c r="U446" i="1"/>
  <c r="U677" i="1"/>
  <c r="U669" i="1"/>
  <c r="U661" i="1"/>
  <c r="U555" i="1"/>
  <c r="U18" i="1"/>
  <c r="U637" i="1"/>
  <c r="U629" i="1"/>
  <c r="U6" i="1"/>
  <c r="U613" i="1"/>
  <c r="U605" i="1"/>
  <c r="U597" i="1"/>
  <c r="U589" i="1"/>
  <c r="U581" i="1"/>
  <c r="U573" i="1"/>
  <c r="U565" i="1"/>
  <c r="U557" i="1"/>
  <c r="U549" i="1"/>
  <c r="U541" i="1"/>
  <c r="U478" i="1"/>
  <c r="U525" i="1"/>
  <c r="U517" i="1"/>
  <c r="U57" i="1"/>
  <c r="U501" i="1"/>
  <c r="U493" i="1"/>
  <c r="U485" i="1"/>
  <c r="U477" i="1"/>
  <c r="U469" i="1"/>
  <c r="U461" i="1"/>
  <c r="U843" i="1"/>
  <c r="U445" i="1"/>
  <c r="U437" i="1"/>
  <c r="U429" i="1"/>
  <c r="U421" i="1"/>
  <c r="U413" i="1"/>
  <c r="U405" i="1"/>
  <c r="U397" i="1"/>
  <c r="U389" i="1"/>
  <c r="U381" i="1"/>
  <c r="U373" i="1"/>
  <c r="U365" i="1"/>
  <c r="U357" i="1"/>
  <c r="U349" i="1"/>
  <c r="U67" i="1"/>
  <c r="U333" i="1"/>
  <c r="U325" i="1"/>
  <c r="U317" i="1"/>
  <c r="U623" i="1"/>
  <c r="U301" i="1"/>
  <c r="U496" i="1"/>
  <c r="U285" i="1"/>
  <c r="U277" i="1"/>
  <c r="U269" i="1"/>
  <c r="U498" i="1"/>
  <c r="U253" i="1"/>
  <c r="U245" i="1"/>
  <c r="U237" i="1"/>
  <c r="U229" i="1"/>
  <c r="U221" i="1"/>
  <c r="U213" i="1"/>
  <c r="U205" i="1"/>
  <c r="U197" i="1"/>
  <c r="U692" i="1"/>
  <c r="U181" i="1"/>
  <c r="U173" i="1"/>
  <c r="U440" i="1"/>
  <c r="U157" i="1"/>
  <c r="U149" i="1"/>
  <c r="U141" i="1"/>
  <c r="U133" i="1"/>
  <c r="U125" i="1"/>
  <c r="U117" i="1"/>
  <c r="U109" i="1"/>
  <c r="U101" i="1"/>
  <c r="U639" i="1"/>
  <c r="U85" i="1"/>
  <c r="U77" i="1"/>
  <c r="U13" i="1"/>
  <c r="U61" i="1"/>
  <c r="U53" i="1"/>
  <c r="U625" i="1"/>
  <c r="U916" i="1"/>
  <c r="U860" i="1"/>
  <c r="U788" i="1"/>
  <c r="U740" i="1"/>
  <c r="U182" i="1"/>
  <c r="U644" i="1"/>
  <c r="U604" i="1"/>
  <c r="U570" i="1"/>
  <c r="U524" i="1"/>
  <c r="U579" i="1"/>
  <c r="U484" i="1"/>
  <c r="U452" i="1"/>
  <c r="U428" i="1"/>
  <c r="U682" i="1"/>
  <c r="U66" i="1"/>
  <c r="U236" i="1"/>
  <c r="U364" i="1"/>
  <c r="U453" i="1"/>
  <c r="U902" i="1"/>
  <c r="U316" i="1"/>
  <c r="U300" i="1"/>
  <c r="U276" i="1"/>
  <c r="U260" i="1"/>
  <c r="U244" i="1"/>
  <c r="U228" i="1"/>
  <c r="U212" i="1"/>
  <c r="U196" i="1"/>
  <c r="U180" i="1"/>
  <c r="U164" i="1"/>
  <c r="U156" i="1"/>
  <c r="U140" i="1"/>
  <c r="U789" i="1"/>
  <c r="U108" i="1"/>
  <c r="U92" i="1"/>
  <c r="U543" i="1"/>
  <c r="U76" i="1"/>
  <c r="U68" i="1"/>
  <c r="U60" i="1"/>
  <c r="U475" i="1"/>
  <c r="U44" i="1"/>
  <c r="U36" i="1"/>
  <c r="U28" i="1"/>
  <c r="U20" i="1"/>
  <c r="U12" i="1"/>
  <c r="U996" i="1"/>
  <c r="U948" i="1"/>
  <c r="U711" i="1"/>
  <c r="U314" i="1"/>
  <c r="U472" i="1"/>
  <c r="U209" i="1"/>
  <c r="U94" i="1"/>
  <c r="U652" i="1"/>
  <c r="U612" i="1"/>
  <c r="U46" i="1"/>
  <c r="U896" i="1"/>
  <c r="U508" i="1"/>
  <c r="U307" i="1"/>
  <c r="U89" i="1"/>
  <c r="U495" i="1"/>
  <c r="U288" i="1"/>
  <c r="U575" i="1"/>
  <c r="U388" i="1"/>
  <c r="U511" i="1"/>
  <c r="U247" i="1"/>
  <c r="U340" i="1"/>
  <c r="U324" i="1"/>
  <c r="U308" i="1"/>
  <c r="U292" i="1"/>
  <c r="U284" i="1"/>
  <c r="U268" i="1"/>
  <c r="U252" i="1"/>
  <c r="U828" i="1"/>
  <c r="U560" i="1"/>
  <c r="U204" i="1"/>
  <c r="U188" i="1"/>
  <c r="U516" i="1"/>
  <c r="U148" i="1"/>
  <c r="U132" i="1"/>
  <c r="U986" i="1"/>
  <c r="U100" i="1"/>
  <c r="U304" i="1"/>
  <c r="U995" i="1"/>
  <c r="U784" i="1"/>
  <c r="U979" i="1"/>
  <c r="U971" i="1"/>
  <c r="U673" i="1"/>
  <c r="U545" i="1"/>
  <c r="U947" i="1"/>
  <c r="U939" i="1"/>
  <c r="U497" i="1"/>
  <c r="U923" i="1"/>
  <c r="U915" i="1"/>
  <c r="U907" i="1"/>
  <c r="U899" i="1"/>
  <c r="U891" i="1"/>
  <c r="U492" i="1"/>
  <c r="U875" i="1"/>
  <c r="U867" i="1"/>
  <c r="U859" i="1"/>
  <c r="U851" i="1"/>
  <c r="U657" i="1"/>
  <c r="U385" i="1"/>
  <c r="U474" i="1"/>
  <c r="U819" i="1"/>
  <c r="U811" i="1"/>
  <c r="U803" i="1"/>
  <c r="U795" i="1"/>
  <c r="U787" i="1"/>
  <c r="U779" i="1"/>
  <c r="U771" i="1"/>
  <c r="U763" i="1"/>
  <c r="U755" i="1"/>
  <c r="U747" i="1"/>
  <c r="U739" i="1"/>
  <c r="U731" i="1"/>
  <c r="U723" i="1"/>
  <c r="U486" i="1"/>
  <c r="U707" i="1"/>
  <c r="U699" i="1"/>
  <c r="U691" i="1"/>
  <c r="U961" i="1"/>
  <c r="U380" i="1"/>
  <c r="U667" i="1"/>
  <c r="U659" i="1"/>
  <c r="U651" i="1"/>
  <c r="U257" i="1"/>
  <c r="U635" i="1"/>
  <c r="U627" i="1"/>
  <c r="U619" i="1"/>
  <c r="U611" i="1"/>
  <c r="U603" i="1"/>
  <c r="U274" i="1"/>
  <c r="U587" i="1"/>
  <c r="U322" i="1"/>
  <c r="U233" i="1"/>
  <c r="U563" i="1"/>
  <c r="U466" i="1"/>
  <c r="U547" i="1"/>
  <c r="U539" i="1"/>
  <c r="U531" i="1"/>
  <c r="U523" i="1"/>
  <c r="U515" i="1"/>
  <c r="U507" i="1"/>
  <c r="U499" i="1"/>
  <c r="U460" i="1"/>
  <c r="U483" i="1"/>
  <c r="U84" i="1"/>
  <c r="U467" i="1"/>
  <c r="U459" i="1"/>
  <c r="U451" i="1"/>
  <c r="U351" i="1"/>
  <c r="U610" i="1"/>
  <c r="U602" i="1"/>
  <c r="U594" i="1"/>
  <c r="U679" i="1"/>
  <c r="U578" i="1"/>
  <c r="U418" i="1"/>
  <c r="U562" i="1"/>
  <c r="U554" i="1"/>
  <c r="U546" i="1"/>
  <c r="U219" i="1"/>
  <c r="U530" i="1"/>
  <c r="U522" i="1"/>
  <c r="U514" i="1"/>
  <c r="U506" i="1"/>
  <c r="U396" i="1"/>
  <c r="U436" i="1"/>
  <c r="U482" i="1"/>
  <c r="U559" i="1"/>
  <c r="U404" i="1"/>
  <c r="U458" i="1"/>
  <c r="U450" i="1"/>
  <c r="U442" i="1"/>
  <c r="U434" i="1"/>
  <c r="U426" i="1"/>
  <c r="U293" i="1"/>
  <c r="U708" i="1"/>
  <c r="U402" i="1"/>
  <c r="U394" i="1"/>
  <c r="U393" i="1"/>
  <c r="U378" i="1"/>
  <c r="U370" i="1"/>
  <c r="U362" i="1"/>
  <c r="U354" i="1"/>
  <c r="U346" i="1"/>
  <c r="U338" i="1"/>
  <c r="U330" i="1"/>
  <c r="U798" i="1"/>
  <c r="U151" i="1"/>
  <c r="U306" i="1"/>
  <c r="U298" i="1"/>
  <c r="U290" i="1"/>
  <c r="U282" i="1"/>
  <c r="U249" i="1"/>
  <c r="U266" i="1"/>
  <c r="U258" i="1"/>
  <c r="U250" i="1"/>
  <c r="U242" i="1"/>
  <c r="U234" i="1"/>
  <c r="U226" i="1"/>
  <c r="U218" i="1"/>
  <c r="U210" i="1"/>
  <c r="U202" i="1"/>
  <c r="U194" i="1"/>
  <c r="U186" i="1"/>
  <c r="U178" i="1"/>
  <c r="U170" i="1"/>
  <c r="U162" i="1"/>
  <c r="U154" i="1"/>
  <c r="U844" i="1"/>
  <c r="U138" i="1"/>
  <c r="U130" i="1"/>
  <c r="U4" i="1"/>
  <c r="U715" i="1"/>
  <c r="U106" i="1"/>
  <c r="U687" i="1"/>
  <c r="U90" i="1"/>
  <c r="U82" i="1"/>
  <c r="U74" i="1"/>
  <c r="U685" i="1"/>
  <c r="U58" i="1"/>
  <c r="U50" i="1"/>
  <c r="U964" i="1"/>
  <c r="U900" i="1"/>
  <c r="U836" i="1"/>
  <c r="U959" i="1"/>
  <c r="U732" i="1"/>
  <c r="U684" i="1"/>
  <c r="U636" i="1"/>
  <c r="U596" i="1"/>
  <c r="U556" i="1"/>
  <c r="U444" i="1"/>
  <c r="U978" i="1"/>
  <c r="U954" i="1"/>
  <c r="U930" i="1"/>
  <c r="U906" i="1"/>
  <c r="U882" i="1"/>
  <c r="U858" i="1"/>
  <c r="U834" i="1"/>
  <c r="U810" i="1"/>
  <c r="U786" i="1"/>
  <c r="U762" i="1"/>
  <c r="U165" i="1"/>
  <c r="U714" i="1"/>
  <c r="U176" i="1"/>
  <c r="U626" i="1"/>
  <c r="U969" i="1"/>
  <c r="U624" i="1"/>
  <c r="U921" i="1"/>
  <c r="U905" i="1"/>
  <c r="U897" i="1"/>
  <c r="U881" i="1"/>
  <c r="U873" i="1"/>
  <c r="U865" i="1"/>
  <c r="U857" i="1"/>
  <c r="U849" i="1"/>
  <c r="U841" i="1"/>
  <c r="U833" i="1"/>
  <c r="U825" i="1"/>
  <c r="U124" i="1"/>
  <c r="U809" i="1"/>
  <c r="U801" i="1"/>
  <c r="U793" i="1"/>
  <c r="U785" i="1"/>
  <c r="U777" i="1"/>
  <c r="U769" i="1"/>
  <c r="U761" i="1"/>
  <c r="U753" i="1"/>
  <c r="U745" i="1"/>
  <c r="U648" i="1"/>
  <c r="U328" i="1"/>
  <c r="U721" i="1"/>
  <c r="U713" i="1"/>
  <c r="U705" i="1"/>
  <c r="U738" i="1"/>
  <c r="U689" i="1"/>
  <c r="U681" i="1"/>
  <c r="U372" i="1"/>
  <c r="U665" i="1"/>
  <c r="U19" i="1"/>
  <c r="U649" i="1"/>
  <c r="U500" i="1"/>
  <c r="U972" i="1"/>
  <c r="U189" i="1"/>
  <c r="U617" i="1"/>
  <c r="U283" i="1"/>
  <c r="U601" i="1"/>
  <c r="U593" i="1"/>
  <c r="U585" i="1"/>
  <c r="U666" i="1"/>
  <c r="U569" i="1"/>
  <c r="U561" i="1"/>
  <c r="U553" i="1"/>
  <c r="U759" i="1"/>
  <c r="U537" i="1"/>
  <c r="U386" i="1"/>
  <c r="U521" i="1"/>
  <c r="U513" i="1"/>
  <c r="U536" i="1"/>
  <c r="U348" i="1"/>
  <c r="U489" i="1"/>
  <c r="U481" i="1"/>
  <c r="U473" i="1"/>
  <c r="U465" i="1"/>
  <c r="U457" i="1"/>
  <c r="U146" i="1"/>
  <c r="U441" i="1"/>
  <c r="U572" i="1"/>
  <c r="U425" i="1"/>
  <c r="U417" i="1"/>
  <c r="U409" i="1"/>
  <c r="U88" i="1"/>
  <c r="U93" i="1"/>
  <c r="U791" i="1"/>
  <c r="U377" i="1"/>
  <c r="U369" i="1"/>
  <c r="U361" i="1"/>
  <c r="U353" i="1"/>
  <c r="U345" i="1"/>
  <c r="U337" i="1"/>
  <c r="U329" i="1"/>
  <c r="U609" i="1"/>
  <c r="U313" i="1"/>
  <c r="U443" i="1"/>
  <c r="U435" i="1"/>
  <c r="U427" i="1"/>
  <c r="U419" i="1"/>
  <c r="U411" i="1"/>
  <c r="U403" i="1"/>
  <c r="U395" i="1"/>
  <c r="U387" i="1"/>
  <c r="U379" i="1"/>
  <c r="U371" i="1"/>
  <c r="U987" i="1"/>
  <c r="U355" i="1"/>
  <c r="U697" i="1"/>
  <c r="U339" i="1"/>
  <c r="U698" i="1"/>
  <c r="U323" i="1"/>
  <c r="U315" i="1"/>
  <c r="U433" i="1"/>
  <c r="U299" i="1"/>
  <c r="U291" i="1"/>
  <c r="U261" i="1"/>
  <c r="U275" i="1"/>
  <c r="U267" i="1"/>
  <c r="U259" i="1"/>
  <c r="U251" i="1"/>
  <c r="U47" i="1"/>
  <c r="U235" i="1"/>
  <c r="U227" i="1"/>
  <c r="U98" i="1"/>
  <c r="U774" i="1"/>
  <c r="U468" i="1"/>
  <c r="U195" i="1"/>
  <c r="U187" i="1"/>
  <c r="U179" i="1"/>
  <c r="U171" i="1"/>
  <c r="U163" i="1"/>
  <c r="U155" i="1"/>
  <c r="U97" i="1"/>
  <c r="U139" i="1"/>
  <c r="U131" i="1"/>
  <c r="U123" i="1"/>
  <c r="U115" i="1"/>
  <c r="U107" i="1"/>
  <c r="U99" i="1"/>
  <c r="U449" i="1"/>
  <c r="U83" i="1"/>
  <c r="U75" i="1"/>
  <c r="U829" i="1"/>
  <c r="U59" i="1"/>
  <c r="U51" i="1"/>
  <c r="U43" i="1"/>
  <c r="U35" i="1"/>
  <c r="U27" i="1"/>
  <c r="U122" i="1"/>
  <c r="U11" i="1"/>
  <c r="U646" i="1"/>
  <c r="U722" i="1"/>
  <c r="U34" i="1"/>
  <c r="U26" i="1"/>
  <c r="U577" i="1"/>
  <c r="U10" i="1"/>
  <c r="U953" i="1"/>
  <c r="U297" i="1"/>
  <c r="U656" i="1"/>
  <c r="U281" i="1"/>
  <c r="U273" i="1"/>
  <c r="U265" i="1"/>
  <c r="U538" i="1"/>
  <c r="U231" i="1"/>
  <c r="U737" i="1"/>
  <c r="U931" i="1"/>
  <c r="U225" i="1"/>
  <c r="U217" i="1"/>
  <c r="U3" i="1"/>
  <c r="U201" i="1"/>
  <c r="U193" i="1"/>
  <c r="U185" i="1"/>
  <c r="U177" i="1"/>
  <c r="U169" i="1"/>
  <c r="U161" i="1"/>
  <c r="U153" i="1"/>
  <c r="U145" i="1"/>
  <c r="U137" i="1"/>
  <c r="U129" i="1"/>
  <c r="U653" i="1"/>
  <c r="U113" i="1"/>
  <c r="U105" i="1"/>
  <c r="U232" i="1"/>
  <c r="U700" i="1"/>
  <c r="U81" i="1"/>
  <c r="U73" i="1"/>
  <c r="U65" i="1"/>
  <c r="U412" i="1"/>
  <c r="U49" i="1"/>
  <c r="U41" i="1"/>
  <c r="U33" i="1"/>
  <c r="U25" i="1"/>
  <c r="U17" i="1"/>
  <c r="U356" i="1"/>
  <c r="U408" i="1"/>
  <c r="U886" i="1"/>
  <c r="U936" i="1"/>
  <c r="U384" i="1"/>
  <c r="U376" i="1"/>
  <c r="U368" i="1"/>
  <c r="U31" i="1"/>
  <c r="U352" i="1"/>
  <c r="U344" i="1"/>
  <c r="U336" i="1"/>
  <c r="U360" i="1"/>
  <c r="U320" i="1"/>
  <c r="U804" i="1"/>
  <c r="U670" i="1"/>
  <c r="U296" i="1"/>
  <c r="U984" i="1"/>
  <c r="U280" i="1"/>
  <c r="U16" i="1"/>
  <c r="U264" i="1"/>
  <c r="U914" i="1"/>
  <c r="U248" i="1"/>
  <c r="U240" i="1"/>
  <c r="U802" i="1"/>
  <c r="U224" i="1"/>
  <c r="U216" i="1"/>
  <c r="U208" i="1"/>
  <c r="U200" i="1"/>
  <c r="U192" i="1"/>
  <c r="U184" i="1"/>
  <c r="U305" i="1"/>
  <c r="U310" i="1"/>
  <c r="U160" i="1"/>
  <c r="U152" i="1"/>
  <c r="U144" i="1"/>
  <c r="U136" i="1"/>
  <c r="U128" i="1"/>
  <c r="U120" i="1"/>
  <c r="U112" i="1"/>
  <c r="U104" i="1"/>
  <c r="U96" i="1"/>
  <c r="U800" i="1"/>
  <c r="U37" i="1"/>
  <c r="U645" i="1"/>
  <c r="U64" i="1"/>
  <c r="U56" i="1"/>
  <c r="U48" i="1"/>
  <c r="U40" i="1"/>
  <c r="U32" i="1"/>
  <c r="U24" i="1"/>
  <c r="U72" i="1"/>
  <c r="U8" i="1"/>
  <c r="U7" i="1"/>
  <c r="U358" i="1"/>
  <c r="U350" i="1"/>
  <c r="U342" i="1"/>
  <c r="U334" i="1"/>
  <c r="U326" i="1"/>
  <c r="U318" i="1"/>
  <c r="U71" i="1"/>
  <c r="U302" i="1"/>
  <c r="U294" i="1"/>
  <c r="U286" i="1"/>
  <c r="U278" i="1"/>
  <c r="U270" i="1"/>
  <c r="U262" i="1"/>
  <c r="U254" i="1"/>
  <c r="U246" i="1"/>
  <c r="U238" i="1"/>
  <c r="U230" i="1"/>
  <c r="U222" i="1"/>
  <c r="U214" i="1"/>
  <c r="U206" i="1"/>
  <c r="U198" i="1"/>
  <c r="U190" i="1"/>
  <c r="U114" i="1"/>
  <c r="U174" i="1"/>
  <c r="U166" i="1"/>
  <c r="U158" i="1"/>
  <c r="U150" i="1"/>
  <c r="U142" i="1"/>
  <c r="U134" i="1"/>
  <c r="U126" i="1"/>
  <c r="U118" i="1"/>
  <c r="U172" i="1"/>
  <c r="U102" i="1"/>
  <c r="U955" i="1"/>
  <c r="U86" i="1"/>
  <c r="U78" i="1"/>
  <c r="U70" i="1"/>
  <c r="U981" i="1"/>
  <c r="U54" i="1"/>
  <c r="U347" i="1"/>
  <c r="U38" i="1"/>
  <c r="U30" i="1"/>
  <c r="U22" i="1"/>
  <c r="U14" i="1"/>
  <c r="U211" i="1"/>
  <c r="U45" i="1"/>
  <c r="U241" i="1"/>
  <c r="U29" i="1"/>
  <c r="U21" i="1"/>
  <c r="U963" i="1"/>
  <c r="U5" i="1"/>
  <c r="U2" i="1"/>
  <c r="W784" i="1"/>
  <c r="W545" i="1"/>
  <c r="W923" i="1"/>
  <c r="W891" i="1"/>
  <c r="W859" i="1"/>
  <c r="W474" i="1"/>
  <c r="W770" i="1"/>
  <c r="W706" i="1"/>
  <c r="W535" i="1"/>
  <c r="W980" i="1"/>
  <c r="W948" i="1"/>
  <c r="W916" i="1"/>
  <c r="W884" i="1"/>
  <c r="W314" i="1"/>
  <c r="W818" i="1"/>
  <c r="W209" i="1"/>
  <c r="W182" i="1"/>
  <c r="W499" i="1"/>
  <c r="W979" i="1"/>
  <c r="W947" i="1"/>
  <c r="W915" i="1"/>
  <c r="W492" i="1"/>
  <c r="W851" i="1"/>
  <c r="W816" i="1"/>
  <c r="W754" i="1"/>
  <c r="W690" i="1"/>
  <c r="W462" i="1"/>
  <c r="W625" i="1"/>
  <c r="W940" i="1"/>
  <c r="W711" i="1"/>
  <c r="W876" i="1"/>
  <c r="W309" i="1"/>
  <c r="W472" i="1"/>
  <c r="W740" i="1"/>
  <c r="W643" i="1"/>
  <c r="W426" i="1"/>
  <c r="W971" i="1"/>
  <c r="W939" i="1"/>
  <c r="W907" i="1"/>
  <c r="W875" i="1"/>
  <c r="W657" i="1"/>
  <c r="W908" i="1"/>
  <c r="W165" i="1"/>
  <c r="W424" i="1"/>
  <c r="W358" i="1"/>
  <c r="W996" i="1"/>
  <c r="W964" i="1"/>
  <c r="W932" i="1"/>
  <c r="W900" i="1"/>
  <c r="W868" i="1"/>
  <c r="W836" i="1"/>
  <c r="W788" i="1"/>
  <c r="W724" i="1"/>
  <c r="W257" i="1"/>
  <c r="W249" i="1"/>
  <c r="W995" i="1"/>
  <c r="W673" i="1"/>
  <c r="W497" i="1"/>
  <c r="W899" i="1"/>
  <c r="W867" i="1"/>
  <c r="W385" i="1"/>
  <c r="W786" i="1"/>
  <c r="W289" i="1"/>
  <c r="W608" i="1"/>
  <c r="W188" i="1"/>
  <c r="W988" i="1"/>
  <c r="W956" i="1"/>
  <c r="W924" i="1"/>
  <c r="W892" i="1"/>
  <c r="W860" i="1"/>
  <c r="W272" i="1"/>
  <c r="W772" i="1"/>
  <c r="W256" i="1"/>
  <c r="W46" i="1"/>
  <c r="W7" i="1"/>
  <c r="W15" i="1"/>
  <c r="W23" i="1"/>
  <c r="W80" i="1"/>
  <c r="W39" i="1"/>
  <c r="W494" i="1"/>
  <c r="W55" i="1"/>
  <c r="W63" i="1"/>
  <c r="W9" i="1"/>
  <c r="W641" i="1"/>
  <c r="W87" i="1"/>
  <c r="W95" i="1"/>
  <c r="W103" i="1"/>
  <c r="W8" i="1"/>
  <c r="W72" i="1"/>
  <c r="W24" i="1"/>
  <c r="W32" i="1"/>
  <c r="W40" i="1"/>
  <c r="W48" i="1"/>
  <c r="W56" i="1"/>
  <c r="W64" i="1"/>
  <c r="W645" i="1"/>
  <c r="W37" i="1"/>
  <c r="W800" i="1"/>
  <c r="W96" i="1"/>
  <c r="W104" i="1"/>
  <c r="W112" i="1"/>
  <c r="W120" i="1"/>
  <c r="W128" i="1"/>
  <c r="W136" i="1"/>
  <c r="W144" i="1"/>
  <c r="W152" i="1"/>
  <c r="W160" i="1"/>
  <c r="W310" i="1"/>
  <c r="W305" i="1"/>
  <c r="W184" i="1"/>
  <c r="W192" i="1"/>
  <c r="W200" i="1"/>
  <c r="W208" i="1"/>
  <c r="W216" i="1"/>
  <c r="W224" i="1"/>
  <c r="W802" i="1"/>
  <c r="W240" i="1"/>
  <c r="W248" i="1"/>
  <c r="W914" i="1"/>
  <c r="W264" i="1"/>
  <c r="W16" i="1"/>
  <c r="W280" i="1"/>
  <c r="W984" i="1"/>
  <c r="W296" i="1"/>
  <c r="W670" i="1"/>
  <c r="W804" i="1"/>
  <c r="W320" i="1"/>
  <c r="W360" i="1"/>
  <c r="W336" i="1"/>
  <c r="W344" i="1"/>
  <c r="W352" i="1"/>
  <c r="W31" i="1"/>
  <c r="W356" i="1"/>
  <c r="W17" i="1"/>
  <c r="W25" i="1"/>
  <c r="W33" i="1"/>
  <c r="W41" i="1"/>
  <c r="W49" i="1"/>
  <c r="W412" i="1"/>
  <c r="W65" i="1"/>
  <c r="W73" i="1"/>
  <c r="W81" i="1"/>
  <c r="W700" i="1"/>
  <c r="W232" i="1"/>
  <c r="W105" i="1"/>
  <c r="W113" i="1"/>
  <c r="W653" i="1"/>
  <c r="W129" i="1"/>
  <c r="W137" i="1"/>
  <c r="W145" i="1"/>
  <c r="W153" i="1"/>
  <c r="W161" i="1"/>
  <c r="W169" i="1"/>
  <c r="W177" i="1"/>
  <c r="W185" i="1"/>
  <c r="W193" i="1"/>
  <c r="W201" i="1"/>
  <c r="W3" i="1"/>
  <c r="W217" i="1"/>
  <c r="W225" i="1"/>
  <c r="W931" i="1"/>
  <c r="W737" i="1"/>
  <c r="W231" i="1"/>
  <c r="W538" i="1"/>
  <c r="W265" i="1"/>
  <c r="W273" i="1"/>
  <c r="W281" i="1"/>
  <c r="W656" i="1"/>
  <c r="W297" i="1"/>
  <c r="W953" i="1"/>
  <c r="W313" i="1"/>
  <c r="W609" i="1"/>
  <c r="W329" i="1"/>
  <c r="W337" i="1"/>
  <c r="W345" i="1"/>
  <c r="W353" i="1"/>
  <c r="W361" i="1"/>
  <c r="W369" i="1"/>
  <c r="W377" i="1"/>
  <c r="W791" i="1"/>
  <c r="W93" i="1"/>
  <c r="W88" i="1"/>
  <c r="W409" i="1"/>
  <c r="W417" i="1"/>
  <c r="W425" i="1"/>
  <c r="W572" i="1"/>
  <c r="W441" i="1"/>
  <c r="W146" i="1"/>
  <c r="W457" i="1"/>
  <c r="W465" i="1"/>
  <c r="W473" i="1"/>
  <c r="W481" i="1"/>
  <c r="W489" i="1"/>
  <c r="W348" i="1"/>
  <c r="W536" i="1"/>
  <c r="W513" i="1"/>
  <c r="W521" i="1"/>
  <c r="W386" i="1"/>
  <c r="W537" i="1"/>
  <c r="W759" i="1"/>
  <c r="W553" i="1"/>
  <c r="W561" i="1"/>
  <c r="W569" i="1"/>
  <c r="W666" i="1"/>
  <c r="W585" i="1"/>
  <c r="W593" i="1"/>
  <c r="W601" i="1"/>
  <c r="W283" i="1"/>
  <c r="W617" i="1"/>
  <c r="W189" i="1"/>
  <c r="W972" i="1"/>
  <c r="W500" i="1"/>
  <c r="W649" i="1"/>
  <c r="W19" i="1"/>
  <c r="W665" i="1"/>
  <c r="W372" i="1"/>
  <c r="W681" i="1"/>
  <c r="W2" i="1"/>
  <c r="W963" i="1"/>
  <c r="W27" i="1"/>
  <c r="W38" i="1"/>
  <c r="W475" i="1"/>
  <c r="W685" i="1"/>
  <c r="W77" i="1"/>
  <c r="W449" i="1"/>
  <c r="W102" i="1"/>
  <c r="W115" i="1"/>
  <c r="W125" i="1"/>
  <c r="W135" i="1"/>
  <c r="W97" i="1"/>
  <c r="W157" i="1"/>
  <c r="W571" i="1"/>
  <c r="W179" i="1"/>
  <c r="W692" i="1"/>
  <c r="W199" i="1"/>
  <c r="W774" i="1"/>
  <c r="W221" i="1"/>
  <c r="W977" i="1"/>
  <c r="W47" i="1"/>
  <c r="W253" i="1"/>
  <c r="W363" i="1"/>
  <c r="W275" i="1"/>
  <c r="W285" i="1"/>
  <c r="W295" i="1"/>
  <c r="W433" i="1"/>
  <c r="W317" i="1"/>
  <c r="W683" i="1"/>
  <c r="W339" i="1"/>
  <c r="W349" i="1"/>
  <c r="W359" i="1"/>
  <c r="W370" i="1"/>
  <c r="W379" i="1"/>
  <c r="W388" i="1"/>
  <c r="W397" i="1"/>
  <c r="W406" i="1"/>
  <c r="W415" i="1"/>
  <c r="W116" i="1"/>
  <c r="W434" i="1"/>
  <c r="W443" i="1"/>
  <c r="W452" i="1"/>
  <c r="W461" i="1"/>
  <c r="W729" i="1"/>
  <c r="W479" i="1"/>
  <c r="W488" i="1"/>
  <c r="W396" i="1"/>
  <c r="W507" i="1"/>
  <c r="W928" i="1"/>
  <c r="W525" i="1"/>
  <c r="W534" i="1"/>
  <c r="W919" i="1"/>
  <c r="W552" i="1"/>
  <c r="W562" i="1"/>
  <c r="W233" i="1"/>
  <c r="W580" i="1"/>
  <c r="W589" i="1"/>
  <c r="W598" i="1"/>
  <c r="W607" i="1"/>
  <c r="W616" i="1"/>
  <c r="W626" i="1"/>
  <c r="W635" i="1"/>
  <c r="W644" i="1"/>
  <c r="W555" i="1"/>
  <c r="W662" i="1"/>
  <c r="W671" i="1"/>
  <c r="W532" i="1"/>
  <c r="W689" i="1"/>
  <c r="W738" i="1"/>
  <c r="W705" i="1"/>
  <c r="W713" i="1"/>
  <c r="W721" i="1"/>
  <c r="W328" i="1"/>
  <c r="W648" i="1"/>
  <c r="W745" i="1"/>
  <c r="W753" i="1"/>
  <c r="W761" i="1"/>
  <c r="W769" i="1"/>
  <c r="W777" i="1"/>
  <c r="W785" i="1"/>
  <c r="W793" i="1"/>
  <c r="W801" i="1"/>
  <c r="W809" i="1"/>
  <c r="W124" i="1"/>
  <c r="W646" i="1"/>
  <c r="W14" i="1"/>
  <c r="W28" i="1"/>
  <c r="W722" i="1"/>
  <c r="W53" i="1"/>
  <c r="W829" i="1"/>
  <c r="W78" i="1"/>
  <c r="W92" i="1"/>
  <c r="W106" i="1"/>
  <c r="W986" i="1"/>
  <c r="W126" i="1"/>
  <c r="W138" i="1"/>
  <c r="W148" i="1"/>
  <c r="W158" i="1"/>
  <c r="W170" i="1"/>
  <c r="W180" i="1"/>
  <c r="W190" i="1"/>
  <c r="W202" i="1"/>
  <c r="W212" i="1"/>
  <c r="W222" i="1"/>
  <c r="W234" i="1"/>
  <c r="W244" i="1"/>
  <c r="W254" i="1"/>
  <c r="W266" i="1"/>
  <c r="W276" i="1"/>
  <c r="W286" i="1"/>
  <c r="W298" i="1"/>
  <c r="W308" i="1"/>
  <c r="W318" i="1"/>
  <c r="W330" i="1"/>
  <c r="W340" i="1"/>
  <c r="W350" i="1"/>
  <c r="W362" i="1"/>
  <c r="W371" i="1"/>
  <c r="W236" i="1"/>
  <c r="W389" i="1"/>
  <c r="W398" i="1"/>
  <c r="W407" i="1"/>
  <c r="W416" i="1"/>
  <c r="W304" i="1"/>
  <c r="W577" i="1"/>
  <c r="W29" i="1"/>
  <c r="W43" i="1"/>
  <c r="W54" i="1"/>
  <c r="W68" i="1"/>
  <c r="W82" i="1"/>
  <c r="W639" i="1"/>
  <c r="W107" i="1"/>
  <c r="W117" i="1"/>
  <c r="W634" i="1"/>
  <c r="W139" i="1"/>
  <c r="W149" i="1"/>
  <c r="W159" i="1"/>
  <c r="W171" i="1"/>
  <c r="W181" i="1"/>
  <c r="W191" i="1"/>
  <c r="W468" i="1"/>
  <c r="W213" i="1"/>
  <c r="W223" i="1"/>
  <c r="W235" i="1"/>
  <c r="W245" i="1"/>
  <c r="W255" i="1"/>
  <c r="W267" i="1"/>
  <c r="W277" i="1"/>
  <c r="W287" i="1"/>
  <c r="W299" i="1"/>
  <c r="W623" i="1"/>
  <c r="W319" i="1"/>
  <c r="W698" i="1"/>
  <c r="W67" i="1"/>
  <c r="W263" i="1"/>
  <c r="W987" i="1"/>
  <c r="W511" i="1"/>
  <c r="W381" i="1"/>
  <c r="W390" i="1"/>
  <c r="W399" i="1"/>
  <c r="W408" i="1"/>
  <c r="W293" i="1"/>
  <c r="W427" i="1"/>
  <c r="W495" i="1"/>
  <c r="W445" i="1"/>
  <c r="W550" i="1"/>
  <c r="W463" i="1"/>
  <c r="W633" i="1"/>
  <c r="W482" i="1"/>
  <c r="W460" i="1"/>
  <c r="W579" i="1"/>
  <c r="W57" i="1"/>
  <c r="W518" i="1"/>
  <c r="W527" i="1"/>
  <c r="W621" i="1"/>
  <c r="W546" i="1"/>
  <c r="W466" i="1"/>
  <c r="W570" i="1"/>
  <c r="W573" i="1"/>
  <c r="W582" i="1"/>
  <c r="W591" i="1"/>
  <c r="W392" i="1"/>
  <c r="W610" i="1"/>
  <c r="W619" i="1"/>
  <c r="W628" i="1"/>
  <c r="W637" i="1"/>
  <c r="W470" i="1"/>
  <c r="W655" i="1"/>
  <c r="W664" i="1"/>
  <c r="W674" i="1"/>
  <c r="W961" i="1"/>
  <c r="W691" i="1"/>
  <c r="W699" i="1"/>
  <c r="W707" i="1"/>
  <c r="W486" i="1"/>
  <c r="W723" i="1"/>
  <c r="W731" i="1"/>
  <c r="W739" i="1"/>
  <c r="W747" i="1"/>
  <c r="W755" i="1"/>
  <c r="W763" i="1"/>
  <c r="W771" i="1"/>
  <c r="W779" i="1"/>
  <c r="W787" i="1"/>
  <c r="W795" i="1"/>
  <c r="W803" i="1"/>
  <c r="W811" i="1"/>
  <c r="W819" i="1"/>
  <c r="W5" i="1"/>
  <c r="W122" i="1"/>
  <c r="W30" i="1"/>
  <c r="W44" i="1"/>
  <c r="W58" i="1"/>
  <c r="W13" i="1"/>
  <c r="W83" i="1"/>
  <c r="W955" i="1"/>
  <c r="W108" i="1"/>
  <c r="W118" i="1"/>
  <c r="W130" i="1"/>
  <c r="W140" i="1"/>
  <c r="W150" i="1"/>
  <c r="W162" i="1"/>
  <c r="W516" i="1"/>
  <c r="W114" i="1"/>
  <c r="W194" i="1"/>
  <c r="W204" i="1"/>
  <c r="W214" i="1"/>
  <c r="W226" i="1"/>
  <c r="W828" i="1"/>
  <c r="W246" i="1"/>
  <c r="W258" i="1"/>
  <c r="W268" i="1"/>
  <c r="W278" i="1"/>
  <c r="W290" i="1"/>
  <c r="W300" i="1"/>
  <c r="W71" i="1"/>
  <c r="W798" i="1"/>
  <c r="W902" i="1"/>
  <c r="W342" i="1"/>
  <c r="W354" i="1"/>
  <c r="W364" i="1"/>
  <c r="W373" i="1"/>
  <c r="W382" i="1"/>
  <c r="W391" i="1"/>
  <c r="W886" i="1"/>
  <c r="W708" i="1"/>
  <c r="W419" i="1"/>
  <c r="W428" i="1"/>
  <c r="W437" i="1"/>
  <c r="W410" i="1"/>
  <c r="W455" i="1"/>
  <c r="W464" i="1"/>
  <c r="W559" i="1"/>
  <c r="W483" i="1"/>
  <c r="W307" i="1"/>
  <c r="W501" i="1"/>
  <c r="W510" i="1"/>
  <c r="W519" i="1"/>
  <c r="W528" i="1"/>
  <c r="W219" i="1"/>
  <c r="W547" i="1"/>
  <c r="W556" i="1"/>
  <c r="W565" i="1"/>
  <c r="W574" i="1"/>
  <c r="W583" i="1"/>
  <c r="W592" i="1"/>
  <c r="W602" i="1"/>
  <c r="W611" i="1"/>
  <c r="W620" i="1"/>
  <c r="W629" i="1"/>
  <c r="W211" i="1"/>
  <c r="W20" i="1"/>
  <c r="W34" i="1"/>
  <c r="W45" i="1"/>
  <c r="W59" i="1"/>
  <c r="W70" i="1"/>
  <c r="W543" i="1"/>
  <c r="W687" i="1"/>
  <c r="W109" i="1"/>
  <c r="W119" i="1"/>
  <c r="W131" i="1"/>
  <c r="W141" i="1"/>
  <c r="W758" i="1"/>
  <c r="W163" i="1"/>
  <c r="W173" i="1"/>
  <c r="W183" i="1"/>
  <c r="W195" i="1"/>
  <c r="W205" i="1"/>
  <c r="W215" i="1"/>
  <c r="W227" i="1"/>
  <c r="W237" i="1"/>
  <c r="W127" i="1"/>
  <c r="W259" i="1"/>
  <c r="W269" i="1"/>
  <c r="W279" i="1"/>
  <c r="W291" i="1"/>
  <c r="W301" i="1"/>
  <c r="W311" i="1"/>
  <c r="W323" i="1"/>
  <c r="W333" i="1"/>
  <c r="W343" i="1"/>
  <c r="W355" i="1"/>
  <c r="W365" i="1"/>
  <c r="W374" i="1"/>
  <c r="W332" i="1"/>
  <c r="W936" i="1"/>
  <c r="W402" i="1"/>
  <c r="W411" i="1"/>
  <c r="W288" i="1"/>
  <c r="W429" i="1"/>
  <c r="W438" i="1"/>
  <c r="W447" i="1"/>
  <c r="W456" i="1"/>
  <c r="W404" i="1"/>
  <c r="W84" i="1"/>
  <c r="W484" i="1"/>
  <c r="W493" i="1"/>
  <c r="W401" i="1"/>
  <c r="W420" i="1"/>
  <c r="W520" i="1"/>
  <c r="W530" i="1"/>
  <c r="W539" i="1"/>
  <c r="W548" i="1"/>
  <c r="W557" i="1"/>
  <c r="W566" i="1"/>
  <c r="W312" i="1"/>
  <c r="W584" i="1"/>
  <c r="W594" i="1"/>
  <c r="W603" i="1"/>
  <c r="W612" i="1"/>
  <c r="W6" i="1"/>
  <c r="W630" i="1"/>
  <c r="W42" i="1"/>
  <c r="W852" i="1"/>
  <c r="W658" i="1"/>
  <c r="W667" i="1"/>
  <c r="W676" i="1"/>
  <c r="W446" i="1"/>
  <c r="W10" i="1"/>
  <c r="W21" i="1"/>
  <c r="W35" i="1"/>
  <c r="W347" i="1"/>
  <c r="W60" i="1"/>
  <c r="W74" i="1"/>
  <c r="W85" i="1"/>
  <c r="W99" i="1"/>
  <c r="W172" i="1"/>
  <c r="W4" i="1"/>
  <c r="W132" i="1"/>
  <c r="W142" i="1"/>
  <c r="W154" i="1"/>
  <c r="W164" i="1"/>
  <c r="W174" i="1"/>
  <c r="W186" i="1"/>
  <c r="W196" i="1"/>
  <c r="W206" i="1"/>
  <c r="W218" i="1"/>
  <c r="W228" i="1"/>
  <c r="W238" i="1"/>
  <c r="W250" i="1"/>
  <c r="W260" i="1"/>
  <c r="W270" i="1"/>
  <c r="W282" i="1"/>
  <c r="W292" i="1"/>
  <c r="W302" i="1"/>
  <c r="W151" i="1"/>
  <c r="W324" i="1"/>
  <c r="W334" i="1"/>
  <c r="W346" i="1"/>
  <c r="W247" i="1"/>
  <c r="W366" i="1"/>
  <c r="W375" i="1"/>
  <c r="W384" i="1"/>
  <c r="W394" i="1"/>
  <c r="W403" i="1"/>
  <c r="W682" i="1"/>
  <c r="W421" i="1"/>
  <c r="W903" i="1"/>
  <c r="W439" i="1"/>
  <c r="W448" i="1"/>
  <c r="W458" i="1"/>
  <c r="W467" i="1"/>
  <c r="W476" i="1"/>
  <c r="W485" i="1"/>
  <c r="W490" i="1"/>
  <c r="W503" i="1"/>
  <c r="W512" i="1"/>
  <c r="W522" i="1"/>
  <c r="W531" i="1"/>
  <c r="W540" i="1"/>
  <c r="W549" i="1"/>
  <c r="W558" i="1"/>
  <c r="W567" i="1"/>
  <c r="W576" i="1"/>
  <c r="W679" i="1"/>
  <c r="W274" i="1"/>
  <c r="W604" i="1"/>
  <c r="W613" i="1"/>
  <c r="W622" i="1"/>
  <c r="W631" i="1"/>
  <c r="W640" i="1"/>
  <c r="W650" i="1"/>
  <c r="W659" i="1"/>
  <c r="W668" i="1"/>
  <c r="W677" i="1"/>
  <c r="W686" i="1"/>
  <c r="W694" i="1"/>
  <c r="W702" i="1"/>
  <c r="W710" i="1"/>
  <c r="W718" i="1"/>
  <c r="W726" i="1"/>
  <c r="W734" i="1"/>
  <c r="W742" i="1"/>
  <c r="W750" i="1"/>
  <c r="W736" i="1"/>
  <c r="W766" i="1"/>
  <c r="W937" i="1"/>
  <c r="W782" i="1"/>
  <c r="W790" i="1"/>
  <c r="W618" i="1"/>
  <c r="W806" i="1"/>
  <c r="W11" i="1"/>
  <c r="W22" i="1"/>
  <c r="W36" i="1"/>
  <c r="W50" i="1"/>
  <c r="W61" i="1"/>
  <c r="W75" i="1"/>
  <c r="W86" i="1"/>
  <c r="W100" i="1"/>
  <c r="W111" i="1"/>
  <c r="W123" i="1"/>
  <c r="W133" i="1"/>
  <c r="W143" i="1"/>
  <c r="W155" i="1"/>
  <c r="W440" i="1"/>
  <c r="W175" i="1"/>
  <c r="W187" i="1"/>
  <c r="W197" i="1"/>
  <c r="W207" i="1"/>
  <c r="W98" i="1"/>
  <c r="W229" i="1"/>
  <c r="W909" i="1"/>
  <c r="W251" i="1"/>
  <c r="W498" i="1"/>
  <c r="W271" i="1"/>
  <c r="W261" i="1"/>
  <c r="W496" i="1"/>
  <c r="W303" i="1"/>
  <c r="W315" i="1"/>
  <c r="W325" i="1"/>
  <c r="W335" i="1"/>
  <c r="W697" i="1"/>
  <c r="W357" i="1"/>
  <c r="W367" i="1"/>
  <c r="W376" i="1"/>
  <c r="W393" i="1"/>
  <c r="W395" i="1"/>
  <c r="W575" i="1"/>
  <c r="W413" i="1"/>
  <c r="W422" i="1"/>
  <c r="W431" i="1"/>
  <c r="W168" i="1"/>
  <c r="W450" i="1"/>
  <c r="W459" i="1"/>
  <c r="W62" i="1"/>
  <c r="W477" i="1"/>
  <c r="W79" i="1"/>
  <c r="W52" i="1"/>
  <c r="W504" i="1"/>
  <c r="W514" i="1"/>
  <c r="W523" i="1"/>
  <c r="W896" i="1"/>
  <c r="W541" i="1"/>
  <c r="W780" i="1"/>
  <c r="W680" i="1"/>
  <c r="W568" i="1"/>
  <c r="W578" i="1"/>
  <c r="W587" i="1"/>
  <c r="W596" i="1"/>
  <c r="W605" i="1"/>
  <c r="W614" i="1"/>
  <c r="W220" i="1"/>
  <c r="W632" i="1"/>
  <c r="W642" i="1"/>
  <c r="W651" i="1"/>
  <c r="W660" i="1"/>
  <c r="W669" i="1"/>
  <c r="W678" i="1"/>
  <c r="W564" i="1"/>
  <c r="W695" i="1"/>
  <c r="W703" i="1"/>
  <c r="W331" i="1"/>
  <c r="W719" i="1"/>
  <c r="W727" i="1"/>
  <c r="W735" i="1"/>
  <c r="W743" i="1"/>
  <c r="W751" i="1"/>
  <c r="W509" i="1"/>
  <c r="W767" i="1"/>
  <c r="W775" i="1"/>
  <c r="W783" i="1"/>
  <c r="W595" i="1"/>
  <c r="W799" i="1"/>
  <c r="W807" i="1"/>
  <c r="W815" i="1"/>
  <c r="W823" i="1"/>
  <c r="W994" i="1"/>
  <c r="W203" i="1"/>
  <c r="W978" i="1"/>
  <c r="W970" i="1"/>
  <c r="W962" i="1"/>
  <c r="W954" i="1"/>
  <c r="W946" i="1"/>
  <c r="W938" i="1"/>
  <c r="W930" i="1"/>
  <c r="W922" i="1"/>
  <c r="W327" i="1"/>
  <c r="W906" i="1"/>
  <c r="W147" i="1"/>
  <c r="W890" i="1"/>
  <c r="W882" i="1"/>
  <c r="W874" i="1"/>
  <c r="W866" i="1"/>
  <c r="W858" i="1"/>
  <c r="W850" i="1"/>
  <c r="W842" i="1"/>
  <c r="W834" i="1"/>
  <c r="W826" i="1"/>
  <c r="W814" i="1"/>
  <c r="W898" i="1"/>
  <c r="W600" i="1"/>
  <c r="W768" i="1"/>
  <c r="W752" i="1"/>
  <c r="W675" i="1"/>
  <c r="W824" i="1"/>
  <c r="W704" i="1"/>
  <c r="W688" i="1"/>
  <c r="W663" i="1"/>
  <c r="W638" i="1"/>
  <c r="W606" i="1"/>
  <c r="W418" i="1"/>
  <c r="W478" i="1"/>
  <c r="W491" i="1"/>
  <c r="W89" i="1"/>
  <c r="W423" i="1"/>
  <c r="W453" i="1"/>
  <c r="W262" i="1"/>
  <c r="W178" i="1"/>
  <c r="W90" i="1"/>
  <c r="W1001" i="1"/>
  <c r="W993" i="1"/>
  <c r="W985" i="1"/>
  <c r="W239" i="1"/>
  <c r="W969" i="1"/>
  <c r="W904" i="1"/>
  <c r="W835" i="1"/>
  <c r="W945" i="1"/>
  <c r="W624" i="1"/>
  <c r="W929" i="1"/>
  <c r="W921" i="1"/>
  <c r="W913" i="1"/>
  <c r="W905" i="1"/>
  <c r="W897" i="1"/>
  <c r="W889" i="1"/>
  <c r="W881" i="1"/>
  <c r="W873" i="1"/>
  <c r="W865" i="1"/>
  <c r="W857" i="1"/>
  <c r="W849" i="1"/>
  <c r="W841" i="1"/>
  <c r="W833" i="1"/>
  <c r="W825" i="1"/>
  <c r="W813" i="1"/>
  <c r="W797" i="1"/>
  <c r="W781" i="1"/>
  <c r="W765" i="1"/>
  <c r="W749" i="1"/>
  <c r="W733" i="1"/>
  <c r="W717" i="1"/>
  <c r="W701" i="1"/>
  <c r="W684" i="1"/>
  <c r="W661" i="1"/>
  <c r="W636" i="1"/>
  <c r="W599" i="1"/>
  <c r="W563" i="1"/>
  <c r="W526" i="1"/>
  <c r="W436" i="1"/>
  <c r="W843" i="1"/>
  <c r="W414" i="1"/>
  <c r="W338" i="1"/>
  <c r="W252" i="1"/>
  <c r="W166" i="1"/>
  <c r="W76" i="1"/>
  <c r="W1000" i="1"/>
  <c r="W992" i="1"/>
  <c r="W430" i="1"/>
  <c r="W976" i="1"/>
  <c r="W968" i="1"/>
  <c r="W960" i="1"/>
  <c r="W952" i="1"/>
  <c r="W944" i="1"/>
  <c r="W383" i="1"/>
  <c r="W341" i="1"/>
  <c r="W920" i="1"/>
  <c r="W912" i="1"/>
  <c r="W776" i="1"/>
  <c r="W502" i="1"/>
  <c r="W888" i="1"/>
  <c r="W880" i="1"/>
  <c r="W872" i="1"/>
  <c r="W864" i="1"/>
  <c r="W856" i="1"/>
  <c r="W848" i="1"/>
  <c r="W840" i="1"/>
  <c r="W832" i="1"/>
  <c r="W91" i="1"/>
  <c r="W812" i="1"/>
  <c r="W796" i="1"/>
  <c r="W959" i="1"/>
  <c r="W764" i="1"/>
  <c r="W748" i="1"/>
  <c r="W732" i="1"/>
  <c r="W716" i="1"/>
  <c r="W94" i="1"/>
  <c r="W176" i="1"/>
  <c r="W720" i="1"/>
  <c r="W243" i="1"/>
  <c r="W597" i="1"/>
  <c r="W854" i="1"/>
  <c r="W524" i="1"/>
  <c r="W487" i="1"/>
  <c r="W451" i="1"/>
  <c r="W405" i="1"/>
  <c r="W326" i="1"/>
  <c r="W242" i="1"/>
  <c r="W156" i="1"/>
  <c r="W981" i="1"/>
  <c r="W999" i="1"/>
  <c r="W991" i="1"/>
  <c r="W983" i="1"/>
  <c r="W975" i="1"/>
  <c r="W967" i="1"/>
  <c r="W505" i="1"/>
  <c r="W951" i="1"/>
  <c r="W943" i="1"/>
  <c r="W935" i="1"/>
  <c r="W927" i="1"/>
  <c r="W529" i="1"/>
  <c r="W911" i="1"/>
  <c r="W400" i="1"/>
  <c r="W895" i="1"/>
  <c r="W887" i="1"/>
  <c r="W879" i="1"/>
  <c r="W871" i="1"/>
  <c r="W863" i="1"/>
  <c r="W855" i="1"/>
  <c r="W847" i="1"/>
  <c r="W839" i="1"/>
  <c r="W831" i="1"/>
  <c r="W822" i="1"/>
  <c r="W810" i="1"/>
  <c r="W794" i="1"/>
  <c r="W778" i="1"/>
  <c r="W762" i="1"/>
  <c r="W746" i="1"/>
  <c r="W730" i="1"/>
  <c r="W714" i="1"/>
  <c r="W69" i="1"/>
  <c r="W454" i="1"/>
  <c r="W654" i="1"/>
  <c r="W627" i="1"/>
  <c r="W590" i="1"/>
  <c r="W554" i="1"/>
  <c r="W517" i="1"/>
  <c r="W480" i="1"/>
  <c r="W444" i="1"/>
  <c r="W66" i="1"/>
  <c r="W316" i="1"/>
  <c r="W230" i="1"/>
  <c r="W844" i="1"/>
  <c r="W51" i="1"/>
  <c r="W998" i="1"/>
  <c r="W990" i="1"/>
  <c r="W982" i="1"/>
  <c r="W974" i="1"/>
  <c r="W966" i="1"/>
  <c r="W958" i="1"/>
  <c r="W950" i="1"/>
  <c r="W942" i="1"/>
  <c r="W934" i="1"/>
  <c r="W926" i="1"/>
  <c r="W918" i="1"/>
  <c r="W910" i="1"/>
  <c r="W586" i="1"/>
  <c r="W894" i="1"/>
  <c r="W817" i="1"/>
  <c r="W878" i="1"/>
  <c r="W870" i="1"/>
  <c r="W862" i="1"/>
  <c r="W533" i="1"/>
  <c r="W846" i="1"/>
  <c r="W838" i="1"/>
  <c r="W830" i="1"/>
  <c r="W821" i="1"/>
  <c r="W808" i="1"/>
  <c r="W792" i="1"/>
  <c r="W827" i="1"/>
  <c r="W760" i="1"/>
  <c r="W744" i="1"/>
  <c r="W728" i="1"/>
  <c r="W712" i="1"/>
  <c r="W696" i="1"/>
  <c r="W380" i="1"/>
  <c r="W652" i="1"/>
  <c r="W167" i="1"/>
  <c r="W588" i="1"/>
  <c r="W551" i="1"/>
  <c r="W515" i="1"/>
  <c r="W110" i="1"/>
  <c r="W442" i="1"/>
  <c r="W387" i="1"/>
  <c r="W306" i="1"/>
  <c r="W560" i="1"/>
  <c r="W134" i="1"/>
  <c r="W241" i="1"/>
  <c r="W997" i="1"/>
  <c r="W989" i="1"/>
  <c r="W321" i="1"/>
  <c r="W973" i="1"/>
  <c r="W965" i="1"/>
  <c r="W957" i="1"/>
  <c r="W949" i="1"/>
  <c r="W941" i="1"/>
  <c r="W933" i="1"/>
  <c r="W925" i="1"/>
  <c r="W917" i="1"/>
  <c r="W756" i="1"/>
  <c r="W901" i="1"/>
  <c r="W893" i="1"/>
  <c r="W885" i="1"/>
  <c r="W877" i="1"/>
  <c r="W869" i="1"/>
  <c r="W861" i="1"/>
  <c r="W853" i="1"/>
  <c r="W845" i="1"/>
  <c r="W837" i="1"/>
  <c r="W121" i="1"/>
  <c r="W820" i="1"/>
  <c r="W805" i="1"/>
  <c r="W883" i="1"/>
  <c r="W773" i="1"/>
  <c r="W757" i="1"/>
  <c r="W741" i="1"/>
  <c r="W725" i="1"/>
  <c r="W709" i="1"/>
  <c r="W693" i="1"/>
  <c r="W672" i="1"/>
  <c r="W647" i="1"/>
  <c r="W351" i="1"/>
  <c r="W581" i="1"/>
  <c r="W544" i="1"/>
  <c r="W508" i="1"/>
  <c r="W471" i="1"/>
  <c r="W435" i="1"/>
  <c r="W378" i="1"/>
  <c r="W294" i="1"/>
  <c r="W210" i="1"/>
  <c r="W789" i="1"/>
  <c r="W26" i="1"/>
  <c r="W18" i="1"/>
  <c r="W615" i="1"/>
  <c r="W322" i="1"/>
  <c r="W542" i="1"/>
  <c r="W506" i="1"/>
  <c r="W469" i="1"/>
  <c r="W432" i="1"/>
  <c r="W368" i="1"/>
  <c r="W284" i="1"/>
  <c r="W198" i="1"/>
  <c r="W715" i="1"/>
  <c r="W12" i="1"/>
</calcChain>
</file>

<file path=xl/sharedStrings.xml><?xml version="1.0" encoding="utf-8"?>
<sst xmlns="http://schemas.openxmlformats.org/spreadsheetml/2006/main" count="5111" uniqueCount="1671">
  <si>
    <t>Product_ID</t>
  </si>
  <si>
    <t>Product_Name</t>
  </si>
  <si>
    <t>Product_Category</t>
  </si>
  <si>
    <t>Region</t>
  </si>
  <si>
    <t>Year</t>
  </si>
  <si>
    <t>Quarter</t>
  </si>
  <si>
    <t>Units_Sold</t>
  </si>
  <si>
    <t>Selling_Price_per_Unit</t>
  </si>
  <si>
    <t>Manufacturing_Cost_per_Unit</t>
  </si>
  <si>
    <t>Marketing_Spend</t>
  </si>
  <si>
    <t>Return_Rate_%</t>
  </si>
  <si>
    <t>Stockout_Days</t>
  </si>
  <si>
    <t>Warranty_Claims_%</t>
  </si>
  <si>
    <t>Discount_%</t>
  </si>
  <si>
    <t>Online_Sales_%</t>
  </si>
  <si>
    <t>Customer_Rating</t>
  </si>
  <si>
    <t>Competitor_Price</t>
  </si>
  <si>
    <t>Inventory_Level</t>
  </si>
  <si>
    <t>Lead_Time_Days</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</si>
  <si>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</si>
  <si>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</si>
  <si>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</si>
  <si>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</si>
  <si>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</si>
  <si>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</si>
  <si>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</si>
  <si>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</si>
  <si>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</si>
  <si>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</si>
  <si>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</si>
  <si>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</si>
  <si>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</si>
  <si>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</si>
  <si>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</si>
  <si>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</si>
  <si>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</si>
  <si>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</si>
  <si>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</si>
  <si>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</si>
  <si>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</si>
  <si>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</si>
  <si>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</si>
  <si>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</si>
  <si>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</si>
  <si>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</si>
  <si>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</si>
  <si>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</si>
  <si>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</si>
  <si>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</si>
  <si>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</si>
  <si>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</si>
  <si>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</si>
  <si>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</si>
  <si>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</si>
  <si>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</si>
  <si>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</si>
  <si>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</si>
  <si>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</si>
  <si>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</si>
  <si>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</si>
  <si>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</si>
  <si>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</si>
  <si>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</si>
  <si>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</si>
  <si>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</si>
  <si>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</si>
  <si>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</si>
  <si>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</si>
  <si>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</si>
  <si>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</si>
  <si>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</si>
  <si>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</si>
  <si>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</si>
  <si>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</si>
  <si>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</si>
  <si>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</si>
  <si>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</si>
  <si>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</si>
  <si>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</si>
  <si>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</si>
  <si>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</si>
  <si>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</si>
  <si>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</si>
  <si>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</si>
  <si>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</si>
  <si>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</si>
  <si>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</si>
  <si>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</si>
  <si>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</si>
  <si>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</si>
  <si>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</si>
  <si>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</si>
  <si>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</si>
  <si>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</si>
  <si>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</si>
  <si>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</si>
  <si>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</si>
  <si>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</si>
  <si>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</si>
  <si>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</si>
  <si>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</si>
  <si>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</si>
  <si>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</si>
  <si>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</si>
  <si>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</si>
  <si>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</si>
  <si>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</si>
  <si>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</si>
  <si>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</si>
  <si>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</si>
  <si>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</si>
  <si>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</si>
  <si>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</si>
  <si>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</si>
  <si>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</si>
  <si>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</si>
  <si>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</si>
  <si>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</si>
  <si>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</si>
  <si>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</si>
  <si>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</si>
  <si>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</si>
  <si>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</si>
  <si>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</si>
  <si>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</si>
  <si>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</si>
  <si>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</si>
  <si>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</si>
  <si>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</si>
  <si>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</si>
  <si>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</si>
  <si>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</si>
  <si>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</si>
  <si>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</si>
  <si>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</si>
  <si>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</si>
  <si>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</si>
  <si>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</si>
  <si>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</si>
  <si>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</si>
  <si>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</si>
  <si>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</si>
  <si>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</si>
  <si>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</si>
  <si>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</si>
  <si>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</si>
  <si>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</si>
  <si>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</si>
  <si>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</si>
  <si>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</si>
  <si>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</si>
  <si>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</si>
  <si>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</si>
  <si>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</si>
  <si>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</si>
  <si>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</si>
  <si>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</si>
  <si>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</si>
  <si>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</si>
  <si>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</si>
  <si>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</si>
  <si>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</si>
  <si>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</si>
  <si>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</si>
  <si>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</si>
  <si>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</si>
  <si>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</si>
  <si>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</si>
  <si>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</si>
  <si>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</si>
  <si>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</si>
  <si>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</si>
  <si>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</si>
  <si>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</si>
  <si>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</si>
  <si>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</si>
  <si>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</si>
  <si>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</si>
  <si>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</si>
  <si>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</si>
  <si>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</si>
  <si>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</si>
  <si>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</si>
  <si>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</si>
  <si>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</si>
  <si>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</si>
  <si>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</si>
  <si>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</si>
  <si>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</si>
  <si>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</si>
  <si>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</si>
  <si>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</si>
  <si>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</si>
  <si>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</si>
  <si>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</si>
  <si>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</si>
  <si>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</si>
  <si>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</si>
  <si>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</si>
  <si>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</si>
  <si>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</si>
  <si>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</si>
  <si>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</si>
  <si>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</si>
  <si>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</si>
  <si>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</si>
  <si>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</si>
  <si>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</si>
  <si>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</si>
  <si>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</si>
  <si>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</si>
  <si>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</si>
  <si>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</si>
  <si>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</si>
  <si>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</si>
  <si>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</si>
  <si>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</si>
  <si>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</si>
  <si>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</si>
  <si>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</si>
  <si>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</si>
  <si>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</si>
  <si>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</si>
  <si>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</si>
  <si>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</si>
  <si>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</si>
  <si>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</si>
  <si>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</si>
  <si>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</si>
  <si>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</si>
  <si>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</si>
  <si>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</si>
  <si>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</si>
  <si>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</si>
  <si>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</si>
  <si>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</si>
  <si>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</si>
  <si>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</si>
  <si>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</si>
  <si>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</si>
  <si>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</si>
  <si>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</si>
  <si>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</si>
  <si>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</si>
  <si>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</si>
  <si>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</si>
  <si>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</si>
  <si>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</si>
  <si>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</si>
  <si>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</si>
  <si>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</si>
  <si>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</si>
  <si>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</si>
  <si>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</si>
  <si>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</si>
  <si>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</si>
  <si>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</si>
  <si>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</si>
  <si>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</si>
  <si>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</si>
  <si>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</si>
  <si>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</si>
  <si>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</si>
  <si>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</si>
  <si>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</si>
  <si>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</si>
  <si>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</si>
  <si>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</si>
  <si>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</si>
  <si>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</si>
  <si>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</si>
  <si>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</si>
  <si>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</si>
  <si>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</si>
  <si>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</si>
  <si>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</si>
  <si>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</si>
  <si>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</si>
  <si>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</si>
  <si>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</si>
  <si>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</si>
  <si>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</si>
  <si>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</si>
  <si>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</si>
  <si>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</si>
  <si>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</si>
  <si>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</si>
  <si>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</si>
  <si>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</si>
  <si>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</si>
  <si>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</si>
  <si>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</si>
  <si>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</si>
  <si>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</si>
  <si>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</si>
  <si>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</si>
  <si>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</si>
  <si>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</si>
  <si>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</si>
  <si>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</si>
  <si>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</si>
  <si>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</si>
  <si>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</si>
  <si>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</si>
  <si>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</si>
  <si>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</si>
  <si>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</si>
  <si>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</si>
  <si>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</si>
  <si>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</si>
  <si>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</si>
  <si>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</si>
  <si>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</si>
  <si>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</si>
  <si>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</si>
  <si>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</si>
  <si>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</si>
  <si>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</si>
  <si>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</si>
  <si>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</si>
  <si>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</si>
  <si>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</si>
  <si>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</si>
  <si>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</si>
  <si>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</si>
  <si>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</si>
  <si>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</si>
  <si>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</si>
  <si>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</si>
  <si>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</si>
  <si>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</si>
  <si>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</si>
  <si>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</si>
  <si>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</si>
  <si>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</si>
  <si>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</si>
  <si>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</si>
  <si>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</si>
  <si>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</si>
  <si>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</si>
  <si>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</si>
  <si>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</si>
  <si>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</si>
  <si>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</si>
  <si>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</si>
  <si>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</si>
  <si>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</si>
  <si>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</si>
  <si>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</si>
  <si>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</si>
  <si>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</si>
  <si>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</si>
  <si>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</si>
  <si>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</si>
  <si>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</si>
  <si>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</si>
  <si>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</si>
  <si>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</si>
  <si>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</si>
  <si>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</si>
  <si>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</si>
  <si>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</si>
  <si>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</si>
  <si>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</si>
  <si>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</si>
  <si>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</si>
  <si>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</si>
  <si>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</si>
  <si>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</si>
  <si>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</si>
  <si>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</si>
  <si>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</si>
  <si>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</si>
  <si>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</si>
  <si>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</si>
  <si>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</si>
  <si>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</si>
  <si>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</si>
  <si>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</si>
  <si>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</si>
  <si>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</si>
  <si>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</si>
  <si>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</si>
  <si>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</si>
  <si>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</si>
  <si>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</si>
  <si>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</si>
  <si>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</si>
  <si>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</si>
  <si>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</si>
  <si>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</si>
  <si>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</si>
  <si>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</si>
  <si>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</si>
  <si>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</si>
  <si>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</si>
  <si>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</si>
  <si>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</si>
  <si>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</si>
  <si>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</si>
  <si>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</si>
  <si>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</si>
  <si>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</si>
  <si>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</si>
  <si>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</si>
  <si>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</si>
  <si>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</si>
  <si>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</si>
  <si>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</si>
  <si>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</si>
  <si>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</si>
  <si>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</si>
  <si>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</si>
  <si>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</si>
  <si>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</si>
  <si>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</si>
  <si>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</si>
  <si>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</si>
  <si>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</si>
  <si>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</si>
  <si>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</si>
  <si>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</si>
  <si>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</si>
  <si>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</si>
  <si>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</si>
  <si>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</si>
  <si>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</si>
  <si>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</si>
  <si>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</si>
  <si>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</si>
  <si>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</si>
  <si>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</si>
  <si>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</si>
  <si>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</si>
  <si>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</si>
  <si>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</si>
  <si>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</si>
  <si>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</si>
  <si>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</si>
  <si>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</si>
  <si>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</si>
  <si>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</si>
  <si>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</si>
  <si>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</si>
  <si>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</si>
  <si>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</si>
  <si>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</si>
  <si>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</si>
  <si>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</si>
  <si>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</si>
  <si>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</si>
  <si>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</si>
  <si>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</si>
  <si>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</si>
  <si>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</si>
  <si>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</si>
  <si>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</si>
  <si>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</si>
  <si>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</si>
  <si>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</si>
  <si>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</si>
  <si>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</si>
  <si>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</si>
  <si>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</si>
  <si>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</si>
  <si>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</si>
  <si>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</si>
  <si>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</si>
  <si>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</si>
  <si>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</si>
  <si>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</si>
  <si>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</si>
  <si>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</si>
  <si>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</si>
  <si>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</si>
  <si>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</si>
  <si>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</si>
  <si>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</si>
  <si>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</si>
  <si>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</si>
  <si>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</si>
  <si>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</si>
  <si>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</si>
  <si>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</si>
  <si>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</si>
  <si>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</si>
  <si>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</si>
  <si>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</si>
  <si>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</si>
  <si>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</si>
  <si>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</si>
  <si>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</si>
  <si>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</si>
  <si>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</si>
  <si>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</si>
  <si>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</si>
  <si>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</si>
  <si>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</si>
  <si>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</si>
  <si>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</si>
  <si>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</si>
  <si>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</si>
  <si>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</si>
  <si>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</si>
  <si>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</si>
  <si>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</si>
  <si>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</si>
  <si>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</si>
  <si>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</si>
  <si>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</si>
  <si>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</si>
  <si>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</si>
  <si>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</si>
  <si>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</si>
  <si>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</si>
  <si>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</si>
  <si>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</si>
  <si>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</si>
  <si>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</si>
  <si>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</si>
  <si>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</si>
  <si>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</si>
  <si>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</si>
  <si>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</si>
  <si>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</si>
  <si>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</si>
  <si>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</si>
  <si>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</si>
  <si>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</si>
  <si>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</si>
  <si>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</si>
  <si>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</si>
  <si>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</si>
  <si>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</si>
  <si>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</si>
  <si>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</si>
  <si>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</si>
  <si>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</si>
  <si>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</si>
  <si>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</si>
  <si>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</si>
  <si>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</si>
  <si>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</si>
  <si>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</si>
  <si>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</si>
  <si>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</si>
  <si>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</si>
  <si>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</si>
  <si>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</si>
  <si>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</si>
  <si>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</si>
  <si>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</si>
  <si>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</si>
  <si>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</si>
  <si>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</si>
  <si>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</si>
  <si>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</si>
  <si>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</si>
  <si>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</si>
  <si>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</si>
  <si>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</si>
  <si>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</si>
  <si>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</si>
  <si>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</si>
  <si>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</si>
  <si>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</si>
  <si>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</si>
  <si>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</si>
  <si>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</si>
  <si>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</si>
  <si>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</si>
  <si>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</si>
  <si>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</si>
  <si>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</si>
  <si>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</si>
  <si>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</si>
  <si>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</si>
  <si>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</si>
  <si>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</si>
  <si>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</si>
  <si>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</si>
  <si>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</si>
  <si>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</si>
  <si>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</si>
  <si>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</si>
  <si>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</si>
  <si>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</si>
  <si>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</si>
  <si>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</si>
  <si>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</si>
  <si>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</si>
  <si>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</si>
  <si>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</si>
  <si>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</si>
  <si>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</si>
  <si>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</si>
  <si>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</si>
  <si>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</si>
  <si>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</si>
  <si>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</si>
  <si>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</si>
  <si>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</si>
  <si>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</si>
  <si>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</si>
  <si>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</si>
  <si>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</si>
  <si>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</si>
  <si>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</si>
  <si>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</si>
  <si>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</si>
  <si>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</si>
  <si>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</si>
  <si>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</si>
  <si>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</si>
  <si>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</si>
  <si>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</si>
  <si>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</si>
  <si>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</si>
  <si>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</si>
  <si>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</si>
  <si>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</si>
  <si>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</si>
  <si>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</si>
  <si>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</si>
  <si>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</si>
  <si>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</si>
  <si>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</si>
  <si>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</si>
  <si>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</si>
  <si>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</si>
  <si>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</si>
  <si>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</si>
  <si>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</si>
  <si>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</si>
  <si>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</si>
  <si>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</si>
  <si>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</si>
  <si>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</si>
  <si>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</si>
  <si>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</si>
  <si>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</si>
  <si>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</si>
  <si>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</si>
  <si>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</si>
  <si>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</si>
  <si>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</si>
  <si>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</si>
  <si>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</si>
  <si>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</si>
  <si>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</si>
  <si>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</si>
  <si>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</si>
  <si>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</si>
  <si>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</si>
  <si>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</si>
  <si>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</si>
  <si>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</si>
  <si>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</si>
  <si>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</si>
  <si>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</si>
  <si>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</si>
  <si>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</si>
  <si>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</si>
  <si>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</si>
  <si>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</si>
  <si>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</si>
  <si>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</si>
  <si>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</si>
  <si>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</si>
  <si>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</si>
  <si>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</si>
  <si>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</si>
  <si>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</si>
  <si>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</si>
  <si>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</si>
  <si>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</si>
  <si>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</si>
  <si>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</si>
  <si>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</si>
  <si>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</si>
  <si>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</si>
  <si>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</si>
  <si>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</si>
  <si>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</si>
  <si>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</si>
  <si>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</si>
  <si>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</si>
  <si>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</si>
  <si>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</si>
  <si>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</si>
  <si>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</si>
  <si>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</si>
  <si>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</si>
  <si>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</si>
  <si>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</si>
  <si>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</si>
  <si>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</si>
  <si>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</si>
  <si>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</si>
  <si>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</si>
  <si>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</si>
  <si>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</si>
  <si>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</si>
  <si>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</si>
  <si>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</si>
  <si>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</si>
  <si>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</si>
  <si>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</si>
  <si>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</si>
  <si>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</si>
  <si>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</si>
  <si>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</si>
  <si>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</si>
  <si>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</si>
  <si>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</si>
  <si>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</si>
  <si>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</si>
  <si>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</si>
  <si>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</si>
  <si>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</si>
  <si>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</si>
  <si>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</si>
  <si>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</si>
  <si>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</si>
  <si>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</si>
  <si>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</si>
  <si>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</si>
  <si>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</si>
  <si>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</si>
  <si>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</si>
  <si>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</si>
  <si>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</si>
  <si>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</si>
  <si>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</si>
  <si>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</si>
  <si>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</si>
  <si>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</si>
  <si>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</si>
  <si>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</si>
  <si>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</si>
  <si>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</si>
  <si>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</si>
  <si>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</si>
  <si>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</si>
  <si>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</si>
  <si>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</si>
  <si>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</si>
  <si>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</si>
  <si>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</si>
  <si>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</si>
  <si>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</si>
  <si>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</si>
  <si>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</si>
  <si>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</si>
  <si>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</si>
  <si>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</si>
  <si>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</si>
  <si>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</si>
  <si>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</si>
  <si>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</si>
  <si>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</si>
  <si>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</si>
  <si>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</si>
  <si>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</si>
  <si>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</si>
  <si>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</si>
  <si>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</si>
  <si>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</si>
  <si>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</si>
  <si>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</si>
  <si>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</si>
  <si>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</si>
  <si>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</si>
  <si>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</si>
  <si>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</si>
  <si>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</si>
  <si>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</si>
  <si>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</si>
  <si>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</si>
  <si>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</si>
  <si>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</si>
  <si>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</si>
  <si>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</si>
  <si>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</si>
  <si>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</si>
  <si>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</si>
  <si>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</si>
  <si>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</si>
  <si>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</si>
  <si>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</si>
  <si>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</si>
  <si>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</si>
  <si>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</si>
  <si>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</si>
  <si>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</si>
  <si>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</si>
  <si>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</si>
  <si>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</si>
  <si>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</si>
  <si>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</si>
  <si>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</si>
  <si>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</si>
  <si>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</si>
  <si>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</si>
  <si>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</si>
  <si>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</si>
  <si>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</si>
  <si>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</si>
  <si>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</si>
  <si>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</si>
  <si>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</si>
  <si>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</si>
  <si>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</si>
  <si>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</si>
  <si>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</si>
  <si>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</si>
  <si>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</si>
  <si>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</si>
  <si>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</si>
  <si>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</si>
  <si>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</si>
  <si>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</si>
  <si>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</si>
  <si>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</si>
  <si>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</si>
  <si>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</si>
  <si>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</si>
  <si>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</si>
  <si>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</si>
  <si>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</si>
  <si>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</si>
  <si>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</si>
  <si>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</si>
  <si>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</si>
  <si>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</si>
  <si>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</si>
  <si>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</si>
  <si>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</si>
  <si>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</si>
  <si>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</si>
  <si>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</si>
  <si>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</si>
  <si>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</si>
  <si>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</si>
  <si>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</si>
  <si>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</si>
  <si>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</si>
  <si>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</si>
  <si>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</si>
  <si>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</si>
  <si>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</si>
  <si>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</si>
  <si>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</si>
  <si>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</si>
  <si>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</si>
  <si>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</si>
  <si>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</si>
  <si>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</si>
  <si>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</si>
  <si>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</si>
  <si>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</si>
  <si>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</si>
  <si>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</si>
  <si>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</si>
  <si>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</si>
  <si>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</si>
  <si>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</si>
  <si>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</si>
  <si>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</si>
  <si>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</si>
  <si>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</si>
  <si>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</si>
  <si>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</si>
  <si>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</si>
  <si>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</si>
  <si>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</si>
  <si>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</si>
  <si>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</si>
  <si>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</si>
  <si>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</si>
  <si>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</si>
  <si>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</si>
  <si>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</si>
  <si>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</si>
  <si>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</si>
  <si>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</si>
  <si>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</si>
  <si>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</si>
  <si>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</si>
  <si>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</si>
  <si>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</si>
  <si>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</si>
  <si>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</si>
  <si>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</si>
  <si>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</si>
  <si>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</si>
  <si>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</si>
  <si>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</si>
  <si>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</si>
  <si>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</si>
  <si>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</si>
  <si>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</si>
  <si>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</si>
  <si>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</si>
  <si>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</si>
  <si>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</si>
  <si>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</si>
  <si>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</si>
  <si>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</si>
  <si>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</si>
  <si>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</si>
  <si>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</si>
  <si>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</si>
  <si>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</si>
  <si>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</si>
  <si>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</si>
  <si>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</si>
  <si>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</si>
  <si>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</si>
  <si>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</si>
  <si>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</si>
  <si>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</si>
  <si>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</si>
  <si>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</si>
  <si>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</si>
  <si>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</si>
  <si>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</si>
  <si>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</si>
  <si>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</si>
  <si>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</si>
  <si>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</si>
  <si>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</si>
  <si>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</si>
  <si>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</si>
  <si>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</si>
  <si>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</si>
  <si>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</si>
  <si>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</si>
  <si>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</si>
  <si>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</si>
  <si>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</si>
  <si>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</si>
  <si>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</si>
  <si>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</si>
  <si>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</si>
  <si>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</si>
  <si>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</si>
  <si>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</si>
  <si>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</si>
  <si>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</si>
  <si>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</si>
  <si>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</si>
  <si>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</si>
  <si>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</si>
  <si>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</si>
  <si>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</si>
  <si>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</si>
  <si>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</si>
  <si>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</si>
  <si>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</si>
  <si>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</si>
  <si>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</si>
  <si>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</si>
  <si>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</si>
  <si>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</si>
  <si>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</si>
  <si>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</si>
  <si>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</si>
  <si>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</si>
  <si>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</si>
  <si>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</si>
  <si>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</si>
  <si>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</si>
  <si>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</si>
  <si>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</si>
  <si>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</si>
  <si>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</si>
  <si>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</si>
  <si>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</si>
  <si>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</si>
  <si>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</si>
  <si>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</si>
  <si>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</si>
  <si>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</si>
  <si>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</si>
  <si>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</si>
  <si>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</si>
  <si>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</si>
  <si>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</si>
  <si>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</si>
  <si>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</si>
  <si>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</si>
  <si>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</si>
  <si>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</si>
  <si>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</si>
  <si>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</si>
  <si>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</si>
  <si>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</si>
  <si>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</si>
  <si>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</si>
  <si>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</si>
  <si>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</si>
  <si>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</si>
  <si>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</si>
  <si>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</si>
  <si>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</si>
  <si>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</si>
  <si>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</si>
  <si>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</si>
  <si>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</si>
  <si>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</si>
  <si>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</si>
  <si>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</si>
  <si>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</si>
  <si>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</si>
  <si>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</si>
  <si>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</si>
  <si>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</si>
  <si>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</si>
  <si>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Model_567</t>
  </si>
  <si>
    <t>Model_264</t>
  </si>
  <si>
    <t>Model_677</t>
  </si>
  <si>
    <t>Model_344</t>
  </si>
  <si>
    <t>Model_433</t>
  </si>
  <si>
    <t>Model_349</t>
  </si>
  <si>
    <t>Model_740</t>
  </si>
  <si>
    <t>Model_777</t>
  </si>
  <si>
    <t>Model_910</t>
  </si>
  <si>
    <t>Model_504</t>
  </si>
  <si>
    <t>Model_189</t>
  </si>
  <si>
    <t>Model_789</t>
  </si>
  <si>
    <t>Model_372</t>
  </si>
  <si>
    <t>Model_314</t>
  </si>
  <si>
    <t>Model_972</t>
  </si>
  <si>
    <t>Model_585</t>
  </si>
  <si>
    <t>Model_844</t>
  </si>
  <si>
    <t>Model_757</t>
  </si>
  <si>
    <t>Model_208</t>
  </si>
  <si>
    <t>Model_249</t>
  </si>
  <si>
    <t>Model_819</t>
  </si>
  <si>
    <t>Model_308</t>
  </si>
  <si>
    <t>Model_409</t>
  </si>
  <si>
    <t>Model_779</t>
  </si>
  <si>
    <t>Model_343</t>
  </si>
  <si>
    <t>Model_179</t>
  </si>
  <si>
    <t>Model_887</t>
  </si>
  <si>
    <t>Model_698</t>
  </si>
  <si>
    <t>Model_358</t>
  </si>
  <si>
    <t>Model_793</t>
  </si>
  <si>
    <t>Model_341</t>
  </si>
  <si>
    <t>Model_579</t>
  </si>
  <si>
    <t>Model_360</t>
  </si>
  <si>
    <t>Model_854</t>
  </si>
  <si>
    <t>Model_326</t>
  </si>
  <si>
    <t>Model_908</t>
  </si>
  <si>
    <t>Model_396</t>
  </si>
  <si>
    <t>Model_876</t>
  </si>
  <si>
    <t>Model_455</t>
  </si>
  <si>
    <t>Model_886</t>
  </si>
  <si>
    <t>Model_412</t>
  </si>
  <si>
    <t>Model_273</t>
  </si>
  <si>
    <t>Model_739</t>
  </si>
  <si>
    <t>Model_402</t>
  </si>
  <si>
    <t>Model_414</t>
  </si>
  <si>
    <t>Model_133</t>
  </si>
  <si>
    <t>Model_720</t>
  </si>
  <si>
    <t>Model_404</t>
  </si>
  <si>
    <t>Model_496</t>
  </si>
  <si>
    <t>Model_900</t>
  </si>
  <si>
    <t>Model_371</t>
  </si>
  <si>
    <t>Model_781</t>
  </si>
  <si>
    <t>Model_366</t>
  </si>
  <si>
    <t>Model_237</t>
  </si>
  <si>
    <t>Model_403</t>
  </si>
  <si>
    <t>Model_664</t>
  </si>
  <si>
    <t>Model_521</t>
  </si>
  <si>
    <t>Model_432</t>
  </si>
  <si>
    <t>Model_306</t>
  </si>
  <si>
    <t>Model_171</t>
  </si>
  <si>
    <t>Model_743</t>
  </si>
  <si>
    <t>Model_794</t>
  </si>
  <si>
    <t>Model_970</t>
  </si>
  <si>
    <t>Model_998</t>
  </si>
  <si>
    <t>Model_931</t>
  </si>
  <si>
    <t>Model_522</t>
  </si>
  <si>
    <t>Model_271</t>
  </si>
  <si>
    <t>Model_988</t>
  </si>
  <si>
    <t>Model_898</t>
  </si>
  <si>
    <t>Model_279</t>
  </si>
  <si>
    <t>Model_339</t>
  </si>
  <si>
    <t>Model_416</t>
  </si>
  <si>
    <t>Model_493</t>
  </si>
  <si>
    <t>Model_635</t>
  </si>
  <si>
    <t>Model_364</t>
  </si>
  <si>
    <t>Model_697</t>
  </si>
  <si>
    <t>Model_780</t>
  </si>
  <si>
    <t>Model_721</t>
  </si>
  <si>
    <t>Model_784</t>
  </si>
  <si>
    <t>Model_158</t>
  </si>
  <si>
    <t>Model_578</t>
  </si>
  <si>
    <t>Model_333</t>
  </si>
  <si>
    <t>Model_536</t>
  </si>
  <si>
    <t>Model_946</t>
  </si>
  <si>
    <t>Model_595</t>
  </si>
  <si>
    <t>Model_199</t>
  </si>
  <si>
    <t>Model_232</t>
  </si>
  <si>
    <t>Model_486</t>
  </si>
  <si>
    <t>Model_275</t>
  </si>
  <si>
    <t>Model_681</t>
  </si>
  <si>
    <t>Model_361</t>
  </si>
  <si>
    <t>Model_145</t>
  </si>
  <si>
    <t>Model_506</t>
  </si>
  <si>
    <t>Model_384</t>
  </si>
  <si>
    <t>Model_444</t>
  </si>
  <si>
    <t>Model_690</t>
  </si>
  <si>
    <t>Model_461</t>
  </si>
  <si>
    <t>Model_270</t>
  </si>
  <si>
    <t>Model_692</t>
  </si>
  <si>
    <t>Model_157</t>
  </si>
  <si>
    <t>Model_574</t>
  </si>
  <si>
    <t>Model_240</t>
  </si>
  <si>
    <t>Model_902</t>
  </si>
  <si>
    <t>Model_875</t>
  </si>
  <si>
    <t>Model_140</t>
  </si>
  <si>
    <t>Model_951</t>
  </si>
  <si>
    <t>Model_639</t>
  </si>
  <si>
    <t>Model_806</t>
  </si>
  <si>
    <t>Model_407</t>
  </si>
  <si>
    <t>Model_428</t>
  </si>
  <si>
    <t>Model_868</t>
  </si>
  <si>
    <t>Model_674</t>
  </si>
  <si>
    <t>Model_774</t>
  </si>
  <si>
    <t>Model_184</t>
  </si>
  <si>
    <t>Model_715</t>
  </si>
  <si>
    <t>Model_936</t>
  </si>
  <si>
    <t>Model_651</t>
  </si>
  <si>
    <t>Model_301</t>
  </si>
  <si>
    <t>Model_607</t>
  </si>
  <si>
    <t>Model_816</t>
  </si>
  <si>
    <t>Model_719</t>
  </si>
  <si>
    <t>Model_899</t>
  </si>
  <si>
    <t>Model_295</t>
  </si>
  <si>
    <t>Model_482</t>
  </si>
  <si>
    <t>Model_385</t>
  </si>
  <si>
    <t>Model_821</t>
  </si>
  <si>
    <t>Model_278</t>
  </si>
  <si>
    <t>Model_167</t>
  </si>
  <si>
    <t>Model_641</t>
  </si>
  <si>
    <t>Model_572</t>
  </si>
  <si>
    <t>Model_569</t>
  </si>
  <si>
    <t>Model_288</t>
  </si>
  <si>
    <t>Model_106</t>
  </si>
  <si>
    <t>Model_135</t>
  </si>
  <si>
    <t>Model_390</t>
  </si>
  <si>
    <t>Model_741</t>
  </si>
  <si>
    <t>Model_647</t>
  </si>
  <si>
    <t>Model_457</t>
  </si>
  <si>
    <t>Model_570</t>
  </si>
  <si>
    <t>Model_962</t>
  </si>
  <si>
    <t>Model_858</t>
  </si>
  <si>
    <t>Model_420</t>
  </si>
  <si>
    <t>Model_975</t>
  </si>
  <si>
    <t>Model_539</t>
  </si>
  <si>
    <t>Model_957</t>
  </si>
  <si>
    <t>Model_147</t>
  </si>
  <si>
    <t>Model_693</t>
  </si>
  <si>
    <t>Model_354</t>
  </si>
  <si>
    <t>Model_831</t>
  </si>
  <si>
    <t>Model_838</t>
  </si>
  <si>
    <t>Model_597</t>
  </si>
  <si>
    <t>Model_348</t>
  </si>
  <si>
    <t>Model_892</t>
  </si>
  <si>
    <t>Model_439</t>
  </si>
  <si>
    <t>Model_431</t>
  </si>
  <si>
    <t>Model_244</t>
  </si>
  <si>
    <t>Model_650</t>
  </si>
  <si>
    <t>Model_666</t>
  </si>
  <si>
    <t>Model_725</t>
  </si>
  <si>
    <t>Model_637</t>
  </si>
  <si>
    <t>Model_703</t>
  </si>
  <si>
    <t>Model_543</t>
  </si>
  <si>
    <t>Model_109</t>
  </si>
  <si>
    <t>Model_523</t>
  </si>
  <si>
    <t>Model_353</t>
  </si>
  <si>
    <t>Model_382</t>
  </si>
  <si>
    <t>Model_961</t>
  </si>
  <si>
    <t>Model_105</t>
  </si>
  <si>
    <t>Model_695</t>
  </si>
  <si>
    <t>Model_602</t>
  </si>
  <si>
    <t>Model_772</t>
  </si>
  <si>
    <t>Model_869</t>
  </si>
  <si>
    <t>Model_762</t>
  </si>
  <si>
    <t>Model_545</t>
  </si>
  <si>
    <t>Model_143</t>
  </si>
  <si>
    <t>Model_453</t>
  </si>
  <si>
    <t>Model_958</t>
  </si>
  <si>
    <t>Model_230</t>
  </si>
  <si>
    <t>Model_799</t>
  </si>
  <si>
    <t>Model_269</t>
  </si>
  <si>
    <t>Model_337</t>
  </si>
  <si>
    <t>Model_421</t>
  </si>
  <si>
    <t>Model_955</t>
  </si>
  <si>
    <t>Model_216</t>
  </si>
  <si>
    <t>Model_832</t>
  </si>
  <si>
    <t>Model_927</t>
  </si>
  <si>
    <t>Model_943</t>
  </si>
  <si>
    <t>Model_938</t>
  </si>
  <si>
    <t>Model_973</t>
  </si>
  <si>
    <t>Model_475</t>
  </si>
  <si>
    <t>Model_466</t>
  </si>
  <si>
    <t>Model_174</t>
  </si>
  <si>
    <t>Model_911</t>
  </si>
  <si>
    <t>Model_566</t>
  </si>
  <si>
    <t>Model_814</t>
  </si>
  <si>
    <t>Model_108</t>
  </si>
  <si>
    <t>Model_849</t>
  </si>
  <si>
    <t>Model_934</t>
  </si>
  <si>
    <t>Model_388</t>
  </si>
  <si>
    <t>Model_893</t>
  </si>
  <si>
    <t>Model_347</t>
  </si>
  <si>
    <t>Model_941</t>
  </si>
  <si>
    <t>Model_529</t>
  </si>
  <si>
    <t>Model_992</t>
  </si>
  <si>
    <t>Model_796</t>
  </si>
  <si>
    <t>Model_316</t>
  </si>
  <si>
    <t>Model_917</t>
  </si>
  <si>
    <t>Model_325</t>
  </si>
  <si>
    <t>Model_601</t>
  </si>
  <si>
    <t>Model_485</t>
  </si>
  <si>
    <t>Model_818</t>
  </si>
  <si>
    <t>Model_215</t>
  </si>
  <si>
    <t>Model_732</t>
  </si>
  <si>
    <t>Model_903</t>
  </si>
  <si>
    <t>Model_952</t>
  </si>
  <si>
    <t>Model_393</t>
  </si>
  <si>
    <t>Model_727</t>
  </si>
  <si>
    <t>Model_331</t>
  </si>
  <si>
    <t>Model_317</t>
  </si>
  <si>
    <t>Model_884</t>
  </si>
  <si>
    <t>Model_281</t>
  </si>
  <si>
    <t>Model_115</t>
  </si>
  <si>
    <t>Model_162</t>
  </si>
  <si>
    <t>Model_383</t>
  </si>
  <si>
    <t>Model_456</t>
  </si>
  <si>
    <t>Model_223</t>
  </si>
  <si>
    <t>Model_160</t>
  </si>
  <si>
    <t>Model_139</t>
  </si>
  <si>
    <t>Model_221</t>
  </si>
  <si>
    <t>Model_546</t>
  </si>
  <si>
    <t>Model_874</t>
  </si>
  <si>
    <t>Model_788</t>
  </si>
  <si>
    <t>Model_553</t>
  </si>
  <si>
    <t>Model_144</t>
  </si>
  <si>
    <t>Model_656</t>
  </si>
  <si>
    <t>Model_654</t>
  </si>
  <si>
    <t>Model_386</t>
  </si>
  <si>
    <t>Model_815</t>
  </si>
  <si>
    <t>Model_599</t>
  </si>
  <si>
    <t>Model_313</t>
  </si>
  <si>
    <t>Model_509</t>
  </si>
  <si>
    <t>Model_502</t>
  </si>
  <si>
    <t>Model_872</t>
  </si>
  <si>
    <t>Model_197</t>
  </si>
  <si>
    <t>Model_864</t>
  </si>
  <si>
    <t>Model_699</t>
  </si>
  <si>
    <t>Model_596</t>
  </si>
  <si>
    <t>Model_710</t>
  </si>
  <si>
    <t>Model_468</t>
  </si>
  <si>
    <t>Model_250</t>
  </si>
  <si>
    <t>Model_426</t>
  </si>
  <si>
    <t>Model_128</t>
  </si>
  <si>
    <t>Model_114</t>
  </si>
  <si>
    <t>Model_125</t>
  </si>
  <si>
    <t>Model_520</t>
  </si>
  <si>
    <t>Model_590</t>
  </si>
  <si>
    <t>Model_749</t>
  </si>
  <si>
    <t>Model_669</t>
  </si>
  <si>
    <t>Model_555</t>
  </si>
  <si>
    <t>Model_589</t>
  </si>
  <si>
    <t>Model_205</t>
  </si>
  <si>
    <t>Model_841</t>
  </si>
  <si>
    <t>Model_883</t>
  </si>
  <si>
    <t>Model_751</t>
  </si>
  <si>
    <t>Model_209</t>
  </si>
  <si>
    <t>Model_268</t>
  </si>
  <si>
    <t>Model_449</t>
  </si>
  <si>
    <t>Model_652</t>
  </si>
  <si>
    <t>Model_682</t>
  </si>
  <si>
    <t>Model_689</t>
  </si>
  <si>
    <t>Model_722</t>
  </si>
  <si>
    <t>Model_287</t>
  </si>
  <si>
    <t>Model_643</t>
  </si>
  <si>
    <t>Model_257</t>
  </si>
  <si>
    <t>Model_323</t>
  </si>
  <si>
    <t>Model_194</t>
  </si>
  <si>
    <t>Model_947</t>
  </si>
  <si>
    <t>Model_321</t>
  </si>
  <si>
    <t>Model_282</t>
  </si>
  <si>
    <t>Model_258</t>
  </si>
  <si>
    <t>Model_783</t>
  </si>
  <si>
    <t>Model_381</t>
  </si>
  <si>
    <t>Model_124</t>
  </si>
  <si>
    <t>Model_166</t>
  </si>
  <si>
    <t>Model_427</t>
  </si>
  <si>
    <t>Model_759</t>
  </si>
  <si>
    <t>Model_559</t>
  </si>
  <si>
    <t>Model_912</t>
  </si>
  <si>
    <t>Model_676</t>
  </si>
  <si>
    <t>Model_131</t>
  </si>
  <si>
    <t>Model_397</t>
  </si>
  <si>
    <t>Model_708</t>
  </si>
  <si>
    <t>Model_978</t>
  </si>
  <si>
    <t>Model_103</t>
  </si>
  <si>
    <t>Model_558</t>
  </si>
  <si>
    <t>Model_425</t>
  </si>
  <si>
    <t>Model_755</t>
  </si>
  <si>
    <t>Model_243</t>
  </si>
  <si>
    <t>Model_334</t>
  </si>
  <si>
    <t>Model_879</t>
  </si>
  <si>
    <t>Model_363</t>
  </si>
  <si>
    <t>Model_476</t>
  </si>
  <si>
    <t>Model_714</t>
  </si>
  <si>
    <t>Model_562</t>
  </si>
  <si>
    <t>Model_701</t>
  </si>
  <si>
    <t>Model_214</t>
  </si>
  <si>
    <t>Model_113</t>
  </si>
  <si>
    <t>Model_640</t>
  </si>
  <si>
    <t>Model_616</t>
  </si>
  <si>
    <t>Model_891</t>
  </si>
  <si>
    <t>Model_851</t>
  </si>
  <si>
    <t>Model_787</t>
  </si>
  <si>
    <t>Model_211</t>
  </si>
  <si>
    <t>Model_350</t>
  </si>
  <si>
    <t>Model_406</t>
  </si>
  <si>
    <t>Model_260</t>
  </si>
  <si>
    <t>Model_168</t>
  </si>
  <si>
    <t>Model_236</t>
  </si>
  <si>
    <t>Model_736</t>
  </si>
  <si>
    <t>Model_833</t>
  </si>
  <si>
    <t>Model_533</t>
  </si>
  <si>
    <t>Model_918</t>
  </si>
  <si>
    <t>Model_835</t>
  </si>
  <si>
    <t>Model_100</t>
  </si>
  <si>
    <t>Model_437</t>
  </si>
  <si>
    <t>Model_906</t>
  </si>
  <si>
    <t>Model_220</t>
  </si>
  <si>
    <t>Model_593</t>
  </si>
  <si>
    <t>Model_430</t>
  </si>
  <si>
    <t>Model_575</t>
  </si>
  <si>
    <t>Model_613</t>
  </si>
  <si>
    <t>Model_202</t>
  </si>
  <si>
    <t>Model_391</t>
  </si>
  <si>
    <t>Model_626</t>
  </si>
  <si>
    <t>Model_195</t>
  </si>
  <si>
    <t>Model_319</t>
  </si>
  <si>
    <t>Model_769</t>
  </si>
  <si>
    <t>Model_800</t>
  </si>
  <si>
    <t>Model_159</t>
  </si>
  <si>
    <t>Model_880</t>
  </si>
  <si>
    <t>Model_581</t>
  </si>
  <si>
    <t>Model_255</t>
  </si>
  <si>
    <t>Model_154</t>
  </si>
  <si>
    <t>Model_186</t>
  </si>
  <si>
    <t>Model_297</t>
  </si>
  <si>
    <t>Model_488</t>
  </si>
  <si>
    <t>Model_443</t>
  </si>
  <si>
    <t>Model_394</t>
  </si>
  <si>
    <t>Model_865</t>
  </si>
  <si>
    <t>Model_305</t>
  </si>
  <si>
    <t>Model_986</t>
  </si>
  <si>
    <t>Model_204</t>
  </si>
  <si>
    <t>Model_826</t>
  </si>
  <si>
    <t>Model_497</t>
  </si>
  <si>
    <t>Model_746</t>
  </si>
  <si>
    <t>Model_445</t>
  </si>
  <si>
    <t>Model_441</t>
  </si>
  <si>
    <t>Model_763</t>
  </si>
  <si>
    <t>Model_963</t>
  </si>
  <si>
    <t>Model_810</t>
  </si>
  <si>
    <t>Model_303</t>
  </si>
  <si>
    <t>Model_839</t>
  </si>
  <si>
    <t>Model_447</t>
  </si>
  <si>
    <t>Model_660</t>
  </si>
  <si>
    <t>Model_915</t>
  </si>
  <si>
    <t>Model_995</t>
  </si>
  <si>
    <t>Model_399</t>
  </si>
  <si>
    <t>Model_227</t>
  </si>
  <si>
    <t>Model_298</t>
  </si>
  <si>
    <t>Model_765</t>
  </si>
  <si>
    <t>Model_592</t>
  </si>
  <si>
    <t>Model_824</t>
  </si>
  <si>
    <t>Model_289</t>
  </si>
  <si>
    <t>Model_834</t>
  </si>
  <si>
    <t>Model_881</t>
  </si>
  <si>
    <t>Model_550</t>
  </si>
  <si>
    <t>Model_744</t>
  </si>
  <si>
    <t>Model_642</t>
  </si>
  <si>
    <t>Model_418</t>
  </si>
  <si>
    <t>Model_600</t>
  </si>
  <si>
    <t>Model_328</t>
  </si>
  <si>
    <t>Model_728</t>
  </si>
  <si>
    <t>Model_193</t>
  </si>
  <si>
    <t>Model_586</t>
  </si>
  <si>
    <t>Model_373</t>
  </si>
  <si>
    <t>Model_909</t>
  </si>
  <si>
    <t>Model_527</t>
  </si>
  <si>
    <t>Model_508</t>
  </si>
  <si>
    <t>Model_134</t>
  </si>
  <si>
    <t>Model_729</t>
  </si>
  <si>
    <t>Model_563</t>
  </si>
  <si>
    <t>Model_357</t>
  </si>
  <si>
    <t>Model_127</t>
  </si>
  <si>
    <t>Model_822</t>
  </si>
  <si>
    <t>Model_655</t>
  </si>
  <si>
    <t>Model_748</t>
  </si>
  <si>
    <t>Model_224</t>
  </si>
  <si>
    <t>Model_291</t>
  </si>
  <si>
    <t>Model_534</t>
  </si>
  <si>
    <t>Model_680</t>
  </si>
  <si>
    <t>Model_889</t>
  </si>
  <si>
    <t>Model_136</t>
  </si>
  <si>
    <t>Model_761</t>
  </si>
  <si>
    <t>Model_667</t>
  </si>
  <si>
    <t>Model_948</t>
  </si>
  <si>
    <t>Model_773</t>
  </si>
  <si>
    <t>Model_190</t>
  </si>
  <si>
    <t>Model_731</t>
  </si>
  <si>
    <t>Model_802</t>
  </si>
  <si>
    <t>Model_564</t>
  </si>
  <si>
    <t>Model_620</t>
  </si>
  <si>
    <t>Model_410</t>
  </si>
  <si>
    <t>Model_709</t>
  </si>
  <si>
    <t>Model_429</t>
  </si>
  <si>
    <t>Model_612</t>
  </si>
  <si>
    <t>Model_155</t>
  </si>
  <si>
    <t>Model_392</t>
  </si>
  <si>
    <t>Model_568</t>
  </si>
  <si>
    <t>Model_315</t>
  </si>
  <si>
    <t>Model_413</t>
  </si>
  <si>
    <t>Model_845</t>
  </si>
  <si>
    <t>Model_764</t>
  </si>
  <si>
    <t>Model_116</t>
  </si>
  <si>
    <t>Model_798</t>
  </si>
  <si>
    <t>Model_477</t>
  </si>
  <si>
    <t>Model_183</t>
  </si>
  <si>
    <t>Model_937</t>
  </si>
  <si>
    <t>Model_624</t>
  </si>
  <si>
    <t>Model_213</t>
  </si>
  <si>
    <t>Model_178</t>
  </si>
  <si>
    <t>Model_203</t>
  </si>
  <si>
    <t>Model_598</t>
  </si>
  <si>
    <t>Model_866</t>
  </si>
  <si>
    <t>Model_446</t>
  </si>
  <si>
    <t>Model_102</t>
  </si>
  <si>
    <t>Model_813</t>
  </si>
  <si>
    <t>Model_571</t>
  </si>
  <si>
    <t>Model_694</t>
  </si>
  <si>
    <t>Model_812</t>
  </si>
  <si>
    <t>Model_310</t>
  </si>
  <si>
    <t>Model_435</t>
  </si>
  <si>
    <t>Model_411</t>
  </si>
  <si>
    <t>Model_905</t>
  </si>
  <si>
    <t>Model_542</t>
  </si>
  <si>
    <t>Model_632</t>
  </si>
  <si>
    <t>Model_981</t>
  </si>
  <si>
    <t>Model_648</t>
  </si>
  <si>
    <t>Model_768</t>
  </si>
  <si>
    <t>Model_807</t>
  </si>
  <si>
    <t>Model_107</t>
  </si>
  <si>
    <t>Model_499</t>
  </si>
  <si>
    <t>Model_808</t>
  </si>
  <si>
    <t>Model_968</t>
  </si>
  <si>
    <t>Model_448</t>
  </si>
  <si>
    <t>Model_679</t>
  </si>
  <si>
    <t>Model_276</t>
  </si>
  <si>
    <t>Model_101</t>
  </si>
  <si>
    <t>Model_548</t>
  </si>
  <si>
    <t>Model_935</t>
  </si>
  <si>
    <t>Model_369</t>
  </si>
  <si>
    <t>Model_498</t>
  </si>
  <si>
    <t>Model_687</t>
  </si>
  <si>
    <t>Model_245</t>
  </si>
  <si>
    <t>Model_994</t>
  </si>
  <si>
    <t>Model_434</t>
  </si>
  <si>
    <t>Model_863</t>
  </si>
  <si>
    <t>Model_254</t>
  </si>
  <si>
    <t>Model_919</t>
  </si>
  <si>
    <t>Model_753</t>
  </si>
  <si>
    <t>Model_895</t>
  </si>
  <si>
    <t>Model_967</t>
  </si>
  <si>
    <t>Model_207</t>
  </si>
  <si>
    <t>Model_588</t>
  </si>
  <si>
    <t>Model_760</t>
  </si>
  <si>
    <t>Model_356</t>
  </si>
  <si>
    <t>Model_104</t>
  </si>
  <si>
    <t>Model_700</t>
  </si>
  <si>
    <t>Model_130</t>
  </si>
  <si>
    <t>Model_707</t>
  </si>
  <si>
    <t>Model_284</t>
  </si>
  <si>
    <t>Model_164</t>
  </si>
  <si>
    <t>Model_501</t>
  </si>
  <si>
    <t>Model_809</t>
  </si>
  <si>
    <t>Model_894</t>
  </si>
  <si>
    <t>Model_112</t>
  </si>
  <si>
    <t>Model_750</t>
  </si>
  <si>
    <t>Model_675</t>
  </si>
  <si>
    <t>Model_126</t>
  </si>
  <si>
    <t>Model_914</t>
  </si>
  <si>
    <t>Model_776</t>
  </si>
  <si>
    <t>Model_422</t>
  </si>
  <si>
    <t>Model_515</t>
  </si>
  <si>
    <t>Model_996</t>
  </si>
  <si>
    <t>Model_554</t>
  </si>
  <si>
    <t>Model_511</t>
  </si>
  <si>
    <t>Model_758</t>
  </si>
  <si>
    <t>Model_623</t>
  </si>
  <si>
    <t>Model_811</t>
  </si>
  <si>
    <t>Model_395</t>
  </si>
  <si>
    <t>Model_242</t>
  </si>
  <si>
    <t>Model_458</t>
  </si>
  <si>
    <t>Model_636</t>
  </si>
  <si>
    <t>Model_882</t>
  </si>
  <si>
    <t>Model_827</t>
  </si>
  <si>
    <t>Model_629</t>
  </si>
  <si>
    <t>Model_192</t>
  </si>
  <si>
    <t>Model_309</t>
  </si>
  <si>
    <t>Model_163</t>
  </si>
  <si>
    <t>Model_704</t>
  </si>
  <si>
    <t>Model_940</t>
  </si>
  <si>
    <t>Model_685</t>
  </si>
  <si>
    <t>Model_745</t>
  </si>
  <si>
    <t>Model_974</t>
  </si>
  <si>
    <t>Model_196</t>
  </si>
  <si>
    <t>Model_775</t>
  </si>
  <si>
    <t>Model_547</t>
  </si>
  <si>
    <t>Model_922</t>
  </si>
  <si>
    <t>Model_294</t>
  </si>
  <si>
    <t>Model_436</t>
  </si>
  <si>
    <t>Model_327</t>
  </si>
  <si>
    <t>Model_262</t>
  </si>
  <si>
    <t>Model_791</t>
  </si>
  <si>
    <t>Model_662</t>
  </si>
  <si>
    <t>Model_296</t>
  </si>
  <si>
    <t>Model_300</t>
  </si>
  <si>
    <t>Model_691</t>
  </si>
  <si>
    <t>Model_756</t>
  </si>
  <si>
    <t>Model_942</t>
  </si>
  <si>
    <t>Model_923</t>
  </si>
  <si>
    <t>Model_846</t>
  </si>
  <si>
    <t>Model_820</t>
  </si>
  <si>
    <t>Model_464</t>
  </si>
  <si>
    <t>Model_480</t>
  </si>
  <si>
    <t>Model_939</t>
  </si>
  <si>
    <t>Model_176</t>
  </si>
  <si>
    <t>Model_871</t>
  </si>
  <si>
    <t>Model_261</t>
  </si>
  <si>
    <t>Model_953</t>
  </si>
  <si>
    <t>Model_929</t>
  </si>
  <si>
    <t>Model_610</t>
  </si>
  <si>
    <t>Model_516</t>
  </si>
  <si>
    <t>Model_843</t>
  </si>
  <si>
    <t>Model_345</t>
  </si>
  <si>
    <t>Model_565</t>
  </si>
  <si>
    <t>Model_956</t>
  </si>
  <si>
    <t>Model_324</t>
  </si>
  <si>
    <t>Model_577</t>
  </si>
  <si>
    <t>Model_225</t>
  </si>
  <si>
    <t>Model_605</t>
  </si>
  <si>
    <t>Model_355</t>
  </si>
  <si>
    <t>Model_904</t>
  </si>
  <si>
    <t>Model_277</t>
  </si>
  <si>
    <t>Model_401</t>
  </si>
  <si>
    <t>Model_890</t>
  </si>
  <si>
    <t>Model_206</t>
  </si>
  <si>
    <t>Model_840</t>
  </si>
  <si>
    <t>Model_897</t>
  </si>
  <si>
    <t>Model_146</t>
  </si>
  <si>
    <t>Model_924</t>
  </si>
  <si>
    <t>Model_803</t>
  </si>
  <si>
    <t>Model_228</t>
  </si>
  <si>
    <t>Model_622</t>
  </si>
  <si>
    <t>Model_688</t>
  </si>
  <si>
    <t>Model_625</t>
  </si>
  <si>
    <t>Model_873</t>
  </si>
  <si>
    <t>Model_119</t>
  </si>
  <si>
    <t>Model_950</t>
  </si>
  <si>
    <t>Model_153</t>
  </si>
  <si>
    <t>Model_212</t>
  </si>
  <si>
    <t>Model_930</t>
  </si>
  <si>
    <t>Model_120</t>
  </si>
  <si>
    <t>Model_340</t>
  </si>
  <si>
    <t>Model_980</t>
  </si>
  <si>
    <t>Model_965</t>
  </si>
  <si>
    <t>Model_997</t>
  </si>
  <si>
    <t>Model_829</t>
  </si>
  <si>
    <t>Model_982</t>
  </si>
  <si>
    <t>Model_484</t>
  </si>
  <si>
    <t>Model_419</t>
  </si>
  <si>
    <t>Model_861</t>
  </si>
  <si>
    <t>Model_712</t>
  </si>
  <si>
    <t>Model_594</t>
  </si>
  <si>
    <t>Model_474</t>
  </si>
  <si>
    <t>Model_187</t>
  </si>
  <si>
    <t>Model_552</t>
  </si>
  <si>
    <t>Model_259</t>
  </si>
  <si>
    <t>Model_500</t>
  </si>
  <si>
    <t>Model_165</t>
  </si>
  <si>
    <t>Model_670</t>
  </si>
  <si>
    <t>Model_535</t>
  </si>
  <si>
    <t>Model_292</t>
  </si>
  <si>
    <t>Model_705</t>
  </si>
  <si>
    <t>Model_265</t>
  </si>
  <si>
    <t>Model_907</t>
  </si>
  <si>
    <t>Model_742</t>
  </si>
  <si>
    <t>Model_286</t>
  </si>
  <si>
    <t>Model_991</t>
  </si>
  <si>
    <t>Model_717</t>
  </si>
  <si>
    <t>Model_983</t>
  </si>
  <si>
    <t>Model_526</t>
  </si>
  <si>
    <t>Model_538</t>
  </si>
  <si>
    <t>Model_312</t>
  </si>
  <si>
    <t>Model_149</t>
  </si>
  <si>
    <t>Model_137</t>
  </si>
  <si>
    <t>Model_299</t>
  </si>
  <si>
    <t>Model_123</t>
  </si>
  <si>
    <t>Model_370</t>
  </si>
  <si>
    <t>Model_138</t>
  </si>
  <si>
    <t>Model_524</t>
  </si>
  <si>
    <t>Model_830</t>
  </si>
  <si>
    <t>Model_377</t>
  </si>
  <si>
    <t>Model_514</t>
  </si>
  <si>
    <t>Model_210</t>
  </si>
  <si>
    <t>Headphones</t>
  </si>
  <si>
    <t>Speakers</t>
  </si>
  <si>
    <t>Smartwatches</t>
  </si>
  <si>
    <t>East</t>
  </si>
  <si>
    <t>South</t>
  </si>
  <si>
    <t>North</t>
  </si>
  <si>
    <t>West</t>
  </si>
  <si>
    <t>Q3</t>
  </si>
  <si>
    <t>Q2</t>
  </si>
  <si>
    <t>Q1</t>
  </si>
  <si>
    <t>Q4</t>
  </si>
  <si>
    <t>profit</t>
  </si>
  <si>
    <t>profit margin</t>
  </si>
  <si>
    <t>Row Labels</t>
  </si>
  <si>
    <t>Sum of profit</t>
  </si>
  <si>
    <t>Grand Total</t>
  </si>
  <si>
    <t>Sum of Units_Sold</t>
  </si>
  <si>
    <t>Column Labels</t>
  </si>
  <si>
    <t>Total Sum of profit</t>
  </si>
  <si>
    <t>Total Sum of Units_Sold</t>
  </si>
  <si>
    <t>total re</t>
  </si>
  <si>
    <t>Total Average of Stockout_Days</t>
  </si>
  <si>
    <t>Average of Stockout_Days</t>
  </si>
  <si>
    <t>Total Average of Inventory_Level</t>
  </si>
  <si>
    <t>Average of Inventory_Level</t>
  </si>
  <si>
    <t>inventry trunover</t>
  </si>
  <si>
    <t>Total Average of Selling_Price_per_Unit</t>
  </si>
  <si>
    <t>Average of Selling_Price_per_Unit</t>
  </si>
  <si>
    <t>Total Average of Customer_Rating</t>
  </si>
  <si>
    <t>Average of Customer_Rating</t>
  </si>
  <si>
    <t>Total Sum of Marketing_Spend</t>
  </si>
  <si>
    <t>Sum of Marketing_Spend</t>
  </si>
  <si>
    <t>adv roi</t>
  </si>
  <si>
    <t>Average of adv roi</t>
  </si>
  <si>
    <t>in problem one firstly we find out the total profit . Then we make the pivot table by using and number of Total units sold and category after that V analyse that speaker category gives more profit and sell less number of quantity which means speaker category provides large profit Margin .</t>
  </si>
  <si>
    <t>In second process we find out the average stock out days and average inventory level by using Pviot table and we also and pure table and reason and category so we analyse that the overall stock out period 9.9 and the average total inventory level is 4994. After the VN highlight the stock of days and inventory level by using conditional formatting to know where win need to improve our performance. To improve the performance we need to use the Justin Time model this model is very famous model of operation and supply chain management by which company manage their inventory level and stock basically the company use kept in days model but here the average in stock out days is 10 days so we use a 5 days inventory model here to manage the inventory stock and out of stock for a particular area</t>
  </si>
  <si>
    <t>Third process needs to find out the visability of a product in the particular area of the particular then we need to make a pivot table product MP Board paper we need to add a product name reason market expand customer rating unit sold. The average rating point is 3.12 so be analysed only the smartphones have more visibility then the average visibility of all product so we need to more focus es of the smartwatch but smart watch also have large market spend means large advertising price. According to the analysis rating of headphone is 3 points 07 and less spending or market price compare to others so we need to focus on that.</t>
  </si>
  <si>
    <t>Calculate the return of investment advertising after that we make a pivot table then the average 33.6% and be analyse that the headphone have lowest 25.9   in the headphones in advertising less return more investment  but in speaker category we have highest 39% which is more than 6% then the average so we need to invest more in speakers then we get more profit</t>
  </si>
  <si>
    <t>According to your problem we don't need to launch the new product of the same category because if you launched the new product of same category then the sales will distributed with another category also but the profit is not increases even profit is decreasing because the marketing price also increases by doing advertisement and promotions.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</si>
</sst>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4" x14ac:knownFonts="1">
    <font>
      <sz val="11"/>
      <color theme="1"/>
      <name val="Calibri"/>
      <family val="2"/>
      <scheme val="minor"/>
    </font>
    <font>
      <b/>
      <sz val="11"/>
      <color theme="1"/>
      <name val="Aptos"/>
      <family val="2"/>
    </font>
    <font>
      <sz val="11"/>
      <color theme="1"/>
      <name val="Aptos"/>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bgColor theme="4" tint="0.59999389629810485"/>
      </patternFill>
    </fill>
    <fill>
      <patternFill patternType="solid">
        <fgColor theme="0"/>
        <bgColor theme="4" tint="0.79998168889431442"/>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2" fillId="0" borderId="0" xfId="0" applyFont="1"/>
    <xf numFmtId="0" fontId="1" fillId="0" borderId="1" xfId="0" applyFont="1" applyBorder="1" applyAlignment="1">
      <alignment horizontal="center" vertical="top"/>
    </xf>
    <xf numFmtId="0" fontId="2" fillId="0" borderId="0" xfId="1" applyNumberFormat="1" applyFont="1"/>
    <xf numFmtId="0" fontId="0" fillId="0" borderId="0" xfId="0" pivotButton="1"/>
    <xf numFmtId="0" fontId="0" fillId="0" borderId="0" xfId="0" applyAlignment="1">
      <alignment horizontal="left"/>
    </xf>
    <xf numFmtId="164" fontId="2" fillId="0" borderId="0" xfId="0" applyNumberFormat="1" applyFont="1"/>
    <xf numFmtId="2" fontId="2" fillId="0" borderId="0" xfId="0" applyNumberFormat="1" applyFont="1"/>
    <xf numFmtId="165" fontId="2" fillId="0" borderId="0" xfId="0" applyNumberFormat="1" applyFont="1"/>
    <xf numFmtId="165" fontId="0" fillId="0" borderId="0" xfId="0" applyNumberFormat="1"/>
    <xf numFmtId="0" fontId="0" fillId="0" borderId="0" xfId="0" applyAlignment="1">
      <alignment wrapText="1"/>
    </xf>
    <xf numFmtId="0" fontId="0" fillId="0" borderId="0" xfId="0" applyAlignment="1">
      <alignment vertical="center" wrapText="1"/>
    </xf>
    <xf numFmtId="0" fontId="0" fillId="0" borderId="0" xfId="0" applyAlignment="1">
      <alignment vertical="top"/>
    </xf>
    <xf numFmtId="0" fontId="0" fillId="2" borderId="2" xfId="0" applyFill="1" applyBorder="1" applyAlignment="1">
      <alignment horizontal="left"/>
    </xf>
    <xf numFmtId="0" fontId="0" fillId="2" borderId="2" xfId="0" applyFill="1" applyBorder="1"/>
    <xf numFmtId="0" fontId="2" fillId="3" borderId="2" xfId="0" applyFont="1" applyFill="1" applyBorder="1"/>
    <xf numFmtId="0" fontId="2" fillId="4" borderId="2" xfId="0" applyFont="1" applyFill="1" applyBorder="1"/>
    <xf numFmtId="0" fontId="0" fillId="0" borderId="2" xfId="0" applyFill="1" applyBorder="1"/>
    <xf numFmtId="0" fontId="2" fillId="0" borderId="2" xfId="0" applyFont="1" applyFill="1" applyBorder="1"/>
    <xf numFmtId="0" fontId="0" fillId="0" borderId="3" xfId="0" applyBorder="1"/>
    <xf numFmtId="0" fontId="0" fillId="2" borderId="4" xfId="0" applyFill="1" applyBorder="1"/>
    <xf numFmtId="0" fontId="2" fillId="3" borderId="4" xfId="0" applyFont="1" applyFill="1" applyBorder="1"/>
    <xf numFmtId="0" fontId="2" fillId="4" borderId="4" xfId="0" applyFont="1" applyFill="1" applyBorder="1"/>
  </cellXfs>
  <cellStyles count="2">
    <cellStyle name="Normal" xfId="0" builtinId="0"/>
    <cellStyle name="Percent" xfId="1" builtinId="5"/>
  </cellStyles>
  <dxfs count="28">
    <dxf>
      <font>
        <b val="0"/>
        <i val="0"/>
        <strike val="0"/>
        <condense val="0"/>
        <extend val="0"/>
        <outline val="0"/>
        <shadow val="0"/>
        <u val="none"/>
        <vertAlign val="baseline"/>
        <sz val="11"/>
        <color theme="1"/>
        <name val="Aptos"/>
        <family val="2"/>
        <scheme val="none"/>
      </font>
      <numFmt numFmtId="165" formatCode="0.0"/>
    </dxf>
    <dxf>
      <font>
        <b val="0"/>
        <i val="0"/>
        <strike val="0"/>
        <condense val="0"/>
        <extend val="0"/>
        <outline val="0"/>
        <shadow val="0"/>
        <u val="none"/>
        <vertAlign val="baseline"/>
        <sz val="11"/>
        <color theme="1"/>
        <name val="Aptos"/>
        <family val="2"/>
        <scheme val="none"/>
      </font>
      <numFmt numFmtId="2" formatCode="0.00"/>
    </dxf>
    <dxf>
      <font>
        <b val="0"/>
        <i val="0"/>
        <strike val="0"/>
        <condense val="0"/>
        <extend val="0"/>
        <outline val="0"/>
        <shadow val="0"/>
        <u val="none"/>
        <vertAlign val="baseline"/>
        <sz val="11"/>
        <color theme="1"/>
        <name val="Aptos"/>
        <family val="2"/>
        <scheme val="none"/>
      </font>
      <numFmt numFmtId="164" formatCode="&quot;₹&quot;\ #,##0.00"/>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border outline="0">
        <top style="thin">
          <color auto="1"/>
        </top>
      </border>
    </dxf>
    <dxf>
      <font>
        <b val="0"/>
        <i val="0"/>
        <strike val="0"/>
        <condense val="0"/>
        <extend val="0"/>
        <outline val="0"/>
        <shadow val="0"/>
        <u val="none"/>
        <vertAlign val="baseline"/>
        <sz val="11"/>
        <color theme="1"/>
        <name val="Aptos"/>
        <family val="2"/>
        <scheme val="none"/>
      </font>
    </dxf>
    <dxf>
      <border outline="0">
        <bottom style="thin">
          <color auto="1"/>
        </bottom>
      </border>
    </dxf>
    <dxf>
      <font>
        <b/>
        <i val="0"/>
        <strike val="0"/>
        <condense val="0"/>
        <extend val="0"/>
        <outline val="0"/>
        <shadow val="0"/>
        <u val="none"/>
        <vertAlign val="baseline"/>
        <sz val="11"/>
        <color theme="1"/>
        <name val="Aptos"/>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[Product_Performance_Analysis_Data(1).xlsx]Inventory_Stockout_Analysis!PivotTable4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Inventory_Stockout_Analysis!$B$3:$B$5</c:f>
              <c:strCache>
                <c:ptCount val="1"/>
                <c:pt idx="0">
                  <c:v>East - Average of Stockout_Days</c:v>
                </c:pt>
              </c:strCache>
            </c:strRef>
          </c:tx>
          <c:spPr>
            <a:solidFill>
              <a:schemeClr val="accent1"/>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Inventory_Stockout_Analysis!$B$6:$B$9</c:f>
              <c:numCache>
                <c:formatCode>General</c:formatCode>
                <c:ptCount val="3"/>
                <c:pt idx="0">
                  <c:v>10.13953488372093</c:v>
                </c:pt>
                <c:pt idx="1">
                  <c:v>10.393258426966293</c:v>
                </c:pt>
                <c:pt idx="2">
                  <c:v>9.6428571428571423</c:v>
                </c:pt>
              </c:numCache>
            </c:numRef>
          </c:val>
          <c:extLst>
            <c:ext xmlns:c16="http://schemas.microsoft.com/office/drawing/2014/chart" uri="{C3380CC4-5D6E-409C-BE32-E72D297353CC}">
              <c16:uniqueId val="{00000000-3BC3-43F9-A5E3-62F67A6937EA}"/>
            </c:ext>
          </c:extLst>
        </c:ser>
        <c:ser>
          <c:idx val="1"/>
          <c:order val="1"/>
          <c:tx>
            <c:strRef>
              <c:f>Inventory_Stockout_Analysis!$C$3:$C$5</c:f>
              <c:strCache>
                <c:ptCount val="1"/>
                <c:pt idx="0">
                  <c:v>East - Average of Inventory_Level</c:v>
                </c:pt>
              </c:strCache>
            </c:strRef>
          </c:tx>
          <c:spPr>
            <a:solidFill>
              <a:schemeClr val="accent2"/>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Inventory_Stockout_Analysis!$C$6:$C$9</c:f>
              <c:numCache>
                <c:formatCode>General</c:formatCode>
                <c:ptCount val="3"/>
                <c:pt idx="0">
                  <c:v>5096.9302325581393</c:v>
                </c:pt>
                <c:pt idx="1">
                  <c:v>5160.4157303370785</c:v>
                </c:pt>
                <c:pt idx="2">
                  <c:v>4770.1632653061224</c:v>
                </c:pt>
              </c:numCache>
            </c:numRef>
          </c:val>
          <c:extLst>
            <c:ext xmlns:c16="http://schemas.microsoft.com/office/drawing/2014/chart" uri="{C3380CC4-5D6E-409C-BE32-E72D297353CC}">
              <c16:uniqueId val="{00000001-3BC3-43F9-A5E3-62F67A6937EA}"/>
            </c:ext>
          </c:extLst>
        </c:ser>
        <c:ser>
          <c:idx val="2"/>
          <c:order val="2"/>
          <c:tx>
            <c:strRef>
              <c:f>Inventory_Stockout_Analysis!$D$3:$D$5</c:f>
              <c:strCache>
                <c:ptCount val="1"/>
                <c:pt idx="0">
                  <c:v>North - Average of Stockout_Days</c:v>
                </c:pt>
              </c:strCache>
            </c:strRef>
          </c:tx>
          <c:spPr>
            <a:solidFill>
              <a:schemeClr val="accent3"/>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Inventory_Stockout_Analysis!$D$6:$D$9</c:f>
              <c:numCache>
                <c:formatCode>General</c:formatCode>
                <c:ptCount val="3"/>
                <c:pt idx="0">
                  <c:v>10.513513513513514</c:v>
                </c:pt>
                <c:pt idx="1">
                  <c:v>9.3372093023255811</c:v>
                </c:pt>
                <c:pt idx="2">
                  <c:v>10.605633802816902</c:v>
                </c:pt>
              </c:numCache>
            </c:numRef>
          </c:val>
          <c:extLst>
            <c:ext xmlns:c16="http://schemas.microsoft.com/office/drawing/2014/chart" uri="{C3380CC4-5D6E-409C-BE32-E72D297353CC}">
              <c16:uniqueId val="{00000002-3BC3-43F9-A5E3-62F67A6937EA}"/>
            </c:ext>
          </c:extLst>
        </c:ser>
        <c:ser>
          <c:idx val="3"/>
          <c:order val="3"/>
          <c:tx>
            <c:strRef>
              <c:f>Inventory_Stockout_Analysis!$E$3:$E$5</c:f>
              <c:strCache>
                <c:ptCount val="1"/>
                <c:pt idx="0">
                  <c:v>North - Average of Inventory_Level</c:v>
                </c:pt>
              </c:strCache>
            </c:strRef>
          </c:tx>
          <c:spPr>
            <a:solidFill>
              <a:schemeClr val="accent4"/>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Inventory_Stockout_Analysis!$E$6:$E$9</c:f>
              <c:numCache>
                <c:formatCode>General</c:formatCode>
                <c:ptCount val="3"/>
                <c:pt idx="0">
                  <c:v>5323.9189189189192</c:v>
                </c:pt>
                <c:pt idx="1">
                  <c:v>4544.3372093023254</c:v>
                </c:pt>
                <c:pt idx="2">
                  <c:v>4895.859154929577</c:v>
                </c:pt>
              </c:numCache>
            </c:numRef>
          </c:val>
          <c:extLst>
            <c:ext xmlns:c16="http://schemas.microsoft.com/office/drawing/2014/chart" uri="{C3380CC4-5D6E-409C-BE32-E72D297353CC}">
              <c16:uniqueId val="{00000003-3BC3-43F9-A5E3-62F67A6937EA}"/>
            </c:ext>
          </c:extLst>
        </c:ser>
        <c:ser>
          <c:idx val="4"/>
          <c:order val="4"/>
          <c:tx>
            <c:strRef>
              <c:f>Inventory_Stockout_Analysis!$F$3:$F$5</c:f>
              <c:strCache>
                <c:ptCount val="1"/>
                <c:pt idx="0">
                  <c:v>South - Average of Stockout_Days</c:v>
                </c:pt>
              </c:strCache>
            </c:strRef>
          </c:tx>
          <c:spPr>
            <a:solidFill>
              <a:schemeClr val="accent5"/>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Inventory_Stockout_Analysis!$F$6:$F$9</c:f>
              <c:numCache>
                <c:formatCode>General</c:formatCode>
                <c:ptCount val="3"/>
                <c:pt idx="0">
                  <c:v>10.379310344827585</c:v>
                </c:pt>
                <c:pt idx="1">
                  <c:v>8.9444444444444446</c:v>
                </c:pt>
                <c:pt idx="2">
                  <c:v>8.6341463414634152</c:v>
                </c:pt>
              </c:numCache>
            </c:numRef>
          </c:val>
          <c:extLst>
            <c:ext xmlns:c16="http://schemas.microsoft.com/office/drawing/2014/chart" uri="{C3380CC4-5D6E-409C-BE32-E72D297353CC}">
              <c16:uniqueId val="{00000004-3BC3-43F9-A5E3-62F67A6937EA}"/>
            </c:ext>
          </c:extLst>
        </c:ser>
        <c:ser>
          <c:idx val="5"/>
          <c:order val="5"/>
          <c:tx>
            <c:strRef>
              <c:f>Inventory_Stockout_Analysis!$G$3:$G$5</c:f>
              <c:strCache>
                <c:ptCount val="1"/>
                <c:pt idx="0">
                  <c:v>South - Average of Inventory_Level</c:v>
                </c:pt>
              </c:strCache>
            </c:strRef>
          </c:tx>
          <c:spPr>
            <a:solidFill>
              <a:schemeClr val="accent6"/>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Inventory_Stockout_Analysis!$G$6:$G$9</c:f>
              <c:numCache>
                <c:formatCode>General</c:formatCode>
                <c:ptCount val="3"/>
                <c:pt idx="0">
                  <c:v>5335.0919540229888</c:v>
                </c:pt>
                <c:pt idx="1">
                  <c:v>4574.041666666667</c:v>
                </c:pt>
                <c:pt idx="2">
                  <c:v>5532.9512195121952</c:v>
                </c:pt>
              </c:numCache>
            </c:numRef>
          </c:val>
          <c:extLst>
            <c:ext xmlns:c16="http://schemas.microsoft.com/office/drawing/2014/chart" uri="{C3380CC4-5D6E-409C-BE32-E72D297353CC}">
              <c16:uniqueId val="{00000005-3BC3-43F9-A5E3-62F67A6937EA}"/>
            </c:ext>
          </c:extLst>
        </c:ser>
        <c:ser>
          <c:idx val="6"/>
          <c:order val="6"/>
          <c:tx>
            <c:strRef>
              <c:f>Inventory_Stockout_Analysis!$H$3:$H$5</c:f>
              <c:strCache>
                <c:ptCount val="1"/>
                <c:pt idx="0">
                  <c:v>West - Average of Stockout_Days</c:v>
                </c:pt>
              </c:strCache>
            </c:strRef>
          </c:tx>
          <c:spPr>
            <a:solidFill>
              <a:schemeClr val="accent1">
                <a:lumMod val="60000"/>
              </a:schemeClr>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Inventory_Stockout_Analysis!$H$6:$H$9</c:f>
              <c:numCache>
                <c:formatCode>General</c:formatCode>
                <c:ptCount val="3"/>
                <c:pt idx="0">
                  <c:v>10.183908045977011</c:v>
                </c:pt>
                <c:pt idx="1">
                  <c:v>10.428571428571429</c:v>
                </c:pt>
                <c:pt idx="2">
                  <c:v>9.7402597402597397</c:v>
                </c:pt>
              </c:numCache>
            </c:numRef>
          </c:val>
          <c:extLst>
            <c:ext xmlns:c16="http://schemas.microsoft.com/office/drawing/2014/chart" uri="{C3380CC4-5D6E-409C-BE32-E72D297353CC}">
              <c16:uniqueId val="{00000006-3BC3-43F9-A5E3-62F67A6937EA}"/>
            </c:ext>
          </c:extLst>
        </c:ser>
        <c:ser>
          <c:idx val="7"/>
          <c:order val="7"/>
          <c:tx>
            <c:strRef>
              <c:f>Inventory_Stockout_Analysis!$I$3:$I$5</c:f>
              <c:strCache>
                <c:ptCount val="1"/>
                <c:pt idx="0">
                  <c:v>West - Average of Inventory_Level</c:v>
                </c:pt>
              </c:strCache>
            </c:strRef>
          </c:tx>
          <c:spPr>
            <a:solidFill>
              <a:schemeClr val="accent2">
                <a:lumMod val="60000"/>
              </a:schemeClr>
            </a:solidFill>
            <a:ln>
              <a:noFill/>
            </a:ln>
            <a:effectLst/>
            <a:sp3d/>
          </c:spPr>
          <c:invertIfNegative val="0"/>
          <c:cat>
            <c:strRef>
              <c:f>Inventory_Stockout_Analysis!$A$6:$A$9</c:f>
              <c:strCache>
                <c:ptCount val="3"/>
                <c:pt idx="0">
                  <c:v>Headphones</c:v>
                </c:pt>
                <c:pt idx="1">
                  <c:v>Smartwatches</c:v>
                </c:pt>
                <c:pt idx="2">
                  <c:v>Speakers</c:v>
                </c:pt>
              </c:strCache>
            </c:strRef>
          </c:cat>
          <c:val>
            <c:numRef>
              <c:f>Inventory_Stockout_Analysis!$I$6:$I$9</c:f>
              <c:numCache>
                <c:formatCode>General</c:formatCode>
                <c:ptCount val="3"/>
                <c:pt idx="0">
                  <c:v>4524.2413793103451</c:v>
                </c:pt>
                <c:pt idx="1">
                  <c:v>5026.3406593406589</c:v>
                </c:pt>
                <c:pt idx="2">
                  <c:v>5185.4285714285716</c:v>
                </c:pt>
              </c:numCache>
            </c:numRef>
          </c:val>
          <c:extLst>
            <c:ext xmlns:c16="http://schemas.microsoft.com/office/drawing/2014/chart" uri="{C3380CC4-5D6E-409C-BE32-E72D297353CC}">
              <c16:uniqueId val="{00000007-3BC3-43F9-A5E3-62F67A6937EA}"/>
            </c:ext>
          </c:extLst>
        </c:ser>
        <c:dLbls>
          <c:showLegendKey val="0"/>
          <c:showVal val="0"/>
          <c:showCatName val="0"/>
          <c:showSerName val="0"/>
          <c:showPercent val="0"/>
          <c:showBubbleSize val="0"/>
        </c:dLbls>
        <c:gapWidth val="150"/>
        <c:shape val="box"/>
        <c:axId val="1577469295"/>
        <c:axId val="1577461615"/>
        <c:axId val="0"/>
      </c:bar3DChart>
      <c:catAx>
        <c:axId val="157746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61615"/>
        <c:crosses val="autoZero"/>
        <c:auto val="1"/>
        <c:lblAlgn val="ctr"/>
        <c:lblOffset val="100"/>
        <c:noMultiLvlLbl val="0"/>
      </c:catAx>
      <c:valAx>
        <c:axId val="157746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[Product_Performance_Analysis_Data(1).xlsx]Product_Performance_Comparison!PivotTable6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Product_Performance_Comparison!$B$3:$B$5</c:f>
              <c:strCache>
                <c:ptCount val="1"/>
                <c:pt idx="0">
                  <c:v>East - Sum of Units_Sold</c:v>
                </c:pt>
              </c:strCache>
            </c:strRef>
          </c:tx>
          <c:spPr>
            <a:solidFill>
              <a:schemeClr val="accent1"/>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Product_Performance_Comparison!$B$6:$B$9</c:f>
              <c:numCache>
                <c:formatCode>General</c:formatCode>
                <c:ptCount val="3"/>
                <c:pt idx="0">
                  <c:v>218816</c:v>
                </c:pt>
                <c:pt idx="1">
                  <c:v>231890</c:v>
                </c:pt>
                <c:pt idx="2">
                  <c:v>244937</c:v>
                </c:pt>
              </c:numCache>
            </c:numRef>
          </c:val>
          <c:extLst>
            <c:ext xmlns:c16="http://schemas.microsoft.com/office/drawing/2014/chart" uri="{C3380CC4-5D6E-409C-BE32-E72D297353CC}">
              <c16:uniqueId val="{00000000-9EFC-4A5F-9736-6D7F5F82B7B4}"/>
            </c:ext>
          </c:extLst>
        </c:ser>
        <c:ser>
          <c:idx val="1"/>
          <c:order val="1"/>
          <c:tx>
            <c:strRef>
              <c:f>Product_Performance_Comparison!$C$3:$C$5</c:f>
              <c:strCache>
                <c:ptCount val="1"/>
                <c:pt idx="0">
                  <c:v>East - Average of Selling_Price_per_Unit</c:v>
                </c:pt>
              </c:strCache>
            </c:strRef>
          </c:tx>
          <c:spPr>
            <a:solidFill>
              <a:schemeClr val="accent2"/>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Product_Performance_Comparison!$C$6:$C$9</c:f>
              <c:numCache>
                <c:formatCode>General</c:formatCode>
                <c:ptCount val="3"/>
                <c:pt idx="0">
                  <c:v>10094.639534883721</c:v>
                </c:pt>
                <c:pt idx="1">
                  <c:v>9685.3707865168544</c:v>
                </c:pt>
                <c:pt idx="2">
                  <c:v>11054.091836734693</c:v>
                </c:pt>
              </c:numCache>
            </c:numRef>
          </c:val>
          <c:extLst>
            <c:ext xmlns:c16="http://schemas.microsoft.com/office/drawing/2014/chart" uri="{C3380CC4-5D6E-409C-BE32-E72D297353CC}">
              <c16:uniqueId val="{00000001-9EFC-4A5F-9736-6D7F5F82B7B4}"/>
            </c:ext>
          </c:extLst>
        </c:ser>
        <c:ser>
          <c:idx val="2"/>
          <c:order val="2"/>
          <c:tx>
            <c:strRef>
              <c:f>Product_Performance_Comparison!$D$3:$D$5</c:f>
              <c:strCache>
                <c:ptCount val="1"/>
                <c:pt idx="0">
                  <c:v>East - Average of Customer_Rating</c:v>
                </c:pt>
              </c:strCache>
            </c:strRef>
          </c:tx>
          <c:spPr>
            <a:solidFill>
              <a:schemeClr val="accent3"/>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Product_Performance_Comparison!$D$6:$D$9</c:f>
              <c:numCache>
                <c:formatCode>General</c:formatCode>
                <c:ptCount val="3"/>
                <c:pt idx="0">
                  <c:v>3.0534883720930242</c:v>
                </c:pt>
                <c:pt idx="1">
                  <c:v>3.150561797752808</c:v>
                </c:pt>
                <c:pt idx="2">
                  <c:v>3.0540816326530624</c:v>
                </c:pt>
              </c:numCache>
            </c:numRef>
          </c:val>
          <c:extLst>
            <c:ext xmlns:c16="http://schemas.microsoft.com/office/drawing/2014/chart" uri="{C3380CC4-5D6E-409C-BE32-E72D297353CC}">
              <c16:uniqueId val="{00000002-9EFC-4A5F-9736-6D7F5F82B7B4}"/>
            </c:ext>
          </c:extLst>
        </c:ser>
        <c:ser>
          <c:idx val="3"/>
          <c:order val="3"/>
          <c:tx>
            <c:strRef>
              <c:f>Product_Performance_Comparison!$E$3:$E$5</c:f>
              <c:strCache>
                <c:ptCount val="1"/>
                <c:pt idx="0">
                  <c:v>East - Sum of Marketing_Spend</c:v>
                </c:pt>
              </c:strCache>
            </c:strRef>
          </c:tx>
          <c:spPr>
            <a:solidFill>
              <a:schemeClr val="accent4"/>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Product_Performance_Comparison!$E$6:$E$9</c:f>
              <c:numCache>
                <c:formatCode>General</c:formatCode>
                <c:ptCount val="3"/>
                <c:pt idx="0">
                  <c:v>24380929</c:v>
                </c:pt>
                <c:pt idx="1">
                  <c:v>23949952</c:v>
                </c:pt>
                <c:pt idx="2">
                  <c:v>28888796</c:v>
                </c:pt>
              </c:numCache>
            </c:numRef>
          </c:val>
          <c:extLst>
            <c:ext xmlns:c16="http://schemas.microsoft.com/office/drawing/2014/chart" uri="{C3380CC4-5D6E-409C-BE32-E72D297353CC}">
              <c16:uniqueId val="{00000003-9EFC-4A5F-9736-6D7F5F82B7B4}"/>
            </c:ext>
          </c:extLst>
        </c:ser>
        <c:ser>
          <c:idx val="4"/>
          <c:order val="4"/>
          <c:tx>
            <c:strRef>
              <c:f>Product_Performance_Comparison!$F$3:$F$5</c:f>
              <c:strCache>
                <c:ptCount val="1"/>
                <c:pt idx="0">
                  <c:v>North - Sum of Units_Sold</c:v>
                </c:pt>
              </c:strCache>
            </c:strRef>
          </c:tx>
          <c:spPr>
            <a:solidFill>
              <a:schemeClr val="accent5"/>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Product_Performance_Comparison!$F$6:$F$9</c:f>
              <c:numCache>
                <c:formatCode>General</c:formatCode>
                <c:ptCount val="3"/>
                <c:pt idx="0">
                  <c:v>201885</c:v>
                </c:pt>
                <c:pt idx="1">
                  <c:v>230171</c:v>
                </c:pt>
                <c:pt idx="2">
                  <c:v>186390</c:v>
                </c:pt>
              </c:numCache>
            </c:numRef>
          </c:val>
          <c:extLst>
            <c:ext xmlns:c16="http://schemas.microsoft.com/office/drawing/2014/chart" uri="{C3380CC4-5D6E-409C-BE32-E72D297353CC}">
              <c16:uniqueId val="{00000004-9EFC-4A5F-9736-6D7F5F82B7B4}"/>
            </c:ext>
          </c:extLst>
        </c:ser>
        <c:ser>
          <c:idx val="5"/>
          <c:order val="5"/>
          <c:tx>
            <c:strRef>
              <c:f>Product_Performance_Comparison!$G$3:$G$5</c:f>
              <c:strCache>
                <c:ptCount val="1"/>
                <c:pt idx="0">
                  <c:v>North - Average of Selling_Price_per_Unit</c:v>
                </c:pt>
              </c:strCache>
            </c:strRef>
          </c:tx>
          <c:spPr>
            <a:solidFill>
              <a:schemeClr val="accent6"/>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Product_Performance_Comparison!$G$6:$G$9</c:f>
              <c:numCache>
                <c:formatCode>General</c:formatCode>
                <c:ptCount val="3"/>
                <c:pt idx="0">
                  <c:v>10781.5</c:v>
                </c:pt>
                <c:pt idx="1">
                  <c:v>11097.313953488372</c:v>
                </c:pt>
                <c:pt idx="2">
                  <c:v>11428.676056338029</c:v>
                </c:pt>
              </c:numCache>
            </c:numRef>
          </c:val>
          <c:extLst>
            <c:ext xmlns:c16="http://schemas.microsoft.com/office/drawing/2014/chart" uri="{C3380CC4-5D6E-409C-BE32-E72D297353CC}">
              <c16:uniqueId val="{00000005-9EFC-4A5F-9736-6D7F5F82B7B4}"/>
            </c:ext>
          </c:extLst>
        </c:ser>
        <c:ser>
          <c:idx val="6"/>
          <c:order val="6"/>
          <c:tx>
            <c:strRef>
              <c:f>Product_Performance_Comparison!$H$3:$H$5</c:f>
              <c:strCache>
                <c:ptCount val="1"/>
                <c:pt idx="0">
                  <c:v>North - Average of Customer_Rating</c:v>
                </c:pt>
              </c:strCache>
            </c:strRef>
          </c:tx>
          <c:spPr>
            <a:solidFill>
              <a:schemeClr val="accent1">
                <a:lumMod val="6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Product_Performance_Comparison!$H$6:$H$9</c:f>
              <c:numCache>
                <c:formatCode>General</c:formatCode>
                <c:ptCount val="3"/>
                <c:pt idx="0">
                  <c:v>3.1594594594594594</c:v>
                </c:pt>
                <c:pt idx="1">
                  <c:v>2.8744186046511633</c:v>
                </c:pt>
                <c:pt idx="2">
                  <c:v>2.9140845070422525</c:v>
                </c:pt>
              </c:numCache>
            </c:numRef>
          </c:val>
          <c:extLst>
            <c:ext xmlns:c16="http://schemas.microsoft.com/office/drawing/2014/chart" uri="{C3380CC4-5D6E-409C-BE32-E72D297353CC}">
              <c16:uniqueId val="{00000006-9EFC-4A5F-9736-6D7F5F82B7B4}"/>
            </c:ext>
          </c:extLst>
        </c:ser>
        <c:ser>
          <c:idx val="7"/>
          <c:order val="7"/>
          <c:tx>
            <c:strRef>
              <c:f>Product_Performance_Comparison!$I$3:$I$5</c:f>
              <c:strCache>
                <c:ptCount val="1"/>
                <c:pt idx="0">
                  <c:v>North - Sum of Marketing_Spend</c:v>
                </c:pt>
              </c:strCache>
            </c:strRef>
          </c:tx>
          <c:spPr>
            <a:solidFill>
              <a:schemeClr val="accent2">
                <a:lumMod val="6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Product_Performance_Comparison!$I$6:$I$9</c:f>
              <c:numCache>
                <c:formatCode>General</c:formatCode>
                <c:ptCount val="3"/>
                <c:pt idx="0">
                  <c:v>21602736</c:v>
                </c:pt>
                <c:pt idx="1">
                  <c:v>23338248</c:v>
                </c:pt>
                <c:pt idx="2">
                  <c:v>19197968</c:v>
                </c:pt>
              </c:numCache>
            </c:numRef>
          </c:val>
          <c:extLst>
            <c:ext xmlns:c16="http://schemas.microsoft.com/office/drawing/2014/chart" uri="{C3380CC4-5D6E-409C-BE32-E72D297353CC}">
              <c16:uniqueId val="{00000007-9EFC-4A5F-9736-6D7F5F82B7B4}"/>
            </c:ext>
          </c:extLst>
        </c:ser>
        <c:ser>
          <c:idx val="8"/>
          <c:order val="8"/>
          <c:tx>
            <c:strRef>
              <c:f>Product_Performance_Comparison!$J$3:$J$5</c:f>
              <c:strCache>
                <c:ptCount val="1"/>
                <c:pt idx="0">
                  <c:v>South - Sum of Units_Sold</c:v>
                </c:pt>
              </c:strCache>
            </c:strRef>
          </c:tx>
          <c:spPr>
            <a:solidFill>
              <a:schemeClr val="accent3">
                <a:lumMod val="6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Product_Performance_Comparison!$J$6:$J$9</c:f>
              <c:numCache>
                <c:formatCode>General</c:formatCode>
                <c:ptCount val="3"/>
                <c:pt idx="0">
                  <c:v>230835</c:v>
                </c:pt>
                <c:pt idx="1">
                  <c:v>160020</c:v>
                </c:pt>
                <c:pt idx="2">
                  <c:v>218077</c:v>
                </c:pt>
              </c:numCache>
            </c:numRef>
          </c:val>
          <c:extLst>
            <c:ext xmlns:c16="http://schemas.microsoft.com/office/drawing/2014/chart" uri="{C3380CC4-5D6E-409C-BE32-E72D297353CC}">
              <c16:uniqueId val="{00000008-9EFC-4A5F-9736-6D7F5F82B7B4}"/>
            </c:ext>
          </c:extLst>
        </c:ser>
        <c:ser>
          <c:idx val="9"/>
          <c:order val="9"/>
          <c:tx>
            <c:strRef>
              <c:f>Product_Performance_Comparison!$K$3:$K$5</c:f>
              <c:strCache>
                <c:ptCount val="1"/>
                <c:pt idx="0">
                  <c:v>South - Average of Selling_Price_per_Unit</c:v>
                </c:pt>
              </c:strCache>
            </c:strRef>
          </c:tx>
          <c:spPr>
            <a:solidFill>
              <a:schemeClr val="accent4">
                <a:lumMod val="6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Product_Performance_Comparison!$K$6:$K$9</c:f>
              <c:numCache>
                <c:formatCode>General</c:formatCode>
                <c:ptCount val="3"/>
                <c:pt idx="0">
                  <c:v>10817.471264367816</c:v>
                </c:pt>
                <c:pt idx="1">
                  <c:v>11125.180555555555</c:v>
                </c:pt>
                <c:pt idx="2">
                  <c:v>10933.59756097561</c:v>
                </c:pt>
              </c:numCache>
            </c:numRef>
          </c:val>
          <c:extLst>
            <c:ext xmlns:c16="http://schemas.microsoft.com/office/drawing/2014/chart" uri="{C3380CC4-5D6E-409C-BE32-E72D297353CC}">
              <c16:uniqueId val="{00000009-9EFC-4A5F-9736-6D7F5F82B7B4}"/>
            </c:ext>
          </c:extLst>
        </c:ser>
        <c:ser>
          <c:idx val="10"/>
          <c:order val="10"/>
          <c:tx>
            <c:strRef>
              <c:f>Product_Performance_Comparison!$L$3:$L$5</c:f>
              <c:strCache>
                <c:ptCount val="1"/>
                <c:pt idx="0">
                  <c:v>South - Average of Customer_Rating</c:v>
                </c:pt>
              </c:strCache>
            </c:strRef>
          </c:tx>
          <c:spPr>
            <a:solidFill>
              <a:schemeClr val="accent5">
                <a:lumMod val="6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Product_Performance_Comparison!$L$6:$L$9</c:f>
              <c:numCache>
                <c:formatCode>General</c:formatCode>
                <c:ptCount val="3"/>
                <c:pt idx="0">
                  <c:v>2.8425287356321838</c:v>
                </c:pt>
                <c:pt idx="1">
                  <c:v>2.8999999999999977</c:v>
                </c:pt>
                <c:pt idx="2">
                  <c:v>2.815853658536585</c:v>
                </c:pt>
              </c:numCache>
            </c:numRef>
          </c:val>
          <c:extLst>
            <c:ext xmlns:c16="http://schemas.microsoft.com/office/drawing/2014/chart" uri="{C3380CC4-5D6E-409C-BE32-E72D297353CC}">
              <c16:uniqueId val="{0000000A-9EFC-4A5F-9736-6D7F5F82B7B4}"/>
            </c:ext>
          </c:extLst>
        </c:ser>
        <c:ser>
          <c:idx val="11"/>
          <c:order val="11"/>
          <c:tx>
            <c:strRef>
              <c:f>Product_Performance_Comparison!$M$3:$M$5</c:f>
              <c:strCache>
                <c:ptCount val="1"/>
                <c:pt idx="0">
                  <c:v>South - Sum of Marketing_Spend</c:v>
                </c:pt>
              </c:strCache>
            </c:strRef>
          </c:tx>
          <c:spPr>
            <a:solidFill>
              <a:schemeClr val="accent6">
                <a:lumMod val="6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Product_Performance_Comparison!$M$6:$M$9</c:f>
              <c:numCache>
                <c:formatCode>General</c:formatCode>
                <c:ptCount val="3"/>
                <c:pt idx="0">
                  <c:v>25092900</c:v>
                </c:pt>
                <c:pt idx="1">
                  <c:v>18040630</c:v>
                </c:pt>
                <c:pt idx="2">
                  <c:v>23136376</c:v>
                </c:pt>
              </c:numCache>
            </c:numRef>
          </c:val>
          <c:extLst>
            <c:ext xmlns:c16="http://schemas.microsoft.com/office/drawing/2014/chart" uri="{C3380CC4-5D6E-409C-BE32-E72D297353CC}">
              <c16:uniqueId val="{0000000B-9EFC-4A5F-9736-6D7F5F82B7B4}"/>
            </c:ext>
          </c:extLst>
        </c:ser>
        <c:ser>
          <c:idx val="12"/>
          <c:order val="12"/>
          <c:tx>
            <c:strRef>
              <c:f>Product_Performance_Comparison!$N$3:$N$5</c:f>
              <c:strCache>
                <c:ptCount val="1"/>
                <c:pt idx="0">
                  <c:v>West - Sum of Units_Sold</c:v>
                </c:pt>
              </c:strCache>
            </c:strRef>
          </c:tx>
          <c:spPr>
            <a:solidFill>
              <a:schemeClr val="accent1">
                <a:lumMod val="80000"/>
                <a:lumOff val="2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Product_Performance_Comparison!$N$6:$N$9</c:f>
              <c:numCache>
                <c:formatCode>General</c:formatCode>
                <c:ptCount val="3"/>
                <c:pt idx="0">
                  <c:v>241262</c:v>
                </c:pt>
                <c:pt idx="1">
                  <c:v>221710</c:v>
                </c:pt>
                <c:pt idx="2">
                  <c:v>192257</c:v>
                </c:pt>
              </c:numCache>
            </c:numRef>
          </c:val>
          <c:extLst>
            <c:ext xmlns:c16="http://schemas.microsoft.com/office/drawing/2014/chart" uri="{C3380CC4-5D6E-409C-BE32-E72D297353CC}">
              <c16:uniqueId val="{0000000C-9EFC-4A5F-9736-6D7F5F82B7B4}"/>
            </c:ext>
          </c:extLst>
        </c:ser>
        <c:ser>
          <c:idx val="13"/>
          <c:order val="13"/>
          <c:tx>
            <c:strRef>
              <c:f>Product_Performance_Comparison!$O$3:$O$5</c:f>
              <c:strCache>
                <c:ptCount val="1"/>
                <c:pt idx="0">
                  <c:v>West - Average of Selling_Price_per_Unit</c:v>
                </c:pt>
              </c:strCache>
            </c:strRef>
          </c:tx>
          <c:spPr>
            <a:solidFill>
              <a:schemeClr val="accent2">
                <a:lumMod val="80000"/>
                <a:lumOff val="2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Product_Performance_Comparison!$O$6:$O$9</c:f>
              <c:numCache>
                <c:formatCode>General</c:formatCode>
                <c:ptCount val="3"/>
                <c:pt idx="0">
                  <c:v>10840.643678160919</c:v>
                </c:pt>
                <c:pt idx="1">
                  <c:v>11083.538461538461</c:v>
                </c:pt>
                <c:pt idx="2">
                  <c:v>10660.09090909091</c:v>
                </c:pt>
              </c:numCache>
            </c:numRef>
          </c:val>
          <c:extLst>
            <c:ext xmlns:c16="http://schemas.microsoft.com/office/drawing/2014/chart" uri="{C3380CC4-5D6E-409C-BE32-E72D297353CC}">
              <c16:uniqueId val="{0000000D-9EFC-4A5F-9736-6D7F5F82B7B4}"/>
            </c:ext>
          </c:extLst>
        </c:ser>
        <c:ser>
          <c:idx val="14"/>
          <c:order val="14"/>
          <c:tx>
            <c:strRef>
              <c:f>Product_Performance_Comparison!$P$3:$P$5</c:f>
              <c:strCache>
                <c:ptCount val="1"/>
                <c:pt idx="0">
                  <c:v>West - Average of Customer_Rating</c:v>
                </c:pt>
              </c:strCache>
            </c:strRef>
          </c:tx>
          <c:spPr>
            <a:solidFill>
              <a:schemeClr val="accent3">
                <a:lumMod val="80000"/>
                <a:lumOff val="2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Product_Performance_Comparison!$P$6:$P$9</c:f>
              <c:numCache>
                <c:formatCode>General</c:formatCode>
                <c:ptCount val="3"/>
                <c:pt idx="0">
                  <c:v>3.0885057471264381</c:v>
                </c:pt>
                <c:pt idx="1">
                  <c:v>3.1956043956043958</c:v>
                </c:pt>
                <c:pt idx="2">
                  <c:v>3.0740259740259743</c:v>
                </c:pt>
              </c:numCache>
            </c:numRef>
          </c:val>
          <c:extLst>
            <c:ext xmlns:c16="http://schemas.microsoft.com/office/drawing/2014/chart" uri="{C3380CC4-5D6E-409C-BE32-E72D297353CC}">
              <c16:uniqueId val="{0000000E-9EFC-4A5F-9736-6D7F5F82B7B4}"/>
            </c:ext>
          </c:extLst>
        </c:ser>
        <c:ser>
          <c:idx val="15"/>
          <c:order val="15"/>
          <c:tx>
            <c:strRef>
              <c:f>Product_Performance_Comparison!$Q$3:$Q$5</c:f>
              <c:strCache>
                <c:ptCount val="1"/>
                <c:pt idx="0">
                  <c:v>West - Sum of Marketing_Spend</c:v>
                </c:pt>
              </c:strCache>
            </c:strRef>
          </c:tx>
          <c:spPr>
            <a:solidFill>
              <a:schemeClr val="accent4">
                <a:lumMod val="80000"/>
                <a:lumOff val="20000"/>
              </a:schemeClr>
            </a:solidFill>
            <a:ln>
              <a:noFill/>
            </a:ln>
            <a:effectLst/>
            <a:sp3d/>
          </c:spPr>
          <c:invertIfNegative val="0"/>
          <c:cat>
            <c:strRef>
              <c:f>Product_Performance_Comparison!$A$6:$A$9</c:f>
              <c:strCache>
                <c:ptCount val="3"/>
                <c:pt idx="0">
                  <c:v>Headphones</c:v>
                </c:pt>
                <c:pt idx="1">
                  <c:v>Smartwatches</c:v>
                </c:pt>
                <c:pt idx="2">
                  <c:v>Speakers</c:v>
                </c:pt>
              </c:strCache>
            </c:strRef>
          </c:cat>
          <c:val>
            <c:numRef>
              <c:f>Product_Performance_Comparison!$Q$6:$Q$9</c:f>
              <c:numCache>
                <c:formatCode>General</c:formatCode>
                <c:ptCount val="3"/>
                <c:pt idx="0">
                  <c:v>23108697</c:v>
                </c:pt>
                <c:pt idx="1">
                  <c:v>25120331</c:v>
                </c:pt>
                <c:pt idx="2">
                  <c:v>21667420</c:v>
                </c:pt>
              </c:numCache>
            </c:numRef>
          </c:val>
          <c:extLst>
            <c:ext xmlns:c16="http://schemas.microsoft.com/office/drawing/2014/chart" uri="{C3380CC4-5D6E-409C-BE32-E72D297353CC}">
              <c16:uniqueId val="{0000000F-9EFC-4A5F-9736-6D7F5F82B7B4}"/>
            </c:ext>
          </c:extLst>
        </c:ser>
        <c:dLbls>
          <c:showLegendKey val="0"/>
          <c:showVal val="0"/>
          <c:showCatName val="0"/>
          <c:showSerName val="0"/>
          <c:showPercent val="0"/>
          <c:showBubbleSize val="0"/>
        </c:dLbls>
        <c:gapWidth val="150"/>
        <c:shape val="box"/>
        <c:axId val="1243372239"/>
        <c:axId val="1243372719"/>
        <c:axId val="0"/>
      </c:bar3DChart>
      <c:catAx>
        <c:axId val="1243372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72719"/>
        <c:crosses val="autoZero"/>
        <c:auto val="1"/>
        <c:lblAlgn val="ctr"/>
        <c:lblOffset val="100"/>
        <c:noMultiLvlLbl val="0"/>
      </c:catAx>
      <c:valAx>
        <c:axId val="1243372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7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[Product_Performance_Analysis_Data(1).xlsx]Advertising_ROI_Analysis!PivotTable8</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64260717410319E-2"/>
          <c:y val="0.15175707203266259"/>
          <c:w val="0.74847462817147858"/>
          <c:h val="0.65853091280256637"/>
        </c:manualLayout>
      </c:layout>
      <c:barChart>
        <c:barDir val="col"/>
        <c:grouping val="clustered"/>
        <c:varyColors val="0"/>
        <c:ser>
          <c:idx val="0"/>
          <c:order val="0"/>
          <c:tx>
            <c:strRef>
              <c:f>Advertising_ROI_Analysis!$B$3:$B$4</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Advertising_ROI_Analysis!$A$5:$A$8</c:f>
              <c:strCache>
                <c:ptCount val="3"/>
                <c:pt idx="0">
                  <c:v>Headphones</c:v>
                </c:pt>
                <c:pt idx="1">
                  <c:v>Smartwatches</c:v>
                </c:pt>
                <c:pt idx="2">
                  <c:v>Speakers</c:v>
                </c:pt>
              </c:strCache>
            </c:strRef>
          </c:cat>
          <c:val>
            <c:numRef>
              <c:f>Advertising_ROI_Analysis!$B$5:$B$8</c:f>
              <c:numCache>
                <c:formatCode>0.0</c:formatCode>
                <c:ptCount val="3"/>
                <c:pt idx="0">
                  <c:v>14.651051406498862</c:v>
                </c:pt>
                <c:pt idx="1">
                  <c:v>29.40116256453199</c:v>
                </c:pt>
                <c:pt idx="2">
                  <c:v>24.093868947915702</c:v>
                </c:pt>
              </c:numCache>
            </c:numRef>
          </c:val>
          <c:extLst>
            <c:ext xmlns:c16="http://schemas.microsoft.com/office/drawing/2014/chart" uri="{C3380CC4-5D6E-409C-BE32-E72D297353CC}">
              <c16:uniqueId val="{00000000-0541-43EB-986C-E8F9322C6128}"/>
            </c:ext>
          </c:extLst>
        </c:ser>
        <c:ser>
          <c:idx val="1"/>
          <c:order val="1"/>
          <c:tx>
            <c:strRef>
              <c:f>Advertising_ROI_Analysis!$C$3:$C$4</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Advertising_ROI_Analysis!$A$5:$A$8</c:f>
              <c:strCache>
                <c:ptCount val="3"/>
                <c:pt idx="0">
                  <c:v>Headphones</c:v>
                </c:pt>
                <c:pt idx="1">
                  <c:v>Smartwatches</c:v>
                </c:pt>
                <c:pt idx="2">
                  <c:v>Speakers</c:v>
                </c:pt>
              </c:strCache>
            </c:strRef>
          </c:cat>
          <c:val>
            <c:numRef>
              <c:f>Advertising_ROI_Analysis!$C$5:$C$8</c:f>
              <c:numCache>
                <c:formatCode>0.0</c:formatCode>
                <c:ptCount val="3"/>
                <c:pt idx="0">
                  <c:v>27.044847779341563</c:v>
                </c:pt>
                <c:pt idx="1">
                  <c:v>46.355942646743415</c:v>
                </c:pt>
                <c:pt idx="2">
                  <c:v>44.643118815308185</c:v>
                </c:pt>
              </c:numCache>
            </c:numRef>
          </c:val>
          <c:extLst>
            <c:ext xmlns:c16="http://schemas.microsoft.com/office/drawing/2014/chart" uri="{C3380CC4-5D6E-409C-BE32-E72D297353CC}">
              <c16:uniqueId val="{00000001-0541-43EB-986C-E8F9322C6128}"/>
            </c:ext>
          </c:extLst>
        </c:ser>
        <c:ser>
          <c:idx val="2"/>
          <c:order val="2"/>
          <c:tx>
            <c:strRef>
              <c:f>Advertising_ROI_Analysis!$D$3:$D$4</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Advertising_ROI_Analysis!$A$5:$A$8</c:f>
              <c:strCache>
                <c:ptCount val="3"/>
                <c:pt idx="0">
                  <c:v>Headphones</c:v>
                </c:pt>
                <c:pt idx="1">
                  <c:v>Smartwatches</c:v>
                </c:pt>
                <c:pt idx="2">
                  <c:v>Speakers</c:v>
                </c:pt>
              </c:strCache>
            </c:strRef>
          </c:cat>
          <c:val>
            <c:numRef>
              <c:f>Advertising_ROI_Analysis!$D$5:$D$8</c:f>
              <c:numCache>
                <c:formatCode>0.0</c:formatCode>
                <c:ptCount val="3"/>
                <c:pt idx="0">
                  <c:v>37.826018728687352</c:v>
                </c:pt>
                <c:pt idx="1">
                  <c:v>37.370545462356461</c:v>
                </c:pt>
                <c:pt idx="2">
                  <c:v>55.609092827435035</c:v>
                </c:pt>
              </c:numCache>
            </c:numRef>
          </c:val>
          <c:extLst>
            <c:ext xmlns:c16="http://schemas.microsoft.com/office/drawing/2014/chart" uri="{C3380CC4-5D6E-409C-BE32-E72D297353CC}">
              <c16:uniqueId val="{00000002-0541-43EB-986C-E8F9322C6128}"/>
            </c:ext>
          </c:extLst>
        </c:ser>
        <c:ser>
          <c:idx val="3"/>
          <c:order val="3"/>
          <c:tx>
            <c:strRef>
              <c:f>Advertising_ROI_Analysis!$E$3:$E$4</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Advertising_ROI_Analysis!$A$5:$A$8</c:f>
              <c:strCache>
                <c:ptCount val="3"/>
                <c:pt idx="0">
                  <c:v>Headphones</c:v>
                </c:pt>
                <c:pt idx="1">
                  <c:v>Smartwatches</c:v>
                </c:pt>
                <c:pt idx="2">
                  <c:v>Speakers</c:v>
                </c:pt>
              </c:strCache>
            </c:strRef>
          </c:cat>
          <c:val>
            <c:numRef>
              <c:f>Advertising_ROI_Analysis!$E$5:$E$8</c:f>
              <c:numCache>
                <c:formatCode>0.0</c:formatCode>
                <c:ptCount val="3"/>
                <c:pt idx="0">
                  <c:v>24.262545907123506</c:v>
                </c:pt>
                <c:pt idx="1">
                  <c:v>31.009342454124074</c:v>
                </c:pt>
                <c:pt idx="2">
                  <c:v>35.110147439244933</c:v>
                </c:pt>
              </c:numCache>
            </c:numRef>
          </c:val>
          <c:extLst>
            <c:ext xmlns:c16="http://schemas.microsoft.com/office/drawing/2014/chart" uri="{C3380CC4-5D6E-409C-BE32-E72D297353CC}">
              <c16:uniqueId val="{00000003-0541-43EB-986C-E8F9322C6128}"/>
            </c:ext>
          </c:extLst>
        </c:ser>
        <c:dLbls>
          <c:showLegendKey val="0"/>
          <c:showVal val="0"/>
          <c:showCatName val="0"/>
          <c:showSerName val="0"/>
          <c:showPercent val="0"/>
          <c:showBubbleSize val="0"/>
        </c:dLbls>
        <c:gapWidth val="100"/>
        <c:overlap val="-24"/>
        <c:axId val="1795199167"/>
        <c:axId val="1795189087"/>
      </c:barChart>
      <c:catAx>
        <c:axId val="179519916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189087"/>
        <c:crosses val="autoZero"/>
        <c:auto val="1"/>
        <c:lblAlgn val="ctr"/>
        <c:lblOffset val="100"/>
        <c:noMultiLvlLbl val="0"/>
      </c:catAx>
      <c:valAx>
        <c:axId val="179518908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19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739140</xdr:colOff>
      <xdr:row>11</xdr:row>
      <xdr:rowOff>129540</xdr:rowOff>
    </xdr:from>
    <xdr:to>
      <xdr:col>3</xdr:col>
      <xdr:colOff>1165860</xdr:colOff>
      <xdr:row>26</xdr:row>
      <xdr:rowOff>129540</xdr:rowOff>
    </xdr:to>
    <xdr:graphicFrame macro="">
      <xdr:nvGraphicFramePr>
        <xdr:cNvPr id="2" name="Chart 1">
          <a:extLst>
            <a:ext uri="{FF2B5EF4-FFF2-40B4-BE49-F238E27FC236}">
              <a16:creationId xmlns:a16="http://schemas.microsoft.com/office/drawing/2014/main" id="{69A6F9F0-C9F7-D411-02CB-C15C02F5A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281940</xdr:colOff>
      <xdr:row>11</xdr:row>
      <xdr:rowOff>15241</xdr:rowOff>
    </xdr:from>
    <xdr:to>
      <xdr:col>1</xdr:col>
      <xdr:colOff>647700</xdr:colOff>
      <xdr:row>16</xdr:row>
      <xdr:rowOff>129541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2AF9D12C-18FD-18C5-23AB-E4D07EA4D2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1940" y="2026921"/>
              <a:ext cx="122682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74342</xdr:colOff>
      <xdr:row>17</xdr:row>
      <xdr:rowOff>135301</xdr:rowOff>
    </xdr:from>
    <xdr:to>
      <xdr:col>3</xdr:col>
      <xdr:colOff>592502</xdr:colOff>
      <xdr:row>32</xdr:row>
      <xdr:rowOff>135301</xdr:rowOff>
    </xdr:to>
    <xdr:graphicFrame macro="">
      <xdr:nvGraphicFramePr>
        <xdr:cNvPr id="5" name="Chart 4">
          <a:extLst>
            <a:ext uri="{FF2B5EF4-FFF2-40B4-BE49-F238E27FC236}">
              <a16:creationId xmlns:a16="http://schemas.microsoft.com/office/drawing/2014/main" id="{C5B2A3EF-C861-5098-B01D-31ABE3B67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15240</xdr:rowOff>
    </xdr:from>
    <xdr:to>
      <xdr:col>6</xdr:col>
      <xdr:colOff>464820</xdr:colOff>
      <xdr:row>24</xdr:row>
      <xdr:rowOff>15240</xdr:rowOff>
    </xdr:to>
    <xdr:graphicFrame macro="">
      <xdr:nvGraphicFramePr>
        <xdr:cNvPr id="2" name="Chart 1">
          <a:extLst>
            <a:ext uri="{FF2B5EF4-FFF2-40B4-BE49-F238E27FC236}">
              <a16:creationId xmlns:a16="http://schemas.microsoft.com/office/drawing/2014/main" id="{54131190-7E17-823A-FA17-58C8861AE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22.587506365744" createdVersion="8" refreshedVersion="8" minRefreshableVersion="3" recordCount="1000" xr:uid="{6BF95A6E-979F-43A5-8AEF-87AE24C35D29}">
  <cacheSource type="worksheet">
    <worksheetSource ref="A1:U1001" sheet="Product_Data"/>
  </cacheSource>
  <cacheFields count="21">
    <cacheField name="Product_ID" numFmtId="0">
      <sharedItems/>
    </cacheField>
    <cacheField name="Product_Name" numFmtId="0">
      <sharedItems count="613">
        <s v="Model_567"/>
        <s v="Model_264"/>
        <s v="Model_677"/>
        <s v="Model_344"/>
        <s v="Model_433"/>
        <s v="Model_349"/>
        <s v="Model_740"/>
        <s v="Model_777"/>
        <s v="Model_910"/>
        <s v="Model_504"/>
        <s v="Model_189"/>
        <s v="Model_789"/>
        <s v="Model_372"/>
        <s v="Model_314"/>
        <s v="Model_972"/>
        <s v="Model_585"/>
        <s v="Model_844"/>
        <s v="Model_757"/>
        <s v="Model_208"/>
        <s v="Model_249"/>
        <s v="Model_819"/>
        <s v="Model_308"/>
        <s v="Model_409"/>
        <s v="Model_779"/>
        <s v="Model_343"/>
        <s v="Model_179"/>
        <s v="Model_887"/>
        <s v="Model_698"/>
        <s v="Model_358"/>
        <s v="Model_793"/>
        <s v="Model_341"/>
        <s v="Model_579"/>
        <s v="Model_360"/>
        <s v="Model_854"/>
        <s v="Model_326"/>
        <s v="Model_908"/>
        <s v="Model_396"/>
        <s v="Model_876"/>
        <s v="Model_455"/>
        <s v="Model_886"/>
        <s v="Model_412"/>
        <s v="Model_273"/>
        <s v="Model_739"/>
        <s v="Model_402"/>
        <s v="Model_414"/>
        <s v="Model_133"/>
        <s v="Model_720"/>
        <s v="Model_404"/>
        <s v="Model_496"/>
        <s v="Model_900"/>
        <s v="Model_371"/>
        <s v="Model_781"/>
        <s v="Model_366"/>
        <s v="Model_237"/>
        <s v="Model_403"/>
        <s v="Model_664"/>
        <s v="Model_521"/>
        <s v="Model_432"/>
        <s v="Model_306"/>
        <s v="Model_171"/>
        <s v="Model_743"/>
        <s v="Model_794"/>
        <s v="Model_970"/>
        <s v="Model_998"/>
        <s v="Model_931"/>
        <s v="Model_522"/>
        <s v="Model_271"/>
        <s v="Model_988"/>
        <s v="Model_898"/>
        <s v="Model_279"/>
        <s v="Model_339"/>
        <s v="Model_416"/>
        <s v="Model_493"/>
        <s v="Model_635"/>
        <s v="Model_364"/>
        <s v="Model_697"/>
        <s v="Model_780"/>
        <s v="Model_721"/>
        <s v="Model_784"/>
        <s v="Model_158"/>
        <s v="Model_578"/>
        <s v="Model_333"/>
        <s v="Model_536"/>
        <s v="Model_946"/>
        <s v="Model_595"/>
        <s v="Model_199"/>
        <s v="Model_232"/>
        <s v="Model_486"/>
        <s v="Model_275"/>
        <s v="Model_681"/>
        <s v="Model_361"/>
        <s v="Model_145"/>
        <s v="Model_506"/>
        <s v="Model_384"/>
        <s v="Model_444"/>
        <s v="Model_690"/>
        <s v="Model_461"/>
        <s v="Model_270"/>
        <s v="Model_692"/>
        <s v="Model_157"/>
        <s v="Model_574"/>
        <s v="Model_240"/>
        <s v="Model_902"/>
        <s v="Model_875"/>
        <s v="Model_140"/>
        <s v="Model_951"/>
        <s v="Model_639"/>
        <s v="Model_806"/>
        <s v="Model_407"/>
        <s v="Model_428"/>
        <s v="Model_868"/>
        <s v="Model_674"/>
        <s v="Model_774"/>
        <s v="Model_184"/>
        <s v="Model_715"/>
        <s v="Model_936"/>
        <s v="Model_651"/>
        <s v="Model_301"/>
        <s v="Model_607"/>
        <s v="Model_816"/>
        <s v="Model_719"/>
        <s v="Model_899"/>
        <s v="Model_295"/>
        <s v="Model_482"/>
        <s v="Model_385"/>
        <s v="Model_821"/>
        <s v="Model_278"/>
        <s v="Model_167"/>
        <s v="Model_641"/>
        <s v="Model_572"/>
        <s v="Model_569"/>
        <s v="Model_288"/>
        <s v="Model_106"/>
        <s v="Model_135"/>
        <s v="Model_390"/>
        <s v="Model_741"/>
        <s v="Model_647"/>
        <s v="Model_457"/>
        <s v="Model_570"/>
        <s v="Model_962"/>
        <s v="Model_858"/>
        <s v="Model_420"/>
        <s v="Model_975"/>
        <s v="Model_539"/>
        <s v="Model_957"/>
        <s v="Model_147"/>
        <s v="Model_693"/>
        <s v="Model_354"/>
        <s v="Model_831"/>
        <s v="Model_838"/>
        <s v="Model_597"/>
        <s v="Model_348"/>
        <s v="Model_892"/>
        <s v="Model_439"/>
        <s v="Model_431"/>
        <s v="Model_244"/>
        <s v="Model_650"/>
        <s v="Model_666"/>
        <s v="Model_725"/>
        <s v="Model_637"/>
        <s v="Model_703"/>
        <s v="Model_543"/>
        <s v="Model_109"/>
        <s v="Model_523"/>
        <s v="Model_353"/>
        <s v="Model_382"/>
        <s v="Model_961"/>
        <s v="Model_105"/>
        <s v="Model_695"/>
        <s v="Model_602"/>
        <s v="Model_772"/>
        <s v="Model_869"/>
        <s v="Model_762"/>
        <s v="Model_545"/>
        <s v="Model_143"/>
        <s v="Model_453"/>
        <s v="Model_958"/>
        <s v="Model_230"/>
        <s v="Model_799"/>
        <s v="Model_269"/>
        <s v="Model_337"/>
        <s v="Model_421"/>
        <s v="Model_955"/>
        <s v="Model_216"/>
        <s v="Model_832"/>
        <s v="Model_927"/>
        <s v="Model_943"/>
        <s v="Model_938"/>
        <s v="Model_973"/>
        <s v="Model_475"/>
        <s v="Model_466"/>
        <s v="Model_174"/>
        <s v="Model_911"/>
        <s v="Model_566"/>
        <s v="Model_814"/>
        <s v="Model_108"/>
        <s v="Model_849"/>
        <s v="Model_934"/>
        <s v="Model_388"/>
        <s v="Model_893"/>
        <s v="Model_347"/>
        <s v="Model_941"/>
        <s v="Model_529"/>
        <s v="Model_992"/>
        <s v="Model_796"/>
        <s v="Model_316"/>
        <s v="Model_917"/>
        <s v="Model_325"/>
        <s v="Model_601"/>
        <s v="Model_485"/>
        <s v="Model_818"/>
        <s v="Model_215"/>
        <s v="Model_732"/>
        <s v="Model_903"/>
        <s v="Model_952"/>
        <s v="Model_393"/>
        <s v="Model_727"/>
        <s v="Model_331"/>
        <s v="Model_317"/>
        <s v="Model_884"/>
        <s v="Model_281"/>
        <s v="Model_115"/>
        <s v="Model_162"/>
        <s v="Model_383"/>
        <s v="Model_456"/>
        <s v="Model_223"/>
        <s v="Model_160"/>
        <s v="Model_139"/>
        <s v="Model_221"/>
        <s v="Model_546"/>
        <s v="Model_874"/>
        <s v="Model_788"/>
        <s v="Model_553"/>
        <s v="Model_144"/>
        <s v="Model_656"/>
        <s v="Model_654"/>
        <s v="Model_386"/>
        <s v="Model_815"/>
        <s v="Model_599"/>
        <s v="Model_313"/>
        <s v="Model_509"/>
        <s v="Model_502"/>
        <s v="Model_872"/>
        <s v="Model_197"/>
        <s v="Model_864"/>
        <s v="Model_699"/>
        <s v="Model_596"/>
        <s v="Model_710"/>
        <s v="Model_468"/>
        <s v="Model_250"/>
        <s v="Model_426"/>
        <s v="Model_128"/>
        <s v="Model_114"/>
        <s v="Model_125"/>
        <s v="Model_520"/>
        <s v="Model_590"/>
        <s v="Model_749"/>
        <s v="Model_669"/>
        <s v="Model_555"/>
        <s v="Model_589"/>
        <s v="Model_205"/>
        <s v="Model_841"/>
        <s v="Model_883"/>
        <s v="Model_751"/>
        <s v="Model_209"/>
        <s v="Model_268"/>
        <s v="Model_449"/>
        <s v="Model_652"/>
        <s v="Model_682"/>
        <s v="Model_689"/>
        <s v="Model_722"/>
        <s v="Model_287"/>
        <s v="Model_643"/>
        <s v="Model_257"/>
        <s v="Model_323"/>
        <s v="Model_194"/>
        <s v="Model_947"/>
        <s v="Model_321"/>
        <s v="Model_282"/>
        <s v="Model_258"/>
        <s v="Model_783"/>
        <s v="Model_381"/>
        <s v="Model_124"/>
        <s v="Model_166"/>
        <s v="Model_427"/>
        <s v="Model_759"/>
        <s v="Model_559"/>
        <s v="Model_912"/>
        <s v="Model_676"/>
        <s v="Model_131"/>
        <s v="Model_397"/>
        <s v="Model_708"/>
        <s v="Model_978"/>
        <s v="Model_103"/>
        <s v="Model_558"/>
        <s v="Model_425"/>
        <s v="Model_755"/>
        <s v="Model_243"/>
        <s v="Model_334"/>
        <s v="Model_879"/>
        <s v="Model_363"/>
        <s v="Model_476"/>
        <s v="Model_714"/>
        <s v="Model_562"/>
        <s v="Model_701"/>
        <s v="Model_214"/>
        <s v="Model_113"/>
        <s v="Model_640"/>
        <s v="Model_616"/>
        <s v="Model_891"/>
        <s v="Model_851"/>
        <s v="Model_787"/>
        <s v="Model_211"/>
        <s v="Model_350"/>
        <s v="Model_406"/>
        <s v="Model_260"/>
        <s v="Model_168"/>
        <s v="Model_236"/>
        <s v="Model_736"/>
        <s v="Model_833"/>
        <s v="Model_533"/>
        <s v="Model_918"/>
        <s v="Model_835"/>
        <s v="Model_100"/>
        <s v="Model_437"/>
        <s v="Model_906"/>
        <s v="Model_220"/>
        <s v="Model_593"/>
        <s v="Model_430"/>
        <s v="Model_575"/>
        <s v="Model_613"/>
        <s v="Model_202"/>
        <s v="Model_391"/>
        <s v="Model_626"/>
        <s v="Model_195"/>
        <s v="Model_319"/>
        <s v="Model_769"/>
        <s v="Model_800"/>
        <s v="Model_159"/>
        <s v="Model_880"/>
        <s v="Model_581"/>
        <s v="Model_255"/>
        <s v="Model_154"/>
        <s v="Model_186"/>
        <s v="Model_297"/>
        <s v="Model_488"/>
        <s v="Model_443"/>
        <s v="Model_394"/>
        <s v="Model_865"/>
        <s v="Model_305"/>
        <s v="Model_986"/>
        <s v="Model_204"/>
        <s v="Model_826"/>
        <s v="Model_497"/>
        <s v="Model_746"/>
        <s v="Model_445"/>
        <s v="Model_441"/>
        <s v="Model_763"/>
        <s v="Model_963"/>
        <s v="Model_810"/>
        <s v="Model_303"/>
        <s v="Model_839"/>
        <s v="Model_447"/>
        <s v="Model_660"/>
        <s v="Model_915"/>
        <s v="Model_995"/>
        <s v="Model_399"/>
        <s v="Model_227"/>
        <s v="Model_298"/>
        <s v="Model_765"/>
        <s v="Model_592"/>
        <s v="Model_824"/>
        <s v="Model_289"/>
        <s v="Model_834"/>
        <s v="Model_881"/>
        <s v="Model_550"/>
        <s v="Model_744"/>
        <s v="Model_642"/>
        <s v="Model_418"/>
        <s v="Model_600"/>
        <s v="Model_328"/>
        <s v="Model_728"/>
        <s v="Model_193"/>
        <s v="Model_586"/>
        <s v="Model_373"/>
        <s v="Model_909"/>
        <s v="Model_527"/>
        <s v="Model_508"/>
        <s v="Model_134"/>
        <s v="Model_729"/>
        <s v="Model_563"/>
        <s v="Model_357"/>
        <s v="Model_127"/>
        <s v="Model_822"/>
        <s v="Model_655"/>
        <s v="Model_748"/>
        <s v="Model_224"/>
        <s v="Model_291"/>
        <s v="Model_534"/>
        <s v="Model_680"/>
        <s v="Model_889"/>
        <s v="Model_136"/>
        <s v="Model_761"/>
        <s v="Model_667"/>
        <s v="Model_948"/>
        <s v="Model_773"/>
        <s v="Model_190"/>
        <s v="Model_731"/>
        <s v="Model_802"/>
        <s v="Model_564"/>
        <s v="Model_620"/>
        <s v="Model_410"/>
        <s v="Model_709"/>
        <s v="Model_429"/>
        <s v="Model_612"/>
        <s v="Model_155"/>
        <s v="Model_392"/>
        <s v="Model_568"/>
        <s v="Model_315"/>
        <s v="Model_413"/>
        <s v="Model_845"/>
        <s v="Model_764"/>
        <s v="Model_116"/>
        <s v="Model_798"/>
        <s v="Model_477"/>
        <s v="Model_183"/>
        <s v="Model_937"/>
        <s v="Model_624"/>
        <s v="Model_213"/>
        <s v="Model_178"/>
        <s v="Model_203"/>
        <s v="Model_598"/>
        <s v="Model_866"/>
        <s v="Model_446"/>
        <s v="Model_102"/>
        <s v="Model_813"/>
        <s v="Model_571"/>
        <s v="Model_694"/>
        <s v="Model_812"/>
        <s v="Model_310"/>
        <s v="Model_435"/>
        <s v="Model_411"/>
        <s v="Model_905"/>
        <s v="Model_542"/>
        <s v="Model_632"/>
        <s v="Model_981"/>
        <s v="Model_648"/>
        <s v="Model_768"/>
        <s v="Model_807"/>
        <s v="Model_107"/>
        <s v="Model_499"/>
        <s v="Model_808"/>
        <s v="Model_968"/>
        <s v="Model_448"/>
        <s v="Model_679"/>
        <s v="Model_276"/>
        <s v="Model_101"/>
        <s v="Model_548"/>
        <s v="Model_935"/>
        <s v="Model_369"/>
        <s v="Model_498"/>
        <s v="Model_687"/>
        <s v="Model_245"/>
        <s v="Model_994"/>
        <s v="Model_434"/>
        <s v="Model_863"/>
        <s v="Model_254"/>
        <s v="Model_919"/>
        <s v="Model_753"/>
        <s v="Model_895"/>
        <s v="Model_967"/>
        <s v="Model_207"/>
        <s v="Model_588"/>
        <s v="Model_760"/>
        <s v="Model_356"/>
        <s v="Model_104"/>
        <s v="Model_700"/>
        <s v="Model_130"/>
        <s v="Model_707"/>
        <s v="Model_284"/>
        <s v="Model_164"/>
        <s v="Model_501"/>
        <s v="Model_809"/>
        <s v="Model_894"/>
        <s v="Model_112"/>
        <s v="Model_750"/>
        <s v="Model_675"/>
        <s v="Model_126"/>
        <s v="Model_914"/>
        <s v="Model_776"/>
        <s v="Model_422"/>
        <s v="Model_515"/>
        <s v="Model_996"/>
        <s v="Model_554"/>
        <s v="Model_511"/>
        <s v="Model_758"/>
        <s v="Model_623"/>
        <s v="Model_811"/>
        <s v="Model_395"/>
        <s v="Model_242"/>
        <s v="Model_458"/>
        <s v="Model_636"/>
        <s v="Model_882"/>
        <s v="Model_827"/>
        <s v="Model_629"/>
        <s v="Model_192"/>
        <s v="Model_309"/>
        <s v="Model_163"/>
        <s v="Model_704"/>
        <s v="Model_940"/>
        <s v="Model_685"/>
        <s v="Model_745"/>
        <s v="Model_974"/>
        <s v="Model_196"/>
        <s v="Model_775"/>
        <s v="Model_547"/>
        <s v="Model_922"/>
        <s v="Model_294"/>
        <s v="Model_436"/>
        <s v="Model_327"/>
        <s v="Model_262"/>
        <s v="Model_791"/>
        <s v="Model_662"/>
        <s v="Model_296"/>
        <s v="Model_300"/>
        <s v="Model_691"/>
        <s v="Model_756"/>
        <s v="Model_942"/>
        <s v="Model_923"/>
        <s v="Model_846"/>
        <s v="Model_820"/>
        <s v="Model_464"/>
        <s v="Model_480"/>
        <s v="Model_939"/>
        <s v="Model_176"/>
        <s v="Model_871"/>
        <s v="Model_261"/>
        <s v="Model_953"/>
        <s v="Model_929"/>
        <s v="Model_610"/>
        <s v="Model_516"/>
        <s v="Model_843"/>
        <s v="Model_345"/>
        <s v="Model_565"/>
        <s v="Model_956"/>
        <s v="Model_324"/>
        <s v="Model_577"/>
        <s v="Model_225"/>
        <s v="Model_605"/>
        <s v="Model_355"/>
        <s v="Model_904"/>
        <s v="Model_277"/>
        <s v="Model_401"/>
        <s v="Model_890"/>
        <s v="Model_206"/>
        <s v="Model_840"/>
        <s v="Model_897"/>
        <s v="Model_146"/>
        <s v="Model_924"/>
        <s v="Model_803"/>
        <s v="Model_228"/>
        <s v="Model_622"/>
        <s v="Model_688"/>
        <s v="Model_625"/>
        <s v="Model_873"/>
        <s v="Model_119"/>
        <s v="Model_950"/>
        <s v="Model_153"/>
        <s v="Model_212"/>
        <s v="Model_930"/>
        <s v="Model_120"/>
        <s v="Model_340"/>
        <s v="Model_980"/>
        <s v="Model_965"/>
        <s v="Model_997"/>
        <s v="Model_829"/>
        <s v="Model_982"/>
        <s v="Model_484"/>
        <s v="Model_419"/>
        <s v="Model_861"/>
        <s v="Model_712"/>
        <s v="Model_594"/>
        <s v="Model_474"/>
        <s v="Model_187"/>
        <s v="Model_552"/>
        <s v="Model_259"/>
        <s v="Model_500"/>
        <s v="Model_165"/>
        <s v="Model_670"/>
        <s v="Model_535"/>
        <s v="Model_292"/>
        <s v="Model_705"/>
        <s v="Model_265"/>
        <s v="Model_907"/>
        <s v="Model_742"/>
        <s v="Model_286"/>
        <s v="Model_991"/>
        <s v="Model_717"/>
        <s v="Model_983"/>
        <s v="Model_526"/>
        <s v="Model_538"/>
        <s v="Model_312"/>
        <s v="Model_149"/>
        <s v="Model_137"/>
        <s v="Model_299"/>
        <s v="Model_123"/>
        <s v="Model_370"/>
        <s v="Model_138"/>
        <s v="Model_524"/>
        <s v="Model_830"/>
        <s v="Model_377"/>
        <s v="Model_514"/>
        <s v="Model_210"/>
      </sharedItems>
    </cacheField>
    <cacheField name="Product_Category" numFmtId="0">
      <sharedItems count="3">
        <s v="Headphones"/>
        <s v="Speakers"/>
        <s v="Smartwatches"/>
      </sharedItems>
    </cacheField>
    <cacheField name="Region" numFmtId="0">
      <sharedItems count="4">
        <s v="East"/>
        <s v="South"/>
        <s v="North"/>
        <s v="West"/>
      </sharedItems>
    </cacheField>
    <cacheField name="Year" numFmtId="0">
      <sharedItems containsSemiMixedTypes="0" containsString="0" containsNumber="1" containsInteger="1" minValue="2023" maxValue="2024"/>
    </cacheField>
    <cacheField name="Quarter" numFmtId="0">
      <sharedItems/>
    </cacheField>
    <cacheField name="Units_Sold" numFmtId="0">
      <sharedItems containsSemiMixedTypes="0" containsString="0" containsNumber="1" containsInteger="1" minValue="53" maxValue="4998"/>
    </cacheField>
    <cacheField name="Selling_Price_per_Unit" numFmtId="0">
      <sharedItems containsSemiMixedTypes="0" containsString="0" containsNumber="1" containsInteger="1" minValue="1511" maxValue="19958"/>
    </cacheField>
    <cacheField name="Manufacturing_Cost_per_Unit" numFmtId="0">
      <sharedItems containsSemiMixedTypes="0" containsString="0" containsNumber="1" containsInteger="1" minValue="807" maxValue="14991"/>
    </cacheField>
    <cacheField name="Marketing_Spend" numFmtId="0">
      <sharedItems containsSemiMixedTypes="0" containsString="0" containsNumber="1" containsInteger="1" minValue="50138" maxValue="499962"/>
    </cacheField>
    <cacheField name="Return_Rate_%" numFmtId="0">
      <sharedItems containsSemiMixedTypes="0" containsString="0" containsNumber="1" minValue="0" maxValue="14.99"/>
    </cacheField>
    <cacheField name="Stockout_Days" numFmtId="0">
      <sharedItems containsSemiMixedTypes="0" containsString="0" containsNumber="1" containsInteger="1" minValue="0" maxValue="19"/>
    </cacheField>
    <cacheField name="Warranty_Claims_%" numFmtId="0">
      <sharedItems containsSemiMixedTypes="0" containsString="0" containsNumber="1" minValue="0.02" maxValue="9.99"/>
    </cacheField>
    <cacheField name="Discount_%" numFmtId="0">
      <sharedItems containsSemiMixedTypes="0" containsString="0" containsNumber="1" minValue="0.02" maxValue="25"/>
    </cacheField>
    <cacheField name="Online_Sales_%" numFmtId="0">
      <sharedItems containsSemiMixedTypes="0" containsString="0" containsNumber="1" minValue="10.23" maxValue="89.98"/>
    </cacheField>
    <cacheField name="Customer_Rating" numFmtId="0">
      <sharedItems containsSemiMixedTypes="0" containsString="0" containsNumber="1" minValue="1" maxValue="5"/>
    </cacheField>
    <cacheField name="Competitor_Price" numFmtId="0">
      <sharedItems containsSemiMixedTypes="0" containsString="0" containsNumber="1" containsInteger="1" minValue="1515" maxValue="20979"/>
    </cacheField>
    <cacheField name="Inventory_Level" numFmtId="0">
      <sharedItems containsSemiMixedTypes="0" containsString="0" containsNumber="1" containsInteger="1" minValue="120" maxValue="9995"/>
    </cacheField>
    <cacheField name="Lead_Time_Days" numFmtId="0">
      <sharedItems containsSemiMixedTypes="0" containsString="0" containsNumber="1" containsInteger="1" minValue="2" maxValue="14"/>
    </cacheField>
    <cacheField name="profit" numFmtId="0">
      <sharedItems containsSemiMixedTypes="0" containsString="0" containsNumber="1" minValue="-57231357.530000001" maxValue="88386952.459999993"/>
    </cacheField>
    <cacheField name="profit margin" numFmtId="0">
      <sharedItems containsSemiMixedTypes="0" containsString="0" containsNumber="1" minValue="-742.64557467486418" maxValue="95.440893454314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22.59662650463" createdVersion="8" refreshedVersion="8" minRefreshableVersion="3" recordCount="1000" xr:uid="{7FDD5377-B5E1-4A61-846C-1940F2BC6504}">
  <cacheSource type="worksheet">
    <worksheetSource ref="A1:V1001" sheet="Product_Data"/>
  </cacheSource>
  <cacheFields count="22">
    <cacheField name="Product_ID" numFmtId="0">
      <sharedItems/>
    </cacheField>
    <cacheField name="Product_Name" numFmtId="0">
      <sharedItems/>
    </cacheField>
    <cacheField name="Product_Category" numFmtId="0">
      <sharedItems count="3">
        <s v="Headphones"/>
        <s v="Speakers"/>
        <s v="Smartwatches"/>
      </sharedItems>
    </cacheField>
    <cacheField name="Region" numFmtId="0">
      <sharedItems count="4">
        <s v="East"/>
        <s v="South"/>
        <s v="North"/>
        <s v="West"/>
      </sharedItems>
    </cacheField>
    <cacheField name="Year" numFmtId="0">
      <sharedItems containsSemiMixedTypes="0" containsString="0" containsNumber="1" containsInteger="1" minValue="2023" maxValue="2024"/>
    </cacheField>
    <cacheField name="Quarter" numFmtId="0">
      <sharedItems/>
    </cacheField>
    <cacheField name="Units_Sold" numFmtId="0">
      <sharedItems containsSemiMixedTypes="0" containsString="0" containsNumber="1" containsInteger="1" minValue="53" maxValue="4998"/>
    </cacheField>
    <cacheField name="Selling_Price_per_Unit" numFmtId="0">
      <sharedItems containsSemiMixedTypes="0" containsString="0" containsNumber="1" containsInteger="1" minValue="1511" maxValue="19958"/>
    </cacheField>
    <cacheField name="Manufacturing_Cost_per_Unit" numFmtId="0">
      <sharedItems containsSemiMixedTypes="0" containsString="0" containsNumber="1" containsInteger="1" minValue="807" maxValue="14991"/>
    </cacheField>
    <cacheField name="Marketing_Spend" numFmtId="0">
      <sharedItems containsSemiMixedTypes="0" containsString="0" containsNumber="1" containsInteger="1" minValue="50138" maxValue="499962"/>
    </cacheField>
    <cacheField name="Return_Rate_%" numFmtId="0">
      <sharedItems containsSemiMixedTypes="0" containsString="0" containsNumber="1" minValue="0" maxValue="14.99"/>
    </cacheField>
    <cacheField name="Stockout_Days" numFmtId="0">
      <sharedItems containsSemiMixedTypes="0" containsString="0" containsNumber="1" containsInteger="1" minValue="0" maxValue="19"/>
    </cacheField>
    <cacheField name="Warranty_Claims_%" numFmtId="0">
      <sharedItems containsSemiMixedTypes="0" containsString="0" containsNumber="1" minValue="0.02" maxValue="9.99"/>
    </cacheField>
    <cacheField name="Discount_%" numFmtId="0">
      <sharedItems containsSemiMixedTypes="0" containsString="0" containsNumber="1" minValue="0.02" maxValue="25"/>
    </cacheField>
    <cacheField name="Online_Sales_%" numFmtId="0">
      <sharedItems containsSemiMixedTypes="0" containsString="0" containsNumber="1" minValue="10.23" maxValue="89.98"/>
    </cacheField>
    <cacheField name="Customer_Rating" numFmtId="0">
      <sharedItems containsSemiMixedTypes="0" containsString="0" containsNumber="1" minValue="1" maxValue="5"/>
    </cacheField>
    <cacheField name="Competitor_Price" numFmtId="0">
      <sharedItems containsSemiMixedTypes="0" containsString="0" containsNumber="1" containsInteger="1" minValue="1515" maxValue="20979"/>
    </cacheField>
    <cacheField name="Inventory_Level" numFmtId="0">
      <sharedItems containsSemiMixedTypes="0" containsString="0" containsNumber="1" containsInteger="1" minValue="120" maxValue="9995"/>
    </cacheField>
    <cacheField name="Lead_Time_Days" numFmtId="0">
      <sharedItems containsSemiMixedTypes="0" containsString="0" containsNumber="1" containsInteger="1" minValue="2" maxValue="14"/>
    </cacheField>
    <cacheField name="profit" numFmtId="0">
      <sharedItems containsSemiMixedTypes="0" containsString="0" containsNumber="1" minValue="-57231357.530000001" maxValue="88386952.459999993"/>
    </cacheField>
    <cacheField name="profit margin" numFmtId="0">
      <sharedItems containsSemiMixedTypes="0" containsString="0" containsNumber="1" minValue="-742.64557467486418" maxValue="95.44089345431496"/>
    </cacheField>
    <cacheField name="total re" numFmtId="164">
      <sharedItems containsSemiMixedTypes="0" containsString="0" containsNumber="1" containsInteger="1" minValue="190674" maxValue="942135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22.609359259259" createdVersion="8" refreshedVersion="8" minRefreshableVersion="3" recordCount="1000" xr:uid="{D44F8AB0-5296-4593-BEFF-5BB2D16DC50E}">
  <cacheSource type="worksheet">
    <worksheetSource ref="A1:W1001" sheet="Product_Data"/>
  </cacheSource>
  <cacheFields count="23">
    <cacheField name="Product_ID" numFmtId="0">
      <sharedItems/>
    </cacheField>
    <cacheField name="Product_Name" numFmtId="0">
      <sharedItems/>
    </cacheField>
    <cacheField name="Product_Category" numFmtId="0">
      <sharedItems count="3">
        <s v="Headphones"/>
        <s v="Speakers"/>
        <s v="Smartwatches"/>
      </sharedItems>
    </cacheField>
    <cacheField name="Region" numFmtId="0">
      <sharedItems count="4">
        <s v="East"/>
        <s v="South"/>
        <s v="North"/>
        <s v="West"/>
      </sharedItems>
    </cacheField>
    <cacheField name="Year" numFmtId="0">
      <sharedItems containsSemiMixedTypes="0" containsString="0" containsNumber="1" containsInteger="1" minValue="2023" maxValue="2024" count="2">
        <n v="2024"/>
        <n v="2023"/>
      </sharedItems>
    </cacheField>
    <cacheField name="Quarter" numFmtId="0">
      <sharedItems/>
    </cacheField>
    <cacheField name="Units_Sold" numFmtId="0">
      <sharedItems containsSemiMixedTypes="0" containsString="0" containsNumber="1" containsInteger="1" minValue="53" maxValue="4998"/>
    </cacheField>
    <cacheField name="Selling_Price_per_Unit" numFmtId="0">
      <sharedItems containsSemiMixedTypes="0" containsString="0" containsNumber="1" containsInteger="1" minValue="1511" maxValue="19958"/>
    </cacheField>
    <cacheField name="Manufacturing_Cost_per_Unit" numFmtId="0">
      <sharedItems containsSemiMixedTypes="0" containsString="0" containsNumber="1" containsInteger="1" minValue="807" maxValue="14991"/>
    </cacheField>
    <cacheField name="Marketing_Spend" numFmtId="0">
      <sharedItems containsSemiMixedTypes="0" containsString="0" containsNumber="1" containsInteger="1" minValue="50138" maxValue="499962"/>
    </cacheField>
    <cacheField name="Return_Rate_%" numFmtId="0">
      <sharedItems containsSemiMixedTypes="0" containsString="0" containsNumber="1" minValue="0" maxValue="14.99"/>
    </cacheField>
    <cacheField name="Stockout_Days" numFmtId="0">
      <sharedItems containsSemiMixedTypes="0" containsString="0" containsNumber="1" containsInteger="1" minValue="0" maxValue="19"/>
    </cacheField>
    <cacheField name="Warranty_Claims_%" numFmtId="0">
      <sharedItems containsSemiMixedTypes="0" containsString="0" containsNumber="1" minValue="0.02" maxValue="9.99"/>
    </cacheField>
    <cacheField name="Discount_%" numFmtId="0">
      <sharedItems containsSemiMixedTypes="0" containsString="0" containsNumber="1" minValue="0.02" maxValue="25"/>
    </cacheField>
    <cacheField name="Online_Sales_%" numFmtId="0">
      <sharedItems containsSemiMixedTypes="0" containsString="0" containsNumber="1" minValue="10.23" maxValue="89.98"/>
    </cacheField>
    <cacheField name="Customer_Rating" numFmtId="0">
      <sharedItems containsSemiMixedTypes="0" containsString="0" containsNumber="1" minValue="1" maxValue="5"/>
    </cacheField>
    <cacheField name="Competitor_Price" numFmtId="0">
      <sharedItems containsSemiMixedTypes="0" containsString="0" containsNumber="1" containsInteger="1" minValue="1515" maxValue="20979"/>
    </cacheField>
    <cacheField name="Inventory_Level" numFmtId="0">
      <sharedItems containsSemiMixedTypes="0" containsString="0" containsNumber="1" containsInteger="1" minValue="120" maxValue="9995"/>
    </cacheField>
    <cacheField name="Lead_Time_Days" numFmtId="0">
      <sharedItems containsSemiMixedTypes="0" containsString="0" containsNumber="1" containsInteger="1" minValue="2" maxValue="14"/>
    </cacheField>
    <cacheField name="profit" numFmtId="0">
      <sharedItems containsSemiMixedTypes="0" containsString="0" containsNumber="1" minValue="-57231357.530000001" maxValue="88386952.459999993"/>
    </cacheField>
    <cacheField name="profit margin" numFmtId="0">
      <sharedItems containsSemiMixedTypes="0" containsString="0" containsNumber="1" minValue="-742.64557467486418" maxValue="95.44089345431496"/>
    </cacheField>
    <cacheField name="total re" numFmtId="164">
      <sharedItems containsSemiMixedTypes="0" containsString="0" containsNumber="1" containsInteger="1" minValue="190674" maxValue="94213528"/>
    </cacheField>
    <cacheField name="inventry trunover" numFmtId="2">
      <sharedItems containsSemiMixedTypes="0" containsString="0" containsNumber="1" minValue="1.0610721072571726E-2" maxValue="1.0006110173719525"/>
    </cacheField>
  </cacheFields>
  <extLst>
    <ext xmlns:x14="http://schemas.microsoft.com/office/spreadsheetml/2009/9/main" uri="{725AE2AE-9491-48be-B2B4-4EB974FC3084}">
      <x14:pivotCacheDefinition pivotCacheId="174156497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22.61893113426" createdVersion="8" refreshedVersion="8" minRefreshableVersion="3" recordCount="1000" xr:uid="{F767DAAE-3C0C-4AC8-BC4B-5504868485A0}">
  <cacheSource type="worksheet">
    <worksheetSource ref="A1:X1001" sheet="Product_Data"/>
  </cacheSource>
  <cacheFields count="24">
    <cacheField name="Product_ID" numFmtId="0">
      <sharedItems/>
    </cacheField>
    <cacheField name="Product_Name" numFmtId="0">
      <sharedItems/>
    </cacheField>
    <cacheField name="Product_Category" numFmtId="0">
      <sharedItems count="3">
        <s v="Headphones"/>
        <s v="Speakers"/>
        <s v="Smartwatches"/>
      </sharedItems>
    </cacheField>
    <cacheField name="Region" numFmtId="0">
      <sharedItems count="4">
        <s v="East"/>
        <s v="South"/>
        <s v="North"/>
        <s v="West"/>
      </sharedItems>
    </cacheField>
    <cacheField name="Year" numFmtId="0">
      <sharedItems containsSemiMixedTypes="0" containsString="0" containsNumber="1" containsInteger="1" minValue="2023" maxValue="2024"/>
    </cacheField>
    <cacheField name="Quarter" numFmtId="0">
      <sharedItems/>
    </cacheField>
    <cacheField name="Units_Sold" numFmtId="0">
      <sharedItems containsSemiMixedTypes="0" containsString="0" containsNumber="1" containsInteger="1" minValue="53" maxValue="4998"/>
    </cacheField>
    <cacheField name="Selling_Price_per_Unit" numFmtId="0">
      <sharedItems containsSemiMixedTypes="0" containsString="0" containsNumber="1" containsInteger="1" minValue="1511" maxValue="19958"/>
    </cacheField>
    <cacheField name="Manufacturing_Cost_per_Unit" numFmtId="0">
      <sharedItems containsSemiMixedTypes="0" containsString="0" containsNumber="1" containsInteger="1" minValue="807" maxValue="14991"/>
    </cacheField>
    <cacheField name="Marketing_Spend" numFmtId="0">
      <sharedItems containsSemiMixedTypes="0" containsString="0" containsNumber="1" containsInteger="1" minValue="50138" maxValue="499962"/>
    </cacheField>
    <cacheField name="Return_Rate_%" numFmtId="0">
      <sharedItems containsSemiMixedTypes="0" containsString="0" containsNumber="1" minValue="0" maxValue="14.99"/>
    </cacheField>
    <cacheField name="Stockout_Days" numFmtId="0">
      <sharedItems containsSemiMixedTypes="0" containsString="0" containsNumber="1" containsInteger="1" minValue="0" maxValue="19"/>
    </cacheField>
    <cacheField name="Warranty_Claims_%" numFmtId="0">
      <sharedItems containsSemiMixedTypes="0" containsString="0" containsNumber="1" minValue="0.02" maxValue="9.99"/>
    </cacheField>
    <cacheField name="Discount_%" numFmtId="0">
      <sharedItems containsSemiMixedTypes="0" containsString="0" containsNumber="1" minValue="0.02" maxValue="25"/>
    </cacheField>
    <cacheField name="Online_Sales_%" numFmtId="0">
      <sharedItems containsSemiMixedTypes="0" containsString="0" containsNumber="1" minValue="10.23" maxValue="89.98"/>
    </cacheField>
    <cacheField name="Customer_Rating" numFmtId="0">
      <sharedItems containsSemiMixedTypes="0" containsString="0" containsNumber="1" minValue="1" maxValue="5"/>
    </cacheField>
    <cacheField name="Competitor_Price" numFmtId="0">
      <sharedItems containsSemiMixedTypes="0" containsString="0" containsNumber="1" containsInteger="1" minValue="1515" maxValue="20979"/>
    </cacheField>
    <cacheField name="Inventory_Level" numFmtId="0">
      <sharedItems containsSemiMixedTypes="0" containsString="0" containsNumber="1" containsInteger="1" minValue="120" maxValue="9995"/>
    </cacheField>
    <cacheField name="Lead_Time_Days" numFmtId="0">
      <sharedItems containsSemiMixedTypes="0" containsString="0" containsNumber="1" containsInteger="1" minValue="2" maxValue="14"/>
    </cacheField>
    <cacheField name="profit" numFmtId="0">
      <sharedItems containsSemiMixedTypes="0" containsString="0" containsNumber="1" minValue="-57231357.530000001" maxValue="88386952.459999993"/>
    </cacheField>
    <cacheField name="profit margin" numFmtId="0">
      <sharedItems containsSemiMixedTypes="0" containsString="0" containsNumber="1" minValue="-742.64557467486418" maxValue="95.44089345431496"/>
    </cacheField>
    <cacheField name="total re" numFmtId="164">
      <sharedItems containsSemiMixedTypes="0" containsString="0" containsNumber="1" containsInteger="1" minValue="190674" maxValue="94213528"/>
    </cacheField>
    <cacheField name="inventry trunover" numFmtId="2">
      <sharedItems containsSemiMixedTypes="0" containsString="0" containsNumber="1" minValue="1.0610721072571726E-2" maxValue="1.0006110173719525"/>
    </cacheField>
    <cacheField name="adv roi" numFmtId="165">
      <sharedItems containsSemiMixedTypes="0" containsString="0" containsNumber="1" minValue="-744.33227374147998" maxValue="680.333000249812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x v="0"/>
    <x v="0"/>
    <x v="0"/>
    <n v="2024"/>
    <s v="Q3"/>
    <n v="910"/>
    <n v="6471"/>
    <n v="10500"/>
    <n v="487818"/>
    <n v="4.9800000000000004"/>
    <n v="9"/>
    <n v="3.97"/>
    <n v="24.6"/>
    <n v="34.36"/>
    <n v="3.8"/>
    <n v="2476"/>
    <n v="8822"/>
    <n v="8"/>
    <n v="-4154232.6"/>
    <n v="-70.546913448165185"/>
  </r>
  <r>
    <s v="P0002"/>
    <x v="1"/>
    <x v="1"/>
    <x v="1"/>
    <n v="2023"/>
    <s v="Q3"/>
    <n v="3822"/>
    <n v="14990"/>
    <n v="8670"/>
    <n v="426742"/>
    <n v="10.4"/>
    <n v="5"/>
    <n v="4.74"/>
    <n v="22.65"/>
    <n v="11.99"/>
    <n v="1.4"/>
    <n v="20164"/>
    <n v="9362"/>
    <n v="5"/>
    <n v="23728275.350000001"/>
    <n v="41.416544135999963"/>
  </r>
  <r>
    <s v="P0003"/>
    <x v="2"/>
    <x v="0"/>
    <x v="2"/>
    <n v="2024"/>
    <s v="Q3"/>
    <n v="3142"/>
    <n v="19089"/>
    <n v="6493"/>
    <n v="361478"/>
    <n v="11.57"/>
    <n v="17"/>
    <n v="4.51"/>
    <n v="1.39"/>
    <n v="10.31"/>
    <n v="1.1000000000000001"/>
    <n v="7397"/>
    <n v="3236"/>
    <n v="12"/>
    <n v="39215152.609999999"/>
    <n v="65.382955911001361"/>
  </r>
  <r>
    <s v="P0004"/>
    <x v="3"/>
    <x v="0"/>
    <x v="2"/>
    <n v="2023"/>
    <s v="Q2"/>
    <n v="516"/>
    <n v="14451"/>
    <n v="1567"/>
    <n v="380792"/>
    <n v="9.82"/>
    <n v="17"/>
    <n v="8.69"/>
    <n v="20.83"/>
    <n v="28.18"/>
    <n v="3.2"/>
    <n v="17457"/>
    <n v="9254"/>
    <n v="9"/>
    <n v="6267331.1699999999"/>
    <n v="84.049481970347259"/>
  </r>
  <r>
    <s v="P0005"/>
    <x v="4"/>
    <x v="2"/>
    <x v="0"/>
    <n v="2024"/>
    <s v="Q1"/>
    <n v="4476"/>
    <n v="13812"/>
    <n v="2844"/>
    <n v="72054"/>
    <n v="2.27"/>
    <n v="4"/>
    <n v="5.3"/>
    <n v="11.45"/>
    <n v="42.51"/>
    <n v="3.8"/>
    <n v="16859"/>
    <n v="6718"/>
    <n v="10"/>
    <n v="49020702.549999997"/>
    <n v="79.292641085176214"/>
  </r>
  <r>
    <s v="P0006"/>
    <x v="5"/>
    <x v="2"/>
    <x v="3"/>
    <n v="2024"/>
    <s v="Q1"/>
    <n v="3494"/>
    <n v="3490"/>
    <n v="11131"/>
    <n v="120028"/>
    <n v="13.14"/>
    <n v="6"/>
    <n v="4.68"/>
    <n v="6.47"/>
    <n v="78.099999999999994"/>
    <n v="4.2"/>
    <n v="14740"/>
    <n v="5365"/>
    <n v="13"/>
    <n v="-26817688.469999999"/>
    <n v="-219.92419645302709"/>
  </r>
  <r>
    <s v="P0007"/>
    <x v="6"/>
    <x v="2"/>
    <x v="2"/>
    <n v="2024"/>
    <s v="Q4"/>
    <n v="3221"/>
    <n v="6799"/>
    <n v="12021"/>
    <n v="72207"/>
    <n v="8.09"/>
    <n v="1"/>
    <n v="4.1100000000000003"/>
    <n v="21.97"/>
    <n v="73.88"/>
    <n v="2.4"/>
    <n v="1607"/>
    <n v="7189"/>
    <n v="10"/>
    <n v="-16892290.969999999"/>
    <n v="-77.135231549428411"/>
  </r>
  <r>
    <s v="P0008"/>
    <x v="7"/>
    <x v="1"/>
    <x v="1"/>
    <n v="2023"/>
    <s v="Q1"/>
    <n v="2969"/>
    <n v="14497"/>
    <n v="2349"/>
    <n v="280893"/>
    <n v="4.24"/>
    <n v="10"/>
    <n v="8.18"/>
    <n v="4.92"/>
    <n v="31.37"/>
    <n v="1"/>
    <n v="17024"/>
    <n v="8065"/>
    <n v="4"/>
    <n v="35786514.079999998"/>
    <n v="83.144027870901525"/>
  </r>
  <r>
    <s v="P0009"/>
    <x v="8"/>
    <x v="2"/>
    <x v="3"/>
    <n v="2024"/>
    <s v="Q1"/>
    <n v="180"/>
    <n v="14972"/>
    <n v="10756"/>
    <n v="131554"/>
    <n v="6.38"/>
    <n v="12"/>
    <n v="8.9499999999999993"/>
    <n v="23.68"/>
    <n v="29.56"/>
    <n v="2.9"/>
    <n v="3126"/>
    <n v="9697"/>
    <n v="6"/>
    <n v="627302.31999999995"/>
    <n v="23.276869415501526"/>
  </r>
  <r>
    <s v="P0010"/>
    <x v="9"/>
    <x v="2"/>
    <x v="1"/>
    <n v="2024"/>
    <s v="Q1"/>
    <n v="1735"/>
    <n v="5880"/>
    <n v="6940"/>
    <n v="202458"/>
    <n v="0.56000000000000005"/>
    <n v="4"/>
    <n v="8.5299999999999994"/>
    <n v="5.14"/>
    <n v="28.19"/>
    <n v="1.1000000000000001"/>
    <n v="7729"/>
    <n v="8808"/>
    <n v="7"/>
    <n v="-2041563.14"/>
    <n v="-20.011793409006255"/>
  </r>
  <r>
    <s v="P0011"/>
    <x v="10"/>
    <x v="1"/>
    <x v="1"/>
    <n v="2024"/>
    <s v="Q2"/>
    <n v="819"/>
    <n v="6257"/>
    <n v="11637"/>
    <n v="133276"/>
    <n v="1.92"/>
    <n v="5"/>
    <n v="6.74"/>
    <n v="15.34"/>
    <n v="37.14"/>
    <n v="1.4"/>
    <n v="8377"/>
    <n v="6669"/>
    <n v="7"/>
    <n v="-4539511.34"/>
    <n v="-88.5847672828654"/>
  </r>
  <r>
    <s v="P0012"/>
    <x v="11"/>
    <x v="2"/>
    <x v="0"/>
    <n v="2023"/>
    <s v="Q1"/>
    <n v="2441"/>
    <n v="11895"/>
    <n v="4516"/>
    <n v="364925"/>
    <n v="11.48"/>
    <n v="13"/>
    <n v="1.37"/>
    <n v="5.58"/>
    <n v="49.86"/>
    <n v="2.2999999999999998"/>
    <n v="2374"/>
    <n v="1591"/>
    <n v="11"/>
    <n v="17647208.420000002"/>
    <n v="60.777633943323906"/>
  </r>
  <r>
    <s v="P0013"/>
    <x v="12"/>
    <x v="2"/>
    <x v="1"/>
    <n v="2024"/>
    <s v="Q2"/>
    <n v="2483"/>
    <n v="17741"/>
    <n v="13597"/>
    <n v="233852"/>
    <n v="0"/>
    <n v="11"/>
    <n v="2.77"/>
    <n v="13.64"/>
    <n v="45.09"/>
    <n v="2.7"/>
    <n v="7043"/>
    <n v="5313"/>
    <n v="9"/>
    <n v="10055686.359999999"/>
    <n v="22.827423900935695"/>
  </r>
  <r>
    <s v="P0014"/>
    <x v="13"/>
    <x v="1"/>
    <x v="1"/>
    <n v="2023"/>
    <s v="Q4"/>
    <n v="1234"/>
    <n v="7088"/>
    <n v="14294"/>
    <n v="242512"/>
    <n v="6.25"/>
    <n v="3"/>
    <n v="0.46"/>
    <n v="17.100000000000001"/>
    <n v="27.46"/>
    <n v="2.1"/>
    <n v="5309"/>
    <n v="4328"/>
    <n v="7"/>
    <n v="-9134733.0999999996"/>
    <n v="-104.43762667791066"/>
  </r>
  <r>
    <s v="P0015"/>
    <x v="14"/>
    <x v="1"/>
    <x v="1"/>
    <n v="2024"/>
    <s v="Q1"/>
    <n v="4605"/>
    <n v="18850"/>
    <n v="5281"/>
    <n v="487415"/>
    <n v="7.84"/>
    <n v="5"/>
    <n v="9.31"/>
    <n v="4.76"/>
    <n v="20.440000000000001"/>
    <n v="3.3"/>
    <n v="12103"/>
    <n v="7608"/>
    <n v="7"/>
    <n v="61997825.240000002"/>
    <n v="71.422568871915843"/>
  </r>
  <r>
    <s v="P0016"/>
    <x v="15"/>
    <x v="1"/>
    <x v="3"/>
    <n v="2023"/>
    <s v="Q4"/>
    <n v="3435"/>
    <n v="6444"/>
    <n v="14685"/>
    <n v="373179"/>
    <n v="0.82"/>
    <n v="9"/>
    <n v="6.61"/>
    <n v="13.02"/>
    <n v="11.01"/>
    <n v="1.2"/>
    <n v="3607"/>
    <n v="4509"/>
    <n v="5"/>
    <n v="-28681027.02"/>
    <n v="-129.57237686321389"/>
  </r>
  <r>
    <s v="P0017"/>
    <x v="16"/>
    <x v="2"/>
    <x v="2"/>
    <n v="2024"/>
    <s v="Q1"/>
    <n v="4167"/>
    <n v="14895"/>
    <n v="8698"/>
    <n v="58210"/>
    <n v="14.6"/>
    <n v="17"/>
    <n v="7.46"/>
    <n v="11.73"/>
    <n v="22.32"/>
    <n v="1.6"/>
    <n v="13245"/>
    <n v="690"/>
    <n v="8"/>
    <n v="25764677.27"/>
    <n v="41.510761346544442"/>
  </r>
  <r>
    <s v="P0018"/>
    <x v="17"/>
    <x v="2"/>
    <x v="0"/>
    <n v="2024"/>
    <s v="Q4"/>
    <n v="4893"/>
    <n v="18572"/>
    <n v="7348"/>
    <n v="94363"/>
    <n v="3.39"/>
    <n v="14"/>
    <n v="3.12"/>
    <n v="1.78"/>
    <n v="66.430000000000007"/>
    <n v="3.8"/>
    <n v="10965"/>
    <n v="7479"/>
    <n v="9"/>
    <n v="54824667.219999999"/>
    <n v="60.331220819925022"/>
  </r>
  <r>
    <s v="P0019"/>
    <x v="18"/>
    <x v="0"/>
    <x v="1"/>
    <n v="2024"/>
    <s v="Q1"/>
    <n v="2954"/>
    <n v="5743"/>
    <n v="3093"/>
    <n v="292247"/>
    <n v="4.5599999999999996"/>
    <n v="7"/>
    <n v="8.4600000000000009"/>
    <n v="20.46"/>
    <n v="29.49"/>
    <n v="1.6"/>
    <n v="2059"/>
    <n v="9835"/>
    <n v="4"/>
    <n v="7535832.54"/>
    <n v="44.420345465457878"/>
  </r>
  <r>
    <s v="P0020"/>
    <x v="19"/>
    <x v="1"/>
    <x v="0"/>
    <n v="2024"/>
    <s v="Q3"/>
    <n v="524"/>
    <n v="11416"/>
    <n v="5637"/>
    <n v="128279"/>
    <n v="4.5599999999999996"/>
    <n v="8"/>
    <n v="2.6"/>
    <n v="8.39"/>
    <n v="47.49"/>
    <n v="3.6"/>
    <n v="9808"/>
    <n v="3156"/>
    <n v="8"/>
    <n v="2899908.61"/>
    <n v="48.477371554320435"/>
  </r>
  <r>
    <s v="P0021"/>
    <x v="20"/>
    <x v="0"/>
    <x v="3"/>
    <n v="2023"/>
    <s v="Q1"/>
    <n v="1132"/>
    <n v="11484"/>
    <n v="8558"/>
    <n v="241420"/>
    <n v="3.46"/>
    <n v="4"/>
    <n v="0.02"/>
    <n v="14.36"/>
    <n v="57.3"/>
    <n v="1.2"/>
    <n v="16750"/>
    <n v="2306"/>
    <n v="4"/>
    <n v="3070797.64"/>
    <n v="23.621723817928277"/>
  </r>
  <r>
    <s v="P0022"/>
    <x v="21"/>
    <x v="0"/>
    <x v="3"/>
    <n v="2024"/>
    <s v="Q1"/>
    <n v="2608"/>
    <n v="3259"/>
    <n v="11700"/>
    <n v="236356"/>
    <n v="0.02"/>
    <n v="9"/>
    <n v="3.76"/>
    <n v="12.87"/>
    <n v="80.95"/>
    <n v="2.6"/>
    <n v="14755"/>
    <n v="2808"/>
    <n v="9"/>
    <n v="-22250496.870000001"/>
    <n v="-261.78681299261888"/>
  </r>
  <r>
    <s v="P0023"/>
    <x v="22"/>
    <x v="2"/>
    <x v="0"/>
    <n v="2023"/>
    <s v="Q2"/>
    <n v="2097"/>
    <n v="10681"/>
    <n v="7593"/>
    <n v="253196"/>
    <n v="10.94"/>
    <n v="19"/>
    <n v="5.71"/>
    <n v="12.83"/>
    <n v="81.11"/>
    <n v="1.7"/>
    <n v="4546"/>
    <n v="6081"/>
    <n v="2"/>
    <n v="6222327.1699999999"/>
    <n v="27.780656018510889"/>
  </r>
  <r>
    <s v="P0024"/>
    <x v="23"/>
    <x v="0"/>
    <x v="0"/>
    <n v="2023"/>
    <s v="Q3"/>
    <n v="2797"/>
    <n v="3982"/>
    <n v="8438"/>
    <n v="249919"/>
    <n v="14.5"/>
    <n v="5"/>
    <n v="4.79"/>
    <n v="2.68"/>
    <n v="69.66"/>
    <n v="1.4"/>
    <n v="15356"/>
    <n v="5822"/>
    <n v="2"/>
    <n v="-12713353.68"/>
    <n v="-114.14750072142661"/>
  </r>
  <r>
    <s v="P0025"/>
    <x v="24"/>
    <x v="0"/>
    <x v="1"/>
    <n v="2023"/>
    <s v="Q3"/>
    <n v="1025"/>
    <n v="2451"/>
    <n v="8793"/>
    <n v="465648"/>
    <n v="3.36"/>
    <n v="15"/>
    <n v="8.6199999999999992"/>
    <n v="10.59"/>
    <n v="12.81"/>
    <n v="3.3"/>
    <n v="17927"/>
    <n v="847"/>
    <n v="7"/>
    <n v="-6966208.5899999999"/>
    <n v="-277.28686509239628"/>
  </r>
  <r>
    <s v="P0026"/>
    <x v="25"/>
    <x v="0"/>
    <x v="0"/>
    <n v="2023"/>
    <s v="Q4"/>
    <n v="1856"/>
    <n v="3579"/>
    <n v="6807"/>
    <n v="307324"/>
    <n v="9.9499999999999993"/>
    <n v="2"/>
    <n v="1.05"/>
    <n v="11.31"/>
    <n v="56.01"/>
    <n v="4.7"/>
    <n v="2008"/>
    <n v="9092"/>
    <n v="11"/>
    <n v="-6298503.3099999996"/>
    <n v="-94.819506719031509"/>
  </r>
  <r>
    <s v="P0027"/>
    <x v="26"/>
    <x v="1"/>
    <x v="2"/>
    <n v="2023"/>
    <s v="Q1"/>
    <n v="239"/>
    <n v="4217"/>
    <n v="6342"/>
    <n v="245161"/>
    <n v="11.13"/>
    <n v="9"/>
    <n v="5.54"/>
    <n v="18.34"/>
    <n v="72.930000000000007"/>
    <n v="1.2"/>
    <n v="7607"/>
    <n v="6653"/>
    <n v="10"/>
    <n v="-753054.34"/>
    <n v="-74.717926940467109"/>
  </r>
  <r>
    <s v="P0028"/>
    <x v="27"/>
    <x v="1"/>
    <x v="0"/>
    <n v="2023"/>
    <s v="Q2"/>
    <n v="2784"/>
    <n v="11192"/>
    <n v="9892"/>
    <n v="498614"/>
    <n v="12.73"/>
    <n v="10"/>
    <n v="5.13"/>
    <n v="21"/>
    <n v="11.38"/>
    <n v="2.7"/>
    <n v="14976"/>
    <n v="1597"/>
    <n v="13"/>
    <n v="3120565"/>
    <n v="10.015123307493859"/>
  </r>
  <r>
    <s v="P0029"/>
    <x v="28"/>
    <x v="2"/>
    <x v="1"/>
    <n v="2023"/>
    <s v="Q1"/>
    <n v="3055"/>
    <n v="8811"/>
    <n v="12076"/>
    <n v="280363"/>
    <n v="6.34"/>
    <n v="10"/>
    <n v="2.81"/>
    <n v="13.62"/>
    <n v="53.97"/>
    <n v="3.8"/>
    <n v="4939"/>
    <n v="1479"/>
    <n v="5"/>
    <n v="-10254951.619999999"/>
    <n v="-38.097563360484706"/>
  </r>
  <r>
    <s v="P0030"/>
    <x v="29"/>
    <x v="0"/>
    <x v="2"/>
    <n v="2023"/>
    <s v="Q4"/>
    <n v="4708"/>
    <n v="19949"/>
    <n v="7156"/>
    <n v="184393"/>
    <n v="4.54"/>
    <n v="16"/>
    <n v="8.2200000000000006"/>
    <n v="2.17"/>
    <n v="78.62"/>
    <n v="2.9"/>
    <n v="14636"/>
    <n v="8971"/>
    <n v="7"/>
    <n v="60045048.829999998"/>
    <n v="63.932195354313222"/>
  </r>
  <r>
    <s v="P0031"/>
    <x v="30"/>
    <x v="2"/>
    <x v="0"/>
    <n v="2023"/>
    <s v="Q4"/>
    <n v="1949"/>
    <n v="2268"/>
    <n v="11001"/>
    <n v="393492"/>
    <n v="4.88"/>
    <n v="3"/>
    <n v="7.53"/>
    <n v="5.92"/>
    <n v="47.93"/>
    <n v="4.2"/>
    <n v="15667"/>
    <n v="7460"/>
    <n v="13"/>
    <n v="-17414114.920000002"/>
    <n v="-393.95490926925856"/>
  </r>
  <r>
    <s v="P0032"/>
    <x v="31"/>
    <x v="2"/>
    <x v="2"/>
    <n v="2024"/>
    <s v="Q2"/>
    <n v="1317"/>
    <n v="6990"/>
    <n v="9233"/>
    <n v="480599"/>
    <n v="10.69"/>
    <n v="3"/>
    <n v="7.33"/>
    <n v="4.12"/>
    <n v="10.33"/>
    <n v="1.7"/>
    <n v="18800"/>
    <n v="3870"/>
    <n v="6"/>
    <n v="-3434634.12"/>
    <n v="-37.309336800701296"/>
  </r>
  <r>
    <s v="P0033"/>
    <x v="32"/>
    <x v="2"/>
    <x v="3"/>
    <n v="2023"/>
    <s v="Q4"/>
    <n v="1578"/>
    <n v="17034"/>
    <n v="8180"/>
    <n v="425960"/>
    <n v="12.25"/>
    <n v="16"/>
    <n v="8.76"/>
    <n v="3.12"/>
    <n v="10.88"/>
    <n v="4.8"/>
    <n v="18682"/>
    <n v="3442"/>
    <n v="13"/>
    <n v="13545648.880000001"/>
    <n v="50.393691406421482"/>
  </r>
  <r>
    <s v="P0034"/>
    <x v="33"/>
    <x v="0"/>
    <x v="2"/>
    <n v="2024"/>
    <s v="Q4"/>
    <n v="3252"/>
    <n v="8145"/>
    <n v="3185"/>
    <n v="259754"/>
    <n v="2.72"/>
    <n v="8"/>
    <n v="7.23"/>
    <n v="9.15"/>
    <n v="43.33"/>
    <n v="2.5"/>
    <n v="6471"/>
    <n v="9188"/>
    <n v="2"/>
    <n v="15870156.85"/>
    <n v="59.915555955743713"/>
  </r>
  <r>
    <s v="P0035"/>
    <x v="34"/>
    <x v="2"/>
    <x v="0"/>
    <n v="2024"/>
    <s v="Q2"/>
    <n v="3606"/>
    <n v="6732"/>
    <n v="5068"/>
    <n v="173053"/>
    <n v="5.56"/>
    <n v="18"/>
    <n v="2.3199999999999998"/>
    <n v="5.73"/>
    <n v="22.4"/>
    <n v="2.4"/>
    <n v="19644"/>
    <n v="1646"/>
    <n v="7"/>
    <n v="5827325.2699999996"/>
    <n v="24.004873990302684"/>
  </r>
  <r>
    <s v="P0036"/>
    <x v="35"/>
    <x v="2"/>
    <x v="2"/>
    <n v="2024"/>
    <s v="Q1"/>
    <n v="3940"/>
    <n v="12985"/>
    <n v="1471"/>
    <n v="233965"/>
    <n v="13.53"/>
    <n v="4"/>
    <n v="7.06"/>
    <n v="5.46"/>
    <n v="63.16"/>
    <n v="4.5"/>
    <n v="17383"/>
    <n v="3226"/>
    <n v="10"/>
    <n v="45131189.539999999"/>
    <n v="88.214221290086755"/>
  </r>
  <r>
    <s v="P0037"/>
    <x v="36"/>
    <x v="0"/>
    <x v="1"/>
    <n v="2023"/>
    <s v="Q2"/>
    <n v="696"/>
    <n v="7297"/>
    <n v="963"/>
    <n v="216892"/>
    <n v="12.1"/>
    <n v="5"/>
    <n v="3.08"/>
    <n v="1.37"/>
    <n v="66.7"/>
    <n v="3.3"/>
    <n v="2318"/>
    <n v="5989"/>
    <n v="13"/>
    <n v="4191570.63"/>
    <n v="82.532158350384904"/>
  </r>
  <r>
    <s v="P0038"/>
    <x v="37"/>
    <x v="2"/>
    <x v="0"/>
    <n v="2024"/>
    <s v="Q1"/>
    <n v="2938"/>
    <n v="13842"/>
    <n v="9456"/>
    <n v="378406"/>
    <n v="14.77"/>
    <n v="2"/>
    <n v="2.42"/>
    <n v="0.44"/>
    <n v="24.23"/>
    <n v="3.1"/>
    <n v="11860"/>
    <n v="6308"/>
    <n v="4"/>
    <n v="12507661.560000001"/>
    <n v="30.755690719015117"/>
  </r>
  <r>
    <s v="P0039"/>
    <x v="38"/>
    <x v="2"/>
    <x v="1"/>
    <n v="2024"/>
    <s v="Q2"/>
    <n v="2485"/>
    <n v="9538"/>
    <n v="12034"/>
    <n v="184832"/>
    <n v="11.31"/>
    <n v="0"/>
    <n v="0.73"/>
    <n v="2.57"/>
    <n v="81.08"/>
    <n v="3.9"/>
    <n v="13427"/>
    <n v="8975"/>
    <n v="12"/>
    <n v="-6387394.5700000003"/>
    <n v="-26.948837373159062"/>
  </r>
  <r>
    <s v="P0040"/>
    <x v="39"/>
    <x v="0"/>
    <x v="2"/>
    <n v="2023"/>
    <s v="Q1"/>
    <n v="650"/>
    <n v="17502"/>
    <n v="5392"/>
    <n v="203262"/>
    <n v="5.9"/>
    <n v="19"/>
    <n v="7.44"/>
    <n v="4.3"/>
    <n v="45.35"/>
    <n v="3.3"/>
    <n v="17523"/>
    <n v="1395"/>
    <n v="4"/>
    <n v="7668233.7000000002"/>
    <n v="67.405340049049343"/>
  </r>
  <r>
    <s v="P0041"/>
    <x v="40"/>
    <x v="2"/>
    <x v="3"/>
    <n v="2023"/>
    <s v="Q1"/>
    <n v="2413"/>
    <n v="14587"/>
    <n v="5595"/>
    <n v="117411"/>
    <n v="8.86"/>
    <n v="15"/>
    <n v="7.11"/>
    <n v="10.77"/>
    <n v="21.43"/>
    <n v="1.7"/>
    <n v="4565"/>
    <n v="1485"/>
    <n v="3"/>
    <n v="21580274.23"/>
    <n v="61.31033008261079"/>
  </r>
  <r>
    <s v="P0042"/>
    <x v="41"/>
    <x v="1"/>
    <x v="3"/>
    <n v="2023"/>
    <s v="Q3"/>
    <n v="2111"/>
    <n v="6373"/>
    <n v="11434"/>
    <n v="335521"/>
    <n v="9.92"/>
    <n v="10"/>
    <n v="2.34"/>
    <n v="12.76"/>
    <n v="71.14"/>
    <n v="3.7"/>
    <n v="4759"/>
    <n v="1042"/>
    <n v="14"/>
    <n v="-11019304.76"/>
    <n v="-81.907192997935169"/>
  </r>
  <r>
    <s v="P0043"/>
    <x v="42"/>
    <x v="1"/>
    <x v="3"/>
    <n v="2023"/>
    <s v="Q2"/>
    <n v="291"/>
    <n v="2981"/>
    <n v="5598"/>
    <n v="489953"/>
    <n v="1.18"/>
    <n v="12"/>
    <n v="7.49"/>
    <n v="3.51"/>
    <n v="73.2"/>
    <n v="1.5"/>
    <n v="18790"/>
    <n v="3380"/>
    <n v="5"/>
    <n v="-1251503.51"/>
    <n v="-144.27035716467756"/>
  </r>
  <r>
    <s v="P0044"/>
    <x v="43"/>
    <x v="0"/>
    <x v="1"/>
    <n v="2023"/>
    <s v="Q2"/>
    <n v="2091"/>
    <n v="11593"/>
    <n v="6836"/>
    <n v="88211"/>
    <n v="8.17"/>
    <n v="9"/>
    <n v="9.18"/>
    <n v="10.62"/>
    <n v="61.14"/>
    <n v="4.2"/>
    <n v="13800"/>
    <n v="1133"/>
    <n v="11"/>
    <n v="9858665.3800000008"/>
    <n v="40.66944609420014"/>
  </r>
  <r>
    <s v="P0045"/>
    <x v="44"/>
    <x v="2"/>
    <x v="1"/>
    <n v="2024"/>
    <s v="Q1"/>
    <n v="2874"/>
    <n v="15922"/>
    <n v="3155"/>
    <n v="263981"/>
    <n v="10.64"/>
    <n v="2"/>
    <n v="1.08"/>
    <n v="8.5399999999999991"/>
    <n v="78.28"/>
    <n v="5"/>
    <n v="2102"/>
    <n v="2886"/>
    <n v="4"/>
    <n v="36428368.460000001"/>
    <n v="79.607747782618418"/>
  </r>
  <r>
    <s v="P0046"/>
    <x v="45"/>
    <x v="2"/>
    <x v="3"/>
    <n v="2023"/>
    <s v="Q2"/>
    <n v="2662"/>
    <n v="17938"/>
    <n v="6687"/>
    <n v="315888"/>
    <n v="2.5099999999999998"/>
    <n v="8"/>
    <n v="2.33"/>
    <n v="4.59"/>
    <n v="68.989999999999995"/>
    <n v="2.5"/>
    <n v="5795"/>
    <n v="2333"/>
    <n v="13"/>
    <n v="29634269.41"/>
    <n v="62.060054692936404"/>
  </r>
  <r>
    <s v="P0047"/>
    <x v="46"/>
    <x v="0"/>
    <x v="3"/>
    <n v="2024"/>
    <s v="Q4"/>
    <n v="1413"/>
    <n v="9143"/>
    <n v="13270"/>
    <n v="306638"/>
    <n v="11.71"/>
    <n v="11"/>
    <n v="7.5"/>
    <n v="0.17"/>
    <n v="80.58"/>
    <n v="2.8"/>
    <n v="11483"/>
    <n v="1720"/>
    <n v="3"/>
    <n v="-6138089.1699999999"/>
    <n v="-47.51189053320369"/>
  </r>
  <r>
    <s v="P0048"/>
    <x v="47"/>
    <x v="0"/>
    <x v="0"/>
    <n v="2023"/>
    <s v="Q2"/>
    <n v="1528"/>
    <n v="17208"/>
    <n v="13716"/>
    <n v="337139"/>
    <n v="8.76"/>
    <n v="13"/>
    <n v="2.75"/>
    <n v="11.68"/>
    <n v="44.71"/>
    <n v="1.2"/>
    <n v="5027"/>
    <n v="3635"/>
    <n v="2"/>
    <n v="4998625.32"/>
    <n v="19.010644172563111"/>
  </r>
  <r>
    <s v="P0049"/>
    <x v="48"/>
    <x v="2"/>
    <x v="0"/>
    <n v="2024"/>
    <s v="Q2"/>
    <n v="2606"/>
    <n v="12771"/>
    <n v="8761"/>
    <n v="198049"/>
    <n v="14.28"/>
    <n v="0"/>
    <n v="6.25"/>
    <n v="17.14"/>
    <n v="69.81"/>
    <n v="1.1000000000000001"/>
    <n v="3311"/>
    <n v="3305"/>
    <n v="4"/>
    <n v="10251993.859999999"/>
    <n v="30.80413522025901"/>
  </r>
  <r>
    <s v="P0050"/>
    <x v="49"/>
    <x v="2"/>
    <x v="1"/>
    <n v="2023"/>
    <s v="Q2"/>
    <n v="825"/>
    <n v="18716"/>
    <n v="11549"/>
    <n v="279010"/>
    <n v="0.64"/>
    <n v="17"/>
    <n v="0.81"/>
    <n v="5.66"/>
    <n v="89.98"/>
    <n v="4.7"/>
    <n v="13603"/>
    <n v="2982"/>
    <n v="11"/>
    <n v="5633759.3399999999"/>
    <n v="36.486424449668732"/>
  </r>
  <r>
    <s v="P0051"/>
    <x v="50"/>
    <x v="1"/>
    <x v="1"/>
    <n v="2023"/>
    <s v="Q3"/>
    <n v="4064"/>
    <n v="14100"/>
    <n v="6627"/>
    <n v="84542"/>
    <n v="3.98"/>
    <n v="16"/>
    <n v="4.5199999999999996"/>
    <n v="3.3"/>
    <n v="67.989999999999995"/>
    <n v="1.5"/>
    <n v="10532"/>
    <n v="270"/>
    <n v="7"/>
    <n v="30285726.699999999"/>
    <n v="52.852457663204333"/>
  </r>
  <r>
    <s v="P0052"/>
    <x v="51"/>
    <x v="2"/>
    <x v="1"/>
    <n v="2023"/>
    <s v="Q2"/>
    <n v="84"/>
    <n v="12498"/>
    <n v="9537"/>
    <n v="60651"/>
    <n v="9.02"/>
    <n v="8"/>
    <n v="7.39"/>
    <n v="22.18"/>
    <n v="19.13"/>
    <n v="2.8"/>
    <n v="14377"/>
    <n v="8240"/>
    <n v="10"/>
    <n v="188050.82"/>
    <n v="17.912467899625845"/>
  </r>
  <r>
    <s v="P0053"/>
    <x v="52"/>
    <x v="0"/>
    <x v="1"/>
    <n v="2023"/>
    <s v="Q3"/>
    <n v="3202"/>
    <n v="15795"/>
    <n v="14675"/>
    <n v="149239"/>
    <n v="4.45"/>
    <n v="8"/>
    <n v="6.87"/>
    <n v="6.88"/>
    <n v="51.47"/>
    <n v="4.3"/>
    <n v="9463"/>
    <n v="9845"/>
    <n v="12"/>
    <n v="3436994.12"/>
    <n v="6.7957568463363458"/>
  </r>
  <r>
    <s v="P0054"/>
    <x v="53"/>
    <x v="2"/>
    <x v="1"/>
    <n v="2023"/>
    <s v="Q2"/>
    <n v="2005"/>
    <n v="12182"/>
    <n v="5519"/>
    <n v="391075"/>
    <n v="10.72"/>
    <n v="9"/>
    <n v="8.15"/>
    <n v="5.59"/>
    <n v="56.99"/>
    <n v="4.5999999999999996"/>
    <n v="16724"/>
    <n v="3997"/>
    <n v="6"/>
    <n v="12968234.41"/>
    <n v="53.094297624842838"/>
  </r>
  <r>
    <s v="P0055"/>
    <x v="54"/>
    <x v="0"/>
    <x v="0"/>
    <n v="2023"/>
    <s v="Q1"/>
    <n v="1635"/>
    <n v="17880"/>
    <n v="12827"/>
    <n v="276416"/>
    <n v="11.39"/>
    <n v="18"/>
    <n v="8.77"/>
    <n v="21.43"/>
    <n v="23.94"/>
    <n v="3.1"/>
    <n v="10416"/>
    <n v="9887"/>
    <n v="4"/>
    <n v="7985217.5700000003"/>
    <n v="27.31501744555959"/>
  </r>
  <r>
    <s v="P0056"/>
    <x v="55"/>
    <x v="0"/>
    <x v="1"/>
    <n v="2023"/>
    <s v="Q3"/>
    <n v="3993"/>
    <n v="10019"/>
    <n v="1393"/>
    <n v="414256"/>
    <n v="1.54"/>
    <n v="14"/>
    <n v="7.73"/>
    <n v="20.43"/>
    <n v="87.03"/>
    <n v="3.3"/>
    <n v="8266"/>
    <n v="9915"/>
    <n v="6"/>
    <n v="34029341.57"/>
    <n v="85.060877620774974"/>
  </r>
  <r>
    <s v="P0057"/>
    <x v="56"/>
    <x v="0"/>
    <x v="0"/>
    <n v="2023"/>
    <s v="Q1"/>
    <n v="3123"/>
    <n v="4800"/>
    <n v="5639"/>
    <n v="328859"/>
    <n v="7.71"/>
    <n v="4"/>
    <n v="6.72"/>
    <n v="11.21"/>
    <n v="24.05"/>
    <n v="3.7"/>
    <n v="18686"/>
    <n v="4222"/>
    <n v="6"/>
    <n v="-2949067.21"/>
    <n v="-19.673038811506029"/>
  </r>
  <r>
    <s v="P0058"/>
    <x v="1"/>
    <x v="0"/>
    <x v="1"/>
    <n v="2023"/>
    <s v="Q4"/>
    <n v="1071"/>
    <n v="8222"/>
    <n v="8194"/>
    <n v="487625"/>
    <n v="7.63"/>
    <n v="14"/>
    <n v="0.32"/>
    <n v="12.23"/>
    <n v="24.2"/>
    <n v="4.8"/>
    <n v="20466"/>
    <n v="5209"/>
    <n v="6"/>
    <n v="-457649.23"/>
    <n v="-5.1971564754986561"/>
  </r>
  <r>
    <s v="P0059"/>
    <x v="57"/>
    <x v="1"/>
    <x v="1"/>
    <n v="2024"/>
    <s v="Q1"/>
    <n v="3511"/>
    <n v="8718"/>
    <n v="14856"/>
    <n v="205378"/>
    <n v="5.54"/>
    <n v="19"/>
    <n v="5.35"/>
    <n v="5.44"/>
    <n v="83.21"/>
    <n v="3.4"/>
    <n v="3165"/>
    <n v="9383"/>
    <n v="13"/>
    <n v="-21755901.440000001"/>
    <n v="-71.077049033258248"/>
  </r>
  <r>
    <s v="P0060"/>
    <x v="5"/>
    <x v="0"/>
    <x v="3"/>
    <n v="2024"/>
    <s v="Q3"/>
    <n v="2663"/>
    <n v="4554"/>
    <n v="12796"/>
    <n v="200158"/>
    <n v="13.99"/>
    <n v="1"/>
    <n v="0.38"/>
    <n v="1.96"/>
    <n v="47.22"/>
    <n v="3.2"/>
    <n v="17432"/>
    <n v="2937"/>
    <n v="13"/>
    <n v="-22148605.960000001"/>
    <n v="-182.63424098781411"/>
  </r>
  <r>
    <s v="P0061"/>
    <x v="58"/>
    <x v="0"/>
    <x v="1"/>
    <n v="2023"/>
    <s v="Q3"/>
    <n v="3893"/>
    <n v="15075"/>
    <n v="10451"/>
    <n v="457592"/>
    <n v="12.41"/>
    <n v="12"/>
    <n v="8.08"/>
    <n v="14.34"/>
    <n v="15.06"/>
    <n v="1.1000000000000001"/>
    <n v="8475"/>
    <n v="8699"/>
    <n v="8"/>
    <n v="17543625.66"/>
    <n v="29.893559277846578"/>
  </r>
  <r>
    <s v="P0062"/>
    <x v="59"/>
    <x v="0"/>
    <x v="2"/>
    <n v="2024"/>
    <s v="Q4"/>
    <n v="1550"/>
    <n v="9470"/>
    <n v="4293"/>
    <n v="373494"/>
    <n v="10.46"/>
    <n v="15"/>
    <n v="3.21"/>
    <n v="2.46"/>
    <n v="57.85"/>
    <n v="1.3"/>
    <n v="4052"/>
    <n v="5328"/>
    <n v="6"/>
    <n v="7650853.54"/>
    <n v="52.122856831420108"/>
  </r>
  <r>
    <s v="P0063"/>
    <x v="59"/>
    <x v="1"/>
    <x v="1"/>
    <n v="2024"/>
    <s v="Q1"/>
    <n v="4848"/>
    <n v="3643"/>
    <n v="11593"/>
    <n v="383569"/>
    <n v="10.71"/>
    <n v="14"/>
    <n v="5.62"/>
    <n v="11.23"/>
    <n v="58.15"/>
    <n v="3.3"/>
    <n v="14719"/>
    <n v="4269"/>
    <n v="8"/>
    <n v="-38925180.229999997"/>
    <n v="-220.39860923884041"/>
  </r>
  <r>
    <s v="P0064"/>
    <x v="60"/>
    <x v="2"/>
    <x v="0"/>
    <n v="2024"/>
    <s v="Q3"/>
    <n v="211"/>
    <n v="11003"/>
    <n v="6964"/>
    <n v="479852"/>
    <n v="6.93"/>
    <n v="9"/>
    <n v="2.79"/>
    <n v="23.51"/>
    <n v="15.16"/>
    <n v="4.7"/>
    <n v="15774"/>
    <n v="6821"/>
    <n v="10"/>
    <n v="372353.49"/>
    <n v="16.038430277309118"/>
  </r>
  <r>
    <s v="P0065"/>
    <x v="61"/>
    <x v="0"/>
    <x v="3"/>
    <n v="2023"/>
    <s v="Q4"/>
    <n v="4347"/>
    <n v="16649"/>
    <n v="11436"/>
    <n v="398264"/>
    <n v="13.81"/>
    <n v="13"/>
    <n v="7.83"/>
    <n v="23.82"/>
    <n v="87.8"/>
    <n v="4.5"/>
    <n v="14112"/>
    <n v="779"/>
    <n v="6"/>
    <n v="22262623.18"/>
    <n v="30.760864874254633"/>
  </r>
  <r>
    <s v="P0066"/>
    <x v="62"/>
    <x v="0"/>
    <x v="2"/>
    <n v="2023"/>
    <s v="Q2"/>
    <n v="2031"/>
    <n v="13675"/>
    <n v="3472"/>
    <n v="427033"/>
    <n v="10.42"/>
    <n v="9"/>
    <n v="8.8699999999999992"/>
    <n v="5.98"/>
    <n v="53.52"/>
    <n v="4.9000000000000004"/>
    <n v="4308"/>
    <n v="7529"/>
    <n v="3"/>
    <n v="20295254.02"/>
    <n v="73.073049703993945"/>
  </r>
  <r>
    <s v="P0067"/>
    <x v="63"/>
    <x v="1"/>
    <x v="3"/>
    <n v="2024"/>
    <s v="Q3"/>
    <n v="1045"/>
    <n v="9856"/>
    <n v="5000"/>
    <n v="494865"/>
    <n v="10.93"/>
    <n v="13"/>
    <n v="3.99"/>
    <n v="15.6"/>
    <n v="54.78"/>
    <n v="3.1"/>
    <n v="12590"/>
    <n v="5587"/>
    <n v="6"/>
    <n v="4579639.4000000004"/>
    <n v="44.464590582862115"/>
  </r>
  <r>
    <s v="P0068"/>
    <x v="64"/>
    <x v="2"/>
    <x v="0"/>
    <n v="2023"/>
    <s v="Q3"/>
    <n v="4961"/>
    <n v="16570"/>
    <n v="816"/>
    <n v="477826"/>
    <n v="12.93"/>
    <n v="8"/>
    <n v="8.6300000000000008"/>
    <n v="11.85"/>
    <n v="51.61"/>
    <n v="4.2"/>
    <n v="13760"/>
    <n v="336"/>
    <n v="9"/>
    <n v="77677756.150000006"/>
    <n v="94.494152944566906"/>
  </r>
  <r>
    <s v="P0069"/>
    <x v="65"/>
    <x v="2"/>
    <x v="0"/>
    <n v="2024"/>
    <s v="Q1"/>
    <n v="3392"/>
    <n v="2322"/>
    <n v="3991"/>
    <n v="191130"/>
    <n v="4.1100000000000003"/>
    <n v="13"/>
    <n v="2.67"/>
    <n v="21.89"/>
    <n v="58.86"/>
    <n v="4.4000000000000004"/>
    <n v="16795"/>
    <n v="6904"/>
    <n v="13"/>
    <n v="-5852399.8899999997"/>
    <n v="-74.304640015316977"/>
  </r>
  <r>
    <s v="P0070"/>
    <x v="66"/>
    <x v="0"/>
    <x v="1"/>
    <n v="2024"/>
    <s v="Q4"/>
    <n v="4601"/>
    <n v="18827"/>
    <n v="1192"/>
    <n v="305948"/>
    <n v="12.11"/>
    <n v="2"/>
    <n v="5.35"/>
    <n v="6.79"/>
    <n v="31.14"/>
    <n v="3.6"/>
    <n v="16337"/>
    <n v="2523"/>
    <n v="5"/>
    <n v="80832680.209999993"/>
    <n v="93.315464732027891"/>
  </r>
  <r>
    <s v="P0071"/>
    <x v="67"/>
    <x v="1"/>
    <x v="2"/>
    <n v="2024"/>
    <s v="Q3"/>
    <n v="3848"/>
    <n v="15789"/>
    <n v="9416"/>
    <n v="386781"/>
    <n v="2.93"/>
    <n v="19"/>
    <n v="8.59"/>
    <n v="0.09"/>
    <n v="32.979999999999997"/>
    <n v="2.4"/>
    <n v="16169"/>
    <n v="1132"/>
    <n v="3"/>
    <n v="24136522.91"/>
    <n v="39.726931178170965"/>
  </r>
  <r>
    <s v="P0072"/>
    <x v="68"/>
    <x v="0"/>
    <x v="0"/>
    <n v="2024"/>
    <s v="Q4"/>
    <n v="1325"/>
    <n v="7650"/>
    <n v="7072"/>
    <n v="382338"/>
    <n v="5.18"/>
    <n v="15"/>
    <n v="3.26"/>
    <n v="4.0599999999999996"/>
    <n v="50.91"/>
    <n v="2.9"/>
    <n v="12023"/>
    <n v="6439"/>
    <n v="11"/>
    <n v="383507.94"/>
    <n v="3.7835288198298187"/>
  </r>
  <r>
    <s v="P0073"/>
    <x v="69"/>
    <x v="1"/>
    <x v="0"/>
    <n v="2024"/>
    <s v="Q3"/>
    <n v="1066"/>
    <n v="5925"/>
    <n v="1371"/>
    <n v="389061"/>
    <n v="5.03"/>
    <n v="1"/>
    <n v="9.5399999999999991"/>
    <n v="8.74"/>
    <n v="74.53"/>
    <n v="4.4000000000000004"/>
    <n v="14262"/>
    <n v="3040"/>
    <n v="4"/>
    <n v="4465494.26"/>
    <n v="70.700742711029832"/>
  </r>
  <r>
    <s v="P0074"/>
    <x v="70"/>
    <x v="1"/>
    <x v="1"/>
    <n v="2024"/>
    <s v="Q2"/>
    <n v="387"/>
    <n v="17532"/>
    <n v="4431"/>
    <n v="114200"/>
    <n v="14.68"/>
    <n v="9"/>
    <n v="1.22"/>
    <n v="7.89"/>
    <n v="13.99"/>
    <n v="2.2000000000000002"/>
    <n v="15269"/>
    <n v="5509"/>
    <n v="10"/>
    <n v="4955879.1100000003"/>
    <n v="73.042945317856578"/>
  </r>
  <r>
    <s v="P0075"/>
    <x v="71"/>
    <x v="2"/>
    <x v="0"/>
    <n v="2024"/>
    <s v="Q4"/>
    <n v="928"/>
    <n v="3698"/>
    <n v="6972"/>
    <n v="155848"/>
    <n v="12.85"/>
    <n v="2"/>
    <n v="0.18"/>
    <n v="19.78"/>
    <n v="58.27"/>
    <n v="4.7"/>
    <n v="15231"/>
    <n v="3232"/>
    <n v="10"/>
    <n v="-3194139.78"/>
    <n v="-93.076283662184593"/>
  </r>
  <r>
    <s v="P0076"/>
    <x v="72"/>
    <x v="0"/>
    <x v="1"/>
    <n v="2023"/>
    <s v="Q2"/>
    <n v="1126"/>
    <n v="4952"/>
    <n v="10112"/>
    <n v="156022"/>
    <n v="10.52"/>
    <n v="10"/>
    <n v="9.0399999999999991"/>
    <n v="17.010000000000002"/>
    <n v="74.540000000000006"/>
    <n v="1.9"/>
    <n v="13377"/>
    <n v="7180"/>
    <n v="9"/>
    <n v="-5966199.0099999998"/>
    <n v="-106.99875124463051"/>
  </r>
  <r>
    <s v="P0077"/>
    <x v="73"/>
    <x v="0"/>
    <x v="3"/>
    <n v="2023"/>
    <s v="Q1"/>
    <n v="4937"/>
    <n v="10606"/>
    <n v="7977"/>
    <n v="227691"/>
    <n v="10.91"/>
    <n v="10"/>
    <n v="0.69"/>
    <n v="7.49"/>
    <n v="22.55"/>
    <n v="4"/>
    <n v="3956"/>
    <n v="5042"/>
    <n v="9"/>
    <n v="12751674.51"/>
    <n v="24.352999996829748"/>
  </r>
  <r>
    <s v="P0078"/>
    <x v="74"/>
    <x v="2"/>
    <x v="0"/>
    <n v="2023"/>
    <s v="Q1"/>
    <n v="4043"/>
    <n v="15359"/>
    <n v="9233"/>
    <n v="460370"/>
    <n v="8.43"/>
    <n v="12"/>
    <n v="9.92"/>
    <n v="11.44"/>
    <n v="11.2"/>
    <n v="3.5"/>
    <n v="6923"/>
    <n v="7061"/>
    <n v="9"/>
    <n v="24307036.559999999"/>
    <n v="39.144011692651546"/>
  </r>
  <r>
    <s v="P0079"/>
    <x v="71"/>
    <x v="1"/>
    <x v="2"/>
    <n v="2023"/>
    <s v="Q4"/>
    <n v="4909"/>
    <n v="19192"/>
    <n v="4697"/>
    <n v="462755"/>
    <n v="14.21"/>
    <n v="6"/>
    <n v="9.51"/>
    <n v="2.39"/>
    <n v="35.020000000000003"/>
    <n v="4"/>
    <n v="15746"/>
    <n v="7830"/>
    <n v="9"/>
    <n v="70693197.609999999"/>
    <n v="75.035081596774518"/>
  </r>
  <r>
    <s v="P0080"/>
    <x v="75"/>
    <x v="2"/>
    <x v="2"/>
    <n v="2024"/>
    <s v="Q3"/>
    <n v="429"/>
    <n v="10205"/>
    <n v="13087"/>
    <n v="306453"/>
    <n v="7.44"/>
    <n v="16"/>
    <n v="1.37"/>
    <n v="22.45"/>
    <n v="57.05"/>
    <n v="2.7"/>
    <n v="14346"/>
    <n v="733"/>
    <n v="9"/>
    <n v="-1542853.45"/>
    <n v="-35.241499150857308"/>
  </r>
  <r>
    <s v="P0081"/>
    <x v="76"/>
    <x v="0"/>
    <x v="0"/>
    <n v="2023"/>
    <s v="Q3"/>
    <n v="542"/>
    <n v="11612"/>
    <n v="8923"/>
    <n v="372202"/>
    <n v="5.71"/>
    <n v="1"/>
    <n v="5.38"/>
    <n v="23.39"/>
    <n v="21.06"/>
    <n v="4.7"/>
    <n v="5817"/>
    <n v="6922"/>
    <n v="2"/>
    <n v="1085212.6100000001"/>
    <n v="17.242828865164299"/>
  </r>
  <r>
    <s v="P0082"/>
    <x v="63"/>
    <x v="1"/>
    <x v="0"/>
    <n v="2023"/>
    <s v="Q1"/>
    <n v="2112"/>
    <n v="6341"/>
    <n v="3079"/>
    <n v="112068"/>
    <n v="2.4500000000000002"/>
    <n v="11"/>
    <n v="1.85"/>
    <n v="24.5"/>
    <n v="44.09"/>
    <n v="3.5"/>
    <n v="19440"/>
    <n v="4203"/>
    <n v="7"/>
    <n v="6777251.5"/>
    <n v="50.605991162611765"/>
  </r>
  <r>
    <s v="P0083"/>
    <x v="77"/>
    <x v="2"/>
    <x v="0"/>
    <n v="2023"/>
    <s v="Q1"/>
    <n v="3934"/>
    <n v="16858"/>
    <n v="9780"/>
    <n v="412076"/>
    <n v="11.79"/>
    <n v="9"/>
    <n v="4.28"/>
    <n v="21.71"/>
    <n v="54.19"/>
    <n v="2.2000000000000002"/>
    <n v="20089"/>
    <n v="9684"/>
    <n v="13"/>
    <n v="27432754.289999999"/>
    <n v="41.364617098605819"/>
  </r>
  <r>
    <s v="P0084"/>
    <x v="78"/>
    <x v="2"/>
    <x v="2"/>
    <n v="2023"/>
    <s v="Q1"/>
    <n v="114"/>
    <n v="2909"/>
    <n v="8251"/>
    <n v="211445"/>
    <n v="11.02"/>
    <n v="17"/>
    <n v="0.61"/>
    <n v="4.3499999999999996"/>
    <n v="57.91"/>
    <n v="3.6"/>
    <n v="14135"/>
    <n v="6587"/>
    <n v="10"/>
    <n v="-820437.35"/>
    <n v="-247.39837949979795"/>
  </r>
  <r>
    <s v="P0085"/>
    <x v="79"/>
    <x v="2"/>
    <x v="2"/>
    <n v="2024"/>
    <s v="Q3"/>
    <n v="2618"/>
    <n v="6066"/>
    <n v="9706"/>
    <n v="214226"/>
    <n v="5.77"/>
    <n v="10"/>
    <n v="2.2400000000000002"/>
    <n v="1.1499999999999999"/>
    <n v="31.95"/>
    <n v="2.1"/>
    <n v="14970"/>
    <n v="3546"/>
    <n v="9"/>
    <n v="-9743747.1500000004"/>
    <n v="-61.35556466089718"/>
  </r>
  <r>
    <s v="P0086"/>
    <x v="80"/>
    <x v="0"/>
    <x v="3"/>
    <n v="2023"/>
    <s v="Q2"/>
    <n v="2077"/>
    <n v="12882"/>
    <n v="13846"/>
    <n v="187103"/>
    <n v="0.38"/>
    <n v="15"/>
    <n v="3.63"/>
    <n v="14.49"/>
    <n v="42"/>
    <n v="2.2000000000000002"/>
    <n v="14676"/>
    <n v="5838"/>
    <n v="4"/>
    <n v="-2189345.4900000002"/>
    <n v="-8.182660065359757"/>
  </r>
  <r>
    <s v="P0087"/>
    <x v="81"/>
    <x v="1"/>
    <x v="0"/>
    <n v="2023"/>
    <s v="Q1"/>
    <n v="2745"/>
    <n v="19439"/>
    <n v="11841"/>
    <n v="274605"/>
    <n v="12.58"/>
    <n v="16"/>
    <n v="4.3899999999999997"/>
    <n v="22.82"/>
    <n v="72.27"/>
    <n v="2.6"/>
    <n v="10613"/>
    <n v="3198"/>
    <n v="12"/>
    <n v="20581882.18"/>
    <n v="38.571703458701457"/>
  </r>
  <r>
    <s v="P0088"/>
    <x v="82"/>
    <x v="0"/>
    <x v="2"/>
    <n v="2023"/>
    <s v="Q1"/>
    <n v="1545"/>
    <n v="16096"/>
    <n v="1575"/>
    <n v="253047"/>
    <n v="0.17"/>
    <n v="18"/>
    <n v="9.77"/>
    <n v="4.43"/>
    <n v="85.3"/>
    <n v="4.4000000000000004"/>
    <n v="15046"/>
    <n v="8197"/>
    <n v="2"/>
    <n v="22181893.57"/>
    <n v="89.197394797879397"/>
  </r>
  <r>
    <s v="P0089"/>
    <x v="83"/>
    <x v="1"/>
    <x v="0"/>
    <n v="2024"/>
    <s v="Q1"/>
    <n v="441"/>
    <n v="2304"/>
    <n v="13018"/>
    <n v="334929"/>
    <n v="10.56"/>
    <n v="17"/>
    <n v="8.08"/>
    <n v="0.18"/>
    <n v="78.95"/>
    <n v="3"/>
    <n v="8305"/>
    <n v="5576"/>
    <n v="3"/>
    <n v="-5059803.18"/>
    <n v="-497.98075514928189"/>
  </r>
  <r>
    <s v="P0090"/>
    <x v="84"/>
    <x v="1"/>
    <x v="0"/>
    <n v="2024"/>
    <s v="Q1"/>
    <n v="4564"/>
    <n v="14721"/>
    <n v="7669"/>
    <n v="299768"/>
    <n v="14.55"/>
    <n v="2"/>
    <n v="7.37"/>
    <n v="20.14"/>
    <n v="55.14"/>
    <n v="3.7"/>
    <n v="18288"/>
    <n v="8353"/>
    <n v="12"/>
    <n v="31885539.859999999"/>
    <n v="47.458152337538991"/>
  </r>
  <r>
    <s v="P0091"/>
    <x v="85"/>
    <x v="1"/>
    <x v="0"/>
    <n v="2024"/>
    <s v="Q2"/>
    <n v="4524"/>
    <n v="2779"/>
    <n v="3047"/>
    <n v="209741"/>
    <n v="6.56"/>
    <n v="15"/>
    <n v="5.37"/>
    <n v="1.92"/>
    <n v="42.82"/>
    <n v="2.6"/>
    <n v="19504"/>
    <n v="5281"/>
    <n v="3"/>
    <n v="-1422174.92"/>
    <n v="-11.312064495335578"/>
  </r>
  <r>
    <s v="P0092"/>
    <x v="86"/>
    <x v="2"/>
    <x v="1"/>
    <n v="2023"/>
    <s v="Q3"/>
    <n v="3611"/>
    <n v="14692"/>
    <n v="7888"/>
    <n v="144475"/>
    <n v="3.52"/>
    <n v="5"/>
    <n v="8.4"/>
    <n v="10.34"/>
    <n v="36.64"/>
    <n v="2.1"/>
    <n v="20836"/>
    <n v="1917"/>
    <n v="8"/>
    <n v="24424758.66"/>
    <n v="46.038575033496812"/>
  </r>
  <r>
    <s v="P0093"/>
    <x v="87"/>
    <x v="2"/>
    <x v="1"/>
    <n v="2024"/>
    <s v="Q2"/>
    <n v="2328"/>
    <n v="8583"/>
    <n v="878"/>
    <n v="52282"/>
    <n v="10.57"/>
    <n v="11"/>
    <n v="3.39"/>
    <n v="16.97"/>
    <n v="20"/>
    <n v="4.8"/>
    <n v="9580"/>
    <n v="8924"/>
    <n v="13"/>
    <n v="17884941.030000001"/>
    <n v="89.508735951311095"/>
  </r>
  <r>
    <s v="P0094"/>
    <x v="88"/>
    <x v="0"/>
    <x v="1"/>
    <n v="2024"/>
    <s v="Q2"/>
    <n v="3149"/>
    <n v="12593"/>
    <n v="8880"/>
    <n v="215696"/>
    <n v="12.26"/>
    <n v="10"/>
    <n v="7.09"/>
    <n v="5.92"/>
    <n v="18.52"/>
    <n v="3.4"/>
    <n v="4618"/>
    <n v="4987"/>
    <n v="7"/>
    <n v="11476535.08"/>
    <n v="28.940692880409575"/>
  </r>
  <r>
    <s v="P0095"/>
    <x v="89"/>
    <x v="1"/>
    <x v="2"/>
    <n v="2023"/>
    <s v="Q4"/>
    <n v="250"/>
    <n v="19271"/>
    <n v="7899"/>
    <n v="229510"/>
    <n v="8.1999999999999993"/>
    <n v="14"/>
    <n v="9.94"/>
    <n v="2.1"/>
    <n v="65.069999999999993"/>
    <n v="4.7"/>
    <n v="8130"/>
    <n v="2698"/>
    <n v="12"/>
    <n v="2613487.9"/>
    <n v="54.247063463234909"/>
  </r>
  <r>
    <s v="P0096"/>
    <x v="90"/>
    <x v="2"/>
    <x v="0"/>
    <n v="2023"/>
    <s v="Q3"/>
    <n v="4925"/>
    <n v="14380"/>
    <n v="4726"/>
    <n v="270972"/>
    <n v="14.51"/>
    <n v="14"/>
    <n v="3.15"/>
    <n v="19.25"/>
    <n v="30.78"/>
    <n v="1.8"/>
    <n v="2065"/>
    <n v="9592"/>
    <n v="3"/>
    <n v="47274958.75"/>
    <n v="66.752269790953306"/>
  </r>
  <r>
    <s v="P0097"/>
    <x v="91"/>
    <x v="2"/>
    <x v="3"/>
    <n v="2023"/>
    <s v="Q1"/>
    <n v="3154"/>
    <n v="17017"/>
    <n v="9847"/>
    <n v="379678"/>
    <n v="0.78"/>
    <n v="15"/>
    <n v="6.74"/>
    <n v="15.75"/>
    <n v="30.37"/>
    <n v="1.6"/>
    <n v="17201"/>
    <n v="2753"/>
    <n v="9"/>
    <n v="22234486.25"/>
    <n v="41.426897638897344"/>
  </r>
  <r>
    <s v="P0098"/>
    <x v="92"/>
    <x v="0"/>
    <x v="3"/>
    <n v="2023"/>
    <s v="Q3"/>
    <n v="4648"/>
    <n v="3606"/>
    <n v="8140"/>
    <n v="212777"/>
    <n v="7.57"/>
    <n v="9"/>
    <n v="8.44"/>
    <n v="24.71"/>
    <n v="89.86"/>
    <n v="4.4000000000000004"/>
    <n v="16359"/>
    <n v="1554"/>
    <n v="10"/>
    <n v="-21286833.710000001"/>
    <n v="-127.00453412174966"/>
  </r>
  <r>
    <s v="P0099"/>
    <x v="86"/>
    <x v="1"/>
    <x v="3"/>
    <n v="2024"/>
    <s v="Q1"/>
    <n v="2504"/>
    <n v="17586"/>
    <n v="14527"/>
    <n v="481460"/>
    <n v="10.78"/>
    <n v="11"/>
    <n v="9.16"/>
    <n v="8.61"/>
    <n v="25.03"/>
    <n v="3.7"/>
    <n v="9170"/>
    <n v="1238"/>
    <n v="8"/>
    <n v="7178267.3899999997"/>
    <n v="16.301149799124993"/>
  </r>
  <r>
    <s v="P0100"/>
    <x v="93"/>
    <x v="0"/>
    <x v="1"/>
    <n v="2023"/>
    <s v="Q3"/>
    <n v="3695"/>
    <n v="6331"/>
    <n v="7883"/>
    <n v="387108"/>
    <n v="12.94"/>
    <n v="12"/>
    <n v="7.18"/>
    <n v="1.54"/>
    <n v="21.84"/>
    <n v="1.7"/>
    <n v="20752"/>
    <n v="5907"/>
    <n v="5"/>
    <n v="-6121749.54"/>
    <n v="-26.169100858823636"/>
  </r>
  <r>
    <s v="P0101"/>
    <x v="94"/>
    <x v="1"/>
    <x v="1"/>
    <n v="2024"/>
    <s v="Q3"/>
    <n v="854"/>
    <n v="4686"/>
    <n v="7030"/>
    <n v="218509"/>
    <n v="2.69"/>
    <n v="3"/>
    <n v="2.84"/>
    <n v="18.36"/>
    <n v="17.89"/>
    <n v="2.1"/>
    <n v="10976"/>
    <n v="3292"/>
    <n v="14"/>
    <n v="-2220303.3599999999"/>
    <n v="-55.482006794867566"/>
  </r>
  <r>
    <s v="P0102"/>
    <x v="95"/>
    <x v="0"/>
    <x v="3"/>
    <n v="2023"/>
    <s v="Q2"/>
    <n v="2781"/>
    <n v="4073"/>
    <n v="11140"/>
    <n v="258944"/>
    <n v="12"/>
    <n v="6"/>
    <n v="3.26"/>
    <n v="13.04"/>
    <n v="56.38"/>
    <n v="4.2"/>
    <n v="10276"/>
    <n v="6216"/>
    <n v="14"/>
    <n v="-19912284.039999999"/>
    <n v="-175.79466042812874"/>
  </r>
  <r>
    <s v="P0103"/>
    <x v="96"/>
    <x v="2"/>
    <x v="2"/>
    <n v="2024"/>
    <s v="Q4"/>
    <n v="2823"/>
    <n v="14308"/>
    <n v="10023"/>
    <n v="169006"/>
    <n v="8.2899999999999991"/>
    <n v="1"/>
    <n v="0.21"/>
    <n v="5.33"/>
    <n v="60.23"/>
    <n v="2.8"/>
    <n v="16521"/>
    <n v="3859"/>
    <n v="2"/>
    <n v="11927543.67"/>
    <n v="29.529847603519592"/>
  </r>
  <r>
    <s v="P0104"/>
    <x v="97"/>
    <x v="1"/>
    <x v="2"/>
    <n v="2024"/>
    <s v="Q3"/>
    <n v="1620"/>
    <n v="4099"/>
    <n v="5740"/>
    <n v="286440"/>
    <n v="5.95"/>
    <n v="14"/>
    <n v="7.61"/>
    <n v="19.54"/>
    <n v="39.22"/>
    <n v="3.7"/>
    <n v="5827"/>
    <n v="3129"/>
    <n v="5"/>
    <n v="-2944879.54"/>
    <n v="-44.348057490685775"/>
  </r>
  <r>
    <s v="P0105"/>
    <x v="98"/>
    <x v="1"/>
    <x v="1"/>
    <n v="2024"/>
    <s v="Q2"/>
    <n v="2740"/>
    <n v="5533"/>
    <n v="4071"/>
    <n v="254054"/>
    <n v="1.98"/>
    <n v="7"/>
    <n v="0.43"/>
    <n v="5.09"/>
    <n v="52.83"/>
    <n v="2.2999999999999998"/>
    <n v="16775"/>
    <n v="9652"/>
    <n v="5"/>
    <n v="3751820.91"/>
    <n v="24.747473420921057"/>
  </r>
  <r>
    <s v="P0106"/>
    <x v="99"/>
    <x v="1"/>
    <x v="0"/>
    <n v="2024"/>
    <s v="Q2"/>
    <n v="3890"/>
    <n v="9928"/>
    <n v="12568"/>
    <n v="362727"/>
    <n v="12.98"/>
    <n v="6"/>
    <n v="8.65"/>
    <n v="6.52"/>
    <n v="73.069999999999993"/>
    <n v="2.5"/>
    <n v="9114"/>
    <n v="5195"/>
    <n v="9"/>
    <n v="-10632333.52"/>
    <n v="-27.530697940337522"/>
  </r>
  <r>
    <s v="P0107"/>
    <x v="100"/>
    <x v="0"/>
    <x v="1"/>
    <n v="2023"/>
    <s v="Q1"/>
    <n v="1078"/>
    <n v="2804"/>
    <n v="13174"/>
    <n v="350536"/>
    <n v="2.36"/>
    <n v="14"/>
    <n v="1.19"/>
    <n v="2.31"/>
    <n v="75.45"/>
    <n v="5"/>
    <n v="2745"/>
    <n v="163"/>
    <n v="5"/>
    <n v="-11529398.310000001"/>
    <n v="-381.42563069190845"/>
  </r>
  <r>
    <s v="P0108"/>
    <x v="101"/>
    <x v="0"/>
    <x v="3"/>
    <n v="2023"/>
    <s v="Q3"/>
    <n v="552"/>
    <n v="19185"/>
    <n v="4256"/>
    <n v="57461"/>
    <n v="4.6500000000000004"/>
    <n v="13"/>
    <n v="1.72"/>
    <n v="9.99"/>
    <n v="86.63"/>
    <n v="2"/>
    <n v="9743"/>
    <n v="1445"/>
    <n v="5"/>
    <n v="8183337.0099999998"/>
    <n v="77.273317110665403"/>
  </r>
  <r>
    <s v="P0109"/>
    <x v="102"/>
    <x v="2"/>
    <x v="2"/>
    <n v="2023"/>
    <s v="Q1"/>
    <n v="4543"/>
    <n v="19935"/>
    <n v="8588"/>
    <n v="150123"/>
    <n v="4.3499999999999996"/>
    <n v="7"/>
    <n v="4.7699999999999996"/>
    <n v="10.47"/>
    <n v="75.94"/>
    <n v="3"/>
    <n v="11855"/>
    <n v="1074"/>
    <n v="14"/>
    <n v="51399287.530000001"/>
    <n v="56.754215154789058"/>
  </r>
  <r>
    <s v="P0110"/>
    <x v="103"/>
    <x v="1"/>
    <x v="1"/>
    <n v="2023"/>
    <s v="Q1"/>
    <n v="920"/>
    <n v="10133"/>
    <n v="12498"/>
    <n v="322660"/>
    <n v="13.07"/>
    <n v="11"/>
    <n v="7.38"/>
    <n v="12.86"/>
    <n v="55.19"/>
    <n v="4.4000000000000004"/>
    <n v="2037"/>
    <n v="4261"/>
    <n v="3"/>
    <n v="-2498472.86"/>
    <n v="-26.800862228019511"/>
  </r>
  <r>
    <s v="P0111"/>
    <x v="104"/>
    <x v="1"/>
    <x v="0"/>
    <n v="2023"/>
    <s v="Q3"/>
    <n v="4538"/>
    <n v="12872"/>
    <n v="9399"/>
    <n v="198586"/>
    <n v="10.09"/>
    <n v="12"/>
    <n v="1.39"/>
    <n v="17.72"/>
    <n v="24.37"/>
    <n v="2"/>
    <n v="17424"/>
    <n v="6062"/>
    <n v="13"/>
    <n v="15561870.279999999"/>
    <n v="26.641045740122564"/>
  </r>
  <r>
    <s v="P0112"/>
    <x v="105"/>
    <x v="0"/>
    <x v="1"/>
    <n v="2023"/>
    <s v="Q2"/>
    <n v="256"/>
    <n v="10496"/>
    <n v="8450"/>
    <n v="433395"/>
    <n v="11.95"/>
    <n v="10"/>
    <n v="4.4000000000000004"/>
    <n v="22.65"/>
    <n v="17.98"/>
    <n v="2.7"/>
    <n v="17736"/>
    <n v="9914"/>
    <n v="11"/>
    <n v="90358.35"/>
    <n v="3.3628268358184075"/>
  </r>
  <r>
    <s v="P0113"/>
    <x v="106"/>
    <x v="1"/>
    <x v="2"/>
    <n v="2023"/>
    <s v="Q2"/>
    <n v="1534"/>
    <n v="17958"/>
    <n v="3511"/>
    <n v="479484"/>
    <n v="3.76"/>
    <n v="16"/>
    <n v="4.83"/>
    <n v="3.44"/>
    <n v="14.36"/>
    <n v="3.5"/>
    <n v="18424"/>
    <n v="8749"/>
    <n v="8"/>
    <n v="21682210.559999999"/>
    <n v="78.708245358247893"/>
  </r>
  <r>
    <s v="P0114"/>
    <x v="107"/>
    <x v="1"/>
    <x v="3"/>
    <n v="2023"/>
    <s v="Q1"/>
    <n v="913"/>
    <n v="6975"/>
    <n v="12080"/>
    <n v="281496"/>
    <n v="9.3699999999999992"/>
    <n v="16"/>
    <n v="2.12"/>
    <n v="1.36"/>
    <n v="63.32"/>
    <n v="2.9"/>
    <n v="18698"/>
    <n v="6696"/>
    <n v="5"/>
    <n v="-4942362.3600000003"/>
    <n v="-77.610341424348434"/>
  </r>
  <r>
    <s v="P0115"/>
    <x v="108"/>
    <x v="1"/>
    <x v="0"/>
    <n v="2024"/>
    <s v="Q4"/>
    <n v="2840"/>
    <n v="8684"/>
    <n v="2468"/>
    <n v="217860"/>
    <n v="8.58"/>
    <n v="3"/>
    <n v="1.1599999999999999"/>
    <n v="0.46"/>
    <n v="74.599999999999994"/>
    <n v="2.8"/>
    <n v="2915"/>
    <n v="3430"/>
    <n v="12"/>
    <n v="17435579.539999999"/>
    <n v="70.696551939458033"/>
  </r>
  <r>
    <s v="P0116"/>
    <x v="109"/>
    <x v="0"/>
    <x v="0"/>
    <n v="2023"/>
    <s v="Q3"/>
    <n v="613"/>
    <n v="14375"/>
    <n v="947"/>
    <n v="256821"/>
    <n v="12.49"/>
    <n v="7"/>
    <n v="8.36"/>
    <n v="3.59"/>
    <n v="50.69"/>
    <n v="2.5"/>
    <n v="12530"/>
    <n v="1840"/>
    <n v="7"/>
    <n v="7974539.4100000001"/>
    <n v="90.497645620256762"/>
  </r>
  <r>
    <s v="P0117"/>
    <x v="110"/>
    <x v="1"/>
    <x v="3"/>
    <n v="2024"/>
    <s v="Q1"/>
    <n v="4241"/>
    <n v="3122"/>
    <n v="7220"/>
    <n v="242121"/>
    <n v="13.59"/>
    <n v="4"/>
    <n v="5.0199999999999996"/>
    <n v="16.45"/>
    <n v="14.38"/>
    <n v="3.3"/>
    <n v="3152"/>
    <n v="6155"/>
    <n v="4"/>
    <n v="-17621755.449999999"/>
    <n v="-133.0907887086812"/>
  </r>
  <r>
    <s v="P0118"/>
    <x v="111"/>
    <x v="2"/>
    <x v="3"/>
    <n v="2023"/>
    <s v="Q1"/>
    <n v="1807"/>
    <n v="17488"/>
    <n v="13319"/>
    <n v="374637"/>
    <n v="0.18"/>
    <n v="15"/>
    <n v="0.14000000000000001"/>
    <n v="18.190000000000001"/>
    <n v="52.84"/>
    <n v="3.5"/>
    <n v="12357"/>
    <n v="6421"/>
    <n v="8"/>
    <n v="7158727.8099999996"/>
    <n v="22.653616950904052"/>
  </r>
  <r>
    <s v="P0119"/>
    <x v="112"/>
    <x v="0"/>
    <x v="1"/>
    <n v="2024"/>
    <s v="Q3"/>
    <n v="1728"/>
    <n v="9541"/>
    <n v="12889"/>
    <n v="86027"/>
    <n v="10.11"/>
    <n v="3"/>
    <n v="8.0299999999999994"/>
    <n v="19.66"/>
    <n v="84.86"/>
    <n v="3.6"/>
    <n v="20240"/>
    <n v="2054"/>
    <n v="7"/>
    <n v="-5871390.6600000001"/>
    <n v="-35.612572275792196"/>
  </r>
  <r>
    <s v="P0120"/>
    <x v="113"/>
    <x v="0"/>
    <x v="1"/>
    <n v="2023"/>
    <s v="Q1"/>
    <n v="3292"/>
    <n v="18225"/>
    <n v="10942"/>
    <n v="405691"/>
    <n v="0.78"/>
    <n v="14"/>
    <n v="9.81"/>
    <n v="6.09"/>
    <n v="57.81"/>
    <n v="1.3"/>
    <n v="5310"/>
    <n v="379"/>
    <n v="4"/>
    <n v="23569938.91"/>
    <n v="39.285392213238396"/>
  </r>
  <r>
    <s v="P0121"/>
    <x v="114"/>
    <x v="0"/>
    <x v="1"/>
    <n v="2024"/>
    <s v="Q4"/>
    <n v="4686"/>
    <n v="19958"/>
    <n v="1165"/>
    <n v="223921"/>
    <n v="8.23"/>
    <n v="11"/>
    <n v="6.06"/>
    <n v="7.65"/>
    <n v="74.75"/>
    <n v="3.5"/>
    <n v="18069"/>
    <n v="2491"/>
    <n v="5"/>
    <n v="87840069.349999994"/>
    <n v="93.923305255590734"/>
  </r>
  <r>
    <s v="P0122"/>
    <x v="115"/>
    <x v="0"/>
    <x v="2"/>
    <n v="2023"/>
    <s v="Q3"/>
    <n v="1109"/>
    <n v="9492"/>
    <n v="10666"/>
    <n v="412271"/>
    <n v="4.3099999999999996"/>
    <n v="4"/>
    <n v="5.04"/>
    <n v="12.08"/>
    <n v="74.010000000000005"/>
    <n v="4.8"/>
    <n v="3051"/>
    <n v="9332"/>
    <n v="11"/>
    <n v="-1714249.08"/>
    <n v="-16.284883250362796"/>
  </r>
  <r>
    <s v="P0123"/>
    <x v="46"/>
    <x v="1"/>
    <x v="0"/>
    <n v="2023"/>
    <s v="Q2"/>
    <n v="1772"/>
    <n v="17146"/>
    <n v="5331"/>
    <n v="198930"/>
    <n v="4.5999999999999996"/>
    <n v="15"/>
    <n v="8.7799999999999994"/>
    <n v="1.58"/>
    <n v="84.57"/>
    <n v="3.2"/>
    <n v="15084"/>
    <n v="6539"/>
    <n v="6"/>
    <n v="20737248.420000002"/>
    <n v="68.253447618500957"/>
  </r>
  <r>
    <s v="P0124"/>
    <x v="116"/>
    <x v="0"/>
    <x v="2"/>
    <n v="2023"/>
    <s v="Q3"/>
    <n v="3364"/>
    <n v="18529"/>
    <n v="13486"/>
    <n v="265234"/>
    <n v="5.29"/>
    <n v="13"/>
    <n v="9.5299999999999994"/>
    <n v="15.28"/>
    <n v="71.62"/>
    <n v="3.9"/>
    <n v="2261"/>
    <n v="1061"/>
    <n v="10"/>
    <n v="16699402.720000001"/>
    <n v="26.791249555842949"/>
  </r>
  <r>
    <s v="P0125"/>
    <x v="52"/>
    <x v="0"/>
    <x v="0"/>
    <n v="2023"/>
    <s v="Q2"/>
    <n v="3207"/>
    <n v="5763"/>
    <n v="6130"/>
    <n v="129003"/>
    <n v="9.32"/>
    <n v="9"/>
    <n v="7.55"/>
    <n v="24.59"/>
    <n v="69.819999999999993"/>
    <n v="3.2"/>
    <n v="14011"/>
    <n v="6927"/>
    <n v="7"/>
    <n v="-1305996.5900000001"/>
    <n v="-7.0663389197054576"/>
  </r>
  <r>
    <s v="P0126"/>
    <x v="117"/>
    <x v="0"/>
    <x v="0"/>
    <n v="2023"/>
    <s v="Q3"/>
    <n v="2675"/>
    <n v="15560"/>
    <n v="6310"/>
    <n v="233467"/>
    <n v="5.01"/>
    <n v="6"/>
    <n v="4.45"/>
    <n v="9.02"/>
    <n v="28.73"/>
    <n v="4.4000000000000004"/>
    <n v="10971"/>
    <n v="1317"/>
    <n v="14"/>
    <n v="24510273.98"/>
    <n v="58.886370468250725"/>
  </r>
  <r>
    <s v="P0127"/>
    <x v="118"/>
    <x v="2"/>
    <x v="3"/>
    <n v="2023"/>
    <s v="Q4"/>
    <n v="2779"/>
    <n v="16656"/>
    <n v="11538"/>
    <n v="89758"/>
    <n v="10.99"/>
    <n v="12"/>
    <n v="5.92"/>
    <n v="18.82"/>
    <n v="14.79"/>
    <n v="4.7"/>
    <n v="13967"/>
    <n v="8666"/>
    <n v="5"/>
    <n v="14133145.18"/>
    <n v="30.533708928878212"/>
  </r>
  <r>
    <s v="P0128"/>
    <x v="119"/>
    <x v="0"/>
    <x v="1"/>
    <n v="2023"/>
    <s v="Q1"/>
    <n v="1647"/>
    <n v="10146"/>
    <n v="9554"/>
    <n v="366456"/>
    <n v="6.07"/>
    <n v="19"/>
    <n v="7.01"/>
    <n v="12.5"/>
    <n v="51.41"/>
    <n v="1.7"/>
    <n v="7663"/>
    <n v="6107"/>
    <n v="12"/>
    <n v="608555.5"/>
    <n v="3.6417634653069437"/>
  </r>
  <r>
    <s v="P0129"/>
    <x v="120"/>
    <x v="2"/>
    <x v="0"/>
    <n v="2023"/>
    <s v="Q4"/>
    <n v="3110"/>
    <n v="13164"/>
    <n v="12554"/>
    <n v="380814"/>
    <n v="1.03"/>
    <n v="4"/>
    <n v="1.94"/>
    <n v="3.2"/>
    <n v="19.95"/>
    <n v="2.7"/>
    <n v="17565"/>
    <n v="4230"/>
    <n v="12"/>
    <n v="1516282.8"/>
    <n v="3.7036671190355461"/>
  </r>
  <r>
    <s v="P0130"/>
    <x v="121"/>
    <x v="0"/>
    <x v="0"/>
    <n v="2024"/>
    <s v="Q4"/>
    <n v="2743"/>
    <n v="4469"/>
    <n v="11481"/>
    <n v="132279"/>
    <n v="11.76"/>
    <n v="2"/>
    <n v="4.47"/>
    <n v="14.56"/>
    <n v="86.98"/>
    <n v="2.6"/>
    <n v="13386"/>
    <n v="1492"/>
    <n v="8"/>
    <n v="-19366209.559999999"/>
    <n v="-157.9823118176196"/>
  </r>
  <r>
    <s v="P0131"/>
    <x v="122"/>
    <x v="0"/>
    <x v="3"/>
    <n v="2023"/>
    <s v="Q2"/>
    <n v="4941"/>
    <n v="4528"/>
    <n v="14372"/>
    <n v="65434"/>
    <n v="4.29"/>
    <n v="14"/>
    <n v="8.3000000000000007"/>
    <n v="7.5"/>
    <n v="33.19"/>
    <n v="2.6"/>
    <n v="19420"/>
    <n v="2176"/>
    <n v="3"/>
    <n v="-48704645.5"/>
    <n v="-217.69533096546314"/>
  </r>
  <r>
    <s v="P0132"/>
    <x v="123"/>
    <x v="0"/>
    <x v="0"/>
    <n v="2023"/>
    <s v="Q1"/>
    <n v="3677"/>
    <n v="5129"/>
    <n v="9764"/>
    <n v="245119"/>
    <n v="6.49"/>
    <n v="3"/>
    <n v="6.55"/>
    <n v="0.86"/>
    <n v="78.239999999999995"/>
    <n v="1.5"/>
    <n v="7701"/>
    <n v="9066"/>
    <n v="5"/>
    <n v="-17288014.859999999"/>
    <n v="-91.668219973633214"/>
  </r>
  <r>
    <s v="P0133"/>
    <x v="124"/>
    <x v="1"/>
    <x v="3"/>
    <n v="2024"/>
    <s v="Q1"/>
    <n v="1413"/>
    <n v="4567"/>
    <n v="7293"/>
    <n v="490991"/>
    <n v="10.28"/>
    <n v="14"/>
    <n v="4.1100000000000003"/>
    <n v="15.87"/>
    <n v="41.01"/>
    <n v="4.3"/>
    <n v="17080"/>
    <n v="4416"/>
    <n v="6"/>
    <n v="-4342844.87"/>
    <n v="-67.297842719494028"/>
  </r>
  <r>
    <s v="P0134"/>
    <x v="20"/>
    <x v="0"/>
    <x v="1"/>
    <n v="2024"/>
    <s v="Q4"/>
    <n v="2031"/>
    <n v="7441"/>
    <n v="11029"/>
    <n v="387913"/>
    <n v="4.99"/>
    <n v="13"/>
    <n v="6.63"/>
    <n v="21.47"/>
    <n v="35.86"/>
    <n v="1.1000000000000001"/>
    <n v="20654"/>
    <n v="6296"/>
    <n v="5"/>
    <n v="-7675162.4699999997"/>
    <n v="-50.786273783105585"/>
  </r>
  <r>
    <s v="P0135"/>
    <x v="22"/>
    <x v="2"/>
    <x v="2"/>
    <n v="2024"/>
    <s v="Q1"/>
    <n v="1713"/>
    <n v="19270"/>
    <n v="12415"/>
    <n v="295754"/>
    <n v="0.85"/>
    <n v="19"/>
    <n v="1.18"/>
    <n v="8.6199999999999992"/>
    <n v="84.81"/>
    <n v="3.1"/>
    <n v="8899"/>
    <n v="4689"/>
    <n v="5"/>
    <n v="11446852.380000001"/>
    <n v="34.677438047399072"/>
  </r>
  <r>
    <s v="P0136"/>
    <x v="125"/>
    <x v="2"/>
    <x v="2"/>
    <n v="2024"/>
    <s v="Q1"/>
    <n v="1579"/>
    <n v="13055"/>
    <n v="11559"/>
    <n v="378821"/>
    <n v="5.61"/>
    <n v="18"/>
    <n v="4.01"/>
    <n v="9.76"/>
    <n v="39.07"/>
    <n v="3.6"/>
    <n v="18445"/>
    <n v="8242"/>
    <n v="12"/>
    <n v="1983353.24"/>
    <n v="9.621461886416629"/>
  </r>
  <r>
    <s v="P0137"/>
    <x v="126"/>
    <x v="1"/>
    <x v="2"/>
    <n v="2023"/>
    <s v="Q4"/>
    <n v="2088"/>
    <n v="14581"/>
    <n v="6239"/>
    <n v="133555"/>
    <n v="14.17"/>
    <n v="12"/>
    <n v="7.93"/>
    <n v="22.28"/>
    <n v="41.22"/>
    <n v="1.8"/>
    <n v="9123"/>
    <n v="6360"/>
    <n v="14"/>
    <n v="17284518.719999999"/>
    <n v="56.772691906567118"/>
  </r>
  <r>
    <s v="P0138"/>
    <x v="127"/>
    <x v="2"/>
    <x v="1"/>
    <n v="2023"/>
    <s v="Q1"/>
    <n v="3352"/>
    <n v="8319"/>
    <n v="10565"/>
    <n v="178379"/>
    <n v="9.6300000000000008"/>
    <n v="9"/>
    <n v="2.21"/>
    <n v="20.34"/>
    <n v="18.489999999999998"/>
    <n v="4.5999999999999996"/>
    <n v="11827"/>
    <n v="8571"/>
    <n v="10"/>
    <n v="-7706991.3399999999"/>
    <n v="-27.638198823695131"/>
  </r>
  <r>
    <s v="P0139"/>
    <x v="128"/>
    <x v="2"/>
    <x v="0"/>
    <n v="2024"/>
    <s v="Q2"/>
    <n v="2287"/>
    <n v="12546"/>
    <n v="12686"/>
    <n v="266992"/>
    <n v="10.07"/>
    <n v="4"/>
    <n v="1.86"/>
    <n v="17.87"/>
    <n v="63.64"/>
    <n v="4.4000000000000004"/>
    <n v="8687"/>
    <n v="7997"/>
    <n v="12"/>
    <n v="-587189.87"/>
    <n v="-2.0464781253435107"/>
  </r>
  <r>
    <s v="P0140"/>
    <x v="129"/>
    <x v="1"/>
    <x v="1"/>
    <n v="2024"/>
    <s v="Q3"/>
    <n v="1356"/>
    <n v="19217"/>
    <n v="14079"/>
    <n v="289511"/>
    <n v="9.48"/>
    <n v="19"/>
    <n v="9.51"/>
    <n v="6.22"/>
    <n v="33.11"/>
    <n v="2.9"/>
    <n v="3680"/>
    <n v="4941"/>
    <n v="14"/>
    <n v="6677610.7800000003"/>
    <n v="25.62570497821573"/>
  </r>
  <r>
    <s v="P0141"/>
    <x v="130"/>
    <x v="1"/>
    <x v="1"/>
    <n v="2024"/>
    <s v="Q2"/>
    <n v="4079"/>
    <n v="4211"/>
    <n v="7311"/>
    <n v="226806"/>
    <n v="2.98"/>
    <n v="19"/>
    <n v="2.1"/>
    <n v="22.76"/>
    <n v="56.85"/>
    <n v="2.6"/>
    <n v="3460"/>
    <n v="7261"/>
    <n v="3"/>
    <n v="-12871728.76"/>
    <n v="-74.937281262158578"/>
  </r>
  <r>
    <s v="P0142"/>
    <x v="131"/>
    <x v="2"/>
    <x v="3"/>
    <n v="2024"/>
    <s v="Q4"/>
    <n v="2725"/>
    <n v="6353"/>
    <n v="12283"/>
    <n v="413809"/>
    <n v="6.28"/>
    <n v="5"/>
    <n v="2.61"/>
    <n v="3.86"/>
    <n v="57.31"/>
    <n v="1.9"/>
    <n v="6653"/>
    <n v="9766"/>
    <n v="7"/>
    <n v="-16573062.859999999"/>
    <n v="-95.7320624944944"/>
  </r>
  <r>
    <s v="P0143"/>
    <x v="132"/>
    <x v="0"/>
    <x v="3"/>
    <n v="2023"/>
    <s v="Q3"/>
    <n v="1332"/>
    <n v="9215"/>
    <n v="8304"/>
    <n v="483819"/>
    <n v="11.26"/>
    <n v="3"/>
    <n v="9.6999999999999993"/>
    <n v="15.67"/>
    <n v="67.540000000000006"/>
    <n v="3.9"/>
    <n v="8535"/>
    <n v="1159"/>
    <n v="9"/>
    <n v="729617.33"/>
    <n v="5.9442296067092597"/>
  </r>
  <r>
    <s v="P0144"/>
    <x v="133"/>
    <x v="0"/>
    <x v="3"/>
    <n v="2023"/>
    <s v="Q3"/>
    <n v="759"/>
    <n v="10442"/>
    <n v="2046"/>
    <n v="118803"/>
    <n v="1.52"/>
    <n v="1"/>
    <n v="7.35"/>
    <n v="0.72"/>
    <n v="69.62"/>
    <n v="1.5"/>
    <n v="12971"/>
    <n v="2022"/>
    <n v="9"/>
    <n v="6253760.2800000003"/>
    <n v="78.907042326027536"/>
  </r>
  <r>
    <s v="P0145"/>
    <x v="131"/>
    <x v="1"/>
    <x v="1"/>
    <n v="2024"/>
    <s v="Q3"/>
    <n v="4794"/>
    <n v="17007"/>
    <n v="12711"/>
    <n v="482548"/>
    <n v="4.17"/>
    <n v="15"/>
    <n v="7"/>
    <n v="16.09"/>
    <n v="51.16"/>
    <n v="3.7"/>
    <n v="2082"/>
    <n v="6201"/>
    <n v="12"/>
    <n v="20112459.91"/>
    <n v="24.668312986242704"/>
  </r>
  <r>
    <s v="P0146"/>
    <x v="134"/>
    <x v="2"/>
    <x v="3"/>
    <n v="2024"/>
    <s v="Q2"/>
    <n v="4463"/>
    <n v="17326"/>
    <n v="4639"/>
    <n v="403847"/>
    <n v="4.1399999999999997"/>
    <n v="17"/>
    <n v="8.5299999999999994"/>
    <n v="6.93"/>
    <n v="36.479999999999997"/>
    <n v="4.4000000000000004"/>
    <n v="17014"/>
    <n v="4692"/>
    <n v="8"/>
    <n v="56218227.07"/>
    <n v="72.702935811784144"/>
  </r>
  <r>
    <s v="P0147"/>
    <x v="135"/>
    <x v="2"/>
    <x v="1"/>
    <n v="2023"/>
    <s v="Q1"/>
    <n v="3798"/>
    <n v="3262"/>
    <n v="9351"/>
    <n v="333456"/>
    <n v="6.48"/>
    <n v="4"/>
    <n v="1.1599999999999999"/>
    <n v="11.24"/>
    <n v="77"/>
    <n v="1.9"/>
    <n v="17031"/>
    <n v="6449"/>
    <n v="11"/>
    <n v="-23459489.239999998"/>
    <n v="-189.35624609938625"/>
  </r>
  <r>
    <s v="P0148"/>
    <x v="100"/>
    <x v="1"/>
    <x v="0"/>
    <n v="2024"/>
    <s v="Q2"/>
    <n v="4829"/>
    <n v="17350"/>
    <n v="14008"/>
    <n v="274448"/>
    <n v="14.71"/>
    <n v="3"/>
    <n v="7.06"/>
    <n v="8.6300000000000008"/>
    <n v="34.79"/>
    <n v="4.5"/>
    <n v="18172"/>
    <n v="2573"/>
    <n v="12"/>
    <n v="15864061.369999999"/>
    <n v="18.934668092569925"/>
  </r>
  <r>
    <s v="P0149"/>
    <x v="136"/>
    <x v="1"/>
    <x v="0"/>
    <n v="2023"/>
    <s v="Q3"/>
    <n v="713"/>
    <n v="13612"/>
    <n v="3176"/>
    <n v="225251"/>
    <n v="1.01"/>
    <n v="12"/>
    <n v="5.04"/>
    <n v="4.32"/>
    <n v="50.6"/>
    <n v="1.1000000000000001"/>
    <n v="9479"/>
    <n v="8208"/>
    <n v="5"/>
    <n v="7215612.6799999997"/>
    <n v="74.346707941470669"/>
  </r>
  <r>
    <s v="P0150"/>
    <x v="137"/>
    <x v="0"/>
    <x v="3"/>
    <n v="2023"/>
    <s v="Q4"/>
    <n v="2048"/>
    <n v="14152"/>
    <n v="3809"/>
    <n v="252514"/>
    <n v="7.78"/>
    <n v="18"/>
    <n v="8.2899999999999991"/>
    <n v="15.55"/>
    <n v="42.1"/>
    <n v="4.7"/>
    <n v="4560"/>
    <n v="8196"/>
    <n v="8"/>
    <n v="20929934.449999999"/>
    <n v="72.213782897569686"/>
  </r>
  <r>
    <s v="P0151"/>
    <x v="138"/>
    <x v="0"/>
    <x v="0"/>
    <n v="2023"/>
    <s v="Q1"/>
    <n v="3495"/>
    <n v="7622"/>
    <n v="11985"/>
    <n v="295404"/>
    <n v="2.69"/>
    <n v="1"/>
    <n v="5.08"/>
    <n v="22.05"/>
    <n v="78.41"/>
    <n v="1.5"/>
    <n v="15231"/>
    <n v="6848"/>
    <n v="14"/>
    <n v="-15544111.050000001"/>
    <n v="-58.351196502556981"/>
  </r>
  <r>
    <s v="P0152"/>
    <x v="139"/>
    <x v="2"/>
    <x v="1"/>
    <n v="2024"/>
    <s v="Q4"/>
    <n v="3793"/>
    <n v="1981"/>
    <n v="9954"/>
    <n v="167961"/>
    <n v="14.56"/>
    <n v="12"/>
    <n v="6.2"/>
    <n v="23.98"/>
    <n v="44.55"/>
    <n v="3.6"/>
    <n v="13794"/>
    <n v="4649"/>
    <n v="11"/>
    <n v="-30409573.98"/>
    <n v="-404.70914473152743"/>
  </r>
  <r>
    <s v="P0153"/>
    <x v="140"/>
    <x v="2"/>
    <x v="1"/>
    <n v="2024"/>
    <s v="Q3"/>
    <n v="1545"/>
    <n v="16036"/>
    <n v="12624"/>
    <n v="352523"/>
    <n v="1.7"/>
    <n v="10"/>
    <n v="4.78"/>
    <n v="4.8099999999999996"/>
    <n v="40.89"/>
    <n v="2"/>
    <n v="19067"/>
    <n v="694"/>
    <n v="7"/>
    <n v="4919012.1900000004"/>
    <n v="19.854244575917779"/>
  </r>
  <r>
    <s v="P0154"/>
    <x v="141"/>
    <x v="0"/>
    <x v="0"/>
    <n v="2023"/>
    <s v="Q2"/>
    <n v="3354"/>
    <n v="1653"/>
    <n v="2627"/>
    <n v="67297"/>
    <n v="6.05"/>
    <n v="3"/>
    <n v="4.78"/>
    <n v="17.93"/>
    <n v="65.19"/>
    <n v="4.3"/>
    <n v="15774"/>
    <n v="5552"/>
    <n v="12"/>
    <n v="-3334110.93"/>
    <n v="-60.137328779353851"/>
  </r>
  <r>
    <s v="P0155"/>
    <x v="130"/>
    <x v="0"/>
    <x v="3"/>
    <n v="2024"/>
    <s v="Q1"/>
    <n v="3813"/>
    <n v="9117"/>
    <n v="7779"/>
    <n v="314155"/>
    <n v="11.07"/>
    <n v="19"/>
    <n v="7.68"/>
    <n v="16.61"/>
    <n v="58.2"/>
    <n v="3"/>
    <n v="19330"/>
    <n v="606"/>
    <n v="7"/>
    <n v="4787622.3899999997"/>
    <n v="13.772130500020408"/>
  </r>
  <r>
    <s v="P0156"/>
    <x v="142"/>
    <x v="1"/>
    <x v="2"/>
    <n v="2024"/>
    <s v="Q3"/>
    <n v="1903"/>
    <n v="3024"/>
    <n v="10605"/>
    <n v="170234"/>
    <n v="10.57"/>
    <n v="19"/>
    <n v="6.29"/>
    <n v="8.58"/>
    <n v="18.579999999999998"/>
    <n v="1.5"/>
    <n v="17848"/>
    <n v="4989"/>
    <n v="3"/>
    <n v="-14596885.58"/>
    <n v="-253.65278125321478"/>
  </r>
  <r>
    <s v="P0157"/>
    <x v="143"/>
    <x v="0"/>
    <x v="0"/>
    <n v="2024"/>
    <s v="Q4"/>
    <n v="4709"/>
    <n v="3620"/>
    <n v="10632"/>
    <n v="94014"/>
    <n v="6.34"/>
    <n v="14"/>
    <n v="6.33"/>
    <n v="0.48"/>
    <n v="50.65"/>
    <n v="3.3"/>
    <n v="3403"/>
    <n v="7737"/>
    <n v="9"/>
    <n v="-33113522.48"/>
    <n v="-194.25317265985319"/>
  </r>
  <r>
    <s v="P0158"/>
    <x v="144"/>
    <x v="1"/>
    <x v="3"/>
    <n v="2024"/>
    <s v="Q3"/>
    <n v="1341"/>
    <n v="16548"/>
    <n v="11208"/>
    <n v="293166"/>
    <n v="5.2"/>
    <n v="3"/>
    <n v="4.5"/>
    <n v="17.239999999999998"/>
    <n v="68.84"/>
    <n v="2.6"/>
    <n v="16051"/>
    <n v="8312"/>
    <n v="9"/>
    <n v="6867756.7599999998"/>
    <n v="30.948571998175105"/>
  </r>
  <r>
    <s v="P0159"/>
    <x v="145"/>
    <x v="1"/>
    <x v="2"/>
    <n v="2024"/>
    <s v="Q4"/>
    <n v="3631"/>
    <n v="3843"/>
    <n v="13304"/>
    <n v="454954"/>
    <n v="5.96"/>
    <n v="8"/>
    <n v="5.31"/>
    <n v="23.64"/>
    <n v="89.37"/>
    <n v="3.6"/>
    <n v="16641"/>
    <n v="1499"/>
    <n v="12"/>
    <n v="-34807868.640000001"/>
    <n v="-249.448443245356"/>
  </r>
  <r>
    <s v="P0160"/>
    <x v="146"/>
    <x v="0"/>
    <x v="2"/>
    <n v="2024"/>
    <s v="Q3"/>
    <n v="3507"/>
    <n v="6636"/>
    <n v="9369"/>
    <n v="406477"/>
    <n v="3.96"/>
    <n v="6"/>
    <n v="7.46"/>
    <n v="15.8"/>
    <n v="60.33"/>
    <n v="4.5"/>
    <n v="3877"/>
    <n v="3301"/>
    <n v="8"/>
    <n v="-9991123.8000000007"/>
    <n v="-42.931117872753596"/>
  </r>
  <r>
    <s v="P0161"/>
    <x v="66"/>
    <x v="1"/>
    <x v="3"/>
    <n v="2023"/>
    <s v="Q3"/>
    <n v="1686"/>
    <n v="2740"/>
    <n v="13206"/>
    <n v="228570"/>
    <n v="3.08"/>
    <n v="18"/>
    <n v="8.26"/>
    <n v="10.88"/>
    <n v="39.619999999999997"/>
    <n v="2.6"/>
    <n v="2347"/>
    <n v="7954"/>
    <n v="12"/>
    <n v="-17874256.879999999"/>
    <n v="-386.91882657523092"/>
  </r>
  <r>
    <s v="P0162"/>
    <x v="147"/>
    <x v="2"/>
    <x v="0"/>
    <n v="2024"/>
    <s v="Q1"/>
    <n v="3746"/>
    <n v="1560"/>
    <n v="5085"/>
    <n v="308864"/>
    <n v="7.25"/>
    <n v="18"/>
    <n v="6.97"/>
    <n v="13.13"/>
    <n v="28.09"/>
    <n v="2.2000000000000002"/>
    <n v="15880"/>
    <n v="6863"/>
    <n v="10"/>
    <n v="-13513527.130000001"/>
    <n v="-231.24712736320453"/>
  </r>
  <r>
    <s v="P0163"/>
    <x v="148"/>
    <x v="2"/>
    <x v="2"/>
    <n v="2023"/>
    <s v="Q2"/>
    <n v="3049"/>
    <n v="10630"/>
    <n v="7710"/>
    <n v="323264"/>
    <n v="4.03"/>
    <n v="5"/>
    <n v="9.24"/>
    <n v="4.99"/>
    <n v="79.83"/>
    <n v="1.1000000000000001"/>
    <n v="19123"/>
    <n v="8062"/>
    <n v="9"/>
    <n v="8579811.0099999998"/>
    <n v="26.472016980722824"/>
  </r>
  <r>
    <s v="P0164"/>
    <x v="149"/>
    <x v="1"/>
    <x v="0"/>
    <n v="2024"/>
    <s v="Q4"/>
    <n v="3202"/>
    <n v="19523"/>
    <n v="9361"/>
    <n v="451983"/>
    <n v="4.3099999999999996"/>
    <n v="5"/>
    <n v="8.1999999999999993"/>
    <n v="18.760000000000002"/>
    <n v="75.17"/>
    <n v="3.3"/>
    <n v="11024"/>
    <n v="5290"/>
    <n v="10"/>
    <n v="32086722.239999998"/>
    <n v="51.328370006926271"/>
  </r>
  <r>
    <s v="P0165"/>
    <x v="150"/>
    <x v="1"/>
    <x v="3"/>
    <n v="2023"/>
    <s v="Q3"/>
    <n v="748"/>
    <n v="13812"/>
    <n v="14889"/>
    <n v="334996"/>
    <n v="9.85"/>
    <n v="19"/>
    <n v="5.62"/>
    <n v="18.66"/>
    <n v="28.71"/>
    <n v="2.6"/>
    <n v="16731"/>
    <n v="5781"/>
    <n v="10"/>
    <n v="-1140610.6599999999"/>
    <n v="-11.040258916140502"/>
  </r>
  <r>
    <s v="P0166"/>
    <x v="151"/>
    <x v="1"/>
    <x v="3"/>
    <n v="2024"/>
    <s v="Q1"/>
    <n v="2210"/>
    <n v="14850"/>
    <n v="2996"/>
    <n v="391383"/>
    <n v="14.53"/>
    <n v="14"/>
    <n v="6.71"/>
    <n v="3.64"/>
    <n v="26.05"/>
    <n v="2.5"/>
    <n v="13198"/>
    <n v="3778"/>
    <n v="7"/>
    <n v="25805953.359999999"/>
    <n v="78.632336517512996"/>
  </r>
  <r>
    <s v="P0167"/>
    <x v="152"/>
    <x v="2"/>
    <x v="3"/>
    <n v="2024"/>
    <s v="Q2"/>
    <n v="4147"/>
    <n v="13918"/>
    <n v="4547"/>
    <n v="444145"/>
    <n v="9.0500000000000007"/>
    <n v="14"/>
    <n v="9.26"/>
    <n v="21.95"/>
    <n v="67.209999999999994"/>
    <n v="1.7"/>
    <n v="12071"/>
    <n v="436"/>
    <n v="3"/>
    <n v="38417370.049999997"/>
    <n v="66.560528765178162"/>
  </r>
  <r>
    <s v="P0168"/>
    <x v="153"/>
    <x v="0"/>
    <x v="2"/>
    <n v="2024"/>
    <s v="Q3"/>
    <n v="4787"/>
    <n v="2752"/>
    <n v="9643"/>
    <n v="258559"/>
    <n v="1.1499999999999999"/>
    <n v="19"/>
    <n v="6.19"/>
    <n v="6.73"/>
    <n v="35.200000000000003"/>
    <n v="2.7"/>
    <n v="13814"/>
    <n v="1767"/>
    <n v="13"/>
    <n v="-33245782.73"/>
    <n v="-252.36243273023837"/>
  </r>
  <r>
    <s v="P0169"/>
    <x v="148"/>
    <x v="2"/>
    <x v="2"/>
    <n v="2024"/>
    <s v="Q3"/>
    <n v="904"/>
    <n v="9863"/>
    <n v="6778"/>
    <n v="141575"/>
    <n v="1.1299999999999999"/>
    <n v="8"/>
    <n v="8.25"/>
    <n v="24.56"/>
    <n v="34.51"/>
    <n v="4.9000000000000004"/>
    <n v="12929"/>
    <n v="1009"/>
    <n v="8"/>
    <n v="2647240.44"/>
    <n v="29.690391550076761"/>
  </r>
  <r>
    <s v="P0170"/>
    <x v="154"/>
    <x v="1"/>
    <x v="0"/>
    <n v="2024"/>
    <s v="Q3"/>
    <n v="3524"/>
    <n v="11150"/>
    <n v="6407"/>
    <n v="145040"/>
    <n v="14.27"/>
    <n v="3"/>
    <n v="6.89"/>
    <n v="9.57"/>
    <n v="22.18"/>
    <n v="2.2000000000000002"/>
    <n v="3865"/>
    <n v="8567"/>
    <n v="4"/>
    <n v="16569282.43"/>
    <n v="42.168964207000812"/>
  </r>
  <r>
    <s v="P0171"/>
    <x v="155"/>
    <x v="0"/>
    <x v="3"/>
    <n v="2023"/>
    <s v="Q1"/>
    <n v="1757"/>
    <n v="17814"/>
    <n v="1569"/>
    <n v="198510"/>
    <n v="4.46"/>
    <n v="17"/>
    <n v="5.52"/>
    <n v="4.45"/>
    <n v="31.12"/>
    <n v="3.4"/>
    <n v="12104"/>
    <n v="9183"/>
    <n v="14"/>
    <n v="28343950.550000001"/>
    <n v="90.558072925702447"/>
  </r>
  <r>
    <s v="P0172"/>
    <x v="156"/>
    <x v="1"/>
    <x v="2"/>
    <n v="2023"/>
    <s v="Q4"/>
    <n v="2827"/>
    <n v="5590"/>
    <n v="11413"/>
    <n v="229587"/>
    <n v="1.38"/>
    <n v="17"/>
    <n v="2.42"/>
    <n v="8.7899999999999991"/>
    <n v="44.2"/>
    <n v="4.0999999999999996"/>
    <n v="12866"/>
    <n v="8304"/>
    <n v="8"/>
    <n v="-16691216.789999999"/>
    <n v="-105.62102591101777"/>
  </r>
  <r>
    <s v="P0173"/>
    <x v="141"/>
    <x v="0"/>
    <x v="1"/>
    <n v="2024"/>
    <s v="Q2"/>
    <n v="1783"/>
    <n v="8460"/>
    <n v="1580"/>
    <n v="55744"/>
    <n v="8.99"/>
    <n v="4"/>
    <n v="4.26"/>
    <n v="11"/>
    <n v="68.63"/>
    <n v="4"/>
    <n v="6555"/>
    <n v="5222"/>
    <n v="10"/>
    <n v="12211285"/>
    <n v="80.954251407766293"/>
  </r>
  <r>
    <s v="P0174"/>
    <x v="7"/>
    <x v="2"/>
    <x v="0"/>
    <n v="2023"/>
    <s v="Q2"/>
    <n v="4981"/>
    <n v="4504"/>
    <n v="10708"/>
    <n v="264892"/>
    <n v="9.35"/>
    <n v="19"/>
    <n v="9.68"/>
    <n v="1.73"/>
    <n v="36.9"/>
    <n v="2.2999999999999998"/>
    <n v="7122"/>
    <n v="8253"/>
    <n v="11"/>
    <n v="-31167017.73"/>
    <n v="-138.92497409338435"/>
  </r>
  <r>
    <s v="P0175"/>
    <x v="157"/>
    <x v="1"/>
    <x v="3"/>
    <n v="2024"/>
    <s v="Q2"/>
    <n v="3560"/>
    <n v="18213"/>
    <n v="7103"/>
    <n v="485633"/>
    <n v="9.73"/>
    <n v="10"/>
    <n v="6.58"/>
    <n v="14.46"/>
    <n v="36.29"/>
    <n v="3.4"/>
    <n v="18256"/>
    <n v="1073"/>
    <n v="11"/>
    <n v="39065952.539999999"/>
    <n v="60.251370856845675"/>
  </r>
  <r>
    <s v="P0176"/>
    <x v="158"/>
    <x v="1"/>
    <x v="0"/>
    <n v="2023"/>
    <s v="Q1"/>
    <n v="252"/>
    <n v="5140"/>
    <n v="4783"/>
    <n v="450285"/>
    <n v="4.01"/>
    <n v="4"/>
    <n v="5.64"/>
    <n v="14.94"/>
    <n v="32.79"/>
    <n v="4.5"/>
    <n v="9283"/>
    <n v="4370"/>
    <n v="3"/>
    <n v="-360335.94"/>
    <n v="-27.819154159718362"/>
  </r>
  <r>
    <s v="P0177"/>
    <x v="159"/>
    <x v="2"/>
    <x v="0"/>
    <n v="2024"/>
    <s v="Q4"/>
    <n v="3305"/>
    <n v="2841"/>
    <n v="10303"/>
    <n v="354503"/>
    <n v="0.23"/>
    <n v="3"/>
    <n v="9.33"/>
    <n v="18.47"/>
    <n v="48.26"/>
    <n v="1.1000000000000001"/>
    <n v="3449"/>
    <n v="1508"/>
    <n v="14"/>
    <n v="-25016431.469999999"/>
    <n v="-266.42971562398657"/>
  </r>
  <r>
    <s v="P0178"/>
    <x v="160"/>
    <x v="0"/>
    <x v="3"/>
    <n v="2023"/>
    <s v="Q4"/>
    <n v="4268"/>
    <n v="13355"/>
    <n v="12351"/>
    <n v="200871"/>
    <n v="14.48"/>
    <n v="11"/>
    <n v="5.87"/>
    <n v="0.73"/>
    <n v="24.45"/>
    <n v="2.7"/>
    <n v="18128"/>
    <n v="2388"/>
    <n v="7"/>
    <n v="4084200.27"/>
    <n v="7.1653717406964388"/>
  </r>
  <r>
    <s v="P0179"/>
    <x v="161"/>
    <x v="1"/>
    <x v="1"/>
    <n v="2023"/>
    <s v="Q2"/>
    <n v="4546"/>
    <n v="1838"/>
    <n v="14337"/>
    <n v="410890"/>
    <n v="3.76"/>
    <n v="1"/>
    <n v="5.26"/>
    <n v="13.53"/>
    <n v="48.85"/>
    <n v="1.9"/>
    <n v="11532"/>
    <n v="8838"/>
    <n v="14"/>
    <n v="-57231357.530000001"/>
    <n v="-684.95037704289416"/>
  </r>
  <r>
    <s v="P0180"/>
    <x v="122"/>
    <x v="1"/>
    <x v="3"/>
    <n v="2024"/>
    <s v="Q3"/>
    <n v="816"/>
    <n v="7395"/>
    <n v="9514"/>
    <n v="274834"/>
    <n v="10.14"/>
    <n v="12"/>
    <n v="7.59"/>
    <n v="1.32"/>
    <n v="66.33"/>
    <n v="2.6"/>
    <n v="13119"/>
    <n v="1318"/>
    <n v="7"/>
    <n v="-2003939.32"/>
    <n v="-33.209032997918577"/>
  </r>
  <r>
    <s v="P0181"/>
    <x v="162"/>
    <x v="1"/>
    <x v="2"/>
    <n v="2024"/>
    <s v="Q4"/>
    <n v="4439"/>
    <n v="13754"/>
    <n v="1321"/>
    <n v="170906"/>
    <n v="10.6"/>
    <n v="9"/>
    <n v="7.13"/>
    <n v="17.53"/>
    <n v="12.38"/>
    <n v="2.7"/>
    <n v="18008"/>
    <n v="1520"/>
    <n v="10"/>
    <n v="55019163.469999999"/>
    <n v="90.115566650941787"/>
  </r>
  <r>
    <s v="P0182"/>
    <x v="163"/>
    <x v="0"/>
    <x v="0"/>
    <n v="2023"/>
    <s v="Q2"/>
    <n v="2377"/>
    <n v="12844"/>
    <n v="13870"/>
    <n v="251260"/>
    <n v="9.15"/>
    <n v="8"/>
    <n v="1.93"/>
    <n v="1.39"/>
    <n v="10.78"/>
    <n v="4"/>
    <n v="14324"/>
    <n v="9746"/>
    <n v="14"/>
    <n v="-2690063.39"/>
    <n v="-8.8111589420936429"/>
  </r>
  <r>
    <s v="P0183"/>
    <x v="164"/>
    <x v="2"/>
    <x v="2"/>
    <n v="2023"/>
    <s v="Q1"/>
    <n v="2981"/>
    <n v="3250"/>
    <n v="11312"/>
    <n v="270931"/>
    <n v="4.6900000000000004"/>
    <n v="9"/>
    <n v="4.71"/>
    <n v="22.79"/>
    <n v="16.010000000000002"/>
    <n v="1.4"/>
    <n v="12445"/>
    <n v="3477"/>
    <n v="10"/>
    <n v="-24303775.789999999"/>
    <n v="-250.85826428921632"/>
  </r>
  <r>
    <s v="P0184"/>
    <x v="165"/>
    <x v="2"/>
    <x v="2"/>
    <n v="2023"/>
    <s v="Q4"/>
    <n v="247"/>
    <n v="3921"/>
    <n v="9927"/>
    <n v="303593"/>
    <n v="4.07"/>
    <n v="6"/>
    <n v="4.7300000000000004"/>
    <n v="17.55"/>
    <n v="52.85"/>
    <n v="3.1"/>
    <n v="3419"/>
    <n v="7601"/>
    <n v="14"/>
    <n v="-1787092.55"/>
    <n v="-184.5241650120239"/>
  </r>
  <r>
    <s v="P0185"/>
    <x v="166"/>
    <x v="1"/>
    <x v="1"/>
    <n v="2023"/>
    <s v="Q3"/>
    <n v="1980"/>
    <n v="8619"/>
    <n v="8369"/>
    <n v="288746"/>
    <n v="8.9700000000000006"/>
    <n v="3"/>
    <n v="3.78"/>
    <n v="12.68"/>
    <n v="78.36"/>
    <n v="3.3"/>
    <n v="11327"/>
    <n v="4198"/>
    <n v="6"/>
    <n v="206241.32"/>
    <n v="1.2085193506007987"/>
  </r>
  <r>
    <s v="P0186"/>
    <x v="167"/>
    <x v="2"/>
    <x v="2"/>
    <n v="2024"/>
    <s v="Q4"/>
    <n v="3632"/>
    <n v="6819"/>
    <n v="11222"/>
    <n v="57597"/>
    <n v="12.99"/>
    <n v="18"/>
    <n v="5.17"/>
    <n v="11.04"/>
    <n v="10.39"/>
    <n v="3"/>
    <n v="11117"/>
    <n v="2838"/>
    <n v="6"/>
    <n v="-16049304.039999999"/>
    <n v="-64.802188656597622"/>
  </r>
  <r>
    <s v="P0187"/>
    <x v="168"/>
    <x v="2"/>
    <x v="0"/>
    <n v="2024"/>
    <s v="Q2"/>
    <n v="658"/>
    <n v="17396"/>
    <n v="13032"/>
    <n v="359237"/>
    <n v="14.2"/>
    <n v="9"/>
    <n v="4.13"/>
    <n v="3.27"/>
    <n v="84.93"/>
    <n v="3.9"/>
    <n v="11232"/>
    <n v="7719"/>
    <n v="10"/>
    <n v="2512271.73"/>
    <n v="21.947816410997603"/>
  </r>
  <r>
    <s v="P0188"/>
    <x v="169"/>
    <x v="0"/>
    <x v="0"/>
    <n v="2024"/>
    <s v="Q4"/>
    <n v="3322"/>
    <n v="13418"/>
    <n v="6584"/>
    <n v="480442"/>
    <n v="1.59"/>
    <n v="2"/>
    <n v="1.99"/>
    <n v="7.27"/>
    <n v="18.5"/>
    <n v="2.5"/>
    <n v="2030"/>
    <n v="1942"/>
    <n v="9"/>
    <n v="22222098.73"/>
    <n v="49.85372998108609"/>
  </r>
  <r>
    <s v="P0189"/>
    <x v="170"/>
    <x v="2"/>
    <x v="3"/>
    <n v="2024"/>
    <s v="Q3"/>
    <n v="1197"/>
    <n v="15349"/>
    <n v="5383"/>
    <n v="253199"/>
    <n v="2.3199999999999998"/>
    <n v="18"/>
    <n v="4.12"/>
    <n v="21.72"/>
    <n v="77.36"/>
    <n v="4.8"/>
    <n v="9349"/>
    <n v="9038"/>
    <n v="8"/>
    <n v="11676081.279999999"/>
    <n v="63.551070871088285"/>
  </r>
  <r>
    <s v="P0190"/>
    <x v="171"/>
    <x v="1"/>
    <x v="0"/>
    <n v="2024"/>
    <s v="Q4"/>
    <n v="4332"/>
    <n v="6373"/>
    <n v="6746"/>
    <n v="426794"/>
    <n v="14.17"/>
    <n v="1"/>
    <n v="0.72"/>
    <n v="22.61"/>
    <n v="48.63"/>
    <n v="2.9"/>
    <n v="8429"/>
    <n v="2916"/>
    <n v="9"/>
    <n v="-2042652.61"/>
    <n v="-7.3988146336424201"/>
  </r>
  <r>
    <s v="P0191"/>
    <x v="172"/>
    <x v="0"/>
    <x v="2"/>
    <n v="2024"/>
    <s v="Q4"/>
    <n v="3447"/>
    <n v="6306"/>
    <n v="5741"/>
    <n v="258434"/>
    <n v="11.05"/>
    <n v="19"/>
    <n v="5.76"/>
    <n v="0.02"/>
    <n v="62.75"/>
    <n v="3.3"/>
    <n v="5849"/>
    <n v="9163"/>
    <n v="7"/>
    <n v="1689120.98"/>
    <n v="7.7707959715472148"/>
  </r>
  <r>
    <s v="P0192"/>
    <x v="173"/>
    <x v="1"/>
    <x v="0"/>
    <n v="2024"/>
    <s v="Q2"/>
    <n v="2561"/>
    <n v="10092"/>
    <n v="7067"/>
    <n v="207489"/>
    <n v="13.24"/>
    <n v="9"/>
    <n v="8.5399999999999991"/>
    <n v="14.85"/>
    <n v="50.85"/>
    <n v="4.3"/>
    <n v="15956"/>
    <n v="594"/>
    <n v="4"/>
    <n v="7539521.1500000004"/>
    <n v="29.171377911267882"/>
  </r>
  <r>
    <s v="P0193"/>
    <x v="174"/>
    <x v="1"/>
    <x v="2"/>
    <n v="2023"/>
    <s v="Q1"/>
    <n v="1844"/>
    <n v="13682"/>
    <n v="7928"/>
    <n v="461909"/>
    <n v="3.04"/>
    <n v="1"/>
    <n v="7.25"/>
    <n v="17.98"/>
    <n v="48.16"/>
    <n v="2.1"/>
    <n v="12795"/>
    <n v="6660"/>
    <n v="8"/>
    <n v="10148449.02"/>
    <n v="40.224362661520544"/>
  </r>
  <r>
    <s v="P0194"/>
    <x v="175"/>
    <x v="0"/>
    <x v="0"/>
    <n v="2023"/>
    <s v="Q1"/>
    <n v="709"/>
    <n v="18274"/>
    <n v="12689"/>
    <n v="433100"/>
    <n v="8.81"/>
    <n v="1"/>
    <n v="3.6"/>
    <n v="15.47"/>
    <n v="76.790000000000006"/>
    <n v="1.3"/>
    <n v="19685"/>
    <n v="5610"/>
    <n v="9"/>
    <n v="3526649.53"/>
    <n v="27.219644379020931"/>
  </r>
  <r>
    <s v="P0195"/>
    <x v="129"/>
    <x v="2"/>
    <x v="3"/>
    <n v="2023"/>
    <s v="Q4"/>
    <n v="2861"/>
    <n v="13545"/>
    <n v="11829"/>
    <n v="165598"/>
    <n v="10.52"/>
    <n v="16"/>
    <n v="0.87"/>
    <n v="2.04"/>
    <n v="70.47"/>
    <n v="3.8"/>
    <n v="6656"/>
    <n v="3544"/>
    <n v="9"/>
    <n v="4743875.96"/>
    <n v="12.241551321736328"/>
  </r>
  <r>
    <s v="P0196"/>
    <x v="112"/>
    <x v="2"/>
    <x v="3"/>
    <n v="2023"/>
    <s v="Q4"/>
    <n v="1419"/>
    <n v="5930"/>
    <n v="13075"/>
    <n v="300100"/>
    <n v="10.199999999999999"/>
    <n v="15"/>
    <n v="2.02"/>
    <n v="5.44"/>
    <n v="48.67"/>
    <n v="2.9"/>
    <n v="10728"/>
    <n v="9367"/>
    <n v="2"/>
    <n v="-10438860.439999999"/>
    <n v="-124.0554940360109"/>
  </r>
  <r>
    <s v="P0197"/>
    <x v="151"/>
    <x v="2"/>
    <x v="3"/>
    <n v="2023"/>
    <s v="Q3"/>
    <n v="2036"/>
    <n v="10320"/>
    <n v="3261"/>
    <n v="308589"/>
    <n v="6.12"/>
    <n v="15"/>
    <n v="5.45"/>
    <n v="6.26"/>
    <n v="18.93"/>
    <n v="4.5999999999999996"/>
    <n v="13420"/>
    <n v="7643"/>
    <n v="8"/>
    <n v="14063528.74"/>
    <n v="66.932467237020461"/>
  </r>
  <r>
    <s v="P0198"/>
    <x v="176"/>
    <x v="0"/>
    <x v="2"/>
    <n v="2024"/>
    <s v="Q2"/>
    <n v="196"/>
    <n v="5732"/>
    <n v="14836"/>
    <n v="234233"/>
    <n v="0.23"/>
    <n v="13"/>
    <n v="2.0699999999999998"/>
    <n v="20.79"/>
    <n v="19.23"/>
    <n v="4.9000000000000004"/>
    <n v="8932"/>
    <n v="7662"/>
    <n v="4"/>
    <n v="-2018637.79"/>
    <n v="-179.67851357221184"/>
  </r>
  <r>
    <s v="P0199"/>
    <x v="177"/>
    <x v="0"/>
    <x v="1"/>
    <n v="2024"/>
    <s v="Q2"/>
    <n v="3269"/>
    <n v="12622"/>
    <n v="12235"/>
    <n v="302388"/>
    <n v="8.74"/>
    <n v="6"/>
    <n v="5.44"/>
    <n v="11.58"/>
    <n v="74.12"/>
    <n v="2.6"/>
    <n v="13703"/>
    <n v="4094"/>
    <n v="3"/>
    <n v="962703.42"/>
    <n v="2.3331863029678308"/>
  </r>
  <r>
    <s v="P0200"/>
    <x v="50"/>
    <x v="2"/>
    <x v="2"/>
    <n v="2024"/>
    <s v="Q3"/>
    <n v="2961"/>
    <n v="16523"/>
    <n v="12351"/>
    <n v="183241"/>
    <n v="3.8"/>
    <n v="10"/>
    <n v="2.3199999999999998"/>
    <n v="12.17"/>
    <n v="52.35"/>
    <n v="2.7"/>
    <n v="7689"/>
    <n v="7353"/>
    <n v="3"/>
    <n v="12170038.83"/>
    <n v="24.87508959449298"/>
  </r>
  <r>
    <s v="P0201"/>
    <x v="178"/>
    <x v="2"/>
    <x v="3"/>
    <n v="2024"/>
    <s v="Q2"/>
    <n v="1784"/>
    <n v="9507"/>
    <n v="1485"/>
    <n v="265164"/>
    <n v="6.75"/>
    <n v="0"/>
    <n v="8.49"/>
    <n v="23.37"/>
    <n v="48.53"/>
    <n v="2.6"/>
    <n v="2642"/>
    <n v="145"/>
    <n v="9"/>
    <n v="14046060.630000001"/>
    <n v="82.81637079074612"/>
  </r>
  <r>
    <s v="P0202"/>
    <x v="179"/>
    <x v="1"/>
    <x v="2"/>
    <n v="2023"/>
    <s v="Q4"/>
    <n v="1893"/>
    <n v="19405"/>
    <n v="2960"/>
    <n v="203124"/>
    <n v="14.36"/>
    <n v="10"/>
    <n v="3.97"/>
    <n v="15.93"/>
    <n v="64.45"/>
    <n v="2.2999999999999998"/>
    <n v="9114"/>
    <n v="2157"/>
    <n v="10"/>
    <n v="30927245.07"/>
    <n v="84.19319191265015"/>
  </r>
  <r>
    <s v="P0203"/>
    <x v="180"/>
    <x v="2"/>
    <x v="2"/>
    <n v="2023"/>
    <s v="Q3"/>
    <n v="538"/>
    <n v="10518"/>
    <n v="7831"/>
    <n v="254923"/>
    <n v="5.99"/>
    <n v="3"/>
    <n v="2.46"/>
    <n v="22.47"/>
    <n v="78.709999999999994"/>
    <n v="4.0999999999999996"/>
    <n v="15753"/>
    <n v="763"/>
    <n v="4"/>
    <n v="1190660.53"/>
    <n v="21.041297411200201"/>
  </r>
  <r>
    <s v="P0204"/>
    <x v="181"/>
    <x v="0"/>
    <x v="3"/>
    <n v="2024"/>
    <s v="Q2"/>
    <n v="3026"/>
    <n v="3000"/>
    <n v="12980"/>
    <n v="58036"/>
    <n v="12.6"/>
    <n v="6"/>
    <n v="8.1199999999999992"/>
    <n v="11.41"/>
    <n v="60.31"/>
    <n v="4"/>
    <n v="19513"/>
    <n v="4768"/>
    <n v="4"/>
    <n v="-30257527.41"/>
    <n v="-333.30609616655653"/>
  </r>
  <r>
    <s v="P0205"/>
    <x v="182"/>
    <x v="0"/>
    <x v="1"/>
    <n v="2024"/>
    <s v="Q1"/>
    <n v="2009"/>
    <n v="8237"/>
    <n v="13058"/>
    <n v="81778"/>
    <n v="2.83"/>
    <n v="14"/>
    <n v="3.43"/>
    <n v="3.74"/>
    <n v="71.03"/>
    <n v="2.9"/>
    <n v="18646"/>
    <n v="2129"/>
    <n v="7"/>
    <n v="-9767170.7400000002"/>
    <n v="-59.022795743785714"/>
  </r>
  <r>
    <s v="P0206"/>
    <x v="183"/>
    <x v="0"/>
    <x v="2"/>
    <n v="2023"/>
    <s v="Q3"/>
    <n v="2435"/>
    <n v="4794"/>
    <n v="10559"/>
    <n v="470950"/>
    <n v="10.09"/>
    <n v="17"/>
    <n v="1.1100000000000001"/>
    <n v="23.25"/>
    <n v="71.22"/>
    <n v="1.2"/>
    <n v="8405"/>
    <n v="5817"/>
    <n v="12"/>
    <n v="-14508748.25"/>
    <n v="-124.28907326834792"/>
  </r>
  <r>
    <s v="P0207"/>
    <x v="183"/>
    <x v="2"/>
    <x v="1"/>
    <n v="2023"/>
    <s v="Q1"/>
    <n v="2969"/>
    <n v="5997"/>
    <n v="6141"/>
    <n v="204245"/>
    <n v="14.66"/>
    <n v="11"/>
    <n v="5.7"/>
    <n v="11.47"/>
    <n v="38.5"/>
    <n v="2.2000000000000002"/>
    <n v="6389"/>
    <n v="2796"/>
    <n v="11"/>
    <n v="-631792.47"/>
    <n v="-3.5483806234541988"/>
  </r>
  <r>
    <s v="P0208"/>
    <x v="184"/>
    <x v="1"/>
    <x v="1"/>
    <n v="2023"/>
    <s v="Q1"/>
    <n v="4786"/>
    <n v="19350"/>
    <n v="838"/>
    <n v="211475"/>
    <n v="1.53"/>
    <n v="16"/>
    <n v="5.82"/>
    <n v="4.54"/>
    <n v="31.93"/>
    <n v="2.2000000000000002"/>
    <n v="6339"/>
    <n v="8931"/>
    <n v="2"/>
    <n v="88386952.459999993"/>
    <n v="95.44089345431496"/>
  </r>
  <r>
    <s v="P0209"/>
    <x v="185"/>
    <x v="1"/>
    <x v="1"/>
    <n v="2024"/>
    <s v="Q1"/>
    <n v="1852"/>
    <n v="2114"/>
    <n v="11536"/>
    <n v="252747"/>
    <n v="0.12"/>
    <n v="0"/>
    <n v="7.15"/>
    <n v="7.56"/>
    <n v="74.09"/>
    <n v="4.2"/>
    <n v="5457"/>
    <n v="2763"/>
    <n v="7"/>
    <n v="-17702298.559999999"/>
    <n v="-452.15120833852677"/>
  </r>
  <r>
    <s v="P0210"/>
    <x v="186"/>
    <x v="2"/>
    <x v="0"/>
    <n v="2023"/>
    <s v="Q1"/>
    <n v="4111"/>
    <n v="10874"/>
    <n v="5675"/>
    <n v="449560"/>
    <n v="6.5"/>
    <n v="10"/>
    <n v="2.4"/>
    <n v="1.27"/>
    <n v="40.17"/>
    <n v="1.4"/>
    <n v="2057"/>
    <n v="2845"/>
    <n v="13"/>
    <n v="20923527.73"/>
    <n v="46.805630891017778"/>
  </r>
  <r>
    <s v="P0211"/>
    <x v="187"/>
    <x v="2"/>
    <x v="3"/>
    <n v="2024"/>
    <s v="Q4"/>
    <n v="3419"/>
    <n v="4167"/>
    <n v="2056"/>
    <n v="68800"/>
    <n v="1.39"/>
    <n v="0"/>
    <n v="4.4400000000000004"/>
    <n v="11.71"/>
    <n v="82.27"/>
    <n v="4.2"/>
    <n v="6121"/>
    <n v="5104"/>
    <n v="4"/>
    <n v="7148697.29"/>
    <n v="50.176955413616632"/>
  </r>
  <r>
    <s v="P0212"/>
    <x v="188"/>
    <x v="1"/>
    <x v="3"/>
    <n v="2023"/>
    <s v="Q4"/>
    <n v="312"/>
    <n v="14909"/>
    <n v="11982"/>
    <n v="337516"/>
    <n v="11.23"/>
    <n v="14"/>
    <n v="2.82"/>
    <n v="21.33"/>
    <n v="15.58"/>
    <n v="3.7"/>
    <n v="16432"/>
    <n v="6421"/>
    <n v="12"/>
    <n v="575686.67000000004"/>
    <n v="12.376078766740449"/>
  </r>
  <r>
    <s v="P0213"/>
    <x v="189"/>
    <x v="2"/>
    <x v="2"/>
    <n v="2023"/>
    <s v="Q1"/>
    <n v="673"/>
    <n v="18014"/>
    <n v="8497"/>
    <n v="373660"/>
    <n v="13.72"/>
    <n v="9"/>
    <n v="0.81"/>
    <n v="23.34"/>
    <n v="14.66"/>
    <n v="3.9"/>
    <n v="2339"/>
    <n v="5225"/>
    <n v="5"/>
    <n v="6031257.6600000001"/>
    <n v="49.748805741481242"/>
  </r>
  <r>
    <s v="P0214"/>
    <x v="190"/>
    <x v="1"/>
    <x v="1"/>
    <n v="2023"/>
    <s v="Q4"/>
    <n v="1066"/>
    <n v="4483"/>
    <n v="2996"/>
    <n v="332682"/>
    <n v="6.51"/>
    <n v="6"/>
    <n v="8.77"/>
    <n v="23.32"/>
    <n v="84.16"/>
    <n v="2.7"/>
    <n v="10743"/>
    <n v="5048"/>
    <n v="10"/>
    <n v="1252436.68"/>
    <n v="26.207755879099654"/>
  </r>
  <r>
    <s v="P0215"/>
    <x v="44"/>
    <x v="0"/>
    <x v="3"/>
    <n v="2024"/>
    <s v="Q3"/>
    <n v="3693"/>
    <n v="14151"/>
    <n v="12460"/>
    <n v="376062"/>
    <n v="3.88"/>
    <n v="1"/>
    <n v="7.29"/>
    <n v="3.13"/>
    <n v="61.88"/>
    <n v="3.7"/>
    <n v="11096"/>
    <n v="4502"/>
    <n v="4"/>
    <n v="5868797.8700000001"/>
    <n v="11.230076466461894"/>
  </r>
  <r>
    <s v="P0216"/>
    <x v="191"/>
    <x v="1"/>
    <x v="2"/>
    <n v="2024"/>
    <s v="Q1"/>
    <n v="2099"/>
    <n v="9730"/>
    <n v="7965"/>
    <n v="458189"/>
    <n v="6.52"/>
    <n v="9"/>
    <n v="3.01"/>
    <n v="9.5500000000000007"/>
    <n v="40.369999999999997"/>
    <n v="3.4"/>
    <n v="8498"/>
    <n v="3527"/>
    <n v="2"/>
    <n v="3246536.45"/>
    <n v="15.896261715190565"/>
  </r>
  <r>
    <s v="P0217"/>
    <x v="192"/>
    <x v="0"/>
    <x v="1"/>
    <n v="2024"/>
    <s v="Q3"/>
    <n v="3773"/>
    <n v="8140"/>
    <n v="11700"/>
    <n v="383299"/>
    <n v="10.85"/>
    <n v="3"/>
    <n v="5.99"/>
    <n v="0.71"/>
    <n v="70.400000000000006"/>
    <n v="4.0999999999999996"/>
    <n v="11629"/>
    <n v="6012"/>
    <n v="4"/>
    <n v="-13815179.710000001"/>
    <n v="-44.982680216539215"/>
  </r>
  <r>
    <s v="P0218"/>
    <x v="193"/>
    <x v="0"/>
    <x v="3"/>
    <n v="2024"/>
    <s v="Q4"/>
    <n v="4598"/>
    <n v="13279"/>
    <n v="1101"/>
    <n v="281312"/>
    <n v="0.14000000000000001"/>
    <n v="11"/>
    <n v="2.0099999999999998"/>
    <n v="21.38"/>
    <n v="63.79"/>
    <n v="2.8"/>
    <n v="2010"/>
    <n v="494"/>
    <n v="8"/>
    <n v="55713110.619999997"/>
    <n v="91.247940108006233"/>
  </r>
  <r>
    <s v="P0219"/>
    <x v="63"/>
    <x v="1"/>
    <x v="1"/>
    <n v="2024"/>
    <s v="Q2"/>
    <n v="3158"/>
    <n v="16817"/>
    <n v="8327"/>
    <n v="109500"/>
    <n v="8.84"/>
    <n v="18"/>
    <n v="8.9"/>
    <n v="8.9700000000000006"/>
    <n v="52.5"/>
    <n v="2.9"/>
    <n v="13096"/>
    <n v="3697"/>
    <n v="14"/>
    <n v="26701911.030000001"/>
    <n v="50.278428467559536"/>
  </r>
  <r>
    <s v="P0220"/>
    <x v="194"/>
    <x v="2"/>
    <x v="0"/>
    <n v="2024"/>
    <s v="Q4"/>
    <n v="4140"/>
    <n v="18804"/>
    <n v="7181"/>
    <n v="217647"/>
    <n v="9.1999999999999993"/>
    <n v="10"/>
    <n v="1.1499999999999999"/>
    <n v="15.78"/>
    <n v="17.91"/>
    <n v="3.6"/>
    <n v="14474"/>
    <n v="429"/>
    <n v="8"/>
    <n v="47901557.219999999"/>
    <n v="61.531719045284838"/>
  </r>
  <r>
    <s v="P0221"/>
    <x v="106"/>
    <x v="0"/>
    <x v="2"/>
    <n v="2023"/>
    <s v="Q1"/>
    <n v="2106"/>
    <n v="9064"/>
    <n v="1446"/>
    <n v="286527"/>
    <n v="9.57"/>
    <n v="7"/>
    <n v="0.04"/>
    <n v="17.87"/>
    <n v="74.97"/>
    <n v="1.4"/>
    <n v="2637"/>
    <n v="872"/>
    <n v="12"/>
    <n v="15756963.130000001"/>
    <n v="82.545662049505097"/>
  </r>
  <r>
    <s v="P0222"/>
    <x v="195"/>
    <x v="0"/>
    <x v="2"/>
    <n v="2023"/>
    <s v="Q3"/>
    <n v="3220"/>
    <n v="17020"/>
    <n v="13750"/>
    <n v="485477"/>
    <n v="3.63"/>
    <n v="17"/>
    <n v="5.0199999999999996"/>
    <n v="10.75"/>
    <n v="79.28"/>
    <n v="2.7"/>
    <n v="15200"/>
    <n v="8235"/>
    <n v="6"/>
    <n v="10043912.25"/>
    <n v="18.326835527804334"/>
  </r>
  <r>
    <s v="P0223"/>
    <x v="196"/>
    <x v="0"/>
    <x v="3"/>
    <n v="2023"/>
    <s v="Q3"/>
    <n v="1732"/>
    <n v="15237"/>
    <n v="10751"/>
    <n v="160659"/>
    <n v="10.71"/>
    <n v="10"/>
    <n v="5.83"/>
    <n v="7.66"/>
    <n v="23.77"/>
    <n v="4.9000000000000004"/>
    <n v="6166"/>
    <n v="1745"/>
    <n v="2"/>
    <n v="7609085.3399999999"/>
    <n v="28.832685827209538"/>
  </r>
  <r>
    <s v="P0224"/>
    <x v="197"/>
    <x v="2"/>
    <x v="1"/>
    <n v="2023"/>
    <s v="Q4"/>
    <n v="2305"/>
    <n v="10823"/>
    <n v="13343"/>
    <n v="77716"/>
    <n v="1.37"/>
    <n v="10"/>
    <n v="5.79"/>
    <n v="24.06"/>
    <n v="78.040000000000006"/>
    <n v="1.2"/>
    <n v="10406"/>
    <n v="1887"/>
    <n v="12"/>
    <n v="-5886340.0599999996"/>
    <n v="-23.595368263497654"/>
  </r>
  <r>
    <s v="P0225"/>
    <x v="198"/>
    <x v="0"/>
    <x v="2"/>
    <n v="2023"/>
    <s v="Q1"/>
    <n v="1204"/>
    <n v="16729"/>
    <n v="9589"/>
    <n v="446452"/>
    <n v="2.99"/>
    <n v="12"/>
    <n v="0.55000000000000004"/>
    <n v="24.11"/>
    <n v="80.23"/>
    <n v="2.2999999999999998"/>
    <n v="11978"/>
    <n v="9915"/>
    <n v="9"/>
    <n v="8150083.8899999997"/>
    <n v="40.463701752124791"/>
  </r>
  <r>
    <s v="P0226"/>
    <x v="199"/>
    <x v="2"/>
    <x v="1"/>
    <n v="2023"/>
    <s v="Q3"/>
    <n v="4549"/>
    <n v="13213"/>
    <n v="9653"/>
    <n v="459064"/>
    <n v="13.16"/>
    <n v="2"/>
    <n v="3.14"/>
    <n v="7.24"/>
    <n v="53.95"/>
    <n v="2.2999999999999998"/>
    <n v="4154"/>
    <n v="1099"/>
    <n v="11"/>
    <n v="15735368.76"/>
    <n v="26.179391829462702"/>
  </r>
  <r>
    <s v="P0227"/>
    <x v="200"/>
    <x v="2"/>
    <x v="1"/>
    <n v="2024"/>
    <s v="Q1"/>
    <n v="3241"/>
    <n v="10002"/>
    <n v="5130"/>
    <n v="52352"/>
    <n v="11.08"/>
    <n v="11"/>
    <n v="4.99"/>
    <n v="11.99"/>
    <n v="62.49"/>
    <n v="3.5"/>
    <n v="2490"/>
    <n v="1948"/>
    <n v="9"/>
    <n v="15737788.01"/>
    <n v="48.548722868817165"/>
  </r>
  <r>
    <s v="P0228"/>
    <x v="201"/>
    <x v="0"/>
    <x v="2"/>
    <n v="2023"/>
    <s v="Q4"/>
    <n v="1746"/>
    <n v="2045"/>
    <n v="10360"/>
    <n v="183004"/>
    <n v="0.21"/>
    <n v="2"/>
    <n v="2.17"/>
    <n v="24.32"/>
    <n v="40.58"/>
    <n v="1.4"/>
    <n v="3660"/>
    <n v="1661"/>
    <n v="11"/>
    <n v="-14701018.32"/>
    <n v="-411.72749224913667"/>
  </r>
  <r>
    <s v="P0229"/>
    <x v="202"/>
    <x v="0"/>
    <x v="0"/>
    <n v="2024"/>
    <s v="Q1"/>
    <n v="4041"/>
    <n v="5846"/>
    <n v="11573"/>
    <n v="388593"/>
    <n v="3.73"/>
    <n v="9"/>
    <n v="8.73"/>
    <n v="0.12"/>
    <n v="32.54"/>
    <n v="3.5"/>
    <n v="16636"/>
    <n v="873"/>
    <n v="13"/>
    <n v="-23531400.120000001"/>
    <n v="-99.609350208938608"/>
  </r>
  <r>
    <s v="P0230"/>
    <x v="203"/>
    <x v="1"/>
    <x v="1"/>
    <n v="2023"/>
    <s v="Q3"/>
    <n v="4773"/>
    <n v="11496"/>
    <n v="7803"/>
    <n v="58556"/>
    <n v="3.22"/>
    <n v="16"/>
    <n v="0.87"/>
    <n v="10.32"/>
    <n v="67.760000000000005"/>
    <n v="1.4"/>
    <n v="11836"/>
    <n v="7411"/>
    <n v="11"/>
    <n v="17568122.68"/>
    <n v="32.017481408193646"/>
  </r>
  <r>
    <s v="P0231"/>
    <x v="204"/>
    <x v="2"/>
    <x v="2"/>
    <n v="2023"/>
    <s v="Q4"/>
    <n v="4732"/>
    <n v="17275"/>
    <n v="12860"/>
    <n v="311973"/>
    <n v="4.0599999999999996"/>
    <n v="1"/>
    <n v="4.87"/>
    <n v="2.5099999999999998"/>
    <n v="78.95"/>
    <n v="1.4"/>
    <n v="15769"/>
    <n v="5279"/>
    <n v="14"/>
    <n v="20579804.489999998"/>
    <n v="25.175520170578615"/>
  </r>
  <r>
    <s v="P0232"/>
    <x v="205"/>
    <x v="0"/>
    <x v="3"/>
    <n v="2023"/>
    <s v="Q1"/>
    <n v="1698"/>
    <n v="15419"/>
    <n v="4337"/>
    <n v="398980"/>
    <n v="3.71"/>
    <n v="16"/>
    <n v="6.91"/>
    <n v="12.73"/>
    <n v="62.33"/>
    <n v="3.9"/>
    <n v="17706"/>
    <n v="1903"/>
    <n v="11"/>
    <n v="18418243.27"/>
    <n v="70.3484139655761"/>
  </r>
  <r>
    <s v="P0233"/>
    <x v="52"/>
    <x v="2"/>
    <x v="1"/>
    <n v="2024"/>
    <s v="Q4"/>
    <n v="1495"/>
    <n v="5310"/>
    <n v="13857"/>
    <n v="186570"/>
    <n v="0.94"/>
    <n v="15"/>
    <n v="2.62"/>
    <n v="0.62"/>
    <n v="50.93"/>
    <n v="2.2999999999999998"/>
    <n v="3563"/>
    <n v="9390"/>
    <n v="3"/>
    <n v="-12964335.619999999"/>
    <n v="-163.31066669186049"/>
  </r>
  <r>
    <s v="P0234"/>
    <x v="206"/>
    <x v="2"/>
    <x v="2"/>
    <n v="2023"/>
    <s v="Q3"/>
    <n v="4249"/>
    <n v="8706"/>
    <n v="13300"/>
    <n v="257190"/>
    <n v="6.88"/>
    <n v="1"/>
    <n v="6.24"/>
    <n v="10.17"/>
    <n v="22.71"/>
    <n v="4.9000000000000004"/>
    <n v="12295"/>
    <n v="2150"/>
    <n v="11"/>
    <n v="-19777106.170000002"/>
    <n v="-53.463495633653245"/>
  </r>
  <r>
    <s v="P0235"/>
    <x v="207"/>
    <x v="2"/>
    <x v="3"/>
    <n v="2024"/>
    <s v="Q4"/>
    <n v="3973"/>
    <n v="10505"/>
    <n v="5358"/>
    <n v="100098"/>
    <n v="10.99"/>
    <n v="19"/>
    <n v="8.2899999999999991"/>
    <n v="5.52"/>
    <n v="14.28"/>
    <n v="1.1000000000000001"/>
    <n v="19861"/>
    <n v="9890"/>
    <n v="4"/>
    <n v="20348927.48"/>
    <n v="48.75586908443033"/>
  </r>
  <r>
    <s v="P0236"/>
    <x v="208"/>
    <x v="1"/>
    <x v="3"/>
    <n v="2023"/>
    <s v="Q3"/>
    <n v="303"/>
    <n v="17871"/>
    <n v="7379"/>
    <n v="424313"/>
    <n v="9.1"/>
    <n v="5"/>
    <n v="1.9"/>
    <n v="13.33"/>
    <n v="45.66"/>
    <n v="2.8"/>
    <n v="10067"/>
    <n v="847"/>
    <n v="5"/>
    <n v="2754749.67"/>
    <n v="50.873387439465787"/>
  </r>
  <r>
    <s v="P0237"/>
    <x v="209"/>
    <x v="1"/>
    <x v="0"/>
    <n v="2023"/>
    <s v="Q4"/>
    <n v="3233"/>
    <n v="13816"/>
    <n v="9274"/>
    <n v="190641"/>
    <n v="10.09"/>
    <n v="9"/>
    <n v="9.17"/>
    <n v="24.9"/>
    <n v="13.95"/>
    <n v="1.5"/>
    <n v="10433"/>
    <n v="8225"/>
    <n v="2"/>
    <n v="14493620.1"/>
    <n v="32.448068073684972"/>
  </r>
  <r>
    <s v="P0238"/>
    <x v="210"/>
    <x v="0"/>
    <x v="1"/>
    <n v="2023"/>
    <s v="Q3"/>
    <n v="2607"/>
    <n v="19916"/>
    <n v="12670"/>
    <n v="297199"/>
    <n v="1.22"/>
    <n v="9"/>
    <n v="5.54"/>
    <n v="20.010000000000002"/>
    <n v="55.55"/>
    <n v="2.4"/>
    <n v="20551"/>
    <n v="5960"/>
    <n v="5"/>
    <n v="18593102.989999998"/>
    <n v="35.810363230208218"/>
  </r>
  <r>
    <s v="P0239"/>
    <x v="133"/>
    <x v="1"/>
    <x v="3"/>
    <n v="2023"/>
    <s v="Q4"/>
    <n v="148"/>
    <n v="9936"/>
    <n v="10478"/>
    <n v="176060"/>
    <n v="14.27"/>
    <n v="7"/>
    <n v="2.99"/>
    <n v="21.14"/>
    <n v="40.619999999999997"/>
    <n v="5"/>
    <n v="17119"/>
    <n v="4073"/>
    <n v="6"/>
    <n v="-256297.14"/>
    <n v="-17.428919408538977"/>
  </r>
  <r>
    <s v="P0240"/>
    <x v="211"/>
    <x v="2"/>
    <x v="2"/>
    <n v="2024"/>
    <s v="Q4"/>
    <n v="2250"/>
    <n v="14484"/>
    <n v="4882"/>
    <n v="237954"/>
    <n v="12.58"/>
    <n v="0"/>
    <n v="4.3099999999999996"/>
    <n v="15.88"/>
    <n v="70.58"/>
    <n v="4.5999999999999996"/>
    <n v="6419"/>
    <n v="9845"/>
    <n v="4"/>
    <n v="21366530.120000001"/>
    <n v="65.56362613151677"/>
  </r>
  <r>
    <s v="P0241"/>
    <x v="212"/>
    <x v="1"/>
    <x v="1"/>
    <n v="2024"/>
    <s v="Q1"/>
    <n v="3011"/>
    <n v="1771"/>
    <n v="14518"/>
    <n v="251465"/>
    <n v="12.08"/>
    <n v="12"/>
    <n v="3.12"/>
    <n v="1.04"/>
    <n v="34.450000000000003"/>
    <n v="1.2"/>
    <n v="13241"/>
    <n v="1715"/>
    <n v="12"/>
    <n v="-38632683.039999999"/>
    <n v="-724.47858773430221"/>
  </r>
  <r>
    <s v="P0242"/>
    <x v="213"/>
    <x v="0"/>
    <x v="2"/>
    <n v="2023"/>
    <s v="Q4"/>
    <n v="4483"/>
    <n v="19655"/>
    <n v="4983"/>
    <n v="180544"/>
    <n v="12.34"/>
    <n v="8"/>
    <n v="7.25"/>
    <n v="5.17"/>
    <n v="57.44"/>
    <n v="3.3"/>
    <n v="10298"/>
    <n v="3854"/>
    <n v="11"/>
    <n v="65594026.829999998"/>
    <n v="74.442766803878158"/>
  </r>
  <r>
    <s v="P0243"/>
    <x v="214"/>
    <x v="2"/>
    <x v="2"/>
    <n v="2024"/>
    <s v="Q1"/>
    <n v="3827"/>
    <n v="12116"/>
    <n v="14155"/>
    <n v="50340"/>
    <n v="13.99"/>
    <n v="9"/>
    <n v="7.96"/>
    <n v="23.13"/>
    <n v="53.01"/>
    <n v="3.6"/>
    <n v="18427"/>
    <n v="5606"/>
    <n v="3"/>
    <n v="-7853616.1299999999"/>
    <n v="-16.937602759596871"/>
  </r>
  <r>
    <s v="P0244"/>
    <x v="215"/>
    <x v="0"/>
    <x v="3"/>
    <n v="2024"/>
    <s v="Q4"/>
    <n v="2919"/>
    <n v="5861"/>
    <n v="9452"/>
    <n v="225021"/>
    <n v="8.16"/>
    <n v="14"/>
    <n v="8.33"/>
    <n v="9.15"/>
    <n v="10.38"/>
    <n v="1.8"/>
    <n v="16066"/>
    <n v="4321"/>
    <n v="14"/>
    <n v="-10707159.15"/>
    <n v="-62.584738458775966"/>
  </r>
  <r>
    <s v="P0245"/>
    <x v="216"/>
    <x v="2"/>
    <x v="2"/>
    <n v="2024"/>
    <s v="Q2"/>
    <n v="3284"/>
    <n v="8569"/>
    <n v="11317"/>
    <n v="132302"/>
    <n v="3"/>
    <n v="4"/>
    <n v="9.86"/>
    <n v="2.59"/>
    <n v="15.79"/>
    <n v="1.6"/>
    <n v="2383"/>
    <n v="5391"/>
    <n v="7"/>
    <n v="-9156736.5899999999"/>
    <n v="-32.539241848324743"/>
  </r>
  <r>
    <s v="P0246"/>
    <x v="217"/>
    <x v="1"/>
    <x v="0"/>
    <n v="2023"/>
    <s v="Q4"/>
    <n v="3841"/>
    <n v="18804"/>
    <n v="4554"/>
    <n v="272740"/>
    <n v="9.25"/>
    <n v="15"/>
    <n v="7.91"/>
    <n v="17.559999999999999"/>
    <n v="33.229999999999997"/>
    <n v="4.5999999999999996"/>
    <n v="10915"/>
    <n v="5954"/>
    <n v="9"/>
    <n v="54461492.439999998"/>
    <n v="75.404104861501438"/>
  </r>
  <r>
    <s v="P0247"/>
    <x v="218"/>
    <x v="1"/>
    <x v="0"/>
    <n v="2023"/>
    <s v="Q2"/>
    <n v="1006"/>
    <n v="4930"/>
    <n v="11460"/>
    <n v="50138"/>
    <n v="11.14"/>
    <n v="12"/>
    <n v="6.01"/>
    <n v="7.49"/>
    <n v="80.58"/>
    <n v="4.9000000000000004"/>
    <n v="12585"/>
    <n v="316"/>
    <n v="8"/>
    <n v="-6619325.4900000002"/>
    <n v="-133.46544445295771"/>
  </r>
  <r>
    <s v="P0248"/>
    <x v="219"/>
    <x v="1"/>
    <x v="0"/>
    <n v="2024"/>
    <s v="Q2"/>
    <n v="4117"/>
    <n v="14176"/>
    <n v="2524"/>
    <n v="443574"/>
    <n v="11.07"/>
    <n v="19"/>
    <n v="3.39"/>
    <n v="6.72"/>
    <n v="21.76"/>
    <n v="5"/>
    <n v="16508"/>
    <n v="1459"/>
    <n v="12"/>
    <n v="47527703.280000001"/>
    <n v="81.435216722382719"/>
  </r>
  <r>
    <s v="P0249"/>
    <x v="10"/>
    <x v="2"/>
    <x v="3"/>
    <n v="2023"/>
    <s v="Q3"/>
    <n v="210"/>
    <n v="12316"/>
    <n v="2176"/>
    <n v="169619"/>
    <n v="7.82"/>
    <n v="17"/>
    <n v="5.45"/>
    <n v="24.95"/>
    <n v="66.87"/>
    <n v="4.2"/>
    <n v="19952"/>
    <n v="3874"/>
    <n v="2"/>
    <n v="1959756.05"/>
    <n v="75.772748186640683"/>
  </r>
  <r>
    <s v="P0250"/>
    <x v="220"/>
    <x v="0"/>
    <x v="3"/>
    <n v="2023"/>
    <s v="Q1"/>
    <n v="4543"/>
    <n v="3550"/>
    <n v="11735"/>
    <n v="397520"/>
    <n v="1.03"/>
    <n v="10"/>
    <n v="0.41"/>
    <n v="21.45"/>
    <n v="87.87"/>
    <n v="3.7"/>
    <n v="9620"/>
    <n v="5517"/>
    <n v="5"/>
    <n v="-37581996.450000003"/>
    <n v="-233.02834851946815"/>
  </r>
  <r>
    <s v="P0251"/>
    <x v="221"/>
    <x v="1"/>
    <x v="0"/>
    <n v="2024"/>
    <s v="Q4"/>
    <n v="1350"/>
    <n v="13192"/>
    <n v="9506"/>
    <n v="149931"/>
    <n v="5.57"/>
    <n v="8"/>
    <n v="7.45"/>
    <n v="10.199999999999999"/>
    <n v="73.25"/>
    <n v="2.4"/>
    <n v="9320"/>
    <n v="5027"/>
    <n v="4"/>
    <n v="4826158.8"/>
    <n v="27.099245333872378"/>
  </r>
  <r>
    <s v="P0252"/>
    <x v="222"/>
    <x v="0"/>
    <x v="3"/>
    <n v="2024"/>
    <s v="Q1"/>
    <n v="4961"/>
    <n v="2665"/>
    <n v="9694"/>
    <n v="473870"/>
    <n v="13.81"/>
    <n v="15"/>
    <n v="4.46"/>
    <n v="24.51"/>
    <n v="29.44"/>
    <n v="1.7"/>
    <n v="13401"/>
    <n v="4529"/>
    <n v="7"/>
    <n v="-35344763.509999998"/>
    <n v="-267.33673505122317"/>
  </r>
  <r>
    <s v="P0253"/>
    <x v="223"/>
    <x v="1"/>
    <x v="1"/>
    <n v="2024"/>
    <s v="Q4"/>
    <n v="4037"/>
    <n v="3533"/>
    <n v="2453"/>
    <n v="206951"/>
    <n v="8.77"/>
    <n v="1"/>
    <n v="0.2"/>
    <n v="16.25"/>
    <n v="82.67"/>
    <n v="1.3"/>
    <n v="19670"/>
    <n v="4706"/>
    <n v="10"/>
    <n v="4152992.75"/>
    <n v="29.117815247174782"/>
  </r>
  <r>
    <s v="P0254"/>
    <x v="224"/>
    <x v="2"/>
    <x v="0"/>
    <n v="2024"/>
    <s v="Q2"/>
    <n v="1577"/>
    <n v="1645"/>
    <n v="2866"/>
    <n v="393676"/>
    <n v="8.07"/>
    <n v="1"/>
    <n v="0.63"/>
    <n v="18.55"/>
    <n v="17.45"/>
    <n v="3.8"/>
    <n v="17759"/>
    <n v="4578"/>
    <n v="10"/>
    <n v="-2319211.5499999998"/>
    <n v="-89.401080887298988"/>
  </r>
  <r>
    <s v="P0255"/>
    <x v="225"/>
    <x v="2"/>
    <x v="3"/>
    <n v="2023"/>
    <s v="Q2"/>
    <n v="1268"/>
    <n v="15769"/>
    <n v="822"/>
    <n v="367922"/>
    <n v="4.03"/>
    <n v="11"/>
    <n v="3.87"/>
    <n v="0.79"/>
    <n v="47.45"/>
    <n v="4.0999999999999996"/>
    <n v="11149"/>
    <n v="1996"/>
    <n v="8"/>
    <n v="18584873.210000001"/>
    <n v="92.94717528681538"/>
  </r>
  <r>
    <s v="P0256"/>
    <x v="226"/>
    <x v="2"/>
    <x v="0"/>
    <n v="2024"/>
    <s v="Q3"/>
    <n v="4546"/>
    <n v="9332"/>
    <n v="3260"/>
    <n v="87772"/>
    <n v="5.53"/>
    <n v="7"/>
    <n v="5.83"/>
    <n v="3.04"/>
    <n v="81"/>
    <n v="4.3"/>
    <n v="9769"/>
    <n v="7466"/>
    <n v="13"/>
    <n v="27515536.960000001"/>
    <n v="64.859535021249656"/>
  </r>
  <r>
    <s v="P0257"/>
    <x v="227"/>
    <x v="0"/>
    <x v="1"/>
    <n v="2024"/>
    <s v="Q1"/>
    <n v="4785"/>
    <n v="15786"/>
    <n v="14141"/>
    <n v="108478"/>
    <n v="13.43"/>
    <n v="8"/>
    <n v="4.6399999999999997"/>
    <n v="15.83"/>
    <n v="61.3"/>
    <n v="4.7"/>
    <n v="13305"/>
    <n v="4527"/>
    <n v="10"/>
    <n v="7762831.1699999999"/>
    <n v="10.276993939711669"/>
  </r>
  <r>
    <s v="P0258"/>
    <x v="99"/>
    <x v="0"/>
    <x v="0"/>
    <n v="2023"/>
    <s v="Q2"/>
    <n v="3154"/>
    <n v="4132"/>
    <n v="6726"/>
    <n v="76762"/>
    <n v="10"/>
    <n v="11"/>
    <n v="6.19"/>
    <n v="22.48"/>
    <n v="43.09"/>
    <n v="4.5"/>
    <n v="19192"/>
    <n v="5461"/>
    <n v="9"/>
    <n v="-8258260.4800000004"/>
    <n v="-63.367500265493625"/>
  </r>
  <r>
    <s v="P0259"/>
    <x v="228"/>
    <x v="1"/>
    <x v="0"/>
    <n v="2023"/>
    <s v="Q1"/>
    <n v="2785"/>
    <n v="5994"/>
    <n v="7051"/>
    <n v="194355"/>
    <n v="11.81"/>
    <n v="8"/>
    <n v="4.8"/>
    <n v="15.59"/>
    <n v="33.43"/>
    <n v="5"/>
    <n v="11879"/>
    <n v="9191"/>
    <n v="6"/>
    <n v="-3138115.59"/>
    <n v="-18.798664553242649"/>
  </r>
  <r>
    <s v="P0260"/>
    <x v="229"/>
    <x v="2"/>
    <x v="2"/>
    <n v="2023"/>
    <s v="Q1"/>
    <n v="4605"/>
    <n v="16652"/>
    <n v="10296"/>
    <n v="244994"/>
    <n v="6.82"/>
    <n v="9"/>
    <n v="6.62"/>
    <n v="3.35"/>
    <n v="40.01"/>
    <n v="2"/>
    <n v="10244"/>
    <n v="741"/>
    <n v="10"/>
    <n v="29024382.649999999"/>
    <n v="37.850093293824948"/>
  </r>
  <r>
    <s v="P0261"/>
    <x v="230"/>
    <x v="0"/>
    <x v="2"/>
    <n v="2024"/>
    <s v="Q4"/>
    <n v="1004"/>
    <n v="10655"/>
    <n v="8095"/>
    <n v="220492"/>
    <n v="9.4499999999999993"/>
    <n v="1"/>
    <n v="2.19"/>
    <n v="2.89"/>
    <n v="50.72"/>
    <n v="4.0999999999999996"/>
    <n v="14785"/>
    <n v="5446"/>
    <n v="8"/>
    <n v="2349745.11"/>
    <n v="21.965120372568851"/>
  </r>
  <r>
    <s v="P0262"/>
    <x v="231"/>
    <x v="2"/>
    <x v="1"/>
    <n v="2024"/>
    <s v="Q4"/>
    <n v="4615"/>
    <n v="11926"/>
    <n v="4100"/>
    <n v="367712"/>
    <n v="3.73"/>
    <n v="15"/>
    <n v="1.1299999999999999"/>
    <n v="21.1"/>
    <n v="35.520000000000003"/>
    <n v="3.3"/>
    <n v="9973"/>
    <n v="4829"/>
    <n v="6"/>
    <n v="35749256.899999999"/>
    <n v="64.953193483324128"/>
  </r>
  <r>
    <s v="P0263"/>
    <x v="232"/>
    <x v="2"/>
    <x v="3"/>
    <n v="2024"/>
    <s v="Q2"/>
    <n v="3496"/>
    <n v="11733"/>
    <n v="14222"/>
    <n v="397234"/>
    <n v="10.58"/>
    <n v="19"/>
    <n v="5.96"/>
    <n v="3.48"/>
    <n v="87.52"/>
    <n v="2"/>
    <n v="12179"/>
    <n v="3727"/>
    <n v="9"/>
    <n v="-9098781.4800000004"/>
    <n v="-22.182104163168251"/>
  </r>
  <r>
    <s v="P0264"/>
    <x v="233"/>
    <x v="0"/>
    <x v="2"/>
    <n v="2023"/>
    <s v="Q3"/>
    <n v="1095"/>
    <n v="3328"/>
    <n v="7079"/>
    <n v="332363"/>
    <n v="6.41"/>
    <n v="6"/>
    <n v="4.8499999999999996"/>
    <n v="13.01"/>
    <n v="84.65"/>
    <n v="4.9000000000000004"/>
    <n v="16105"/>
    <n v="6694"/>
    <n v="8"/>
    <n v="-4439721.01"/>
    <n v="-121.83112184975413"/>
  </r>
  <r>
    <s v="P0265"/>
    <x v="234"/>
    <x v="1"/>
    <x v="0"/>
    <n v="2024"/>
    <s v="Q4"/>
    <n v="1743"/>
    <n v="13760"/>
    <n v="9353"/>
    <n v="369313"/>
    <n v="6.64"/>
    <n v="1"/>
    <n v="0.27"/>
    <n v="0.93"/>
    <n v="79.650000000000006"/>
    <n v="4.5999999999999996"/>
    <n v="12485"/>
    <n v="8487"/>
    <n v="10"/>
    <n v="7312087.0700000003"/>
    <n v="30.48776113590575"/>
  </r>
  <r>
    <s v="P0266"/>
    <x v="235"/>
    <x v="2"/>
    <x v="2"/>
    <n v="2024"/>
    <s v="Q3"/>
    <n v="3486"/>
    <n v="10630"/>
    <n v="8153"/>
    <n v="124965"/>
    <n v="9.74"/>
    <n v="0"/>
    <n v="3.8"/>
    <n v="2.02"/>
    <n v="43.75"/>
    <n v="1.5"/>
    <n v="13891"/>
    <n v="3375"/>
    <n v="11"/>
    <n v="8509854.9800000004"/>
    <n v="22.964738891056768"/>
  </r>
  <r>
    <s v="P0267"/>
    <x v="236"/>
    <x v="1"/>
    <x v="1"/>
    <n v="2024"/>
    <s v="Q3"/>
    <n v="612"/>
    <n v="6305"/>
    <n v="4527"/>
    <n v="227912"/>
    <n v="14.04"/>
    <n v="18"/>
    <n v="1.06"/>
    <n v="16.809999999999999"/>
    <n v="65.3"/>
    <n v="1.1000000000000001"/>
    <n v="6361"/>
    <n v="4150"/>
    <n v="2"/>
    <n v="860207.19"/>
    <n v="22.292899348478485"/>
  </r>
  <r>
    <s v="P0268"/>
    <x v="237"/>
    <x v="0"/>
    <x v="3"/>
    <n v="2023"/>
    <s v="Q3"/>
    <n v="2535"/>
    <n v="2306"/>
    <n v="7072"/>
    <n v="225767"/>
    <n v="0.96"/>
    <n v="3"/>
    <n v="5.31"/>
    <n v="17.23"/>
    <n v="82.23"/>
    <n v="3.8"/>
    <n v="20660"/>
    <n v="4653"/>
    <n v="14"/>
    <n v="-12307594.23"/>
    <n v="-210.54062261042711"/>
  </r>
  <r>
    <s v="P0269"/>
    <x v="27"/>
    <x v="1"/>
    <x v="1"/>
    <n v="2023"/>
    <s v="Q1"/>
    <n v="3404"/>
    <n v="9702"/>
    <n v="6795"/>
    <n v="286281"/>
    <n v="12.37"/>
    <n v="1"/>
    <n v="3.96"/>
    <n v="8.5399999999999991"/>
    <n v="78.03"/>
    <n v="3.4"/>
    <n v="3096"/>
    <n v="5025"/>
    <n v="10"/>
    <n v="9609138.4600000009"/>
    <n v="29.096022880184375"/>
  </r>
  <r>
    <s v="P0270"/>
    <x v="238"/>
    <x v="1"/>
    <x v="1"/>
    <n v="2024"/>
    <s v="Q4"/>
    <n v="275"/>
    <n v="3368"/>
    <n v="10276"/>
    <n v="134754"/>
    <n v="4.3899999999999997"/>
    <n v="13"/>
    <n v="6.13"/>
    <n v="5.39"/>
    <n v="43.15"/>
    <n v="4.7"/>
    <n v="18363"/>
    <n v="2404"/>
    <n v="8"/>
    <n v="-2034459.39"/>
    <n v="-219.65659576765276"/>
  </r>
  <r>
    <s v="P0271"/>
    <x v="239"/>
    <x v="1"/>
    <x v="1"/>
    <n v="2024"/>
    <s v="Q3"/>
    <n v="4943"/>
    <n v="16061"/>
    <n v="1314"/>
    <n v="127988"/>
    <n v="6.66"/>
    <n v="1"/>
    <n v="8.06"/>
    <n v="20.34"/>
    <n v="18.989999999999998"/>
    <n v="1.9"/>
    <n v="11655"/>
    <n v="3443"/>
    <n v="2"/>
    <n v="72766412.659999996"/>
    <n v="91.657450391785318"/>
  </r>
  <r>
    <s v="P0272"/>
    <x v="240"/>
    <x v="1"/>
    <x v="0"/>
    <n v="2024"/>
    <s v="Q1"/>
    <n v="1009"/>
    <n v="17012"/>
    <n v="1248"/>
    <n v="200023"/>
    <n v="0.33"/>
    <n v="14"/>
    <n v="3"/>
    <n v="5.43"/>
    <n v="16.05"/>
    <n v="1.3"/>
    <n v="9419"/>
    <n v="2156"/>
    <n v="2"/>
    <n v="15705847.57"/>
    <n v="91.498681919158329"/>
  </r>
  <r>
    <s v="P0273"/>
    <x v="241"/>
    <x v="0"/>
    <x v="0"/>
    <n v="2023"/>
    <s v="Q3"/>
    <n v="4598"/>
    <n v="16399"/>
    <n v="6819"/>
    <n v="182379"/>
    <n v="4.5199999999999996"/>
    <n v="11"/>
    <n v="9.6199999999999992"/>
    <n v="13.55"/>
    <n v="56.17"/>
    <n v="2"/>
    <n v="11834"/>
    <n v="2908"/>
    <n v="6"/>
    <n v="43866447.450000003"/>
    <n v="58.176304645295929"/>
  </r>
  <r>
    <s v="P0274"/>
    <x v="218"/>
    <x v="1"/>
    <x v="2"/>
    <n v="2023"/>
    <s v="Q2"/>
    <n v="3117"/>
    <n v="17720"/>
    <n v="14594"/>
    <n v="130388"/>
    <n v="7.54"/>
    <n v="4"/>
    <n v="5.36"/>
    <n v="24.21"/>
    <n v="61.41"/>
    <n v="1.1000000000000001"/>
    <n v="16128"/>
    <n v="7192"/>
    <n v="9"/>
    <n v="9613329.7899999991"/>
    <n v="17.404971698202022"/>
  </r>
  <r>
    <s v="P0275"/>
    <x v="203"/>
    <x v="2"/>
    <x v="0"/>
    <n v="2023"/>
    <s v="Q3"/>
    <n v="865"/>
    <n v="17434"/>
    <n v="6143"/>
    <n v="402912"/>
    <n v="0.84"/>
    <n v="19"/>
    <n v="6.18"/>
    <n v="3.7"/>
    <n v="77.989999999999995"/>
    <n v="1.1000000000000001"/>
    <n v="3572"/>
    <n v="9516"/>
    <n v="10"/>
    <n v="9363799.3000000007"/>
    <n v="62.092471623782117"/>
  </r>
  <r>
    <s v="P0276"/>
    <x v="242"/>
    <x v="1"/>
    <x v="1"/>
    <n v="2024"/>
    <s v="Q4"/>
    <n v="4804"/>
    <n v="6929"/>
    <n v="10847"/>
    <n v="347572"/>
    <n v="7.37"/>
    <n v="6"/>
    <n v="6.81"/>
    <n v="23.52"/>
    <n v="33.4"/>
    <n v="4.7"/>
    <n v="10987"/>
    <n v="7326"/>
    <n v="13"/>
    <n v="-19169667.52"/>
    <n v="-57.589196668144325"/>
  </r>
  <r>
    <s v="P0277"/>
    <x v="243"/>
    <x v="2"/>
    <x v="3"/>
    <n v="2023"/>
    <s v="Q4"/>
    <n v="4692"/>
    <n v="10576"/>
    <n v="13961"/>
    <n v="289779"/>
    <n v="13.91"/>
    <n v="9"/>
    <n v="6.67"/>
    <n v="4.57"/>
    <n v="23.4"/>
    <n v="2.4"/>
    <n v="7124"/>
    <n v="986"/>
    <n v="7"/>
    <n v="-16172203.57"/>
    <n v="-32.590404729361985"/>
  </r>
  <r>
    <s v="P0278"/>
    <x v="244"/>
    <x v="2"/>
    <x v="0"/>
    <n v="2023"/>
    <s v="Q1"/>
    <n v="3170"/>
    <n v="5064"/>
    <n v="8833"/>
    <n v="404165"/>
    <n v="1.58"/>
    <n v="13"/>
    <n v="5.1100000000000003"/>
    <n v="14.19"/>
    <n v="40.32"/>
    <n v="2.6"/>
    <n v="2438"/>
    <n v="8684"/>
    <n v="13"/>
    <n v="-12351909.189999999"/>
    <n v="-76.945128786859428"/>
  </r>
  <r>
    <s v="P0279"/>
    <x v="245"/>
    <x v="0"/>
    <x v="1"/>
    <n v="2024"/>
    <s v="Q1"/>
    <n v="66"/>
    <n v="2889"/>
    <n v="12554"/>
    <n v="430562"/>
    <n v="11.47"/>
    <n v="13"/>
    <n v="4.29"/>
    <n v="9.43"/>
    <n v="38.29"/>
    <n v="1.1000000000000001"/>
    <n v="9676"/>
    <n v="9967"/>
    <n v="14"/>
    <n v="-1068461.43"/>
    <n v="-560.36031656125112"/>
  </r>
  <r>
    <s v="P0280"/>
    <x v="246"/>
    <x v="1"/>
    <x v="1"/>
    <n v="2023"/>
    <s v="Q2"/>
    <n v="1293"/>
    <n v="13093"/>
    <n v="3320"/>
    <n v="256846"/>
    <n v="6.15"/>
    <n v="4"/>
    <n v="0.54"/>
    <n v="24.12"/>
    <n v="20.6"/>
    <n v="2.1"/>
    <n v="2261"/>
    <n v="7820"/>
    <n v="11"/>
    <n v="12379618.880000001"/>
    <n v="73.12562346977117"/>
  </r>
  <r>
    <s v="P0281"/>
    <x v="133"/>
    <x v="0"/>
    <x v="0"/>
    <n v="2024"/>
    <s v="Q4"/>
    <n v="2255"/>
    <n v="8774"/>
    <n v="3881"/>
    <n v="220047"/>
    <n v="9.83"/>
    <n v="17"/>
    <n v="0.22"/>
    <n v="6.84"/>
    <n v="63.78"/>
    <n v="4.2"/>
    <n v="14441"/>
    <n v="2546"/>
    <n v="13"/>
    <n v="10813661.16"/>
    <n v="54.65483415270981"/>
  </r>
  <r>
    <s v="P0282"/>
    <x v="28"/>
    <x v="2"/>
    <x v="2"/>
    <n v="2023"/>
    <s v="Q3"/>
    <n v="2574"/>
    <n v="18708"/>
    <n v="2228"/>
    <n v="182212"/>
    <n v="3.9"/>
    <n v="13"/>
    <n v="3.58"/>
    <n v="9.99"/>
    <n v="50.7"/>
    <n v="3.5"/>
    <n v="3169"/>
    <n v="4005"/>
    <n v="9"/>
    <n v="42237298.009999998"/>
    <n v="87.712244419989759"/>
  </r>
  <r>
    <s v="P0283"/>
    <x v="247"/>
    <x v="2"/>
    <x v="0"/>
    <n v="2024"/>
    <s v="Q2"/>
    <n v="1119"/>
    <n v="18820"/>
    <n v="4767"/>
    <n v="468058"/>
    <n v="2.39"/>
    <n v="1"/>
    <n v="3.34"/>
    <n v="24.57"/>
    <n v="67.69"/>
    <n v="4"/>
    <n v="8628"/>
    <n v="6574"/>
    <n v="7"/>
    <n v="15257224.43"/>
    <n v="72.447904611582942"/>
  </r>
  <r>
    <s v="P0284"/>
    <x v="248"/>
    <x v="1"/>
    <x v="3"/>
    <n v="2023"/>
    <s v="Q2"/>
    <n v="3494"/>
    <n v="12245"/>
    <n v="7245"/>
    <n v="338565"/>
    <n v="2.41"/>
    <n v="11"/>
    <n v="3.88"/>
    <n v="13.41"/>
    <n v="38.22"/>
    <n v="2.8"/>
    <n v="20569"/>
    <n v="3691"/>
    <n v="12"/>
    <n v="17131421.59"/>
    <n v="40.041626723803255"/>
  </r>
  <r>
    <s v="P0285"/>
    <x v="249"/>
    <x v="2"/>
    <x v="1"/>
    <n v="2023"/>
    <s v="Q3"/>
    <n v="2615"/>
    <n v="15699"/>
    <n v="14842"/>
    <n v="313852"/>
    <n v="1.06"/>
    <n v="5"/>
    <n v="1.38"/>
    <n v="12.57"/>
    <n v="36.06"/>
    <n v="2.2000000000000002"/>
    <n v="13591"/>
    <n v="2281"/>
    <n v="7"/>
    <n v="1927190.43"/>
    <n v="4.694409247973681"/>
  </r>
  <r>
    <s v="P0286"/>
    <x v="250"/>
    <x v="2"/>
    <x v="1"/>
    <n v="2024"/>
    <s v="Q1"/>
    <n v="1110"/>
    <n v="17376"/>
    <n v="9914"/>
    <n v="446846"/>
    <n v="2.78"/>
    <n v="3"/>
    <n v="7.38"/>
    <n v="6.44"/>
    <n v="47.81"/>
    <n v="2.9"/>
    <n v="19815"/>
    <n v="5111"/>
    <n v="5"/>
    <n v="7835967.5599999996"/>
    <n v="40.627476025749502"/>
  </r>
  <r>
    <s v="P0287"/>
    <x v="251"/>
    <x v="1"/>
    <x v="0"/>
    <n v="2023"/>
    <s v="Q4"/>
    <n v="2377"/>
    <n v="19680"/>
    <n v="12129"/>
    <n v="462811"/>
    <n v="9.9600000000000009"/>
    <n v="12"/>
    <n v="8.57"/>
    <n v="17.53"/>
    <n v="80.19"/>
    <n v="2.2999999999999998"/>
    <n v="8808"/>
    <n v="5130"/>
    <n v="12"/>
    <n v="17485898.469999999"/>
    <n v="37.379516243916115"/>
  </r>
  <r>
    <s v="P0288"/>
    <x v="252"/>
    <x v="1"/>
    <x v="1"/>
    <n v="2023"/>
    <s v="Q2"/>
    <n v="3470"/>
    <n v="9745"/>
    <n v="2959"/>
    <n v="126021"/>
    <n v="13.23"/>
    <n v="3"/>
    <n v="9.39"/>
    <n v="0.36"/>
    <n v="13.22"/>
    <n v="4.4000000000000004"/>
    <n v="2626"/>
    <n v="454"/>
    <n v="6"/>
    <n v="23421398.640000001"/>
    <n v="69.263033403666697"/>
  </r>
  <r>
    <s v="P0289"/>
    <x v="253"/>
    <x v="1"/>
    <x v="0"/>
    <n v="2024"/>
    <s v="Q3"/>
    <n v="351"/>
    <n v="8714"/>
    <n v="5932"/>
    <n v="209380"/>
    <n v="12.21"/>
    <n v="13"/>
    <n v="4.92"/>
    <n v="1.24"/>
    <n v="74.39"/>
    <n v="2.2000000000000002"/>
    <n v="7521"/>
    <n v="2731"/>
    <n v="3"/>
    <n v="767100.76"/>
    <n v="25.080012057749034"/>
  </r>
  <r>
    <s v="P0290"/>
    <x v="254"/>
    <x v="2"/>
    <x v="1"/>
    <n v="2024"/>
    <s v="Q3"/>
    <n v="4326"/>
    <n v="2226"/>
    <n v="14504"/>
    <n v="94789"/>
    <n v="10.28"/>
    <n v="15"/>
    <n v="7.01"/>
    <n v="14.98"/>
    <n v="39.520000000000003"/>
    <n v="3.6"/>
    <n v="7937"/>
    <n v="1621"/>
    <n v="4"/>
    <n v="-53209431.979999997"/>
    <n v="-552.55682517251876"/>
  </r>
  <r>
    <s v="P0291"/>
    <x v="185"/>
    <x v="1"/>
    <x v="0"/>
    <n v="2024"/>
    <s v="Q4"/>
    <n v="656"/>
    <n v="15332"/>
    <n v="3347"/>
    <n v="498906"/>
    <n v="1.66"/>
    <n v="3"/>
    <n v="8.56"/>
    <n v="8.5399999999999991"/>
    <n v="78.37"/>
    <n v="1.5"/>
    <n v="8539"/>
    <n v="2772"/>
    <n v="4"/>
    <n v="7363245.46"/>
    <n v="73.209363049066837"/>
  </r>
  <r>
    <s v="P0292"/>
    <x v="128"/>
    <x v="1"/>
    <x v="0"/>
    <n v="2023"/>
    <s v="Q1"/>
    <n v="3220"/>
    <n v="12862"/>
    <n v="3779"/>
    <n v="76086"/>
    <n v="4.34"/>
    <n v="0"/>
    <n v="4.18"/>
    <n v="23.83"/>
    <n v="74.180000000000007"/>
    <n v="3.7"/>
    <n v="19087"/>
    <n v="2437"/>
    <n v="13"/>
    <n v="29171150.170000002"/>
    <n v="70.435106568436467"/>
  </r>
  <r>
    <s v="P0293"/>
    <x v="63"/>
    <x v="0"/>
    <x v="0"/>
    <n v="2023"/>
    <s v="Q3"/>
    <n v="749"/>
    <n v="19797"/>
    <n v="11273"/>
    <n v="329003"/>
    <n v="4.6500000000000004"/>
    <n v="12"/>
    <n v="3.09"/>
    <n v="22.58"/>
    <n v="37.9"/>
    <n v="4.7"/>
    <n v="5635"/>
    <n v="7068"/>
    <n v="12"/>
    <n v="6055450.4199999999"/>
    <n v="40.838074007922735"/>
  </r>
  <r>
    <s v="P0294"/>
    <x v="255"/>
    <x v="0"/>
    <x v="0"/>
    <n v="2023"/>
    <s v="Q3"/>
    <n v="1189"/>
    <n v="11606"/>
    <n v="3449"/>
    <n v="57684"/>
    <n v="3.75"/>
    <n v="3"/>
    <n v="9.3699999999999992"/>
    <n v="17.84"/>
    <n v="65.510000000000005"/>
    <n v="3.4"/>
    <n v="16611"/>
    <n v="728"/>
    <n v="6"/>
    <n v="9640971.1600000001"/>
    <n v="69.864469046563457"/>
  </r>
  <r>
    <s v="P0295"/>
    <x v="256"/>
    <x v="2"/>
    <x v="0"/>
    <n v="2024"/>
    <s v="Q1"/>
    <n v="240"/>
    <n v="9157"/>
    <n v="9305"/>
    <n v="141088"/>
    <n v="7.73"/>
    <n v="19"/>
    <n v="5.16"/>
    <n v="20.45"/>
    <n v="22.77"/>
    <n v="3.2"/>
    <n v="13464"/>
    <n v="7262"/>
    <n v="6"/>
    <n v="-176628.45"/>
    <n v="-8.0370413344981984"/>
  </r>
  <r>
    <s v="P0296"/>
    <x v="257"/>
    <x v="2"/>
    <x v="2"/>
    <n v="2023"/>
    <s v="Q1"/>
    <n v="2350"/>
    <n v="16051"/>
    <n v="11605"/>
    <n v="444423"/>
    <n v="8.0299999999999994"/>
    <n v="17"/>
    <n v="4.97"/>
    <n v="16.68"/>
    <n v="81.7"/>
    <n v="4.8"/>
    <n v="10211"/>
    <n v="2779"/>
    <n v="7"/>
    <n v="10003660.32"/>
    <n v="26.520944065260071"/>
  </r>
  <r>
    <s v="P0297"/>
    <x v="228"/>
    <x v="2"/>
    <x v="1"/>
    <n v="2024"/>
    <s v="Q3"/>
    <n v="1030"/>
    <n v="9406"/>
    <n v="3883"/>
    <n v="96099"/>
    <n v="5.35"/>
    <n v="5"/>
    <n v="1.78"/>
    <n v="3.14"/>
    <n v="42.36"/>
    <n v="3.5"/>
    <n v="9404"/>
    <n v="5366"/>
    <n v="6"/>
    <n v="5592587.8600000003"/>
    <n v="57.725887215142578"/>
  </r>
  <r>
    <s v="P0298"/>
    <x v="258"/>
    <x v="2"/>
    <x v="3"/>
    <n v="2023"/>
    <s v="Q2"/>
    <n v="3025"/>
    <n v="8787"/>
    <n v="11248"/>
    <n v="116093"/>
    <n v="5.31"/>
    <n v="2"/>
    <n v="1.08"/>
    <n v="19.14"/>
    <n v="46.45"/>
    <n v="2"/>
    <n v="3783"/>
    <n v="4522"/>
    <n v="13"/>
    <n v="-7560637.1399999997"/>
    <n v="-28.444112649509464"/>
  </r>
  <r>
    <s v="P0299"/>
    <x v="259"/>
    <x v="1"/>
    <x v="3"/>
    <n v="2023"/>
    <s v="Q3"/>
    <n v="1234"/>
    <n v="2392"/>
    <n v="1837"/>
    <n v="210761"/>
    <n v="12.43"/>
    <n v="12"/>
    <n v="8.42"/>
    <n v="5.25"/>
    <n v="66.459999999999994"/>
    <n v="2.2000000000000002"/>
    <n v="3977"/>
    <n v="9730"/>
    <n v="7"/>
    <n v="474103.75"/>
    <n v="16.061905094236327"/>
  </r>
  <r>
    <s v="P0300"/>
    <x v="260"/>
    <x v="2"/>
    <x v="1"/>
    <n v="2024"/>
    <s v="Q2"/>
    <n v="3377"/>
    <n v="11722"/>
    <n v="14744"/>
    <n v="360795"/>
    <n v="11.84"/>
    <n v="15"/>
    <n v="6.14"/>
    <n v="8.09"/>
    <n v="75.67"/>
    <n v="3.8"/>
    <n v="4593"/>
    <n v="7563"/>
    <n v="9"/>
    <n v="-10566097.09"/>
    <n v="-26.692043216966422"/>
  </r>
  <r>
    <s v="P0301"/>
    <x v="261"/>
    <x v="2"/>
    <x v="0"/>
    <n v="2024"/>
    <s v="Q4"/>
    <n v="3444"/>
    <n v="6175"/>
    <n v="4289"/>
    <n v="63893"/>
    <n v="4.62"/>
    <n v="4"/>
    <n v="3.26"/>
    <n v="20.48"/>
    <n v="28.91"/>
    <n v="3.9"/>
    <n v="8707"/>
    <n v="9713"/>
    <n v="3"/>
    <n v="6431470.5199999996"/>
    <n v="30.241976987496884"/>
  </r>
  <r>
    <s v="P0302"/>
    <x v="262"/>
    <x v="1"/>
    <x v="3"/>
    <n v="2024"/>
    <s v="Q2"/>
    <n v="177"/>
    <n v="3433"/>
    <n v="8404"/>
    <n v="116418"/>
    <n v="13.71"/>
    <n v="3"/>
    <n v="1.92"/>
    <n v="13.41"/>
    <n v="62.91"/>
    <n v="2.2000000000000002"/>
    <n v="10894"/>
    <n v="1226"/>
    <n v="5"/>
    <n v="-996298.41"/>
    <n v="-163.96168296741004"/>
  </r>
  <r>
    <s v="P0303"/>
    <x v="67"/>
    <x v="2"/>
    <x v="2"/>
    <n v="2024"/>
    <s v="Q3"/>
    <n v="2115"/>
    <n v="19264"/>
    <n v="8344"/>
    <n v="175074"/>
    <n v="14.29"/>
    <n v="7"/>
    <n v="5.55"/>
    <n v="21.5"/>
    <n v="41.36"/>
    <n v="2.4"/>
    <n v="16341"/>
    <n v="1880"/>
    <n v="14"/>
    <n v="22920704.5"/>
    <n v="56.256294277153387"/>
  </r>
  <r>
    <s v="P0304"/>
    <x v="129"/>
    <x v="1"/>
    <x v="1"/>
    <n v="2023"/>
    <s v="Q4"/>
    <n v="1866"/>
    <n v="13373"/>
    <n v="3434"/>
    <n v="415209"/>
    <n v="4.9000000000000004"/>
    <n v="18"/>
    <n v="5.84"/>
    <n v="5.33"/>
    <n v="39.5"/>
    <n v="5"/>
    <n v="7727"/>
    <n v="9823"/>
    <n v="7"/>
    <n v="18130959.670000002"/>
    <n v="72.657476122682937"/>
  </r>
  <r>
    <s v="P0305"/>
    <x v="263"/>
    <x v="1"/>
    <x v="0"/>
    <n v="2023"/>
    <s v="Q1"/>
    <n v="619"/>
    <n v="19174"/>
    <n v="4783"/>
    <n v="180351"/>
    <n v="5.32"/>
    <n v="13"/>
    <n v="2.0699999999999998"/>
    <n v="15.19"/>
    <n v="65.2"/>
    <n v="1.4"/>
    <n v="14780"/>
    <n v="9524"/>
    <n v="13"/>
    <n v="8727662.8100000005"/>
    <n v="73.535083015789596"/>
  </r>
  <r>
    <s v="P0306"/>
    <x v="264"/>
    <x v="1"/>
    <x v="1"/>
    <n v="2024"/>
    <s v="Q4"/>
    <n v="1945"/>
    <n v="19524"/>
    <n v="2578"/>
    <n v="241083"/>
    <n v="7.58"/>
    <n v="6"/>
    <n v="8.51"/>
    <n v="2.09"/>
    <n v="40.97"/>
    <n v="2.6"/>
    <n v="5035"/>
    <n v="6671"/>
    <n v="6"/>
    <n v="32718884.91"/>
    <n v="86.160872756172751"/>
  </r>
  <r>
    <s v="P0307"/>
    <x v="265"/>
    <x v="0"/>
    <x v="2"/>
    <n v="2023"/>
    <s v="Q1"/>
    <n v="2783"/>
    <n v="14739"/>
    <n v="8702"/>
    <n v="88635"/>
    <n v="14.12"/>
    <n v="13"/>
    <n v="0.84"/>
    <n v="16.079999999999998"/>
    <n v="37.69"/>
    <n v="1.2"/>
    <n v="12082"/>
    <n v="8684"/>
    <n v="2"/>
    <n v="16712319.92"/>
    <n v="40.743235617507231"/>
  </r>
  <r>
    <s v="P0308"/>
    <x v="266"/>
    <x v="0"/>
    <x v="3"/>
    <n v="2023"/>
    <s v="Q4"/>
    <n v="3913"/>
    <n v="12374"/>
    <n v="5910"/>
    <n v="499331"/>
    <n v="13.14"/>
    <n v="5"/>
    <n v="3.56"/>
    <n v="19.059999999999999"/>
    <n v="76.87"/>
    <n v="4.3"/>
    <n v="4413"/>
    <n v="925"/>
    <n v="10"/>
    <n v="24794281.940000001"/>
    <n v="51.207264426027699"/>
  </r>
  <r>
    <s v="P0309"/>
    <x v="267"/>
    <x v="1"/>
    <x v="3"/>
    <n v="2024"/>
    <s v="Q1"/>
    <n v="4771"/>
    <n v="19102"/>
    <n v="5989"/>
    <n v="145071"/>
    <n v="1.54"/>
    <n v="11"/>
    <n v="6.8"/>
    <n v="14.62"/>
    <n v="18.100000000000001"/>
    <n v="1.4"/>
    <n v="3840"/>
    <n v="7376"/>
    <n v="4"/>
    <n v="62417037.380000003"/>
    <n v="68.488064614720116"/>
  </r>
  <r>
    <s v="P0310"/>
    <x v="268"/>
    <x v="2"/>
    <x v="3"/>
    <n v="2024"/>
    <s v="Q3"/>
    <n v="4064"/>
    <n v="6516"/>
    <n v="12887"/>
    <n v="390662"/>
    <n v="5.89"/>
    <n v="15"/>
    <n v="2.74"/>
    <n v="6.66"/>
    <n v="64.069999999999993"/>
    <n v="3.7"/>
    <n v="6789"/>
    <n v="2495"/>
    <n v="3"/>
    <n v="-26282412.66"/>
    <n v="-99.249986178782208"/>
  </r>
  <r>
    <s v="P0311"/>
    <x v="269"/>
    <x v="0"/>
    <x v="1"/>
    <n v="2024"/>
    <s v="Q3"/>
    <n v="2951"/>
    <n v="15274"/>
    <n v="8178"/>
    <n v="418377"/>
    <n v="8.3000000000000007"/>
    <n v="16"/>
    <n v="8.2799999999999994"/>
    <n v="0.78"/>
    <n v="29.9"/>
    <n v="1.2"/>
    <n v="2097"/>
    <n v="4245"/>
    <n v="10"/>
    <n v="20521918.219999999"/>
    <n v="45.529822463157679"/>
  </r>
  <r>
    <s v="P0312"/>
    <x v="41"/>
    <x v="1"/>
    <x v="0"/>
    <n v="2024"/>
    <s v="Q1"/>
    <n v="1736"/>
    <n v="11252"/>
    <n v="1924"/>
    <n v="415795"/>
    <n v="7.55"/>
    <n v="12"/>
    <n v="7.4"/>
    <n v="2.99"/>
    <n v="11.24"/>
    <n v="3.7"/>
    <n v="16525"/>
    <n v="7159"/>
    <n v="8"/>
    <n v="15777610.01"/>
    <n v="80.772174091733405"/>
  </r>
  <r>
    <s v="P0313"/>
    <x v="270"/>
    <x v="1"/>
    <x v="3"/>
    <n v="2023"/>
    <s v="Q3"/>
    <n v="3059"/>
    <n v="18838"/>
    <n v="1497"/>
    <n v="122805"/>
    <n v="2.91"/>
    <n v="13"/>
    <n v="7.89"/>
    <n v="15.56"/>
    <n v="23.34"/>
    <n v="4.4000000000000004"/>
    <n v="8645"/>
    <n v="5592"/>
    <n v="6"/>
    <n v="52923298.439999998"/>
    <n v="91.840160531870623"/>
  </r>
  <r>
    <s v="P0314"/>
    <x v="270"/>
    <x v="1"/>
    <x v="3"/>
    <n v="2023"/>
    <s v="Q3"/>
    <n v="204"/>
    <n v="17085"/>
    <n v="2979"/>
    <n v="471280"/>
    <n v="12.88"/>
    <n v="6"/>
    <n v="1.19"/>
    <n v="23.36"/>
    <n v="58.53"/>
    <n v="2.6"/>
    <n v="4402"/>
    <n v="7211"/>
    <n v="13"/>
    <n v="2406320.64"/>
    <n v="69.041202293033109"/>
  </r>
  <r>
    <s v="P0315"/>
    <x v="271"/>
    <x v="1"/>
    <x v="1"/>
    <n v="2024"/>
    <s v="Q4"/>
    <n v="2587"/>
    <n v="8791"/>
    <n v="10396"/>
    <n v="434957"/>
    <n v="10.15"/>
    <n v="13"/>
    <n v="1.41"/>
    <n v="5.16"/>
    <n v="66.73"/>
    <n v="3.1"/>
    <n v="10455"/>
    <n v="6892"/>
    <n v="7"/>
    <n v="-4587097.16"/>
    <n v="-20.169876094858761"/>
  </r>
  <r>
    <s v="P0316"/>
    <x v="272"/>
    <x v="0"/>
    <x v="1"/>
    <n v="2023"/>
    <s v="Q1"/>
    <n v="1459"/>
    <n v="2474"/>
    <n v="6051"/>
    <n v="391207"/>
    <n v="12.57"/>
    <n v="14"/>
    <n v="2.86"/>
    <n v="18.38"/>
    <n v="11.68"/>
    <n v="2.6"/>
    <n v="9194"/>
    <n v="9655"/>
    <n v="13"/>
    <n v="-5610068.3799999999"/>
    <n v="-155.42224134425024"/>
  </r>
  <r>
    <s v="P0317"/>
    <x v="273"/>
    <x v="0"/>
    <x v="0"/>
    <n v="2023"/>
    <s v="Q1"/>
    <n v="4107"/>
    <n v="5633"/>
    <n v="10035"/>
    <n v="314598"/>
    <n v="12.88"/>
    <n v="11"/>
    <n v="5.18"/>
    <n v="21.66"/>
    <n v="12.91"/>
    <n v="2.2000000000000002"/>
    <n v="6330"/>
    <n v="3651"/>
    <n v="12"/>
    <n v="-18393633.66"/>
    <n v="-79.506581079330459"/>
  </r>
  <r>
    <s v="P0318"/>
    <x v="233"/>
    <x v="2"/>
    <x v="3"/>
    <n v="2024"/>
    <s v="Q1"/>
    <n v="834"/>
    <n v="16163"/>
    <n v="2729"/>
    <n v="333022"/>
    <n v="11.23"/>
    <n v="16"/>
    <n v="7.48"/>
    <n v="13.02"/>
    <n v="82.2"/>
    <n v="4.2"/>
    <n v="11334"/>
    <n v="7811"/>
    <n v="5"/>
    <n v="10870920.98"/>
    <n v="80.645161381258163"/>
  </r>
  <r>
    <s v="P0319"/>
    <x v="274"/>
    <x v="2"/>
    <x v="0"/>
    <n v="2024"/>
    <s v="Q4"/>
    <n v="3225"/>
    <n v="5472"/>
    <n v="1813"/>
    <n v="232170"/>
    <n v="6.59"/>
    <n v="8"/>
    <n v="8.3699999999999992"/>
    <n v="16.73"/>
    <n v="15.86"/>
    <n v="2.1"/>
    <n v="11989"/>
    <n v="3728"/>
    <n v="2"/>
    <n v="11568088.27"/>
    <n v="65.551975780860417"/>
  </r>
  <r>
    <s v="P0320"/>
    <x v="217"/>
    <x v="1"/>
    <x v="0"/>
    <n v="2024"/>
    <s v="Q1"/>
    <n v="4391"/>
    <n v="6795"/>
    <n v="1026"/>
    <n v="243226"/>
    <n v="9.16"/>
    <n v="14"/>
    <n v="7.04"/>
    <n v="20.38"/>
    <n v="81.53"/>
    <n v="3.9"/>
    <n v="17268"/>
    <n v="1665"/>
    <n v="5"/>
    <n v="25088432.620000001"/>
    <n v="84.085407220502034"/>
  </r>
  <r>
    <s v="P0321"/>
    <x v="275"/>
    <x v="0"/>
    <x v="1"/>
    <n v="2024"/>
    <s v="Q4"/>
    <n v="2856"/>
    <n v="15413"/>
    <n v="8121"/>
    <n v="194063"/>
    <n v="2.41"/>
    <n v="11"/>
    <n v="9.2899999999999991"/>
    <n v="6.52"/>
    <n v="28.25"/>
    <n v="1.8"/>
    <n v="11864"/>
    <n v="3767"/>
    <n v="10"/>
    <n v="20631882.48"/>
    <n v="46.869840312690314"/>
  </r>
  <r>
    <s v="P0322"/>
    <x v="276"/>
    <x v="2"/>
    <x v="0"/>
    <n v="2023"/>
    <s v="Q4"/>
    <n v="587"/>
    <n v="10605"/>
    <n v="2628"/>
    <n v="118344"/>
    <n v="10.1"/>
    <n v="1"/>
    <n v="7.39"/>
    <n v="7.42"/>
    <n v="69.2"/>
    <n v="2"/>
    <n v="3660"/>
    <n v="6559"/>
    <n v="2"/>
    <n v="4564147.58"/>
    <n v="73.318049809361568"/>
  </r>
  <r>
    <s v="P0323"/>
    <x v="277"/>
    <x v="1"/>
    <x v="0"/>
    <n v="2024"/>
    <s v="Q3"/>
    <n v="1891"/>
    <n v="9728"/>
    <n v="8709"/>
    <n v="417090"/>
    <n v="2.69"/>
    <n v="4"/>
    <n v="3.06"/>
    <n v="0.02"/>
    <n v="34.78"/>
    <n v="2.2999999999999998"/>
    <n v="14768"/>
    <n v="4196"/>
    <n v="11"/>
    <n v="1509838.98"/>
    <n v="8.2075879033997605"/>
  </r>
  <r>
    <s v="P0324"/>
    <x v="9"/>
    <x v="0"/>
    <x v="1"/>
    <n v="2024"/>
    <s v="Q3"/>
    <n v="2505"/>
    <n v="11403"/>
    <n v="6388"/>
    <n v="86593"/>
    <n v="10.41"/>
    <n v="12"/>
    <n v="2.65"/>
    <n v="24.08"/>
    <n v="78.7"/>
    <n v="3.4"/>
    <n v="15985"/>
    <n v="1119"/>
    <n v="4"/>
    <n v="12475957.92"/>
    <n v="43.6764213220494"/>
  </r>
  <r>
    <s v="P0325"/>
    <x v="278"/>
    <x v="1"/>
    <x v="0"/>
    <n v="2023"/>
    <s v="Q3"/>
    <n v="574"/>
    <n v="4520"/>
    <n v="13909"/>
    <n v="86304"/>
    <n v="3.44"/>
    <n v="19"/>
    <n v="6.96"/>
    <n v="22.94"/>
    <n v="66.040000000000006"/>
    <n v="2.8"/>
    <n v="4422"/>
    <n v="8028"/>
    <n v="6"/>
    <n v="-5475612.9400000004"/>
    <n v="-211.04857004101015"/>
  </r>
  <r>
    <s v="P0326"/>
    <x v="279"/>
    <x v="0"/>
    <x v="2"/>
    <n v="2023"/>
    <s v="Q3"/>
    <n v="3000"/>
    <n v="10487"/>
    <n v="2823"/>
    <n v="473602"/>
    <n v="1.76"/>
    <n v="7"/>
    <n v="1.93"/>
    <n v="19.11"/>
    <n v="42.15"/>
    <n v="4"/>
    <n v="5304"/>
    <n v="9576"/>
    <n v="8"/>
    <n v="22518378.890000001"/>
    <n v="71.575534439464732"/>
  </r>
  <r>
    <s v="P0327"/>
    <x v="280"/>
    <x v="0"/>
    <x v="1"/>
    <n v="2023"/>
    <s v="Q2"/>
    <n v="4181"/>
    <n v="14380"/>
    <n v="5766"/>
    <n v="236292"/>
    <n v="2.48"/>
    <n v="13"/>
    <n v="0.93"/>
    <n v="1.98"/>
    <n v="16.100000000000001"/>
    <n v="1.9"/>
    <n v="3868"/>
    <n v="8354"/>
    <n v="10"/>
    <n v="35778840.020000003"/>
    <n v="59.509623507096656"/>
  </r>
  <r>
    <s v="P0328"/>
    <x v="281"/>
    <x v="2"/>
    <x v="0"/>
    <n v="2023"/>
    <s v="Q2"/>
    <n v="4830"/>
    <n v="6733"/>
    <n v="11444"/>
    <n v="163613"/>
    <n v="0.03"/>
    <n v="14"/>
    <n v="5.32"/>
    <n v="11.19"/>
    <n v="68.62"/>
    <n v="1"/>
    <n v="16657"/>
    <n v="6065"/>
    <n v="7"/>
    <n v="-22917754.190000001"/>
    <n v="-70.471953718882219"/>
  </r>
  <r>
    <s v="P0329"/>
    <x v="282"/>
    <x v="0"/>
    <x v="1"/>
    <n v="2024"/>
    <s v="Q2"/>
    <n v="4165"/>
    <n v="11016"/>
    <n v="11077"/>
    <n v="250410"/>
    <n v="10.78"/>
    <n v="10"/>
    <n v="8.2200000000000006"/>
    <n v="2.5499999999999998"/>
    <n v="59.35"/>
    <n v="4.0999999999999996"/>
    <n v="9593"/>
    <n v="2369"/>
    <n v="4"/>
    <n v="-504477.55"/>
    <n v="-1.0995194374045913"/>
  </r>
  <r>
    <s v="P0330"/>
    <x v="283"/>
    <x v="1"/>
    <x v="0"/>
    <n v="2023"/>
    <s v="Q1"/>
    <n v="2418"/>
    <n v="16059"/>
    <n v="6691"/>
    <n v="464299"/>
    <n v="10.99"/>
    <n v="0"/>
    <n v="1.01"/>
    <n v="0.4"/>
    <n v="10.23"/>
    <n v="4.3"/>
    <n v="5432"/>
    <n v="8935"/>
    <n v="14"/>
    <n v="22187524.600000001"/>
    <n v="57.139187068198837"/>
  </r>
  <r>
    <s v="P0331"/>
    <x v="125"/>
    <x v="1"/>
    <x v="1"/>
    <n v="2023"/>
    <s v="Q1"/>
    <n v="3897"/>
    <n v="18201"/>
    <n v="13275"/>
    <n v="68354"/>
    <n v="7.72"/>
    <n v="2"/>
    <n v="7.92"/>
    <n v="15.4"/>
    <n v="10.75"/>
    <n v="1.2"/>
    <n v="13052"/>
    <n v="4821"/>
    <n v="8"/>
    <n v="19128252.600000001"/>
    <n v="26.968056091124097"/>
  </r>
  <r>
    <s v="P0332"/>
    <x v="253"/>
    <x v="0"/>
    <x v="0"/>
    <n v="2024"/>
    <s v="Q2"/>
    <n v="4545"/>
    <n v="3896"/>
    <n v="1880"/>
    <n v="334334"/>
    <n v="2.42"/>
    <n v="16"/>
    <n v="8.1199999999999992"/>
    <n v="24.02"/>
    <n v="74.7"/>
    <n v="3.4"/>
    <n v="7108"/>
    <n v="8508"/>
    <n v="5"/>
    <n v="8828361.9800000004"/>
    <n v="49.857132417553871"/>
  </r>
  <r>
    <s v="P0333"/>
    <x v="284"/>
    <x v="0"/>
    <x v="2"/>
    <n v="2024"/>
    <s v="Q1"/>
    <n v="2751"/>
    <n v="3091"/>
    <n v="5836"/>
    <n v="56142"/>
    <n v="1.25"/>
    <n v="18"/>
    <n v="4.82"/>
    <n v="22.57"/>
    <n v="30.75"/>
    <n v="2.5"/>
    <n v="14399"/>
    <n v="295"/>
    <n v="4"/>
    <n v="-7607659.5700000003"/>
    <n v="-89.466711613705712"/>
  </r>
  <r>
    <s v="P0334"/>
    <x v="285"/>
    <x v="0"/>
    <x v="3"/>
    <n v="2023"/>
    <s v="Q4"/>
    <n v="1021"/>
    <n v="12803"/>
    <n v="11312"/>
    <n v="471614"/>
    <n v="0.28999999999999998"/>
    <n v="13"/>
    <n v="0.56999999999999995"/>
    <n v="17.420000000000002"/>
    <n v="60.89"/>
    <n v="4.2"/>
    <n v="10792"/>
    <n v="3373"/>
    <n v="8"/>
    <n v="1050679.58"/>
    <n v="8.0377187245612962"/>
  </r>
  <r>
    <s v="P0335"/>
    <x v="98"/>
    <x v="0"/>
    <x v="3"/>
    <n v="2024"/>
    <s v="Q1"/>
    <n v="1216"/>
    <n v="7683"/>
    <n v="12182"/>
    <n v="233043"/>
    <n v="2.4900000000000002"/>
    <n v="7"/>
    <n v="1.75"/>
    <n v="2.42"/>
    <n v="46.34"/>
    <n v="4.5"/>
    <n v="11362"/>
    <n v="5210"/>
    <n v="12"/>
    <n v="-5703829.4199999999"/>
    <n v="-61.052312821540376"/>
  </r>
  <r>
    <s v="P0336"/>
    <x v="197"/>
    <x v="2"/>
    <x v="2"/>
    <n v="2024"/>
    <s v="Q1"/>
    <n v="4979"/>
    <n v="2812"/>
    <n v="11622"/>
    <n v="354006"/>
    <n v="13.36"/>
    <n v="12"/>
    <n v="7.07"/>
    <n v="6.85"/>
    <n v="79.069999999999993"/>
    <n v="4.4000000000000004"/>
    <n v="7031"/>
    <n v="7501"/>
    <n v="12"/>
    <n v="-44219002.850000001"/>
    <n v="-315.82863424676674"/>
  </r>
  <r>
    <s v="P0337"/>
    <x v="152"/>
    <x v="1"/>
    <x v="2"/>
    <n v="2024"/>
    <s v="Q3"/>
    <n v="2824"/>
    <n v="8814"/>
    <n v="3363"/>
    <n v="234482"/>
    <n v="3.62"/>
    <n v="19"/>
    <n v="7.12"/>
    <n v="8"/>
    <n v="83.36"/>
    <n v="4.0999999999999996"/>
    <n v="11912"/>
    <n v="3312"/>
    <n v="8"/>
    <n v="15159134"/>
    <n v="60.902714969939019"/>
  </r>
  <r>
    <s v="P0338"/>
    <x v="286"/>
    <x v="1"/>
    <x v="1"/>
    <n v="2023"/>
    <s v="Q4"/>
    <n v="2032"/>
    <n v="3639"/>
    <n v="4092"/>
    <n v="200575"/>
    <n v="5.31"/>
    <n v="2"/>
    <n v="8.98"/>
    <n v="19.079999999999998"/>
    <n v="89.74"/>
    <n v="2.1"/>
    <n v="7844"/>
    <n v="2855"/>
    <n v="5"/>
    <n v="-1121090.08"/>
    <n v="-15.161240974309376"/>
  </r>
  <r>
    <s v="P0339"/>
    <x v="84"/>
    <x v="0"/>
    <x v="2"/>
    <n v="2024"/>
    <s v="Q2"/>
    <n v="903"/>
    <n v="16188"/>
    <n v="13613"/>
    <n v="175438"/>
    <n v="1.58"/>
    <n v="4"/>
    <n v="5.83"/>
    <n v="20.059999999999999"/>
    <n v="22.29"/>
    <n v="4.2"/>
    <n v="18259"/>
    <n v="1621"/>
    <n v="13"/>
    <n v="2149766.94"/>
    <n v="14.706537470436654"/>
  </r>
  <r>
    <s v="P0340"/>
    <x v="287"/>
    <x v="0"/>
    <x v="3"/>
    <n v="2024"/>
    <s v="Q4"/>
    <n v="4196"/>
    <n v="19588"/>
    <n v="4386"/>
    <n v="98456"/>
    <n v="3.34"/>
    <n v="8"/>
    <n v="1.24"/>
    <n v="9.6300000000000008"/>
    <n v="79.040000000000006"/>
    <n v="3.1"/>
    <n v="9387"/>
    <n v="5774"/>
    <n v="8"/>
    <n v="63689126.369999997"/>
    <n v="77.488939418464597"/>
  </r>
  <r>
    <s v="P0341"/>
    <x v="288"/>
    <x v="2"/>
    <x v="2"/>
    <n v="2024"/>
    <s v="Q4"/>
    <n v="3786"/>
    <n v="8424"/>
    <n v="5231"/>
    <n v="150167"/>
    <n v="7.79"/>
    <n v="5"/>
    <n v="1.21"/>
    <n v="10.45"/>
    <n v="31.28"/>
    <n v="1.2"/>
    <n v="19493"/>
    <n v="1180"/>
    <n v="12"/>
    <n v="11938520.550000001"/>
    <n v="37.4327336016784"/>
  </r>
  <r>
    <s v="P0342"/>
    <x v="289"/>
    <x v="0"/>
    <x v="2"/>
    <n v="2024"/>
    <s v="Q4"/>
    <n v="3819"/>
    <n v="1862"/>
    <n v="7641"/>
    <n v="394179"/>
    <n v="9.1199999999999992"/>
    <n v="1"/>
    <n v="7.21"/>
    <n v="1.1100000000000001"/>
    <n v="57.27"/>
    <n v="2.8"/>
    <n v="17658"/>
    <n v="5723"/>
    <n v="3"/>
    <n v="-22464181.109999999"/>
    <n v="-315.9084602708657"/>
  </r>
  <r>
    <s v="P0343"/>
    <x v="290"/>
    <x v="0"/>
    <x v="2"/>
    <n v="2024"/>
    <s v="Q1"/>
    <n v="624"/>
    <n v="14981"/>
    <n v="14166"/>
    <n v="320160"/>
    <n v="3.68"/>
    <n v="12"/>
    <n v="1.84"/>
    <n v="7.23"/>
    <n v="50.46"/>
    <n v="4.8"/>
    <n v="20823"/>
    <n v="821"/>
    <n v="2"/>
    <n v="188392.77"/>
    <n v="2.0152959774688965"/>
  </r>
  <r>
    <s v="P0344"/>
    <x v="291"/>
    <x v="2"/>
    <x v="3"/>
    <n v="2023"/>
    <s v="Q2"/>
    <n v="3311"/>
    <n v="5238"/>
    <n v="7443"/>
    <n v="314528"/>
    <n v="0.87"/>
    <n v="4"/>
    <n v="3.28"/>
    <n v="11.28"/>
    <n v="11.44"/>
    <n v="4.5999999999999996"/>
    <n v="19497"/>
    <n v="1662"/>
    <n v="13"/>
    <n v="-7615294.2800000003"/>
    <n v="-43.909856289141835"/>
  </r>
  <r>
    <s v="P0345"/>
    <x v="283"/>
    <x v="2"/>
    <x v="2"/>
    <n v="2023"/>
    <s v="Q3"/>
    <n v="1198"/>
    <n v="3969"/>
    <n v="11939"/>
    <n v="243392"/>
    <n v="5.87"/>
    <n v="7"/>
    <n v="4.87"/>
    <n v="2.92"/>
    <n v="84.62"/>
    <n v="1.4"/>
    <n v="5179"/>
    <n v="739"/>
    <n v="3"/>
    <n v="-9791454.9199999999"/>
    <n v="-205.92511244280067"/>
  </r>
  <r>
    <s v="P0346"/>
    <x v="252"/>
    <x v="1"/>
    <x v="1"/>
    <n v="2023"/>
    <s v="Q2"/>
    <n v="1765"/>
    <n v="17606"/>
    <n v="4759"/>
    <n v="458288"/>
    <n v="3.51"/>
    <n v="0"/>
    <n v="0.25"/>
    <n v="11.33"/>
    <n v="16.27"/>
    <n v="4"/>
    <n v="9040"/>
    <n v="4360"/>
    <n v="5"/>
    <n v="22216655.670000002"/>
    <n v="71.494605946530598"/>
  </r>
  <r>
    <s v="P0347"/>
    <x v="292"/>
    <x v="1"/>
    <x v="3"/>
    <n v="2024"/>
    <s v="Q2"/>
    <n v="4827"/>
    <n v="18440"/>
    <n v="11805"/>
    <n v="152239"/>
    <n v="3.29"/>
    <n v="19"/>
    <n v="2.4900000000000002"/>
    <n v="21.33"/>
    <n v="65.06"/>
    <n v="4.2"/>
    <n v="10988"/>
    <n v="5290"/>
    <n v="9"/>
    <n v="31874884.670000002"/>
    <n v="35.810501789239581"/>
  </r>
  <r>
    <s v="P0348"/>
    <x v="293"/>
    <x v="0"/>
    <x v="0"/>
    <n v="2023"/>
    <s v="Q2"/>
    <n v="4983"/>
    <n v="10517"/>
    <n v="11575"/>
    <n v="161431"/>
    <n v="14.4"/>
    <n v="11"/>
    <n v="4.08"/>
    <n v="14.53"/>
    <n v="72.8"/>
    <n v="2.1"/>
    <n v="8574"/>
    <n v="3836"/>
    <n v="4"/>
    <n v="-5433459.5300000003"/>
    <n v="-10.367968655471008"/>
  </r>
  <r>
    <s v="P0349"/>
    <x v="294"/>
    <x v="1"/>
    <x v="3"/>
    <n v="2023"/>
    <s v="Q4"/>
    <n v="3904"/>
    <n v="4308"/>
    <n v="961"/>
    <n v="392162"/>
    <n v="9.24"/>
    <n v="10"/>
    <n v="2.8"/>
    <n v="1.97"/>
    <n v="73.62"/>
    <n v="2.9"/>
    <n v="5496"/>
    <n v="7846"/>
    <n v="11"/>
    <n v="12674524.029999999"/>
    <n v="75.360913728461725"/>
  </r>
  <r>
    <s v="P0350"/>
    <x v="295"/>
    <x v="2"/>
    <x v="1"/>
    <n v="2023"/>
    <s v="Q3"/>
    <n v="2541"/>
    <n v="17870"/>
    <n v="1393"/>
    <n v="90510"/>
    <n v="8.35"/>
    <n v="6"/>
    <n v="1.36"/>
    <n v="4.79"/>
    <n v="20.84"/>
    <n v="3.8"/>
    <n v="7195"/>
    <n v="189"/>
    <n v="7"/>
    <n v="41777542.210000001"/>
    <n v="92.00547442755817"/>
  </r>
  <r>
    <s v="P0351"/>
    <x v="296"/>
    <x v="2"/>
    <x v="3"/>
    <n v="2023"/>
    <s v="Q2"/>
    <n v="2710"/>
    <n v="16370"/>
    <n v="12251"/>
    <n v="230005"/>
    <n v="6.24"/>
    <n v="14"/>
    <n v="7.28"/>
    <n v="11.86"/>
    <n v="45.81"/>
    <n v="2.8"/>
    <n v="15735"/>
    <n v="1351"/>
    <n v="7"/>
    <n v="10932473.140000001"/>
    <n v="24.643389919910199"/>
  </r>
  <r>
    <s v="P0352"/>
    <x v="195"/>
    <x v="2"/>
    <x v="3"/>
    <n v="2023"/>
    <s v="Q2"/>
    <n v="3174"/>
    <n v="14213"/>
    <n v="13147"/>
    <n v="333970"/>
    <n v="6.43"/>
    <n v="10"/>
    <n v="8.1300000000000008"/>
    <n v="9.0399999999999991"/>
    <n v="76.349999999999994"/>
    <n v="1.5"/>
    <n v="3866"/>
    <n v="9394"/>
    <n v="14"/>
    <n v="3049504.96"/>
    <n v="6.7598438750150676"/>
  </r>
  <r>
    <s v="P0353"/>
    <x v="297"/>
    <x v="0"/>
    <x v="0"/>
    <n v="2024"/>
    <s v="Q2"/>
    <n v="3101"/>
    <n v="9061"/>
    <n v="11954"/>
    <n v="380170"/>
    <n v="8.11"/>
    <n v="15"/>
    <n v="2.57"/>
    <n v="8.9700000000000006"/>
    <n v="34.21"/>
    <n v="3.8"/>
    <n v="15664"/>
    <n v="4803"/>
    <n v="10"/>
    <n v="-9351371.9700000007"/>
    <n v="-33.281081882903301"/>
  </r>
  <r>
    <s v="P0354"/>
    <x v="298"/>
    <x v="1"/>
    <x v="3"/>
    <n v="2024"/>
    <s v="Q1"/>
    <n v="54"/>
    <n v="4219"/>
    <n v="12880"/>
    <n v="171668"/>
    <n v="10.45"/>
    <n v="2"/>
    <n v="7.74"/>
    <n v="13.23"/>
    <n v="47.42"/>
    <n v="4.5999999999999996"/>
    <n v="8264"/>
    <n v="448"/>
    <n v="10"/>
    <n v="-639375.23"/>
    <n v="-280.64190654271243"/>
  </r>
  <r>
    <s v="P0355"/>
    <x v="299"/>
    <x v="1"/>
    <x v="0"/>
    <n v="2024"/>
    <s v="Q4"/>
    <n v="4919"/>
    <n v="13200"/>
    <n v="4190"/>
    <n v="292700"/>
    <n v="10.53"/>
    <n v="19"/>
    <n v="3.86"/>
    <n v="14.61"/>
    <n v="31.82"/>
    <n v="3.6"/>
    <n v="17027"/>
    <n v="4152"/>
    <n v="5"/>
    <n v="44027475.390000001"/>
    <n v="67.806765648967826"/>
  </r>
  <r>
    <s v="P0356"/>
    <x v="143"/>
    <x v="0"/>
    <x v="2"/>
    <n v="2023"/>
    <s v="Q4"/>
    <n v="926"/>
    <n v="5241"/>
    <n v="6797"/>
    <n v="468734"/>
    <n v="2.58"/>
    <n v="13"/>
    <n v="5.07"/>
    <n v="19.920000000000002"/>
    <n v="47.08"/>
    <n v="4.0999999999999996"/>
    <n v="17792"/>
    <n v="3041"/>
    <n v="10"/>
    <n v="-1909609.92"/>
    <n v="-39.347714873136418"/>
  </r>
  <r>
    <s v="P0357"/>
    <x v="112"/>
    <x v="0"/>
    <x v="1"/>
    <n v="2023"/>
    <s v="Q2"/>
    <n v="1041"/>
    <n v="11266"/>
    <n v="7154"/>
    <n v="74045"/>
    <n v="7.5"/>
    <n v="2"/>
    <n v="8.56"/>
    <n v="8.52"/>
    <n v="81.03"/>
    <n v="2.4"/>
    <n v="3114"/>
    <n v="8537"/>
    <n v="14"/>
    <n v="4206538.4800000004"/>
    <n v="35.867771109352347"/>
  </r>
  <r>
    <s v="P0358"/>
    <x v="58"/>
    <x v="0"/>
    <x v="3"/>
    <n v="2023"/>
    <s v="Q3"/>
    <n v="4192"/>
    <n v="5498"/>
    <n v="13493"/>
    <n v="231948"/>
    <n v="6.18"/>
    <n v="0"/>
    <n v="7.5"/>
    <n v="20.14"/>
    <n v="46.41"/>
    <n v="1.7"/>
    <n v="15896"/>
    <n v="371"/>
    <n v="7"/>
    <n v="-33747008.140000001"/>
    <n v="-146.42298856419686"/>
  </r>
  <r>
    <s v="P0359"/>
    <x v="300"/>
    <x v="0"/>
    <x v="3"/>
    <n v="2023"/>
    <s v="Q2"/>
    <n v="4414"/>
    <n v="17577"/>
    <n v="1463"/>
    <n v="140102"/>
    <n v="13.06"/>
    <n v="14"/>
    <n v="8.0500000000000007"/>
    <n v="8.4700000000000006"/>
    <n v="54.47"/>
    <n v="3.6"/>
    <n v="20300"/>
    <n v="2130"/>
    <n v="3"/>
    <n v="70987085.530000001"/>
    <n v="91.496032938274382"/>
  </r>
  <r>
    <s v="P0360"/>
    <x v="92"/>
    <x v="0"/>
    <x v="0"/>
    <n v="2023"/>
    <s v="Q3"/>
    <n v="4515"/>
    <n v="1794"/>
    <n v="10124"/>
    <n v="364063"/>
    <n v="9.4700000000000006"/>
    <n v="0"/>
    <n v="1.37"/>
    <n v="1.39"/>
    <n v="42.32"/>
    <n v="2.2999999999999998"/>
    <n v="18380"/>
    <n v="7936"/>
    <n v="11"/>
    <n v="-37974014.390000001"/>
    <n v="-468.82020158248673"/>
  </r>
  <r>
    <s v="P0361"/>
    <x v="301"/>
    <x v="2"/>
    <x v="3"/>
    <n v="2024"/>
    <s v="Q2"/>
    <n v="685"/>
    <n v="11677"/>
    <n v="14187"/>
    <n v="149441"/>
    <n v="7.99"/>
    <n v="16"/>
    <n v="0.7"/>
    <n v="13.85"/>
    <n v="46.81"/>
    <n v="4.4000000000000004"/>
    <n v="18388"/>
    <n v="9757"/>
    <n v="12"/>
    <n v="-1868804.85"/>
    <n v="-23.363725809486365"/>
  </r>
  <r>
    <s v="P0362"/>
    <x v="302"/>
    <x v="1"/>
    <x v="1"/>
    <n v="2024"/>
    <s v="Q1"/>
    <n v="1743"/>
    <n v="11382"/>
    <n v="1341"/>
    <n v="208175"/>
    <n v="1.73"/>
    <n v="1"/>
    <n v="8.93"/>
    <n v="14.7"/>
    <n v="11.21"/>
    <n v="1.5"/>
    <n v="7233"/>
    <n v="9487"/>
    <n v="7"/>
    <n v="17293273.300000001"/>
    <n v="87.168833982414085"/>
  </r>
  <r>
    <s v="P0363"/>
    <x v="303"/>
    <x v="0"/>
    <x v="0"/>
    <n v="2024"/>
    <s v="Q1"/>
    <n v="1732"/>
    <n v="2636"/>
    <n v="6233"/>
    <n v="299877"/>
    <n v="9.08"/>
    <n v="19"/>
    <n v="3.88"/>
    <n v="23.36"/>
    <n v="32.700000000000003"/>
    <n v="2.7"/>
    <n v="4716"/>
    <n v="7141"/>
    <n v="3"/>
    <n v="-6529904.3600000003"/>
    <n v="-143.02551717733147"/>
  </r>
  <r>
    <s v="P0364"/>
    <x v="241"/>
    <x v="1"/>
    <x v="1"/>
    <n v="2023"/>
    <s v="Q3"/>
    <n v="4802"/>
    <n v="3564"/>
    <n v="5893"/>
    <n v="479404"/>
    <n v="1.76"/>
    <n v="5"/>
    <n v="2.88"/>
    <n v="18.149999999999999"/>
    <n v="44.93"/>
    <n v="2.6"/>
    <n v="5864"/>
    <n v="5275"/>
    <n v="9"/>
    <n v="-11663280.15"/>
    <n v="-68.14921479826728"/>
  </r>
  <r>
    <s v="P0365"/>
    <x v="304"/>
    <x v="2"/>
    <x v="1"/>
    <n v="2023"/>
    <s v="Q2"/>
    <n v="169"/>
    <n v="8509"/>
    <n v="14228"/>
    <n v="186917"/>
    <n v="5.0599999999999996"/>
    <n v="7"/>
    <n v="7.25"/>
    <n v="22.94"/>
    <n v="60.7"/>
    <n v="4.8"/>
    <n v="13769"/>
    <n v="9906"/>
    <n v="5"/>
    <n v="-1153450.94"/>
    <n v="-80.210994137081443"/>
  </r>
  <r>
    <s v="P0366"/>
    <x v="305"/>
    <x v="2"/>
    <x v="0"/>
    <n v="2023"/>
    <s v="Q3"/>
    <n v="880"/>
    <n v="14487"/>
    <n v="11966"/>
    <n v="267770"/>
    <n v="2.14"/>
    <n v="15"/>
    <n v="8.36"/>
    <n v="22.71"/>
    <n v="46"/>
    <n v="1.6"/>
    <n v="19361"/>
    <n v="1226"/>
    <n v="6"/>
    <n v="1950687.29"/>
    <n v="15.301236296491524"/>
  </r>
  <r>
    <s v="P0367"/>
    <x v="306"/>
    <x v="0"/>
    <x v="0"/>
    <n v="2023"/>
    <s v="Q1"/>
    <n v="3725"/>
    <n v="6043"/>
    <n v="1667"/>
    <n v="479890"/>
    <n v="10.38"/>
    <n v="18"/>
    <n v="8.6199999999999992"/>
    <n v="15.11"/>
    <n v="37.03"/>
    <n v="1"/>
    <n v="15329"/>
    <n v="4479"/>
    <n v="9"/>
    <n v="15820694.890000001"/>
    <n v="70.282416240655621"/>
  </r>
  <r>
    <s v="P0368"/>
    <x v="307"/>
    <x v="0"/>
    <x v="0"/>
    <n v="2024"/>
    <s v="Q4"/>
    <n v="1419"/>
    <n v="2507"/>
    <n v="11058"/>
    <n v="168325"/>
    <n v="3.09"/>
    <n v="0"/>
    <n v="3.16"/>
    <n v="13.19"/>
    <n v="41.05"/>
    <n v="2"/>
    <n v="6460"/>
    <n v="8808"/>
    <n v="12"/>
    <n v="-12302207.189999999"/>
    <n v="-345.81697504914354"/>
  </r>
  <r>
    <s v="P0369"/>
    <x v="232"/>
    <x v="0"/>
    <x v="3"/>
    <n v="2024"/>
    <s v="Q4"/>
    <n v="790"/>
    <n v="6945"/>
    <n v="9423"/>
    <n v="69337"/>
    <n v="5.88"/>
    <n v="2"/>
    <n v="8.52"/>
    <n v="13.94"/>
    <n v="29.38"/>
    <n v="4.3"/>
    <n v="20281"/>
    <n v="9593"/>
    <n v="9"/>
    <n v="-2026970.94"/>
    <n v="-36.94436285097192"/>
  </r>
  <r>
    <s v="P0370"/>
    <x v="308"/>
    <x v="1"/>
    <x v="2"/>
    <n v="2023"/>
    <s v="Q1"/>
    <n v="166"/>
    <n v="12206"/>
    <n v="13827"/>
    <n v="203385"/>
    <n v="13.44"/>
    <n v="2"/>
    <n v="0.41"/>
    <n v="24.46"/>
    <n v="83.96"/>
    <n v="1.8"/>
    <n v="9801"/>
    <n v="8152"/>
    <n v="13"/>
    <n v="-472495.46"/>
    <n v="-23.319336332714112"/>
  </r>
  <r>
    <s v="P0371"/>
    <x v="257"/>
    <x v="1"/>
    <x v="0"/>
    <n v="2024"/>
    <s v="Q4"/>
    <n v="2888"/>
    <n v="16249"/>
    <n v="6269"/>
    <n v="470159"/>
    <n v="3.06"/>
    <n v="4"/>
    <n v="0.5"/>
    <n v="19.329999999999998"/>
    <n v="51.74"/>
    <n v="2"/>
    <n v="10341"/>
    <n v="711"/>
    <n v="13"/>
    <n v="28352061.670000002"/>
    <n v="60.41723102414656"/>
  </r>
  <r>
    <s v="P0372"/>
    <x v="309"/>
    <x v="2"/>
    <x v="3"/>
    <n v="2024"/>
    <s v="Q2"/>
    <n v="1200"/>
    <n v="13218"/>
    <n v="13270"/>
    <n v="390093"/>
    <n v="7.62"/>
    <n v="11"/>
    <n v="6.24"/>
    <n v="2.66"/>
    <n v="11.07"/>
    <n v="1.5"/>
    <n v="9230"/>
    <n v="849"/>
    <n v="7"/>
    <n v="-452495.66"/>
    <n v="-2.8527743733292983"/>
  </r>
  <r>
    <s v="P0373"/>
    <x v="84"/>
    <x v="1"/>
    <x v="1"/>
    <n v="2023"/>
    <s v="Q3"/>
    <n v="1981"/>
    <n v="10939"/>
    <n v="7056"/>
    <n v="312420"/>
    <n v="6.29"/>
    <n v="11"/>
    <n v="0.63"/>
    <n v="19.46"/>
    <n v="11.56"/>
    <n v="3.9"/>
    <n v="19383"/>
    <n v="1956"/>
    <n v="5"/>
    <n v="7379783.54"/>
    <n v="34.055050265205715"/>
  </r>
  <r>
    <s v="P0374"/>
    <x v="310"/>
    <x v="2"/>
    <x v="3"/>
    <n v="2024"/>
    <s v="Q2"/>
    <n v="1062"/>
    <n v="14781"/>
    <n v="10198"/>
    <n v="363295"/>
    <n v="0.27"/>
    <n v="19"/>
    <n v="3.25"/>
    <n v="4.26"/>
    <n v="87.84"/>
    <n v="1.3"/>
    <n v="18479"/>
    <n v="8691"/>
    <n v="2"/>
    <n v="4503846.74"/>
    <n v="28.691633186646825"/>
  </r>
  <r>
    <s v="P0375"/>
    <x v="311"/>
    <x v="2"/>
    <x v="1"/>
    <n v="2024"/>
    <s v="Q1"/>
    <n v="1714"/>
    <n v="2935"/>
    <n v="11520"/>
    <n v="460827"/>
    <n v="11.89"/>
    <n v="12"/>
    <n v="6.73"/>
    <n v="11.18"/>
    <n v="27.72"/>
    <n v="2.2999999999999998"/>
    <n v="2478"/>
    <n v="1626"/>
    <n v="13"/>
    <n v="-15175528.18"/>
    <n v="-301.66497726906783"/>
  </r>
  <r>
    <s v="P0376"/>
    <x v="211"/>
    <x v="1"/>
    <x v="1"/>
    <n v="2023"/>
    <s v="Q4"/>
    <n v="1131"/>
    <n v="2071"/>
    <n v="1969"/>
    <n v="193016"/>
    <n v="1.04"/>
    <n v="19"/>
    <n v="3.37"/>
    <n v="5.26"/>
    <n v="74.45"/>
    <n v="2.1"/>
    <n v="2230"/>
    <n v="6329"/>
    <n v="8"/>
    <n v="-77659.259999999995"/>
    <n v="-3.3155115418556367"/>
  </r>
  <r>
    <s v="P0377"/>
    <x v="312"/>
    <x v="2"/>
    <x v="3"/>
    <n v="2023"/>
    <s v="Q1"/>
    <n v="4779"/>
    <n v="3882"/>
    <n v="1630"/>
    <n v="365031"/>
    <n v="7.11"/>
    <n v="8"/>
    <n v="1.8"/>
    <n v="17.239999999999998"/>
    <n v="14.66"/>
    <n v="3.2"/>
    <n v="1556"/>
    <n v="8611"/>
    <n v="9"/>
    <n v="10397259.76"/>
    <n v="56.043639747525852"/>
  </r>
  <r>
    <s v="P0378"/>
    <x v="199"/>
    <x v="1"/>
    <x v="0"/>
    <n v="2024"/>
    <s v="Q2"/>
    <n v="562"/>
    <n v="6584"/>
    <n v="2451"/>
    <n v="131442"/>
    <n v="8.41"/>
    <n v="6"/>
    <n v="2.81"/>
    <n v="21.93"/>
    <n v="83.69"/>
    <n v="3.9"/>
    <n v="3743"/>
    <n v="8627"/>
    <n v="10"/>
    <n v="2191282.0699999998"/>
    <n v="59.220510576702715"/>
  </r>
  <r>
    <s v="P0379"/>
    <x v="138"/>
    <x v="1"/>
    <x v="1"/>
    <n v="2023"/>
    <s v="Q1"/>
    <n v="2899"/>
    <n v="18161"/>
    <n v="1936"/>
    <n v="99847"/>
    <n v="9.43"/>
    <n v="3"/>
    <n v="4.58"/>
    <n v="7.26"/>
    <n v="79.95"/>
    <n v="3.1"/>
    <n v="3201"/>
    <n v="2198"/>
    <n v="3"/>
    <n v="46936420.740000002"/>
    <n v="89.150132807549298"/>
  </r>
  <r>
    <s v="P0380"/>
    <x v="313"/>
    <x v="0"/>
    <x v="3"/>
    <n v="2024"/>
    <s v="Q1"/>
    <n v="609"/>
    <n v="15007"/>
    <n v="3610"/>
    <n v="108653"/>
    <n v="10.33"/>
    <n v="18"/>
    <n v="4.75"/>
    <n v="2.0499999999999998"/>
    <n v="55.69"/>
    <n v="4.7"/>
    <n v="19170"/>
    <n v="7965"/>
    <n v="2"/>
    <n v="6832117.9500000002"/>
    <n v="74.755677235680821"/>
  </r>
  <r>
    <s v="P0381"/>
    <x v="314"/>
    <x v="0"/>
    <x v="3"/>
    <n v="2024"/>
    <s v="Q2"/>
    <n v="3722"/>
    <n v="8559"/>
    <n v="9467"/>
    <n v="267144"/>
    <n v="3.8"/>
    <n v="18"/>
    <n v="7.83"/>
    <n v="7.46"/>
    <n v="10.72"/>
    <n v="4.8"/>
    <n v="9803"/>
    <n v="273"/>
    <n v="5"/>
    <n v="-3646727.46"/>
    <n v="-11.447322341199145"/>
  </r>
  <r>
    <s v="P0382"/>
    <x v="315"/>
    <x v="0"/>
    <x v="1"/>
    <n v="2023"/>
    <s v="Q2"/>
    <n v="4633"/>
    <n v="19771"/>
    <n v="11802"/>
    <n v="303661"/>
    <n v="0.15"/>
    <n v="5"/>
    <n v="7.5"/>
    <n v="16.809999999999999"/>
    <n v="30.62"/>
    <n v="2.4"/>
    <n v="16600"/>
    <n v="9933"/>
    <n v="14"/>
    <n v="36616699.189999998"/>
    <n v="39.974980077029841"/>
  </r>
  <r>
    <s v="P0383"/>
    <x v="316"/>
    <x v="1"/>
    <x v="0"/>
    <n v="2024"/>
    <s v="Q2"/>
    <n v="3393"/>
    <n v="14271"/>
    <n v="10318"/>
    <n v="368766"/>
    <n v="10.85"/>
    <n v="12"/>
    <n v="4.57"/>
    <n v="8.2200000000000006"/>
    <n v="42.55"/>
    <n v="4.0999999999999996"/>
    <n v="14498"/>
    <n v="600"/>
    <n v="6"/>
    <n v="13043754.779999999"/>
    <n v="26.937938667455242"/>
  </r>
  <r>
    <s v="P0384"/>
    <x v="133"/>
    <x v="2"/>
    <x v="0"/>
    <n v="2023"/>
    <s v="Q1"/>
    <n v="4120"/>
    <n v="19149"/>
    <n v="14058"/>
    <n v="339954"/>
    <n v="8.0299999999999994"/>
    <n v="10"/>
    <n v="8.4600000000000009"/>
    <n v="6.95"/>
    <n v="46.81"/>
    <n v="4"/>
    <n v="10893"/>
    <n v="3746"/>
    <n v="11"/>
    <n v="20634959.050000001"/>
    <n v="26.155335559615018"/>
  </r>
  <r>
    <s v="P0385"/>
    <x v="317"/>
    <x v="0"/>
    <x v="3"/>
    <n v="2023"/>
    <s v="Q2"/>
    <n v="4849"/>
    <n v="8991"/>
    <n v="1819"/>
    <n v="127842"/>
    <n v="12.54"/>
    <n v="12"/>
    <n v="1.1399999999999999"/>
    <n v="4.6100000000000003"/>
    <n v="33.81"/>
    <n v="4.5999999999999996"/>
    <n v="2447"/>
    <n v="6319"/>
    <n v="13"/>
    <n v="34649181.390000001"/>
    <n v="79.475413613930144"/>
  </r>
  <r>
    <s v="P0386"/>
    <x v="241"/>
    <x v="0"/>
    <x v="1"/>
    <n v="2024"/>
    <s v="Q4"/>
    <n v="1520"/>
    <n v="16027"/>
    <n v="6037"/>
    <n v="434369"/>
    <n v="12.32"/>
    <n v="12"/>
    <n v="2.5499999999999998"/>
    <n v="12.44"/>
    <n v="12.64"/>
    <n v="2.8"/>
    <n v="8053"/>
    <n v="2463"/>
    <n v="2"/>
    <n v="14750418.560000001"/>
    <n v="60.54921530443692"/>
  </r>
  <r>
    <s v="P0387"/>
    <x v="318"/>
    <x v="0"/>
    <x v="1"/>
    <n v="2023"/>
    <s v="Q2"/>
    <n v="630"/>
    <n v="18924"/>
    <n v="10828"/>
    <n v="322647"/>
    <n v="12.65"/>
    <n v="19"/>
    <n v="8.2799999999999994"/>
    <n v="6.9"/>
    <n v="57.21"/>
    <n v="3.1"/>
    <n v="2257"/>
    <n v="7640"/>
    <n v="6"/>
    <n v="4777826.0999999996"/>
    <n v="40.07530623748125"/>
  </r>
  <r>
    <s v="P0388"/>
    <x v="319"/>
    <x v="0"/>
    <x v="0"/>
    <n v="2023"/>
    <s v="Q2"/>
    <n v="2344"/>
    <n v="16359"/>
    <n v="13248"/>
    <n v="134761"/>
    <n v="7.28"/>
    <n v="14"/>
    <n v="3.78"/>
    <n v="18.28"/>
    <n v="51.93"/>
    <n v="2.7"/>
    <n v="16366"/>
    <n v="1996"/>
    <n v="7"/>
    <n v="7157404.7199999997"/>
    <n v="18.665568232576778"/>
  </r>
  <r>
    <s v="P0389"/>
    <x v="320"/>
    <x v="2"/>
    <x v="3"/>
    <n v="2023"/>
    <s v="Q4"/>
    <n v="3197"/>
    <n v="9573"/>
    <n v="11440"/>
    <n v="480192"/>
    <n v="5"/>
    <n v="12"/>
    <n v="9.81"/>
    <n v="1.92"/>
    <n v="32.64"/>
    <n v="4.4000000000000004"/>
    <n v="13080"/>
    <n v="5859"/>
    <n v="4"/>
    <n v="-6448992.9199999999"/>
    <n v="-21.071779106084417"/>
  </r>
  <r>
    <s v="P0390"/>
    <x v="321"/>
    <x v="0"/>
    <x v="3"/>
    <n v="2023"/>
    <s v="Q1"/>
    <n v="4299"/>
    <n v="10577"/>
    <n v="13285"/>
    <n v="438583"/>
    <n v="11.87"/>
    <n v="10"/>
    <n v="4.66"/>
    <n v="16.600000000000001"/>
    <n v="13.04"/>
    <n v="1.9"/>
    <n v="7151"/>
    <n v="1878"/>
    <n v="13"/>
    <n v="-12080291.6"/>
    <n v="-26.567302953607992"/>
  </r>
  <r>
    <s v="P0391"/>
    <x v="292"/>
    <x v="2"/>
    <x v="0"/>
    <n v="2023"/>
    <s v="Q3"/>
    <n v="1729"/>
    <n v="12883"/>
    <n v="2083"/>
    <n v="323734"/>
    <n v="6.77"/>
    <n v="18"/>
    <n v="7.92"/>
    <n v="5.94"/>
    <n v="89.57"/>
    <n v="2"/>
    <n v="8773"/>
    <n v="3157"/>
    <n v="8"/>
    <n v="18349460.059999999"/>
    <n v="82.378008653492046"/>
  </r>
  <r>
    <s v="P0392"/>
    <x v="322"/>
    <x v="2"/>
    <x v="2"/>
    <n v="2023"/>
    <s v="Q2"/>
    <n v="3556"/>
    <n v="17878"/>
    <n v="1459"/>
    <n v="191958"/>
    <n v="2.75"/>
    <n v="7"/>
    <n v="4.0199999999999996"/>
    <n v="12.23"/>
    <n v="48.56"/>
    <n v="2.5"/>
    <n v="11533"/>
    <n v="5290"/>
    <n v="7"/>
    <n v="58193993.770000003"/>
    <n v="91.537169263465628"/>
  </r>
  <r>
    <s v="P0393"/>
    <x v="312"/>
    <x v="0"/>
    <x v="3"/>
    <n v="2023"/>
    <s v="Q2"/>
    <n v="2794"/>
    <n v="3853"/>
    <n v="14863"/>
    <n v="456082"/>
    <n v="12.82"/>
    <n v="19"/>
    <n v="4.25"/>
    <n v="7.15"/>
    <n v="70.48"/>
    <n v="1.9"/>
    <n v="5035"/>
    <n v="7097"/>
    <n v="5"/>
    <n v="-31218029.149999999"/>
    <n v="-289.98802957507286"/>
  </r>
  <r>
    <s v="P0394"/>
    <x v="323"/>
    <x v="0"/>
    <x v="3"/>
    <n v="2024"/>
    <s v="Q3"/>
    <n v="3406"/>
    <n v="6299"/>
    <n v="14158"/>
    <n v="378768"/>
    <n v="13.24"/>
    <n v="7"/>
    <n v="3.83"/>
    <n v="18.07"/>
    <n v="46.19"/>
    <n v="3.2"/>
    <n v="20177"/>
    <n v="4847"/>
    <n v="4"/>
    <n v="-27146540.07"/>
    <n v="-126.53137660285347"/>
  </r>
  <r>
    <s v="P0395"/>
    <x v="324"/>
    <x v="0"/>
    <x v="2"/>
    <n v="2023"/>
    <s v="Q4"/>
    <n v="4095"/>
    <n v="18570"/>
    <n v="2810"/>
    <n v="213864"/>
    <n v="6.99"/>
    <n v="9"/>
    <n v="7.19"/>
    <n v="23.63"/>
    <n v="13.45"/>
    <n v="1.5"/>
    <n v="18988"/>
    <n v="9386"/>
    <n v="6"/>
    <n v="64323312.369999997"/>
    <n v="84.58679907658906"/>
  </r>
  <r>
    <s v="P0396"/>
    <x v="325"/>
    <x v="2"/>
    <x v="0"/>
    <n v="2023"/>
    <s v="Q4"/>
    <n v="1293"/>
    <n v="13439"/>
    <n v="9390"/>
    <n v="452980"/>
    <n v="1.1399999999999999"/>
    <n v="15"/>
    <n v="5.48"/>
    <n v="22.93"/>
    <n v="34.770000000000003"/>
    <n v="2.2999999999999998"/>
    <n v="10353"/>
    <n v="145"/>
    <n v="4"/>
    <n v="4782354.07"/>
    <n v="27.521762825432116"/>
  </r>
  <r>
    <s v="P0397"/>
    <x v="326"/>
    <x v="2"/>
    <x v="0"/>
    <n v="2023"/>
    <s v="Q4"/>
    <n v="3168"/>
    <n v="3928"/>
    <n v="2533"/>
    <n v="306910"/>
    <n v="5.82"/>
    <n v="18"/>
    <n v="9.44"/>
    <n v="14.59"/>
    <n v="35.61"/>
    <n v="4.7"/>
    <n v="2408"/>
    <n v="7858"/>
    <n v="11"/>
    <n v="4112435.41"/>
    <n v="33.047791191574603"/>
  </r>
  <r>
    <s v="P0398"/>
    <x v="327"/>
    <x v="1"/>
    <x v="1"/>
    <n v="2024"/>
    <s v="Q3"/>
    <n v="2191"/>
    <n v="12796"/>
    <n v="14670"/>
    <n v="170356"/>
    <n v="12.05"/>
    <n v="10"/>
    <n v="2.5099999999999998"/>
    <n v="11.57"/>
    <n v="77.069999999999993"/>
    <n v="2.6"/>
    <n v="6117"/>
    <n v="9737"/>
    <n v="10"/>
    <n v="-4276301.57"/>
    <n v="-15.252875156816037"/>
  </r>
  <r>
    <s v="P0399"/>
    <x v="231"/>
    <x v="2"/>
    <x v="0"/>
    <n v="2024"/>
    <s v="Q3"/>
    <n v="3109"/>
    <n v="9313"/>
    <n v="2925"/>
    <n v="267228"/>
    <n v="13.53"/>
    <n v="12"/>
    <n v="1.01"/>
    <n v="20.46"/>
    <n v="62.34"/>
    <n v="4"/>
    <n v="11548"/>
    <n v="7153"/>
    <n v="10"/>
    <n v="19593043.539999999"/>
    <n v="67.66928357718524"/>
  </r>
  <r>
    <s v="P0400"/>
    <x v="81"/>
    <x v="1"/>
    <x v="3"/>
    <n v="2023"/>
    <s v="Q1"/>
    <n v="4598"/>
    <n v="15914"/>
    <n v="2971"/>
    <n v="92727"/>
    <n v="3.05"/>
    <n v="8"/>
    <n v="3.93"/>
    <n v="17.079999999999998"/>
    <n v="32.03"/>
    <n v="1.5"/>
    <n v="3811"/>
    <n v="3301"/>
    <n v="7"/>
    <n v="59419169.920000002"/>
    <n v="81.204156551993279"/>
  </r>
  <r>
    <s v="P0401"/>
    <x v="328"/>
    <x v="1"/>
    <x v="3"/>
    <n v="2024"/>
    <s v="Q2"/>
    <n v="3009"/>
    <n v="13301"/>
    <n v="9066"/>
    <n v="390615"/>
    <n v="1"/>
    <n v="19"/>
    <n v="6.17"/>
    <n v="4.59"/>
    <n v="87.42"/>
    <n v="2"/>
    <n v="17520"/>
    <n v="555"/>
    <n v="14"/>
    <n v="12352495.41"/>
    <n v="30.86371642159455"/>
  </r>
  <r>
    <s v="P0402"/>
    <x v="329"/>
    <x v="1"/>
    <x v="3"/>
    <n v="2024"/>
    <s v="Q4"/>
    <n v="2315"/>
    <n v="13245"/>
    <n v="13689"/>
    <n v="58068"/>
    <n v="13.16"/>
    <n v="18"/>
    <n v="8.61"/>
    <n v="20.52"/>
    <n v="35.72"/>
    <n v="4.2"/>
    <n v="18673"/>
    <n v="9954"/>
    <n v="12"/>
    <n v="-1085948.52"/>
    <n v="-3.5416552152611485"/>
  </r>
  <r>
    <s v="P0403"/>
    <x v="330"/>
    <x v="0"/>
    <x v="1"/>
    <n v="2023"/>
    <s v="Q1"/>
    <n v="2529"/>
    <n v="14525"/>
    <n v="4271"/>
    <n v="166923"/>
    <n v="5.84"/>
    <n v="15"/>
    <n v="3.46"/>
    <n v="10.72"/>
    <n v="89.86"/>
    <n v="4.0999999999999996"/>
    <n v="15085"/>
    <n v="3024"/>
    <n v="7"/>
    <n v="25765432.280000001"/>
    <n v="70.141082288823156"/>
  </r>
  <r>
    <s v="P0404"/>
    <x v="331"/>
    <x v="2"/>
    <x v="2"/>
    <n v="2024"/>
    <s v="Q3"/>
    <n v="4696"/>
    <n v="4856"/>
    <n v="9828"/>
    <n v="450511"/>
    <n v="8.1300000000000008"/>
    <n v="6"/>
    <n v="6.54"/>
    <n v="4.72"/>
    <n v="89.69"/>
    <n v="2.5"/>
    <n v="15517"/>
    <n v="7898"/>
    <n v="13"/>
    <n v="-23799027.719999999"/>
    <n v="-104.3644163142104"/>
  </r>
  <r>
    <s v="P0405"/>
    <x v="332"/>
    <x v="1"/>
    <x v="1"/>
    <n v="2024"/>
    <s v="Q4"/>
    <n v="1685"/>
    <n v="15788"/>
    <n v="6424"/>
    <n v="484376"/>
    <n v="14.52"/>
    <n v="18"/>
    <n v="3.5"/>
    <n v="7.04"/>
    <n v="25.3"/>
    <n v="4.8"/>
    <n v="18055"/>
    <n v="1065"/>
    <n v="5"/>
    <n v="15293956.960000001"/>
    <n v="57.490070436247642"/>
  </r>
  <r>
    <s v="P0406"/>
    <x v="333"/>
    <x v="0"/>
    <x v="3"/>
    <n v="2024"/>
    <s v="Q4"/>
    <n v="1807"/>
    <n v="8040"/>
    <n v="9491"/>
    <n v="61390"/>
    <n v="1"/>
    <n v="11"/>
    <n v="6.17"/>
    <n v="6.69"/>
    <n v="35.020000000000003"/>
    <n v="4.5999999999999996"/>
    <n v="14052"/>
    <n v="5064"/>
    <n v="5"/>
    <n v="-2683353.69"/>
    <n v="-18.469864911744541"/>
  </r>
  <r>
    <s v="P0407"/>
    <x v="56"/>
    <x v="0"/>
    <x v="3"/>
    <n v="2024"/>
    <s v="Q1"/>
    <n v="4502"/>
    <n v="17922"/>
    <n v="14684"/>
    <n v="156752"/>
    <n v="9.7200000000000006"/>
    <n v="14"/>
    <n v="8.85"/>
    <n v="12.98"/>
    <n v="48.88"/>
    <n v="4.8"/>
    <n v="14837"/>
    <n v="1628"/>
    <n v="3"/>
    <n v="14420711.02"/>
    <n v="17.872887031918903"/>
  </r>
  <r>
    <s v="P0408"/>
    <x v="215"/>
    <x v="0"/>
    <x v="0"/>
    <n v="2024"/>
    <s v="Q2"/>
    <n v="2120"/>
    <n v="4842"/>
    <n v="9129"/>
    <n v="463347"/>
    <n v="1.1100000000000001"/>
    <n v="13"/>
    <n v="2.31"/>
    <n v="5.86"/>
    <n v="63.13"/>
    <n v="2.7"/>
    <n v="3385"/>
    <n v="3076"/>
    <n v="11"/>
    <n v="-9551792.8599999994"/>
    <n v="-93.051686695814141"/>
  </r>
  <r>
    <s v="P0409"/>
    <x v="334"/>
    <x v="2"/>
    <x v="2"/>
    <n v="2024"/>
    <s v="Q1"/>
    <n v="2899"/>
    <n v="10578"/>
    <n v="2897"/>
    <n v="406898"/>
    <n v="5.63"/>
    <n v="10"/>
    <n v="4.04"/>
    <n v="3.09"/>
    <n v="52.24"/>
    <n v="1.8"/>
    <n v="2549"/>
    <n v="3171"/>
    <n v="5"/>
    <n v="21860317.91"/>
    <n v="71.286073734294391"/>
  </r>
  <r>
    <s v="P0410"/>
    <x v="335"/>
    <x v="2"/>
    <x v="1"/>
    <n v="2023"/>
    <s v="Q3"/>
    <n v="3301"/>
    <n v="4344"/>
    <n v="14882"/>
    <n v="388113"/>
    <n v="12.06"/>
    <n v="9"/>
    <n v="9.93"/>
    <n v="3.09"/>
    <n v="87.56"/>
    <n v="3.5"/>
    <n v="12003"/>
    <n v="4969"/>
    <n v="9"/>
    <n v="-35174054.090000004"/>
    <n v="-245.29409087206679"/>
  </r>
  <r>
    <s v="P0411"/>
    <x v="336"/>
    <x v="2"/>
    <x v="3"/>
    <n v="2023"/>
    <s v="Q3"/>
    <n v="3780"/>
    <n v="11896"/>
    <n v="5868"/>
    <n v="196110"/>
    <n v="6.5"/>
    <n v="10"/>
    <n v="8.69"/>
    <n v="14.58"/>
    <n v="67.92"/>
    <n v="3.7"/>
    <n v="2661"/>
    <n v="6487"/>
    <n v="14"/>
    <n v="22589715.420000002"/>
    <n v="50.236341547378871"/>
  </r>
  <r>
    <s v="P0412"/>
    <x v="337"/>
    <x v="0"/>
    <x v="2"/>
    <n v="2023"/>
    <s v="Q3"/>
    <n v="2539"/>
    <n v="18982"/>
    <n v="14730"/>
    <n v="495543"/>
    <n v="14.96"/>
    <n v="5"/>
    <n v="5.65"/>
    <n v="18.37"/>
    <n v="26.96"/>
    <n v="1.5"/>
    <n v="2315"/>
    <n v="2621"/>
    <n v="11"/>
    <n v="10300266.630000001"/>
    <n v="21.371932652019293"/>
  </r>
  <r>
    <s v="P0413"/>
    <x v="292"/>
    <x v="1"/>
    <x v="1"/>
    <n v="2023"/>
    <s v="Q2"/>
    <n v="1681"/>
    <n v="19707"/>
    <n v="12688"/>
    <n v="274790"/>
    <n v="8.39"/>
    <n v="1"/>
    <n v="5.17"/>
    <n v="8.0399999999999991"/>
    <n v="18.41"/>
    <n v="4.0999999999999996"/>
    <n v="5266"/>
    <n v="6625"/>
    <n v="3"/>
    <n v="11524140.960000001"/>
    <n v="34.787268703640997"/>
  </r>
  <r>
    <s v="P0414"/>
    <x v="338"/>
    <x v="2"/>
    <x v="1"/>
    <n v="2023"/>
    <s v="Q2"/>
    <n v="2866"/>
    <n v="15498"/>
    <n v="10877"/>
    <n v="389208"/>
    <n v="4.82"/>
    <n v="10"/>
    <n v="2.85"/>
    <n v="0.87"/>
    <n v="65.069999999999993"/>
    <n v="1.1000000000000001"/>
    <n v="4739"/>
    <n v="1226"/>
    <n v="10"/>
    <n v="12854577.130000001"/>
    <n v="28.940494786847314"/>
  </r>
  <r>
    <s v="P0415"/>
    <x v="79"/>
    <x v="1"/>
    <x v="0"/>
    <n v="2023"/>
    <s v="Q1"/>
    <n v="1065"/>
    <n v="14761"/>
    <n v="7197"/>
    <n v="71281"/>
    <n v="3.3"/>
    <n v="18"/>
    <n v="5.17"/>
    <n v="3.18"/>
    <n v="22.68"/>
    <n v="2.9"/>
    <n v="15442"/>
    <n v="6732"/>
    <n v="2"/>
    <n v="7984375.8200000003"/>
    <n v="50.789692416859175"/>
  </r>
  <r>
    <s v="P0416"/>
    <x v="175"/>
    <x v="1"/>
    <x v="1"/>
    <n v="2023"/>
    <s v="Q4"/>
    <n v="1398"/>
    <n v="4593"/>
    <n v="3557"/>
    <n v="104189"/>
    <n v="5.26"/>
    <n v="5"/>
    <n v="8.48"/>
    <n v="22.87"/>
    <n v="73.010000000000005"/>
    <n v="2.2999999999999998"/>
    <n v="9772"/>
    <n v="5873"/>
    <n v="14"/>
    <n v="1344116.13"/>
    <n v="20.933082064608485"/>
  </r>
  <r>
    <s v="P0417"/>
    <x v="271"/>
    <x v="2"/>
    <x v="3"/>
    <n v="2024"/>
    <s v="Q3"/>
    <n v="4661"/>
    <n v="13222"/>
    <n v="4720"/>
    <n v="312093"/>
    <n v="5.59"/>
    <n v="13"/>
    <n v="6.85"/>
    <n v="12.34"/>
    <n v="34.880000000000003"/>
    <n v="4"/>
    <n v="20688"/>
    <n v="7816"/>
    <n v="3"/>
    <n v="39315716.659999996"/>
    <n v="63.795484604968969"/>
  </r>
  <r>
    <s v="P0418"/>
    <x v="74"/>
    <x v="1"/>
    <x v="1"/>
    <n v="2023"/>
    <s v="Q1"/>
    <n v="3137"/>
    <n v="13145"/>
    <n v="8986"/>
    <n v="360655"/>
    <n v="1.03"/>
    <n v="19"/>
    <n v="2.9"/>
    <n v="11.34"/>
    <n v="36.15"/>
    <n v="2.2999999999999998"/>
    <n v="2369"/>
    <n v="3504"/>
    <n v="3"/>
    <n v="12686116.66"/>
    <n v="30.764764265282174"/>
  </r>
  <r>
    <s v="P0419"/>
    <x v="339"/>
    <x v="1"/>
    <x v="3"/>
    <n v="2024"/>
    <s v="Q3"/>
    <n v="2889"/>
    <n v="16583"/>
    <n v="2700"/>
    <n v="172115"/>
    <n v="5.54"/>
    <n v="5"/>
    <n v="2.0099999999999998"/>
    <n v="0.95"/>
    <n v="10.86"/>
    <n v="4.3"/>
    <n v="7026"/>
    <n v="4592"/>
    <n v="12"/>
    <n v="39935871.049999997"/>
    <n v="83.35900436181322"/>
  </r>
  <r>
    <s v="P0420"/>
    <x v="340"/>
    <x v="1"/>
    <x v="2"/>
    <n v="2023"/>
    <s v="Q2"/>
    <n v="385"/>
    <n v="2488"/>
    <n v="3410"/>
    <n v="58605"/>
    <n v="6.96"/>
    <n v="16"/>
    <n v="2.65"/>
    <n v="18.22"/>
    <n v="66.08"/>
    <n v="3.4"/>
    <n v="9241"/>
    <n v="2443"/>
    <n v="14"/>
    <n v="-413593.22"/>
    <n v="-43.177978452415751"/>
  </r>
  <r>
    <s v="P0421"/>
    <x v="129"/>
    <x v="2"/>
    <x v="0"/>
    <n v="2023"/>
    <s v="Q2"/>
    <n v="4642"/>
    <n v="7946"/>
    <n v="7700"/>
    <n v="412462"/>
    <n v="10.84"/>
    <n v="9"/>
    <n v="1.7"/>
    <n v="13.2"/>
    <n v="19.059999999999999"/>
    <n v="4.2"/>
    <n v="6194"/>
    <n v="206"/>
    <n v="7"/>
    <n v="729456.8"/>
    <n v="1.977633819318747"/>
  </r>
  <r>
    <s v="P0422"/>
    <x v="341"/>
    <x v="0"/>
    <x v="0"/>
    <n v="2024"/>
    <s v="Q2"/>
    <n v="945"/>
    <n v="17835"/>
    <n v="12978"/>
    <n v="444597"/>
    <n v="9.85"/>
    <n v="0"/>
    <n v="0.96"/>
    <n v="5.05"/>
    <n v="71.83"/>
    <n v="5"/>
    <n v="3434"/>
    <n v="3254"/>
    <n v="8"/>
    <n v="4145262.95"/>
    <n v="24.595019008756044"/>
  </r>
  <r>
    <s v="P0423"/>
    <x v="342"/>
    <x v="2"/>
    <x v="0"/>
    <n v="2024"/>
    <s v="Q3"/>
    <n v="3596"/>
    <n v="17633"/>
    <n v="2249"/>
    <n v="331954"/>
    <n v="10.63"/>
    <n v="2"/>
    <n v="4.1900000000000004"/>
    <n v="2.75"/>
    <n v="49.35"/>
    <n v="3.7"/>
    <n v="18587"/>
    <n v="4153"/>
    <n v="14"/>
    <n v="54988907.25"/>
    <n v="86.721982770448804"/>
  </r>
  <r>
    <s v="P0424"/>
    <x v="343"/>
    <x v="2"/>
    <x v="0"/>
    <n v="2024"/>
    <s v="Q3"/>
    <n v="901"/>
    <n v="3182"/>
    <n v="9538"/>
    <n v="299415"/>
    <n v="0.13"/>
    <n v="7"/>
    <n v="1.1299999999999999"/>
    <n v="9.58"/>
    <n v="72.739999999999995"/>
    <n v="4.9000000000000004"/>
    <n v="17818"/>
    <n v="4901"/>
    <n v="4"/>
    <n v="-6026180.5800000001"/>
    <n v="-210.19248045505691"/>
  </r>
  <r>
    <s v="P0425"/>
    <x v="99"/>
    <x v="1"/>
    <x v="1"/>
    <n v="2023"/>
    <s v="Q2"/>
    <n v="1737"/>
    <n v="7126"/>
    <n v="5817"/>
    <n v="205394"/>
    <n v="3.27"/>
    <n v="7"/>
    <n v="1.72"/>
    <n v="20.93"/>
    <n v="56.71"/>
    <n v="1.1000000000000001"/>
    <n v="20407"/>
    <n v="6239"/>
    <n v="12"/>
    <n v="2068318.07"/>
    <n v="16.70981684882252"/>
  </r>
  <r>
    <s v="P0426"/>
    <x v="344"/>
    <x v="2"/>
    <x v="2"/>
    <n v="2024"/>
    <s v="Q4"/>
    <n v="1981"/>
    <n v="8924"/>
    <n v="13668"/>
    <n v="91869"/>
    <n v="9.93"/>
    <n v="19"/>
    <n v="5.47"/>
    <n v="21.63"/>
    <n v="16.59"/>
    <n v="2.4"/>
    <n v="20523"/>
    <n v="5680"/>
    <n v="10"/>
    <n v="-9489754.6300000008"/>
    <n v="-53.679807057679966"/>
  </r>
  <r>
    <s v="P0427"/>
    <x v="71"/>
    <x v="1"/>
    <x v="3"/>
    <n v="2023"/>
    <s v="Q2"/>
    <n v="3796"/>
    <n v="14357"/>
    <n v="14460"/>
    <n v="82955"/>
    <n v="7.26"/>
    <n v="14"/>
    <n v="1.65"/>
    <n v="15.07"/>
    <n v="71.25"/>
    <n v="1.4"/>
    <n v="7659"/>
    <n v="314"/>
    <n v="6"/>
    <n v="-473958.07"/>
    <n v="-0.86966104732747129"/>
  </r>
  <r>
    <s v="P0428"/>
    <x v="194"/>
    <x v="1"/>
    <x v="3"/>
    <n v="2024"/>
    <s v="Q3"/>
    <n v="2477"/>
    <n v="13655"/>
    <n v="8799"/>
    <n v="111388"/>
    <n v="0.08"/>
    <n v="6"/>
    <n v="0.64"/>
    <n v="18.190000000000001"/>
    <n v="15.58"/>
    <n v="2"/>
    <n v="17219"/>
    <n v="5500"/>
    <n v="6"/>
    <n v="11916905.810000001"/>
    <n v="35.23268943559399"/>
  </r>
  <r>
    <s v="P0429"/>
    <x v="131"/>
    <x v="0"/>
    <x v="2"/>
    <n v="2024"/>
    <s v="Q1"/>
    <n v="1618"/>
    <n v="18817"/>
    <n v="6852"/>
    <n v="291324"/>
    <n v="12.07"/>
    <n v="10"/>
    <n v="3.17"/>
    <n v="2.88"/>
    <n v="48.3"/>
    <n v="4.4000000000000004"/>
    <n v="14493"/>
    <n v="6975"/>
    <n v="12"/>
    <n v="19068043.120000001"/>
    <n v="62.629251762125257"/>
  </r>
  <r>
    <s v="P0430"/>
    <x v="328"/>
    <x v="1"/>
    <x v="3"/>
    <n v="2023"/>
    <s v="Q1"/>
    <n v="4050"/>
    <n v="12925"/>
    <n v="10995"/>
    <n v="60207"/>
    <n v="11.59"/>
    <n v="6"/>
    <n v="2.2000000000000002"/>
    <n v="14.7"/>
    <n v="23.79"/>
    <n v="1.1000000000000001"/>
    <n v="15313"/>
    <n v="4389"/>
    <n v="13"/>
    <n v="7756278.2999999998"/>
    <n v="14.817256823554695"/>
  </r>
  <r>
    <s v="P0431"/>
    <x v="128"/>
    <x v="2"/>
    <x v="3"/>
    <n v="2024"/>
    <s v="Q4"/>
    <n v="2788"/>
    <n v="3480"/>
    <n v="2896"/>
    <n v="268401"/>
    <n v="8.23"/>
    <n v="3"/>
    <n v="5.15"/>
    <n v="16.670000000000002"/>
    <n v="70.19"/>
    <n v="3.1"/>
    <n v="2664"/>
    <n v="4353"/>
    <n v="5"/>
    <n v="1359774.33"/>
    <n v="14.015055595408896"/>
  </r>
  <r>
    <s v="P0432"/>
    <x v="345"/>
    <x v="1"/>
    <x v="0"/>
    <n v="2023"/>
    <s v="Q4"/>
    <n v="3548"/>
    <n v="17022"/>
    <n v="9695"/>
    <n v="209292"/>
    <n v="1"/>
    <n v="11"/>
    <n v="1.02"/>
    <n v="5.0199999999999996"/>
    <n v="82.93"/>
    <n v="3.3"/>
    <n v="2119"/>
    <n v="8756"/>
    <n v="10"/>
    <n v="25786898.98"/>
    <n v="42.697743267979881"/>
  </r>
  <r>
    <s v="P0433"/>
    <x v="346"/>
    <x v="1"/>
    <x v="1"/>
    <n v="2024"/>
    <s v="Q3"/>
    <n v="3963"/>
    <n v="10484"/>
    <n v="7204"/>
    <n v="255157"/>
    <n v="11.5"/>
    <n v="5"/>
    <n v="7.52"/>
    <n v="22"/>
    <n v="54.33"/>
    <n v="3.2"/>
    <n v="9482"/>
    <n v="6347"/>
    <n v="9"/>
    <n v="12743461"/>
    <n v="30.671591369346153"/>
  </r>
  <r>
    <s v="P0434"/>
    <x v="347"/>
    <x v="0"/>
    <x v="0"/>
    <n v="2023"/>
    <s v="Q1"/>
    <n v="1116"/>
    <n v="18675"/>
    <n v="11395"/>
    <n v="72031"/>
    <n v="8.76"/>
    <n v="13"/>
    <n v="9.06"/>
    <n v="4.87"/>
    <n v="52.17"/>
    <n v="2.9"/>
    <n v="4566"/>
    <n v="6277"/>
    <n v="13"/>
    <n v="8052444.1299999999"/>
    <n v="38.636957051623462"/>
  </r>
  <r>
    <s v="P0435"/>
    <x v="348"/>
    <x v="0"/>
    <x v="3"/>
    <n v="2024"/>
    <s v="Q4"/>
    <n v="4430"/>
    <n v="17383"/>
    <n v="10617"/>
    <n v="392951"/>
    <n v="11.73"/>
    <n v="11"/>
    <n v="7.43"/>
    <n v="7.84"/>
    <n v="71.12"/>
    <n v="4.2"/>
    <n v="10138"/>
    <n v="7369"/>
    <n v="5"/>
    <n v="29580421.16"/>
    <n v="38.41279395335652"/>
  </r>
  <r>
    <s v="P0436"/>
    <x v="349"/>
    <x v="2"/>
    <x v="1"/>
    <n v="2024"/>
    <s v="Q4"/>
    <n v="2494"/>
    <n v="6890"/>
    <n v="4131"/>
    <n v="121312"/>
    <n v="11.28"/>
    <n v="10"/>
    <n v="5.33"/>
    <n v="15.51"/>
    <n v="10.41"/>
    <n v="1.5"/>
    <n v="3837"/>
    <n v="2472"/>
    <n v="5"/>
    <n v="6759618.4900000002"/>
    <n v="39.337478104198993"/>
  </r>
  <r>
    <s v="P0437"/>
    <x v="33"/>
    <x v="0"/>
    <x v="1"/>
    <n v="2023"/>
    <s v="Q1"/>
    <n v="4157"/>
    <n v="3107"/>
    <n v="13725"/>
    <n v="109766"/>
    <n v="12.05"/>
    <n v="18"/>
    <n v="8.61"/>
    <n v="15.96"/>
    <n v="83.42"/>
    <n v="2.2000000000000002"/>
    <n v="7094"/>
    <n v="6934"/>
    <n v="3"/>
    <n v="-44248807.960000001"/>
    <n v="-342.59442996906347"/>
  </r>
  <r>
    <s v="P0438"/>
    <x v="350"/>
    <x v="1"/>
    <x v="0"/>
    <n v="2024"/>
    <s v="Q4"/>
    <n v="3423"/>
    <n v="8073"/>
    <n v="8262"/>
    <n v="193521"/>
    <n v="7.77"/>
    <n v="4"/>
    <n v="6.95"/>
    <n v="17.48"/>
    <n v="25.8"/>
    <n v="3.5"/>
    <n v="3960"/>
    <n v="8883"/>
    <n v="10"/>
    <n v="-840485.48"/>
    <n v="-3.0415038004617445"/>
  </r>
  <r>
    <s v="P0439"/>
    <x v="290"/>
    <x v="0"/>
    <x v="3"/>
    <n v="2023"/>
    <s v="Q1"/>
    <n v="4019"/>
    <n v="18868"/>
    <n v="5905"/>
    <n v="401977"/>
    <n v="2.1"/>
    <n v="13"/>
    <n v="0.11"/>
    <n v="2.8"/>
    <n v="88.73"/>
    <n v="3.8"/>
    <n v="8320"/>
    <n v="6717"/>
    <n v="4"/>
    <n v="51696317.200000003"/>
    <n v="68.173522070778603"/>
  </r>
  <r>
    <s v="P0440"/>
    <x v="274"/>
    <x v="1"/>
    <x v="0"/>
    <n v="2024"/>
    <s v="Q3"/>
    <n v="2596"/>
    <n v="7276"/>
    <n v="3778"/>
    <n v="237771"/>
    <n v="10.07"/>
    <n v="15"/>
    <n v="3.94"/>
    <n v="21.24"/>
    <n v="68.900000000000006"/>
    <n v="2.6"/>
    <n v="4942"/>
    <n v="5250"/>
    <n v="5"/>
    <n v="8843015.7599999998"/>
    <n v="46.81693958057857"/>
  </r>
  <r>
    <s v="P0441"/>
    <x v="286"/>
    <x v="0"/>
    <x v="0"/>
    <n v="2023"/>
    <s v="Q2"/>
    <n v="803"/>
    <n v="5176"/>
    <n v="13728"/>
    <n v="287199"/>
    <n v="9.31"/>
    <n v="12"/>
    <n v="8.51"/>
    <n v="13.32"/>
    <n v="71.94"/>
    <n v="4.5"/>
    <n v="17691"/>
    <n v="9175"/>
    <n v="8"/>
    <n v="-7154468.3200000003"/>
    <n v="-172.13435320792777"/>
  </r>
  <r>
    <s v="P0442"/>
    <x v="351"/>
    <x v="0"/>
    <x v="2"/>
    <n v="2023"/>
    <s v="Q3"/>
    <n v="2132"/>
    <n v="4880"/>
    <n v="3639"/>
    <n v="286731"/>
    <n v="11.13"/>
    <n v="19"/>
    <n v="3.46"/>
    <n v="11.78"/>
    <n v="62.5"/>
    <n v="2.7"/>
    <n v="20595"/>
    <n v="8202"/>
    <n v="11"/>
    <n v="2359069.2200000002"/>
    <n v="22.674288169347648"/>
  </r>
  <r>
    <s v="P0443"/>
    <x v="352"/>
    <x v="2"/>
    <x v="2"/>
    <n v="2024"/>
    <s v="Q1"/>
    <n v="2824"/>
    <n v="10211"/>
    <n v="4184"/>
    <n v="285841"/>
    <n v="2.5499999999999998"/>
    <n v="3"/>
    <n v="0.35"/>
    <n v="24.53"/>
    <n v="47.73"/>
    <n v="2.6"/>
    <n v="17826"/>
    <n v="4258"/>
    <n v="9"/>
    <n v="16734382.470000001"/>
    <n v="58.033227199295986"/>
  </r>
  <r>
    <s v="P0444"/>
    <x v="289"/>
    <x v="2"/>
    <x v="2"/>
    <n v="2023"/>
    <s v="Q1"/>
    <n v="2946"/>
    <n v="10282"/>
    <n v="11651"/>
    <n v="161041"/>
    <n v="2.92"/>
    <n v="10"/>
    <n v="7.46"/>
    <n v="18.510000000000002"/>
    <n v="55.73"/>
    <n v="1.1000000000000001"/>
    <n v="12029"/>
    <n v="7827"/>
    <n v="9"/>
    <n v="-4194133.51"/>
    <n v="-13.846241720085576"/>
  </r>
  <r>
    <s v="P0445"/>
    <x v="353"/>
    <x v="1"/>
    <x v="1"/>
    <n v="2024"/>
    <s v="Q3"/>
    <n v="4235"/>
    <n v="18934"/>
    <n v="10853"/>
    <n v="166185"/>
    <n v="13.36"/>
    <n v="16"/>
    <n v="8.02"/>
    <n v="2.95"/>
    <n v="13.71"/>
    <n v="3.2"/>
    <n v="19175"/>
    <n v="5306"/>
    <n v="5"/>
    <n v="34056847.049999997"/>
    <n v="42.472580824785126"/>
  </r>
  <r>
    <s v="P0446"/>
    <x v="354"/>
    <x v="2"/>
    <x v="3"/>
    <n v="2023"/>
    <s v="Q4"/>
    <n v="825"/>
    <n v="15497"/>
    <n v="11848"/>
    <n v="227164"/>
    <n v="11.25"/>
    <n v="6"/>
    <n v="1.61"/>
    <n v="18.91"/>
    <n v="59.92"/>
    <n v="3.8"/>
    <n v="11890"/>
    <n v="403"/>
    <n v="8"/>
    <n v="2783242.09"/>
    <n v="21.769547497951706"/>
  </r>
  <r>
    <s v="P0447"/>
    <x v="293"/>
    <x v="0"/>
    <x v="3"/>
    <n v="2024"/>
    <s v="Q4"/>
    <n v="1675"/>
    <n v="7842"/>
    <n v="14293"/>
    <n v="60350"/>
    <n v="13.62"/>
    <n v="13"/>
    <n v="5.37"/>
    <n v="2.38"/>
    <n v="60.09"/>
    <n v="1.5"/>
    <n v="15530"/>
    <n v="433"/>
    <n v="11"/>
    <n v="-10865777.380000001"/>
    <n v="-82.721643351718839"/>
  </r>
  <r>
    <s v="P0448"/>
    <x v="34"/>
    <x v="1"/>
    <x v="2"/>
    <n v="2024"/>
    <s v="Q4"/>
    <n v="3119"/>
    <n v="18843"/>
    <n v="1485"/>
    <n v="277230"/>
    <n v="11.38"/>
    <n v="10"/>
    <n v="1.92"/>
    <n v="0.69"/>
    <n v="81.3"/>
    <n v="2.2000000000000002"/>
    <n v="6874"/>
    <n v="4606"/>
    <n v="2"/>
    <n v="53862371.310000002"/>
    <n v="91.647378448231819"/>
  </r>
  <r>
    <s v="P0449"/>
    <x v="355"/>
    <x v="1"/>
    <x v="3"/>
    <n v="2023"/>
    <s v="Q4"/>
    <n v="467"/>
    <n v="7559"/>
    <n v="14939"/>
    <n v="413003"/>
    <n v="8.9600000000000009"/>
    <n v="8"/>
    <n v="7.19"/>
    <n v="10.09"/>
    <n v="50.45"/>
    <n v="4.0999999999999996"/>
    <n v="14642"/>
    <n v="2431"/>
    <n v="7"/>
    <n v="-3859473.09"/>
    <n v="-109.33187377073375"/>
  </r>
  <r>
    <s v="P0450"/>
    <x v="356"/>
    <x v="0"/>
    <x v="0"/>
    <n v="2024"/>
    <s v="Q1"/>
    <n v="164"/>
    <n v="10384"/>
    <n v="8331"/>
    <n v="311570"/>
    <n v="9.81"/>
    <n v="12"/>
    <n v="2.72"/>
    <n v="24.84"/>
    <n v="16.170000000000002"/>
    <n v="2.5"/>
    <n v="20539"/>
    <n v="4661"/>
    <n v="7"/>
    <n v="25097.16"/>
    <n v="1.4737236461347665"/>
  </r>
  <r>
    <s v="P0451"/>
    <x v="357"/>
    <x v="0"/>
    <x v="0"/>
    <n v="2024"/>
    <s v="Q1"/>
    <n v="666"/>
    <n v="7155"/>
    <n v="5083"/>
    <n v="118487"/>
    <n v="13.34"/>
    <n v="17"/>
    <n v="3.16"/>
    <n v="4.37"/>
    <n v="34.5"/>
    <n v="2"/>
    <n v="13704"/>
    <n v="179"/>
    <n v="7"/>
    <n v="1261460.6299999999"/>
    <n v="26.47218770132816"/>
  </r>
  <r>
    <s v="P0452"/>
    <x v="126"/>
    <x v="1"/>
    <x v="3"/>
    <n v="2024"/>
    <s v="Q3"/>
    <n v="4024"/>
    <n v="13591"/>
    <n v="8536"/>
    <n v="198694"/>
    <n v="8.68"/>
    <n v="10"/>
    <n v="8.4499999999999993"/>
    <n v="16.82"/>
    <n v="62.45"/>
    <n v="3.7"/>
    <n v="8894"/>
    <n v="3863"/>
    <n v="13"/>
    <n v="20142609.18"/>
    <n v="36.83039204987864"/>
  </r>
  <r>
    <s v="P0453"/>
    <x v="358"/>
    <x v="1"/>
    <x v="2"/>
    <n v="2023"/>
    <s v="Q1"/>
    <n v="3317"/>
    <n v="16751"/>
    <n v="8510"/>
    <n v="173853"/>
    <n v="9.49"/>
    <n v="14"/>
    <n v="4.76"/>
    <n v="4.33"/>
    <n v="29.14"/>
    <n v="1.8"/>
    <n v="18588"/>
    <n v="5296"/>
    <n v="3"/>
    <n v="27161539.670000002"/>
    <n v="48.88416197399615"/>
  </r>
  <r>
    <s v="P0454"/>
    <x v="359"/>
    <x v="2"/>
    <x v="0"/>
    <n v="2023"/>
    <s v="Q3"/>
    <n v="875"/>
    <n v="2026"/>
    <n v="2419"/>
    <n v="365261"/>
    <n v="2.35"/>
    <n v="18"/>
    <n v="6.7"/>
    <n v="18.12"/>
    <n v="32.44"/>
    <n v="4.5999999999999996"/>
    <n v="2325"/>
    <n v="832"/>
    <n v="9"/>
    <n v="-709154.12"/>
    <n v="-40.003052883937386"/>
  </r>
  <r>
    <s v="P0455"/>
    <x v="360"/>
    <x v="2"/>
    <x v="3"/>
    <n v="2024"/>
    <s v="Q2"/>
    <n v="1566"/>
    <n v="4724"/>
    <n v="14775"/>
    <n v="285062"/>
    <n v="7.11"/>
    <n v="0"/>
    <n v="4.0199999999999996"/>
    <n v="12.63"/>
    <n v="75.64"/>
    <n v="1.4"/>
    <n v="10696"/>
    <n v="4076"/>
    <n v="6"/>
    <n v="-16024940.630000001"/>
    <n v="-216.61812010191159"/>
  </r>
  <r>
    <s v="P0456"/>
    <x v="237"/>
    <x v="1"/>
    <x v="0"/>
    <n v="2024"/>
    <s v="Q3"/>
    <n v="3196"/>
    <n v="16569"/>
    <n v="14072"/>
    <n v="283077"/>
    <n v="10.75"/>
    <n v="3"/>
    <n v="2.98"/>
    <n v="17"/>
    <n v="56.75"/>
    <n v="3.8"/>
    <n v="13152"/>
    <n v="5759"/>
    <n v="6"/>
    <n v="7697318"/>
    <n v="14.535713700306324"/>
  </r>
  <r>
    <s v="P0457"/>
    <x v="171"/>
    <x v="0"/>
    <x v="3"/>
    <n v="2023"/>
    <s v="Q1"/>
    <n v="462"/>
    <n v="13036"/>
    <n v="13635"/>
    <n v="413228"/>
    <n v="4.0599999999999996"/>
    <n v="13"/>
    <n v="6.25"/>
    <n v="5.07"/>
    <n v="50.68"/>
    <n v="3"/>
    <n v="18260"/>
    <n v="1484"/>
    <n v="3"/>
    <n v="-689971.07"/>
    <n v="-11.45630465218529"/>
  </r>
  <r>
    <s v="P0458"/>
    <x v="361"/>
    <x v="1"/>
    <x v="0"/>
    <n v="2024"/>
    <s v="Q3"/>
    <n v="778"/>
    <n v="15047"/>
    <n v="7668"/>
    <n v="73782"/>
    <n v="3.03"/>
    <n v="13"/>
    <n v="1.55"/>
    <n v="18.64"/>
    <n v="35.479999999999997"/>
    <n v="4.5"/>
    <n v="2472"/>
    <n v="2224"/>
    <n v="5"/>
    <n v="5667061.3600000003"/>
    <n v="48.409254772065523"/>
  </r>
  <r>
    <s v="P0459"/>
    <x v="167"/>
    <x v="0"/>
    <x v="2"/>
    <n v="2023"/>
    <s v="Q1"/>
    <n v="3398"/>
    <n v="19759"/>
    <n v="2231"/>
    <n v="340598"/>
    <n v="4.71"/>
    <n v="2"/>
    <n v="3.73"/>
    <n v="24.89"/>
    <n v="68.47"/>
    <n v="1.5"/>
    <n v="12768"/>
    <n v="6752"/>
    <n v="13"/>
    <n v="59219521.109999999"/>
    <n v="88.201618660241436"/>
  </r>
  <r>
    <s v="P0460"/>
    <x v="362"/>
    <x v="2"/>
    <x v="3"/>
    <n v="2023"/>
    <s v="Q2"/>
    <n v="2858"/>
    <n v="3263"/>
    <n v="9867"/>
    <n v="380048"/>
    <n v="3.62"/>
    <n v="16"/>
    <n v="2.09"/>
    <n v="16.64"/>
    <n v="33.020000000000003"/>
    <n v="3.7"/>
    <n v="1943"/>
    <n v="5383"/>
    <n v="10"/>
    <n v="-19254296.640000001"/>
    <n v="-206.46591263197197"/>
  </r>
  <r>
    <s v="P0461"/>
    <x v="363"/>
    <x v="2"/>
    <x v="1"/>
    <n v="2023"/>
    <s v="Q1"/>
    <n v="725"/>
    <n v="10212"/>
    <n v="5513"/>
    <n v="179936"/>
    <n v="3.22"/>
    <n v="2"/>
    <n v="6.96"/>
    <n v="12.34"/>
    <n v="68.97"/>
    <n v="3.3"/>
    <n v="2254"/>
    <n v="7276"/>
    <n v="10"/>
    <n v="3226826.66"/>
    <n v="43.583973688831264"/>
  </r>
  <r>
    <s v="P0462"/>
    <x v="364"/>
    <x v="0"/>
    <x v="0"/>
    <n v="2023"/>
    <s v="Q4"/>
    <n v="3515"/>
    <n v="7297"/>
    <n v="11453"/>
    <n v="458808"/>
    <n v="6.37"/>
    <n v="15"/>
    <n v="9.44"/>
    <n v="23.08"/>
    <n v="15.61"/>
    <n v="2.9"/>
    <n v="17523"/>
    <n v="9490"/>
    <n v="7"/>
    <n v="-15067171.08"/>
    <n v="-58.743800985264315"/>
  </r>
  <r>
    <s v="P0463"/>
    <x v="365"/>
    <x v="0"/>
    <x v="2"/>
    <n v="2024"/>
    <s v="Q1"/>
    <n v="2554"/>
    <n v="10708"/>
    <n v="10357"/>
    <n v="203245"/>
    <n v="13.62"/>
    <n v="13"/>
    <n v="9.9600000000000009"/>
    <n v="0.4"/>
    <n v="79.16"/>
    <n v="3"/>
    <n v="11863"/>
    <n v="6705"/>
    <n v="12"/>
    <n v="693208.6"/>
    <n v="2.5347474015870568"/>
  </r>
  <r>
    <s v="P0464"/>
    <x v="366"/>
    <x v="1"/>
    <x v="1"/>
    <n v="2024"/>
    <s v="Q2"/>
    <n v="3017"/>
    <n v="6609"/>
    <n v="10235"/>
    <n v="476420"/>
    <n v="7.61"/>
    <n v="19"/>
    <n v="4.5"/>
    <n v="18.25"/>
    <n v="49.97"/>
    <n v="3.9"/>
    <n v="12397"/>
    <n v="5807"/>
    <n v="10"/>
    <n v="-11416080.25"/>
    <n v="-57.254015463791632"/>
  </r>
  <r>
    <s v="P0465"/>
    <x v="367"/>
    <x v="2"/>
    <x v="3"/>
    <n v="2024"/>
    <s v="Q1"/>
    <n v="2836"/>
    <n v="18000"/>
    <n v="5798"/>
    <n v="478812"/>
    <n v="2.82"/>
    <n v="12"/>
    <n v="2.5299999999999998"/>
    <n v="22.22"/>
    <n v="45.08"/>
    <n v="4.8"/>
    <n v="6896"/>
    <n v="2392"/>
    <n v="5"/>
    <n v="34126037.780000001"/>
    <n v="66.850881092305286"/>
  </r>
  <r>
    <s v="P0466"/>
    <x v="250"/>
    <x v="2"/>
    <x v="1"/>
    <n v="2023"/>
    <s v="Q3"/>
    <n v="1172"/>
    <n v="3933"/>
    <n v="962"/>
    <n v="477540"/>
    <n v="1.1499999999999999"/>
    <n v="14"/>
    <n v="4.43"/>
    <n v="1.54"/>
    <n v="58.88"/>
    <n v="1.4"/>
    <n v="4965"/>
    <n v="8476"/>
    <n v="12"/>
    <n v="3004470.46"/>
    <n v="65.180303791580656"/>
  </r>
  <r>
    <s v="P0467"/>
    <x v="134"/>
    <x v="1"/>
    <x v="2"/>
    <n v="2024"/>
    <s v="Q4"/>
    <n v="4129"/>
    <n v="18467"/>
    <n v="2774"/>
    <n v="172258"/>
    <n v="10.44"/>
    <n v="13"/>
    <n v="8.4700000000000006"/>
    <n v="11.25"/>
    <n v="59.94"/>
    <n v="1.1000000000000001"/>
    <n v="4211"/>
    <n v="1097"/>
    <n v="2"/>
    <n v="64624127.75"/>
    <n v="84.75268432915027"/>
  </r>
  <r>
    <s v="P0468"/>
    <x v="303"/>
    <x v="1"/>
    <x v="0"/>
    <n v="2024"/>
    <s v="Q2"/>
    <n v="1621"/>
    <n v="5667"/>
    <n v="4091"/>
    <n v="161668"/>
    <n v="5.74"/>
    <n v="18"/>
    <n v="2.06"/>
    <n v="5.12"/>
    <n v="20.56"/>
    <n v="4.2"/>
    <n v="20291"/>
    <n v="4764"/>
    <n v="3"/>
    <n v="2393022.88"/>
    <n v="26.050173700636179"/>
  </r>
  <r>
    <s v="P0469"/>
    <x v="86"/>
    <x v="2"/>
    <x v="1"/>
    <n v="2024"/>
    <s v="Q3"/>
    <n v="2193"/>
    <n v="19273"/>
    <n v="9261"/>
    <n v="436328"/>
    <n v="12.33"/>
    <n v="5"/>
    <n v="9.52"/>
    <n v="14.16"/>
    <n v="70.5"/>
    <n v="1.4"/>
    <n v="7247"/>
    <n v="2457"/>
    <n v="14"/>
    <n v="21519973.84"/>
    <n v="50.915942338003759"/>
  </r>
  <r>
    <s v="P0470"/>
    <x v="368"/>
    <x v="2"/>
    <x v="1"/>
    <n v="2024"/>
    <s v="Q1"/>
    <n v="1737"/>
    <n v="9857"/>
    <n v="1431"/>
    <n v="473966"/>
    <n v="9.89"/>
    <n v="9"/>
    <n v="3.42"/>
    <n v="16.239999999999998"/>
    <n v="32.07"/>
    <n v="4.9000000000000004"/>
    <n v="19607"/>
    <n v="5591"/>
    <n v="2"/>
    <n v="14161979.76"/>
    <n v="82.714070622685057"/>
  </r>
  <r>
    <s v="P0471"/>
    <x v="369"/>
    <x v="2"/>
    <x v="2"/>
    <n v="2024"/>
    <s v="Q3"/>
    <n v="4182"/>
    <n v="7654"/>
    <n v="1705"/>
    <n v="328710"/>
    <n v="11.94"/>
    <n v="14"/>
    <n v="9.86"/>
    <n v="7.57"/>
    <n v="82.4"/>
    <n v="3.5"/>
    <n v="3419"/>
    <n v="1779"/>
    <n v="9"/>
    <n v="24550000.43"/>
    <n v="76.697113170696724"/>
  </r>
  <r>
    <s v="P0472"/>
    <x v="146"/>
    <x v="2"/>
    <x v="2"/>
    <n v="2024"/>
    <s v="Q3"/>
    <n v="3901"/>
    <n v="10420"/>
    <n v="12463"/>
    <n v="188262"/>
    <n v="4.08"/>
    <n v="19"/>
    <n v="8.39"/>
    <n v="11.5"/>
    <n v="75.430000000000007"/>
    <n v="3.6"/>
    <n v="18802"/>
    <n v="5815"/>
    <n v="10"/>
    <n v="-8158016.5"/>
    <n v="-20.069701356165872"/>
  </r>
  <r>
    <s v="P0473"/>
    <x v="331"/>
    <x v="1"/>
    <x v="1"/>
    <n v="2024"/>
    <s v="Q2"/>
    <n v="3490"/>
    <n v="19927"/>
    <n v="12245"/>
    <n v="88333"/>
    <n v="10.39"/>
    <n v="5"/>
    <n v="8.09"/>
    <n v="6.98"/>
    <n v="37.700000000000003"/>
    <n v="1.8"/>
    <n v="14973"/>
    <n v="4986"/>
    <n v="11"/>
    <n v="26721840.02"/>
    <n v="38.423684873858349"/>
  </r>
  <r>
    <s v="P0474"/>
    <x v="370"/>
    <x v="0"/>
    <x v="3"/>
    <n v="2024"/>
    <s v="Q1"/>
    <n v="3816"/>
    <n v="18662"/>
    <n v="2814"/>
    <n v="434073"/>
    <n v="3.96"/>
    <n v="9"/>
    <n v="3.18"/>
    <n v="9.23"/>
    <n v="74.62"/>
    <n v="2"/>
    <n v="18465"/>
    <n v="7540"/>
    <n v="13"/>
    <n v="60041885.770000003"/>
    <n v="84.311685752188282"/>
  </r>
  <r>
    <s v="P0475"/>
    <x v="371"/>
    <x v="0"/>
    <x v="3"/>
    <n v="2023"/>
    <s v="Q1"/>
    <n v="2376"/>
    <n v="1713"/>
    <n v="10633"/>
    <n v="261977"/>
    <n v="14.09"/>
    <n v="6"/>
    <n v="0.09"/>
    <n v="3.99"/>
    <n v="38.51"/>
    <n v="3.6"/>
    <n v="15735"/>
    <n v="6921"/>
    <n v="7"/>
    <n v="-21455900.989999998"/>
    <n v="-527.16061642893214"/>
  </r>
  <r>
    <s v="P0476"/>
    <x v="76"/>
    <x v="0"/>
    <x v="1"/>
    <n v="2023"/>
    <s v="Q4"/>
    <n v="2964"/>
    <n v="5262"/>
    <n v="8696"/>
    <n v="139571"/>
    <n v="9.5500000000000007"/>
    <n v="16"/>
    <n v="3.82"/>
    <n v="22.14"/>
    <n v="18.079999999999998"/>
    <n v="4.5999999999999996"/>
    <n v="17210"/>
    <n v="3627"/>
    <n v="3"/>
    <n v="-10317969.140000001"/>
    <n v="-66.155382004553829"/>
  </r>
  <r>
    <s v="P0477"/>
    <x v="253"/>
    <x v="2"/>
    <x v="3"/>
    <n v="2024"/>
    <s v="Q4"/>
    <n v="4002"/>
    <n v="14899"/>
    <n v="1004"/>
    <n v="170263"/>
    <n v="4.87"/>
    <n v="17"/>
    <n v="3.02"/>
    <n v="0.25"/>
    <n v="86.95"/>
    <n v="4.9000000000000004"/>
    <n v="15934"/>
    <n v="6913"/>
    <n v="7"/>
    <n v="55437526.75"/>
    <n v="92.975739712531819"/>
  </r>
  <r>
    <s v="P0478"/>
    <x v="372"/>
    <x v="0"/>
    <x v="0"/>
    <n v="2024"/>
    <s v="Q3"/>
    <n v="645"/>
    <n v="11268"/>
    <n v="1381"/>
    <n v="444805"/>
    <n v="4.04"/>
    <n v="16"/>
    <n v="0.37"/>
    <n v="22.06"/>
    <n v="62.21"/>
    <n v="1.8"/>
    <n v="14978"/>
    <n v="2845"/>
    <n v="10"/>
    <n v="5932287.9400000004"/>
    <n v="81.623585759769739"/>
  </r>
  <r>
    <s v="P0479"/>
    <x v="217"/>
    <x v="2"/>
    <x v="0"/>
    <n v="2024"/>
    <s v="Q1"/>
    <n v="778"/>
    <n v="12140"/>
    <n v="6475"/>
    <n v="75235"/>
    <n v="2.86"/>
    <n v="8"/>
    <n v="5.05"/>
    <n v="14.29"/>
    <n v="46.49"/>
    <n v="1.5"/>
    <n v="5381"/>
    <n v="4190"/>
    <n v="13"/>
    <n v="4332120.71"/>
    <n v="45.867203851382541"/>
  </r>
  <r>
    <s v="P0480"/>
    <x v="373"/>
    <x v="2"/>
    <x v="3"/>
    <n v="2023"/>
    <s v="Q2"/>
    <n v="1415"/>
    <n v="8231"/>
    <n v="9832"/>
    <n v="50159"/>
    <n v="10.42"/>
    <n v="9"/>
    <n v="4.03"/>
    <n v="8.2899999999999991"/>
    <n v="41.82"/>
    <n v="1.2"/>
    <n v="3499"/>
    <n v="6258"/>
    <n v="4"/>
    <n v="-2315582.29"/>
    <n v="-19.881592943680555"/>
  </r>
  <r>
    <s v="P0481"/>
    <x v="369"/>
    <x v="1"/>
    <x v="0"/>
    <n v="2023"/>
    <s v="Q2"/>
    <n v="4542"/>
    <n v="7291"/>
    <n v="14924"/>
    <n v="193217"/>
    <n v="3.28"/>
    <n v="9"/>
    <n v="6.35"/>
    <n v="18.079999999999998"/>
    <n v="35.979999999999997"/>
    <n v="4.5"/>
    <n v="16349"/>
    <n v="8661"/>
    <n v="10"/>
    <n v="-34862321.079999998"/>
    <n v="-105.27422920146509"/>
  </r>
  <r>
    <s v="P0482"/>
    <x v="374"/>
    <x v="0"/>
    <x v="1"/>
    <n v="2023"/>
    <s v="Q1"/>
    <n v="748"/>
    <n v="17322"/>
    <n v="6147"/>
    <n v="212993"/>
    <n v="8.93"/>
    <n v="6"/>
    <n v="6.21"/>
    <n v="12.69"/>
    <n v="88.52"/>
    <n v="2.2000000000000002"/>
    <n v="12403"/>
    <n v="7571"/>
    <n v="3"/>
    <n v="8145894.3099999996"/>
    <n v="62.869374406877711"/>
  </r>
  <r>
    <s v="P0483"/>
    <x v="2"/>
    <x v="1"/>
    <x v="3"/>
    <n v="2023"/>
    <s v="Q3"/>
    <n v="445"/>
    <n v="10283"/>
    <n v="10711"/>
    <n v="417003"/>
    <n v="3.97"/>
    <n v="15"/>
    <n v="1.21"/>
    <n v="12.48"/>
    <n v="20.78"/>
    <n v="1"/>
    <n v="18284"/>
    <n v="3843"/>
    <n v="12"/>
    <n v="-607475.48"/>
    <n v="-13.275439445708908"/>
  </r>
  <r>
    <s v="P0484"/>
    <x v="375"/>
    <x v="1"/>
    <x v="1"/>
    <n v="2023"/>
    <s v="Q4"/>
    <n v="4221"/>
    <n v="15121"/>
    <n v="14730"/>
    <n v="197309"/>
    <n v="9.93"/>
    <n v="17"/>
    <n v="9.77"/>
    <n v="2.75"/>
    <n v="35.18"/>
    <n v="1.9"/>
    <n v="16200"/>
    <n v="9995"/>
    <n v="6"/>
    <n v="1453099.25"/>
    <n v="2.2766664784980719"/>
  </r>
  <r>
    <s v="P0485"/>
    <x v="50"/>
    <x v="1"/>
    <x v="0"/>
    <n v="2024"/>
    <s v="Q4"/>
    <n v="4410"/>
    <n v="17519"/>
    <n v="3443"/>
    <n v="157507"/>
    <n v="12.22"/>
    <n v="5"/>
    <n v="1.87"/>
    <n v="9.74"/>
    <n v="48.84"/>
    <n v="2.4"/>
    <n v="6945"/>
    <n v="7108"/>
    <n v="12"/>
    <n v="61917643.259999998"/>
    <n v="80.143169806309416"/>
  </r>
  <r>
    <s v="P0486"/>
    <x v="187"/>
    <x v="2"/>
    <x v="3"/>
    <n v="2023"/>
    <s v="Q2"/>
    <n v="2552"/>
    <n v="4220"/>
    <n v="8817"/>
    <n v="451460"/>
    <n v="11.67"/>
    <n v="19"/>
    <n v="4.45"/>
    <n v="6.03"/>
    <n v="48.24"/>
    <n v="5"/>
    <n v="4128"/>
    <n v="3424"/>
    <n v="3"/>
    <n v="-12183010.029999999"/>
    <n v="-113.12575240681038"/>
  </r>
  <r>
    <s v="P0487"/>
    <x v="376"/>
    <x v="0"/>
    <x v="1"/>
    <n v="2023"/>
    <s v="Q4"/>
    <n v="1869"/>
    <n v="10405"/>
    <n v="3097"/>
    <n v="64743"/>
    <n v="11.41"/>
    <n v="0"/>
    <n v="4.88"/>
    <n v="0.39"/>
    <n v="47.71"/>
    <n v="3.1"/>
    <n v="19540"/>
    <n v="8732"/>
    <n v="8"/>
    <n v="13593908.609999999"/>
    <n v="69.902540527573862"/>
  </r>
  <r>
    <s v="P0488"/>
    <x v="15"/>
    <x v="1"/>
    <x v="0"/>
    <n v="2024"/>
    <s v="Q1"/>
    <n v="767"/>
    <n v="10627"/>
    <n v="1674"/>
    <n v="278174"/>
    <n v="2.82"/>
    <n v="0"/>
    <n v="8.1300000000000008"/>
    <n v="9"/>
    <n v="24.06"/>
    <n v="1.8"/>
    <n v="18504"/>
    <n v="3357"/>
    <n v="12"/>
    <n v="6588768"/>
    <n v="80.834763337438815"/>
  </r>
  <r>
    <s v="P0489"/>
    <x v="377"/>
    <x v="2"/>
    <x v="3"/>
    <n v="2024"/>
    <s v="Q1"/>
    <n v="2832"/>
    <n v="17885"/>
    <n v="6360"/>
    <n v="96101"/>
    <n v="1.33"/>
    <n v="11"/>
    <n v="0.99"/>
    <n v="2.25"/>
    <n v="21.59"/>
    <n v="2.2999999999999998"/>
    <n v="1746"/>
    <n v="326"/>
    <n v="11"/>
    <n v="32542696.75"/>
    <n v="64.249735737108864"/>
  </r>
  <r>
    <s v="P0490"/>
    <x v="280"/>
    <x v="2"/>
    <x v="2"/>
    <n v="2024"/>
    <s v="Q2"/>
    <n v="4996"/>
    <n v="7868"/>
    <n v="1489"/>
    <n v="292717"/>
    <n v="10.48"/>
    <n v="1"/>
    <n v="4.29"/>
    <n v="6.42"/>
    <n v="30.38"/>
    <n v="2.2999999999999998"/>
    <n v="6712"/>
    <n v="2501"/>
    <n v="10"/>
    <n v="31576760.579999998"/>
    <n v="80.330559770643148"/>
  </r>
  <r>
    <s v="P0491"/>
    <x v="378"/>
    <x v="0"/>
    <x v="1"/>
    <n v="2024"/>
    <s v="Q1"/>
    <n v="3627"/>
    <n v="15556"/>
    <n v="4800"/>
    <n v="171534"/>
    <n v="5.53"/>
    <n v="3"/>
    <n v="6.29"/>
    <n v="2.31"/>
    <n v="83.16"/>
    <n v="1.1000000000000001"/>
    <n v="4839"/>
    <n v="4818"/>
    <n v="8"/>
    <n v="38840475.689999998"/>
    <n v="68.839712856839313"/>
  </r>
  <r>
    <s v="P0492"/>
    <x v="379"/>
    <x v="2"/>
    <x v="1"/>
    <n v="2024"/>
    <s v="Q1"/>
    <n v="193"/>
    <n v="13736"/>
    <n v="12133"/>
    <n v="396371"/>
    <n v="6.49"/>
    <n v="16"/>
    <n v="2.15"/>
    <n v="2.52"/>
    <n v="19.04"/>
    <n v="1.5"/>
    <n v="20894"/>
    <n v="1124"/>
    <n v="13"/>
    <n v="-86994.52"/>
    <n v="-3.2815143294274569"/>
  </r>
  <r>
    <s v="P0493"/>
    <x v="64"/>
    <x v="2"/>
    <x v="1"/>
    <n v="2024"/>
    <s v="Q3"/>
    <n v="3190"/>
    <n v="19833"/>
    <n v="10414"/>
    <n v="280604"/>
    <n v="0.47"/>
    <n v="3"/>
    <n v="6.27"/>
    <n v="4.9800000000000004"/>
    <n v="70.59"/>
    <n v="3.8"/>
    <n v="3868"/>
    <n v="5772"/>
    <n v="6"/>
    <n v="29766001.02"/>
    <n v="47.048025021468447"/>
  </r>
  <r>
    <s v="P0494"/>
    <x v="380"/>
    <x v="0"/>
    <x v="3"/>
    <n v="2023"/>
    <s v="Q2"/>
    <n v="4541"/>
    <n v="15951"/>
    <n v="1471"/>
    <n v="237450"/>
    <n v="3.89"/>
    <n v="10"/>
    <n v="9.24"/>
    <n v="25"/>
    <n v="70.599999999999994"/>
    <n v="1.5"/>
    <n v="13686"/>
    <n v="7827"/>
    <n v="5"/>
    <n v="65516205"/>
    <n v="90.450155163721163"/>
  </r>
  <r>
    <s v="P0495"/>
    <x v="139"/>
    <x v="2"/>
    <x v="0"/>
    <n v="2024"/>
    <s v="Q1"/>
    <n v="2988"/>
    <n v="18801"/>
    <n v="8727"/>
    <n v="383270"/>
    <n v="0.51"/>
    <n v="3"/>
    <n v="9.98"/>
    <n v="0.05"/>
    <n v="74.78"/>
    <n v="1.9"/>
    <n v="3339"/>
    <n v="5380"/>
    <n v="13"/>
    <n v="29717841.949999999"/>
    <n v="52.900006582719726"/>
  </r>
  <r>
    <s v="P0496"/>
    <x v="264"/>
    <x v="1"/>
    <x v="1"/>
    <n v="2024"/>
    <s v="Q1"/>
    <n v="3686"/>
    <n v="11933"/>
    <n v="1971"/>
    <n v="368215"/>
    <n v="13.19"/>
    <n v="0"/>
    <n v="0.32"/>
    <n v="15.97"/>
    <n v="80.930000000000007"/>
    <n v="2.4"/>
    <n v="20787"/>
    <n v="970"/>
    <n v="5"/>
    <n v="36351701.030000001"/>
    <n v="82.645605603432699"/>
  </r>
  <r>
    <s v="P0497"/>
    <x v="381"/>
    <x v="1"/>
    <x v="2"/>
    <n v="2023"/>
    <s v="Q4"/>
    <n v="3272"/>
    <n v="17025"/>
    <n v="6391"/>
    <n v="252193"/>
    <n v="3.65"/>
    <n v="6"/>
    <n v="2.36"/>
    <n v="3.53"/>
    <n v="31.04"/>
    <n v="4"/>
    <n v="7705"/>
    <n v="3299"/>
    <n v="11"/>
    <n v="34542251.469999999"/>
    <n v="62.008357244667522"/>
  </r>
  <r>
    <s v="P0498"/>
    <x v="382"/>
    <x v="1"/>
    <x v="0"/>
    <n v="2023"/>
    <s v="Q4"/>
    <n v="1217"/>
    <n v="1589"/>
    <n v="12718"/>
    <n v="386907"/>
    <n v="8.36"/>
    <n v="17"/>
    <n v="3.1"/>
    <n v="23.02"/>
    <n v="27.96"/>
    <n v="3.3"/>
    <n v="5895"/>
    <n v="1845"/>
    <n v="9"/>
    <n v="-13930923.02"/>
    <n v="-720.38625347952461"/>
  </r>
  <r>
    <s v="P0499"/>
    <x v="227"/>
    <x v="1"/>
    <x v="0"/>
    <n v="2023"/>
    <s v="Q3"/>
    <n v="2666"/>
    <n v="19593"/>
    <n v="9935"/>
    <n v="285422"/>
    <n v="0.57999999999999996"/>
    <n v="8"/>
    <n v="3.99"/>
    <n v="2.34"/>
    <n v="47.24"/>
    <n v="3.8"/>
    <n v="16790"/>
    <n v="5370"/>
    <n v="11"/>
    <n v="25462803.66"/>
    <n v="48.746690691965597"/>
  </r>
  <r>
    <s v="P0500"/>
    <x v="383"/>
    <x v="1"/>
    <x v="1"/>
    <n v="2024"/>
    <s v="Q2"/>
    <n v="1112"/>
    <n v="11861"/>
    <n v="7142"/>
    <n v="455453"/>
    <n v="10"/>
    <n v="2"/>
    <n v="2.42"/>
    <n v="23.88"/>
    <n v="31.21"/>
    <n v="3.3"/>
    <n v="5191"/>
    <n v="8735"/>
    <n v="14"/>
    <n v="4792051.12"/>
    <n v="36.332505599937889"/>
  </r>
  <r>
    <s v="P0501"/>
    <x v="246"/>
    <x v="2"/>
    <x v="3"/>
    <n v="2023"/>
    <s v="Q3"/>
    <n v="2206"/>
    <n v="17869"/>
    <n v="2249"/>
    <n v="196721"/>
    <n v="4.8499999999999996"/>
    <n v="7"/>
    <n v="2.0299999999999998"/>
    <n v="15.27"/>
    <n v="68.739999999999995"/>
    <n v="3.7"/>
    <n v="8970"/>
    <n v="5986"/>
    <n v="11"/>
    <n v="34260983.729999997"/>
    <n v="86.914867353100206"/>
  </r>
  <r>
    <s v="P0502"/>
    <x v="384"/>
    <x v="2"/>
    <x v="0"/>
    <n v="2024"/>
    <s v="Q4"/>
    <n v="3032"/>
    <n v="4541"/>
    <n v="12729"/>
    <n v="218785"/>
    <n v="13.47"/>
    <n v="18"/>
    <n v="9.5500000000000007"/>
    <n v="0.03"/>
    <n v="60.88"/>
    <n v="1"/>
    <n v="5341"/>
    <n v="5690"/>
    <n v="11"/>
    <n v="-25044801.030000001"/>
    <n v="-181.90175404218033"/>
  </r>
  <r>
    <s v="P0503"/>
    <x v="385"/>
    <x v="1"/>
    <x v="0"/>
    <n v="2024"/>
    <s v="Q4"/>
    <n v="3344"/>
    <n v="1605"/>
    <n v="3339"/>
    <n v="254535"/>
    <n v="13.32"/>
    <n v="3"/>
    <n v="9.19"/>
    <n v="22.35"/>
    <n v="80"/>
    <n v="4.7"/>
    <n v="5848"/>
    <n v="7997"/>
    <n v="11"/>
    <n v="-6053053.3499999996"/>
    <n v="-112.78028719313151"/>
  </r>
  <r>
    <s v="P0504"/>
    <x v="386"/>
    <x v="0"/>
    <x v="0"/>
    <n v="2024"/>
    <s v="Q3"/>
    <n v="4779"/>
    <n v="10578"/>
    <n v="4759"/>
    <n v="226481"/>
    <n v="4.88"/>
    <n v="17"/>
    <n v="0.47"/>
    <n v="13.04"/>
    <n v="16.62"/>
    <n v="1.4"/>
    <n v="19276"/>
    <n v="8764"/>
    <n v="11"/>
    <n v="27582506.960000001"/>
    <n v="54.56235956365316"/>
  </r>
  <r>
    <s v="P0505"/>
    <x v="86"/>
    <x v="1"/>
    <x v="3"/>
    <n v="2024"/>
    <s v="Q2"/>
    <n v="1206"/>
    <n v="19779"/>
    <n v="13983"/>
    <n v="229838"/>
    <n v="13.51"/>
    <n v="19"/>
    <n v="3.39"/>
    <n v="6.57"/>
    <n v="83.21"/>
    <n v="2.6"/>
    <n v="7560"/>
    <n v="8371"/>
    <n v="2"/>
    <n v="6760131.4299999997"/>
    <n v="28.34023853297008"/>
  </r>
  <r>
    <s v="P0506"/>
    <x v="387"/>
    <x v="2"/>
    <x v="2"/>
    <n v="2024"/>
    <s v="Q4"/>
    <n v="782"/>
    <n v="7590"/>
    <n v="7085"/>
    <n v="96154"/>
    <n v="14.94"/>
    <n v="10"/>
    <n v="4.05"/>
    <n v="19.18"/>
    <n v="33.47"/>
    <n v="4.0999999999999996"/>
    <n v="17025"/>
    <n v="5258"/>
    <n v="6"/>
    <n v="298736.82"/>
    <n v="5.0331540693266481"/>
  </r>
  <r>
    <s v="P0507"/>
    <x v="388"/>
    <x v="2"/>
    <x v="0"/>
    <n v="2024"/>
    <s v="Q1"/>
    <n v="4380"/>
    <n v="7582"/>
    <n v="6232"/>
    <n v="319160"/>
    <n v="12.38"/>
    <n v="13"/>
    <n v="2.39"/>
    <n v="23.17"/>
    <n v="49.26"/>
    <n v="2.7"/>
    <n v="5800"/>
    <n v="8531"/>
    <n v="3"/>
    <n v="5593816.8300000001"/>
    <n v="16.844198498245667"/>
  </r>
  <r>
    <s v="P0508"/>
    <x v="389"/>
    <x v="2"/>
    <x v="3"/>
    <n v="2023"/>
    <s v="Q1"/>
    <n v="4896"/>
    <n v="18518"/>
    <n v="5060"/>
    <n v="491904"/>
    <n v="12.67"/>
    <n v="17"/>
    <n v="6.29"/>
    <n v="12.09"/>
    <n v="45.09"/>
    <n v="4.8"/>
    <n v="4838"/>
    <n v="689"/>
    <n v="14"/>
    <n v="65398451.909999996"/>
    <n v="72.132665203596275"/>
  </r>
  <r>
    <s v="P0509"/>
    <x v="343"/>
    <x v="0"/>
    <x v="1"/>
    <n v="2023"/>
    <s v="Q2"/>
    <n v="1003"/>
    <n v="3425"/>
    <n v="3161"/>
    <n v="401822"/>
    <n v="3.74"/>
    <n v="15"/>
    <n v="6.4"/>
    <n v="7.89"/>
    <n v="70.819999999999993"/>
    <n v="2.9"/>
    <n v="6987"/>
    <n v="9652"/>
    <n v="12"/>
    <n v="-137037.89000000001"/>
    <n v="-3.9891388607898932"/>
  </r>
  <r>
    <s v="P0510"/>
    <x v="390"/>
    <x v="2"/>
    <x v="2"/>
    <n v="2024"/>
    <s v="Q4"/>
    <n v="2589"/>
    <n v="19940"/>
    <n v="6964"/>
    <n v="424200"/>
    <n v="8.65"/>
    <n v="2"/>
    <n v="8.51"/>
    <n v="19.72"/>
    <n v="43.63"/>
    <n v="4.5"/>
    <n v="5014"/>
    <n v="1984"/>
    <n v="10"/>
    <n v="33170644.280000001"/>
    <n v="64.253487151295531"/>
  </r>
  <r>
    <s v="P0511"/>
    <x v="134"/>
    <x v="0"/>
    <x v="2"/>
    <n v="2023"/>
    <s v="Q4"/>
    <n v="3374"/>
    <n v="8417"/>
    <n v="14193"/>
    <n v="104238"/>
    <n v="1.01"/>
    <n v="14"/>
    <n v="7.41"/>
    <n v="17.04"/>
    <n v="85.48"/>
    <n v="4.2"/>
    <n v="18643"/>
    <n v="5499"/>
    <n v="8"/>
    <n v="-19592479.039999999"/>
    <n v="-68.990133511236579"/>
  </r>
  <r>
    <s v="P0512"/>
    <x v="391"/>
    <x v="1"/>
    <x v="0"/>
    <n v="2023"/>
    <s v="Q2"/>
    <n v="3351"/>
    <n v="2052"/>
    <n v="12644"/>
    <n v="370752"/>
    <n v="1.42"/>
    <n v="3"/>
    <n v="5.43"/>
    <n v="22.22"/>
    <n v="82.2"/>
    <n v="4.9000000000000004"/>
    <n v="12780"/>
    <n v="8603"/>
    <n v="11"/>
    <n v="-35864566.219999999"/>
    <n v="-521.57143484561072"/>
  </r>
  <r>
    <s v="P0513"/>
    <x v="300"/>
    <x v="2"/>
    <x v="3"/>
    <n v="2024"/>
    <s v="Q3"/>
    <n v="1592"/>
    <n v="5411"/>
    <n v="4470"/>
    <n v="139081"/>
    <n v="14.98"/>
    <n v="4"/>
    <n v="6.54"/>
    <n v="17.309999999999999"/>
    <n v="79.77"/>
    <n v="4.7"/>
    <n v="11807"/>
    <n v="1176"/>
    <n v="9"/>
    <n v="1358973.69"/>
    <n v="15.775765841775872"/>
  </r>
  <r>
    <s v="P0514"/>
    <x v="392"/>
    <x v="2"/>
    <x v="2"/>
    <n v="2024"/>
    <s v="Q3"/>
    <n v="1241"/>
    <n v="4889"/>
    <n v="2553"/>
    <n v="297644"/>
    <n v="4.9000000000000004"/>
    <n v="16"/>
    <n v="2.74"/>
    <n v="6.09"/>
    <n v="15.7"/>
    <n v="4.5999999999999996"/>
    <n v="11415"/>
    <n v="7335"/>
    <n v="7"/>
    <n v="2601325.91"/>
    <n v="42.874882998868188"/>
  </r>
  <r>
    <s v="P0515"/>
    <x v="393"/>
    <x v="2"/>
    <x v="2"/>
    <n v="2023"/>
    <s v="Q3"/>
    <n v="3043"/>
    <n v="15129"/>
    <n v="8900"/>
    <n v="475113"/>
    <n v="11.22"/>
    <n v="6"/>
    <n v="5.93"/>
    <n v="23.29"/>
    <n v="78.34"/>
    <n v="3.9"/>
    <n v="12658"/>
    <n v="6937"/>
    <n v="10"/>
    <n v="18479710.710000001"/>
    <n v="40.140519889124413"/>
  </r>
  <r>
    <s v="P0516"/>
    <x v="136"/>
    <x v="0"/>
    <x v="3"/>
    <n v="2024"/>
    <s v="Q2"/>
    <n v="2731"/>
    <n v="3930"/>
    <n v="11344"/>
    <n v="363105"/>
    <n v="12.1"/>
    <n v="15"/>
    <n v="4.8899999999999997"/>
    <n v="2.62"/>
    <n v="72.53"/>
    <n v="2.5"/>
    <n v="10121"/>
    <n v="133"/>
    <n v="7"/>
    <n v="-20610741.620000001"/>
    <n v="-192.03454839031272"/>
  </r>
  <r>
    <s v="P0517"/>
    <x v="394"/>
    <x v="1"/>
    <x v="0"/>
    <n v="2024"/>
    <s v="Q4"/>
    <n v="1267"/>
    <n v="1958"/>
    <n v="2738"/>
    <n v="249775"/>
    <n v="12.87"/>
    <n v="13"/>
    <n v="1.33"/>
    <n v="6.7"/>
    <n v="18.28"/>
    <n v="1.4"/>
    <n v="12047"/>
    <n v="1941"/>
    <n v="8"/>
    <n v="-1238041.7"/>
    <n v="-49.905219555415101"/>
  </r>
  <r>
    <s v="P0518"/>
    <x v="324"/>
    <x v="1"/>
    <x v="0"/>
    <n v="2024"/>
    <s v="Q2"/>
    <n v="1590"/>
    <n v="14895"/>
    <n v="9362"/>
    <n v="487973"/>
    <n v="14.96"/>
    <n v="15"/>
    <n v="2.4300000000000002"/>
    <n v="13"/>
    <n v="18.59"/>
    <n v="3.8"/>
    <n v="14985"/>
    <n v="4581"/>
    <n v="8"/>
    <n v="8309484"/>
    <n v="35.086207224153981"/>
  </r>
  <r>
    <s v="P0519"/>
    <x v="84"/>
    <x v="0"/>
    <x v="0"/>
    <n v="2024"/>
    <s v="Q4"/>
    <n v="3286"/>
    <n v="1707"/>
    <n v="6776"/>
    <n v="339061"/>
    <n v="3.62"/>
    <n v="6"/>
    <n v="2.92"/>
    <n v="14.14"/>
    <n v="18.09"/>
    <n v="4.9000000000000004"/>
    <n v="3959"/>
    <n v="8540"/>
    <n v="10"/>
    <n v="-16995809.140000001"/>
    <n v="-302.99869999333237"/>
  </r>
  <r>
    <s v="P0520"/>
    <x v="395"/>
    <x v="0"/>
    <x v="2"/>
    <n v="2024"/>
    <s v="Q4"/>
    <n v="2436"/>
    <n v="2399"/>
    <n v="13940"/>
    <n v="465952"/>
    <n v="0.61"/>
    <n v="8"/>
    <n v="9.24"/>
    <n v="0.38"/>
    <n v="10.91"/>
    <n v="3.9"/>
    <n v="6773"/>
    <n v="1234"/>
    <n v="12"/>
    <n v="-28579828.379999999"/>
    <n v="-489.04867278443191"/>
  </r>
  <r>
    <s v="P0521"/>
    <x v="396"/>
    <x v="2"/>
    <x v="3"/>
    <n v="2024"/>
    <s v="Q4"/>
    <n v="3769"/>
    <n v="13153"/>
    <n v="13471"/>
    <n v="340134"/>
    <n v="6.17"/>
    <n v="3"/>
    <n v="2.2999999999999998"/>
    <n v="19.510000000000002"/>
    <n v="53.89"/>
    <n v="4.7"/>
    <n v="19602"/>
    <n v="7361"/>
    <n v="9"/>
    <n v="-1538695.51"/>
    <n v="-3.1038571755963051"/>
  </r>
  <r>
    <s v="P0522"/>
    <x v="271"/>
    <x v="1"/>
    <x v="2"/>
    <n v="2024"/>
    <s v="Q2"/>
    <n v="1438"/>
    <n v="17905"/>
    <n v="10923"/>
    <n v="112551"/>
    <n v="1.95"/>
    <n v="10"/>
    <n v="2.89"/>
    <n v="9.0399999999999991"/>
    <n v="87.87"/>
    <n v="4.2"/>
    <n v="10957"/>
    <n v="5398"/>
    <n v="14"/>
    <n v="9927555.9600000009"/>
    <n v="38.557523539279131"/>
  </r>
  <r>
    <s v="P0523"/>
    <x v="126"/>
    <x v="1"/>
    <x v="1"/>
    <n v="2024"/>
    <s v="Q4"/>
    <n v="1906"/>
    <n v="10101"/>
    <n v="7388"/>
    <n v="260695"/>
    <n v="0.34"/>
    <n v="1"/>
    <n v="3.69"/>
    <n v="10.16"/>
    <n v="45.09"/>
    <n v="1.7"/>
    <n v="6923"/>
    <n v="7117"/>
    <n v="2"/>
    <n v="4910272.84"/>
    <n v="25.504590623163548"/>
  </r>
  <r>
    <s v="P0524"/>
    <x v="395"/>
    <x v="1"/>
    <x v="1"/>
    <n v="2024"/>
    <s v="Q4"/>
    <n v="1415"/>
    <n v="2394"/>
    <n v="9416"/>
    <n v="203512"/>
    <n v="5.41"/>
    <n v="11"/>
    <n v="6.64"/>
    <n v="20.23"/>
    <n v="53.26"/>
    <n v="2"/>
    <n v="19192"/>
    <n v="7871"/>
    <n v="5"/>
    <n v="-10139662.23"/>
    <n v="-299.32493867176777"/>
  </r>
  <r>
    <s v="P0525"/>
    <x v="267"/>
    <x v="2"/>
    <x v="2"/>
    <n v="2024"/>
    <s v="Q4"/>
    <n v="549"/>
    <n v="2014"/>
    <n v="7104"/>
    <n v="216277"/>
    <n v="11.76"/>
    <n v="11"/>
    <n v="1.18"/>
    <n v="9.48"/>
    <n v="87.44"/>
    <n v="2.4"/>
    <n v="18934"/>
    <n v="8667"/>
    <n v="8"/>
    <n v="-3010696.48"/>
    <n v="-272.29217698333883"/>
  </r>
  <r>
    <s v="P0526"/>
    <x v="397"/>
    <x v="1"/>
    <x v="2"/>
    <n v="2024"/>
    <s v="Q2"/>
    <n v="1730"/>
    <n v="5609"/>
    <n v="8145"/>
    <n v="130811"/>
    <n v="8.49"/>
    <n v="3"/>
    <n v="9.5399999999999991"/>
    <n v="1.18"/>
    <n v="30.41"/>
    <n v="1.7"/>
    <n v="6979"/>
    <n v="9015"/>
    <n v="12"/>
    <n v="-4518092.18"/>
    <n v="-46.561133479739929"/>
  </r>
  <r>
    <s v="P0527"/>
    <x v="134"/>
    <x v="1"/>
    <x v="2"/>
    <n v="2024"/>
    <s v="Q4"/>
    <n v="560"/>
    <n v="14758"/>
    <n v="13716"/>
    <n v="304840"/>
    <n v="4.6900000000000004"/>
    <n v="17"/>
    <n v="8.66"/>
    <n v="4.41"/>
    <n v="78.680000000000007"/>
    <n v="3.3"/>
    <n v="16919"/>
    <n v="2013"/>
    <n v="9"/>
    <n v="278675.59000000003"/>
    <n v="3.3719676253073398"/>
  </r>
  <r>
    <s v="P0528"/>
    <x v="398"/>
    <x v="0"/>
    <x v="0"/>
    <n v="2023"/>
    <s v="Q2"/>
    <n v="4362"/>
    <n v="16813"/>
    <n v="8675"/>
    <n v="367247"/>
    <n v="9.82"/>
    <n v="6"/>
    <n v="5.77"/>
    <n v="23.9"/>
    <n v="53.71"/>
    <n v="4.9000000000000004"/>
    <n v="3749"/>
    <n v="4397"/>
    <n v="8"/>
    <n v="35130685.100000001"/>
    <n v="47.902231475049348"/>
  </r>
  <r>
    <s v="P0529"/>
    <x v="399"/>
    <x v="0"/>
    <x v="3"/>
    <n v="2023"/>
    <s v="Q4"/>
    <n v="1374"/>
    <n v="16849"/>
    <n v="9886"/>
    <n v="484843"/>
    <n v="3.48"/>
    <n v="0"/>
    <n v="6.74"/>
    <n v="1.76"/>
    <n v="55.56"/>
    <n v="4"/>
    <n v="4309"/>
    <n v="2042"/>
    <n v="13"/>
    <n v="9082317.2400000002"/>
    <n v="39.231580483311696"/>
  </r>
  <r>
    <s v="P0530"/>
    <x v="400"/>
    <x v="2"/>
    <x v="2"/>
    <n v="2024"/>
    <s v="Q1"/>
    <n v="1205"/>
    <n v="8679"/>
    <n v="7433"/>
    <n v="418266"/>
    <n v="0.22"/>
    <n v="12"/>
    <n v="0.17"/>
    <n v="8.8699999999999992"/>
    <n v="37.450000000000003"/>
    <n v="2.7"/>
    <n v="4421"/>
    <n v="4104"/>
    <n v="4"/>
    <n v="1083155.1299999999"/>
    <n v="10.356998793768904"/>
  </r>
  <r>
    <s v="P0531"/>
    <x v="219"/>
    <x v="0"/>
    <x v="3"/>
    <n v="2023"/>
    <s v="Q1"/>
    <n v="1877"/>
    <n v="11826"/>
    <n v="1397"/>
    <n v="284104"/>
    <n v="11.47"/>
    <n v="5"/>
    <n v="3.39"/>
    <n v="12.58"/>
    <n v="54.93"/>
    <n v="1"/>
    <n v="6176"/>
    <n v="1431"/>
    <n v="5"/>
    <n v="19291116.420000002"/>
    <n v="86.907091289331973"/>
  </r>
  <r>
    <s v="P0532"/>
    <x v="394"/>
    <x v="0"/>
    <x v="2"/>
    <n v="2023"/>
    <s v="Q2"/>
    <n v="3191"/>
    <n v="13287"/>
    <n v="3862"/>
    <n v="69008"/>
    <n v="9.36"/>
    <n v="5"/>
    <n v="7.96"/>
    <n v="12.33"/>
    <n v="15.85"/>
    <n v="2.2999999999999998"/>
    <n v="3917"/>
    <n v="7990"/>
    <n v="13"/>
    <n v="30006154.670000002"/>
    <n v="70.771207295712983"/>
  </r>
  <r>
    <s v="P0533"/>
    <x v="152"/>
    <x v="0"/>
    <x v="3"/>
    <n v="2024"/>
    <s v="Q4"/>
    <n v="3536"/>
    <n v="3060"/>
    <n v="3136"/>
    <n v="252346"/>
    <n v="11.43"/>
    <n v="11"/>
    <n v="0.77"/>
    <n v="0.1"/>
    <n v="71.17"/>
    <n v="3.1"/>
    <n v="18416"/>
    <n v="4688"/>
    <n v="8"/>
    <n v="-521082.1"/>
    <n v="-4.8158446825185584"/>
  </r>
  <r>
    <s v="P0534"/>
    <x v="168"/>
    <x v="1"/>
    <x v="0"/>
    <n v="2023"/>
    <s v="Q4"/>
    <n v="1860"/>
    <n v="15112"/>
    <n v="13680"/>
    <n v="82402"/>
    <n v="0.57999999999999996"/>
    <n v="7"/>
    <n v="2.82"/>
    <n v="12.53"/>
    <n v="32.78"/>
    <n v="2.2999999999999998"/>
    <n v="14963"/>
    <n v="437"/>
    <n v="9"/>
    <n v="2581105.4700000002"/>
    <n v="9.1827098524564974"/>
  </r>
  <r>
    <s v="P0535"/>
    <x v="401"/>
    <x v="0"/>
    <x v="3"/>
    <n v="2024"/>
    <s v="Q4"/>
    <n v="2973"/>
    <n v="19150"/>
    <n v="10679"/>
    <n v="234456"/>
    <n v="12.56"/>
    <n v="18"/>
    <n v="5.85"/>
    <n v="9.59"/>
    <n v="81.010000000000005"/>
    <n v="1.4"/>
    <n v="9667"/>
    <n v="7166"/>
    <n v="8"/>
    <n v="24949817.41"/>
    <n v="43.823159365534373"/>
  </r>
  <r>
    <s v="P0536"/>
    <x v="302"/>
    <x v="0"/>
    <x v="0"/>
    <n v="2023"/>
    <s v="Q4"/>
    <n v="2264"/>
    <n v="6280"/>
    <n v="1372"/>
    <n v="309994"/>
    <n v="9.2899999999999991"/>
    <n v="4"/>
    <n v="2.56"/>
    <n v="24.3"/>
    <n v="39.43"/>
    <n v="2.8"/>
    <n v="2969"/>
    <n v="7913"/>
    <n v="7"/>
    <n v="10801693.699999999"/>
    <n v="75.972390476244058"/>
  </r>
  <r>
    <s v="P0537"/>
    <x v="402"/>
    <x v="0"/>
    <x v="2"/>
    <n v="2023"/>
    <s v="Q3"/>
    <n v="4236"/>
    <n v="19811"/>
    <n v="8321"/>
    <n v="449009"/>
    <n v="8.4499999999999993"/>
    <n v="17"/>
    <n v="9.34"/>
    <n v="3.98"/>
    <n v="21.43"/>
    <n v="2"/>
    <n v="8792"/>
    <n v="9083"/>
    <n v="10"/>
    <n v="48222627.020000003"/>
    <n v="57.463029190534222"/>
  </r>
  <r>
    <s v="P0538"/>
    <x v="403"/>
    <x v="2"/>
    <x v="3"/>
    <n v="2023"/>
    <s v="Q2"/>
    <n v="763"/>
    <n v="13394"/>
    <n v="6971"/>
    <n v="186643"/>
    <n v="9.3699999999999992"/>
    <n v="4"/>
    <n v="1.31"/>
    <n v="8.85"/>
    <n v="65.67"/>
    <n v="4.5999999999999996"/>
    <n v="8431"/>
    <n v="3711"/>
    <n v="10"/>
    <n v="4714097.1500000004"/>
    <n v="46.127901305938721"/>
  </r>
  <r>
    <s v="P0539"/>
    <x v="34"/>
    <x v="1"/>
    <x v="0"/>
    <n v="2024"/>
    <s v="Q2"/>
    <n v="3652"/>
    <n v="3856"/>
    <n v="7897"/>
    <n v="459425"/>
    <n v="12.97"/>
    <n v="9"/>
    <n v="7.97"/>
    <n v="10.49"/>
    <n v="23.17"/>
    <n v="1.4"/>
    <n v="2591"/>
    <n v="3800"/>
    <n v="12"/>
    <n v="-15217167.49"/>
    <n v="-108.06026461087654"/>
  </r>
  <r>
    <s v="P0540"/>
    <x v="42"/>
    <x v="2"/>
    <x v="2"/>
    <n v="2023"/>
    <s v="Q3"/>
    <n v="4184"/>
    <n v="6290"/>
    <n v="2890"/>
    <n v="163550"/>
    <n v="8.8000000000000007"/>
    <n v="0"/>
    <n v="5.08"/>
    <n v="9.77"/>
    <n v="70.290000000000006"/>
    <n v="1.2"/>
    <n v="17863"/>
    <n v="9808"/>
    <n v="14"/>
    <n v="14062040.23"/>
    <n v="53.432564018579377"/>
  </r>
  <r>
    <s v="P0541"/>
    <x v="404"/>
    <x v="2"/>
    <x v="2"/>
    <n v="2023"/>
    <s v="Q1"/>
    <n v="3572"/>
    <n v="18190"/>
    <n v="14792"/>
    <n v="486364"/>
    <n v="8.7100000000000009"/>
    <n v="9"/>
    <n v="7.5"/>
    <n v="16.649999999999999"/>
    <n v="87.45"/>
    <n v="1"/>
    <n v="1760"/>
    <n v="6218"/>
    <n v="8"/>
    <n v="11651275.35"/>
    <n v="17.932024213124251"/>
  </r>
  <r>
    <s v="P0542"/>
    <x v="405"/>
    <x v="2"/>
    <x v="3"/>
    <n v="2023"/>
    <s v="Q1"/>
    <n v="4318"/>
    <n v="11681"/>
    <n v="7366"/>
    <n v="141218"/>
    <n v="14.86"/>
    <n v="4"/>
    <n v="3.11"/>
    <n v="5.39"/>
    <n v="72.36"/>
    <n v="2.2999999999999998"/>
    <n v="11956"/>
    <n v="7205"/>
    <n v="9"/>
    <n v="18490946.609999999"/>
    <n v="36.660339516446925"/>
  </r>
  <r>
    <s v="P0543"/>
    <x v="59"/>
    <x v="2"/>
    <x v="0"/>
    <n v="2024"/>
    <s v="Q4"/>
    <n v="4798"/>
    <n v="8557"/>
    <n v="12661"/>
    <n v="183296"/>
    <n v="11.35"/>
    <n v="11"/>
    <n v="5.14"/>
    <n v="5.53"/>
    <n v="11.8"/>
    <n v="3.6"/>
    <n v="14935"/>
    <n v="2773"/>
    <n v="7"/>
    <n v="-19874293.530000001"/>
    <n v="-48.407195710806818"/>
  </r>
  <r>
    <s v="P0544"/>
    <x v="122"/>
    <x v="0"/>
    <x v="0"/>
    <n v="2023"/>
    <s v="Q1"/>
    <n v="4899"/>
    <n v="17582"/>
    <n v="13264"/>
    <n v="229767"/>
    <n v="6.63"/>
    <n v="6"/>
    <n v="8.57"/>
    <n v="18.23"/>
    <n v="57.99"/>
    <n v="3.9"/>
    <n v="10877"/>
    <n v="2222"/>
    <n v="2"/>
    <n v="20924096.77"/>
    <n v="24.29243250342158"/>
  </r>
  <r>
    <s v="P0545"/>
    <x v="387"/>
    <x v="2"/>
    <x v="3"/>
    <n v="2023"/>
    <s v="Q2"/>
    <n v="1293"/>
    <n v="2161"/>
    <n v="5424"/>
    <n v="432923"/>
    <n v="10.61"/>
    <n v="8"/>
    <n v="4.67"/>
    <n v="12.51"/>
    <n v="65.63"/>
    <n v="2.8"/>
    <n v="17313"/>
    <n v="7182"/>
    <n v="2"/>
    <n v="-4651994.51"/>
    <n v="-166.48913685730983"/>
  </r>
  <r>
    <s v="P0546"/>
    <x v="60"/>
    <x v="0"/>
    <x v="2"/>
    <n v="2023"/>
    <s v="Q4"/>
    <n v="3759"/>
    <n v="6144"/>
    <n v="2433"/>
    <n v="441858"/>
    <n v="5.84"/>
    <n v="11"/>
    <n v="3.6"/>
    <n v="10.38"/>
    <n v="76.040000000000006"/>
    <n v="3.7"/>
    <n v="5801"/>
    <n v="8350"/>
    <n v="7"/>
    <n v="13507780.619999999"/>
    <n v="58.487150889947458"/>
  </r>
  <r>
    <s v="P0547"/>
    <x v="44"/>
    <x v="1"/>
    <x v="0"/>
    <n v="2023"/>
    <s v="Q1"/>
    <n v="1131"/>
    <n v="17211"/>
    <n v="14053"/>
    <n v="291060"/>
    <n v="3.43"/>
    <n v="0"/>
    <n v="5.36"/>
    <n v="4.2300000000000004"/>
    <n v="14.48"/>
    <n v="2.4"/>
    <n v="8707"/>
    <n v="2162"/>
    <n v="3"/>
    <n v="3280633.77"/>
    <n v="16.853458717336871"/>
  </r>
  <r>
    <s v="P0548"/>
    <x v="283"/>
    <x v="2"/>
    <x v="1"/>
    <n v="2023"/>
    <s v="Q1"/>
    <n v="505"/>
    <n v="4420"/>
    <n v="2317"/>
    <n v="290016"/>
    <n v="8.9499999999999993"/>
    <n v="10"/>
    <n v="7.17"/>
    <n v="4.6900000000000004"/>
    <n v="48.41"/>
    <n v="3.7"/>
    <n v="17976"/>
    <n v="1354"/>
    <n v="9"/>
    <n v="771994.31"/>
    <n v="34.586009139375477"/>
  </r>
  <r>
    <s v="P0549"/>
    <x v="100"/>
    <x v="2"/>
    <x v="0"/>
    <n v="2023"/>
    <s v="Q1"/>
    <n v="4974"/>
    <n v="17502"/>
    <n v="13285"/>
    <n v="82441"/>
    <n v="13.92"/>
    <n v="14"/>
    <n v="4.4400000000000004"/>
    <n v="0.26"/>
    <n v="52.83"/>
    <n v="1.2"/>
    <n v="10056"/>
    <n v="3788"/>
    <n v="2"/>
    <n v="20892916.739999998"/>
    <n v="23.999688955072372"/>
  </r>
  <r>
    <s v="P0550"/>
    <x v="406"/>
    <x v="2"/>
    <x v="1"/>
    <n v="2024"/>
    <s v="Q3"/>
    <n v="944"/>
    <n v="15525"/>
    <n v="11649"/>
    <n v="288038"/>
    <n v="13.94"/>
    <n v="1"/>
    <n v="9.39"/>
    <n v="2.29"/>
    <n v="23.53"/>
    <n v="2.6"/>
    <n v="15295"/>
    <n v="3848"/>
    <n v="14"/>
    <n v="3370903.71"/>
    <n v="23.000789527552605"/>
  </r>
  <r>
    <s v="P0551"/>
    <x v="392"/>
    <x v="2"/>
    <x v="0"/>
    <n v="2023"/>
    <s v="Q1"/>
    <n v="1434"/>
    <n v="10446"/>
    <n v="4448"/>
    <n v="220201"/>
    <n v="5.13"/>
    <n v="19"/>
    <n v="2.95"/>
    <n v="13.92"/>
    <n v="35.799999999999997"/>
    <n v="4.2"/>
    <n v="7625"/>
    <n v="6442"/>
    <n v="3"/>
    <n v="8380917.0800000001"/>
    <n v="55.949005458369818"/>
  </r>
  <r>
    <s v="P0552"/>
    <x v="407"/>
    <x v="0"/>
    <x v="1"/>
    <n v="2023"/>
    <s v="Q4"/>
    <n v="2008"/>
    <n v="14232"/>
    <n v="13940"/>
    <n v="281324"/>
    <n v="7.92"/>
    <n v="6"/>
    <n v="4.75"/>
    <n v="22.3"/>
    <n v="45.22"/>
    <n v="4.2"/>
    <n v="3424"/>
    <n v="4230"/>
    <n v="9"/>
    <n v="304989.7"/>
    <n v="1.0672238673188081"/>
  </r>
  <r>
    <s v="P0553"/>
    <x v="255"/>
    <x v="1"/>
    <x v="3"/>
    <n v="2024"/>
    <s v="Q3"/>
    <n v="3122"/>
    <n v="7736"/>
    <n v="12580"/>
    <n v="374512"/>
    <n v="3.17"/>
    <n v="11"/>
    <n v="7.57"/>
    <n v="7.18"/>
    <n v="76.66"/>
    <n v="3.9"/>
    <n v="20979"/>
    <n v="4357"/>
    <n v="13"/>
    <n v="-15497487.18"/>
    <n v="-64.167028185734623"/>
  </r>
  <r>
    <s v="P0554"/>
    <x v="408"/>
    <x v="0"/>
    <x v="1"/>
    <n v="2023"/>
    <s v="Q4"/>
    <n v="2046"/>
    <n v="17809"/>
    <n v="2337"/>
    <n v="142122"/>
    <n v="14.93"/>
    <n v="17"/>
    <n v="6.89"/>
    <n v="8.19"/>
    <n v="84.35"/>
    <n v="1.8"/>
    <n v="8183"/>
    <n v="3129"/>
    <n v="7"/>
    <n v="31513581.809999999"/>
    <n v="86.48735276522514"/>
  </r>
  <r>
    <s v="P0555"/>
    <x v="409"/>
    <x v="0"/>
    <x v="3"/>
    <n v="2024"/>
    <s v="Q1"/>
    <n v="4335"/>
    <n v="15018"/>
    <n v="14168"/>
    <n v="94760"/>
    <n v="14.72"/>
    <n v="2"/>
    <n v="8.64"/>
    <n v="2.89"/>
    <n v="60.27"/>
    <n v="2"/>
    <n v="20422"/>
    <n v="2946"/>
    <n v="13"/>
    <n v="3589987.11"/>
    <n v="5.5143164765142263"/>
  </r>
  <r>
    <s v="P0556"/>
    <x v="410"/>
    <x v="2"/>
    <x v="1"/>
    <n v="2024"/>
    <s v="Q2"/>
    <n v="554"/>
    <n v="1852"/>
    <n v="3937"/>
    <n v="335622"/>
    <n v="9.74"/>
    <n v="6"/>
    <n v="9.9700000000000006"/>
    <n v="9.7200000000000006"/>
    <n v="41.6"/>
    <n v="5"/>
    <n v="20160"/>
    <n v="8762"/>
    <n v="11"/>
    <n v="-1490721.72"/>
    <n v="-145.29338172801772"/>
  </r>
  <r>
    <s v="P0557"/>
    <x v="19"/>
    <x v="0"/>
    <x v="0"/>
    <n v="2023"/>
    <s v="Q1"/>
    <n v="1264"/>
    <n v="8505"/>
    <n v="7785"/>
    <n v="440025"/>
    <n v="12.07"/>
    <n v="10"/>
    <n v="4.2699999999999996"/>
    <n v="0.93"/>
    <n v="30.32"/>
    <n v="1.4"/>
    <n v="14831"/>
    <n v="4135"/>
    <n v="3"/>
    <n v="470054.07"/>
    <n v="4.3724658428772347"/>
  </r>
  <r>
    <s v="P0558"/>
    <x v="68"/>
    <x v="1"/>
    <x v="2"/>
    <n v="2023"/>
    <s v="Q2"/>
    <n v="1581"/>
    <n v="15536"/>
    <n v="897"/>
    <n v="383998"/>
    <n v="10.73"/>
    <n v="17"/>
    <n v="1.1100000000000001"/>
    <n v="22.94"/>
    <n v="88.57"/>
    <n v="1.7"/>
    <n v="11445"/>
    <n v="2999"/>
    <n v="3"/>
    <n v="22760238.059999999"/>
    <n v="92.662863702007158"/>
  </r>
  <r>
    <s v="P0559"/>
    <x v="411"/>
    <x v="1"/>
    <x v="0"/>
    <n v="2023"/>
    <s v="Q1"/>
    <n v="3490"/>
    <n v="18042"/>
    <n v="12207"/>
    <n v="406374"/>
    <n v="8.9"/>
    <n v="11"/>
    <n v="0.3"/>
    <n v="16.829999999999998"/>
    <n v="88.64"/>
    <n v="1.5"/>
    <n v="18794"/>
    <n v="9738"/>
    <n v="12"/>
    <n v="19957759.170000002"/>
    <n v="31.695796674998071"/>
  </r>
  <r>
    <s v="P0560"/>
    <x v="412"/>
    <x v="1"/>
    <x v="1"/>
    <n v="2023"/>
    <s v="Q3"/>
    <n v="873"/>
    <n v="2456"/>
    <n v="14991"/>
    <n v="397860"/>
    <n v="0.8"/>
    <n v="5"/>
    <n v="7.27"/>
    <n v="24.77"/>
    <n v="84"/>
    <n v="2.2999999999999998"/>
    <n v="1806"/>
    <n v="4543"/>
    <n v="8"/>
    <n v="-11340939.77"/>
    <n v="-528.94003277850527"/>
  </r>
  <r>
    <s v="P0561"/>
    <x v="233"/>
    <x v="0"/>
    <x v="3"/>
    <n v="2023"/>
    <s v="Q3"/>
    <n v="978"/>
    <n v="3571"/>
    <n v="13522"/>
    <n v="193252"/>
    <n v="6.82"/>
    <n v="4"/>
    <n v="8.74"/>
    <n v="22.07"/>
    <n v="72.849999999999994"/>
    <n v="1.8"/>
    <n v="5731"/>
    <n v="4889"/>
    <n v="6"/>
    <n v="-9925352.0700000003"/>
    <n v="-284.19551241854543"/>
  </r>
  <r>
    <s v="P0562"/>
    <x v="413"/>
    <x v="2"/>
    <x v="1"/>
    <n v="2024"/>
    <s v="Q4"/>
    <n v="183"/>
    <n v="10095"/>
    <n v="13724"/>
    <n v="148538"/>
    <n v="10.119999999999999"/>
    <n v="0"/>
    <n v="2.21"/>
    <n v="11.82"/>
    <n v="36.06"/>
    <n v="3"/>
    <n v="7528"/>
    <n v="1012"/>
    <n v="6"/>
    <n v="-812656.82"/>
    <n v="-43.989575535148326"/>
  </r>
  <r>
    <s v="P0563"/>
    <x v="414"/>
    <x v="2"/>
    <x v="1"/>
    <n v="2024"/>
    <s v="Q4"/>
    <n v="2155"/>
    <n v="16640"/>
    <n v="4550"/>
    <n v="65372"/>
    <n v="10.16"/>
    <n v="11"/>
    <n v="1.58"/>
    <n v="12.99"/>
    <n v="75.36"/>
    <n v="2.9"/>
    <n v="13707"/>
    <n v="4342"/>
    <n v="9"/>
    <n v="25988565.010000002"/>
    <n v="72.473911883142961"/>
  </r>
  <r>
    <s v="P0564"/>
    <x v="415"/>
    <x v="2"/>
    <x v="0"/>
    <n v="2024"/>
    <s v="Q2"/>
    <n v="3677"/>
    <n v="14303"/>
    <n v="12149"/>
    <n v="341940"/>
    <n v="5.6"/>
    <n v="10"/>
    <n v="0.62"/>
    <n v="4.76"/>
    <n v="42.7"/>
    <n v="4.5999999999999996"/>
    <n v="8158"/>
    <n v="7641"/>
    <n v="13"/>
    <n v="7578313.2400000002"/>
    <n v="14.409595306187537"/>
  </r>
  <r>
    <s v="P0565"/>
    <x v="416"/>
    <x v="0"/>
    <x v="1"/>
    <n v="2024"/>
    <s v="Q2"/>
    <n v="4830"/>
    <n v="4953"/>
    <n v="13675"/>
    <n v="271035"/>
    <n v="14.13"/>
    <n v="3"/>
    <n v="8.23"/>
    <n v="11.55"/>
    <n v="36.14"/>
    <n v="1.1000000000000001"/>
    <n v="7836"/>
    <n v="1811"/>
    <n v="13"/>
    <n v="-42398306.549999997"/>
    <n v="-177.22829190665547"/>
  </r>
  <r>
    <s v="P0566"/>
    <x v="416"/>
    <x v="2"/>
    <x v="2"/>
    <n v="2023"/>
    <s v="Q1"/>
    <n v="1902"/>
    <n v="8175"/>
    <n v="9335"/>
    <n v="410970"/>
    <n v="2.5099999999999998"/>
    <n v="17"/>
    <n v="3.11"/>
    <n v="22.58"/>
    <n v="69.59"/>
    <n v="2.2999999999999998"/>
    <n v="15396"/>
    <n v="8966"/>
    <n v="8"/>
    <n v="-2617312.58"/>
    <n v="-16.832837026532509"/>
  </r>
  <r>
    <s v="P0567"/>
    <x v="272"/>
    <x v="0"/>
    <x v="2"/>
    <n v="2023"/>
    <s v="Q2"/>
    <n v="4960"/>
    <n v="2455"/>
    <n v="8974"/>
    <n v="432736"/>
    <n v="7.51"/>
    <n v="3"/>
    <n v="4.0199999999999996"/>
    <n v="1.27"/>
    <n v="16.37"/>
    <n v="3.4"/>
    <n v="11130"/>
    <n v="1539"/>
    <n v="13"/>
    <n v="-32766977.27"/>
    <n v="-269.09349968793117"/>
  </r>
  <r>
    <s v="P0568"/>
    <x v="417"/>
    <x v="1"/>
    <x v="3"/>
    <n v="2023"/>
    <s v="Q1"/>
    <n v="4225"/>
    <n v="7795"/>
    <n v="8903"/>
    <n v="405779"/>
    <n v="10.36"/>
    <n v="16"/>
    <n v="5.03"/>
    <n v="21.59"/>
    <n v="13.89"/>
    <n v="3.4"/>
    <n v="18756"/>
    <n v="5713"/>
    <n v="10"/>
    <n v="-5087100.59"/>
    <n v="-15.446407657768788"/>
  </r>
  <r>
    <s v="P0569"/>
    <x v="233"/>
    <x v="0"/>
    <x v="3"/>
    <n v="2024"/>
    <s v="Q4"/>
    <n v="2983"/>
    <n v="17421"/>
    <n v="6213"/>
    <n v="161022"/>
    <n v="10.46"/>
    <n v="1"/>
    <n v="8.39"/>
    <n v="8.52"/>
    <n v="45.84"/>
    <n v="2.9"/>
    <n v="2641"/>
    <n v="3730"/>
    <n v="5"/>
    <n v="33272433.48"/>
    <n v="64.026274368831679"/>
  </r>
  <r>
    <s v="P0570"/>
    <x v="418"/>
    <x v="1"/>
    <x v="1"/>
    <n v="2024"/>
    <s v="Q2"/>
    <n v="3334"/>
    <n v="19596"/>
    <n v="5466"/>
    <n v="104040"/>
    <n v="9.73"/>
    <n v="1"/>
    <n v="6.51"/>
    <n v="22.49"/>
    <n v="45.65"/>
    <n v="4.3"/>
    <n v="18549"/>
    <n v="5475"/>
    <n v="11"/>
    <n v="47005357.509999998"/>
    <n v="71.947272379571842"/>
  </r>
  <r>
    <s v="P0571"/>
    <x v="419"/>
    <x v="2"/>
    <x v="2"/>
    <n v="2023"/>
    <s v="Q3"/>
    <n v="4348"/>
    <n v="16782"/>
    <n v="1410"/>
    <n v="387501"/>
    <n v="4.13"/>
    <n v="11"/>
    <n v="6.15"/>
    <n v="23.52"/>
    <n v="81.650000000000006"/>
    <n v="1.3"/>
    <n v="9900"/>
    <n v="7203"/>
    <n v="5"/>
    <n v="66449931.479999997"/>
    <n v="91.067053542384585"/>
  </r>
  <r>
    <s v="P0572"/>
    <x v="420"/>
    <x v="0"/>
    <x v="3"/>
    <n v="2023"/>
    <s v="Q4"/>
    <n v="2861"/>
    <n v="6203"/>
    <n v="2527"/>
    <n v="252440"/>
    <n v="2.34"/>
    <n v="5"/>
    <n v="1.76"/>
    <n v="16.77"/>
    <n v="20.09"/>
    <n v="4.3"/>
    <n v="2451"/>
    <n v="8977"/>
    <n v="3"/>
    <n v="10264579.23"/>
    <n v="57.839098105836982"/>
  </r>
  <r>
    <s v="P0573"/>
    <x v="50"/>
    <x v="2"/>
    <x v="0"/>
    <n v="2023"/>
    <s v="Q3"/>
    <n v="1300"/>
    <n v="8063"/>
    <n v="11282"/>
    <n v="128356"/>
    <n v="9.5399999999999991"/>
    <n v="9"/>
    <n v="5.13"/>
    <n v="16.61"/>
    <n v="19.86"/>
    <n v="3"/>
    <n v="10749"/>
    <n v="9418"/>
    <n v="4"/>
    <n v="-4313072.6100000003"/>
    <n v="-41.147812991919409"/>
  </r>
  <r>
    <s v="P0574"/>
    <x v="316"/>
    <x v="0"/>
    <x v="3"/>
    <n v="2023"/>
    <s v="Q2"/>
    <n v="3562"/>
    <n v="13503"/>
    <n v="2654"/>
    <n v="328355"/>
    <n v="8.99"/>
    <n v="15"/>
    <n v="7.15"/>
    <n v="11.32"/>
    <n v="21.8"/>
    <n v="1.5"/>
    <n v="14436"/>
    <n v="4316"/>
    <n v="2"/>
    <n v="38315771.68"/>
    <n v="79.662401388707138"/>
  </r>
  <r>
    <s v="P0575"/>
    <x v="421"/>
    <x v="0"/>
    <x v="0"/>
    <n v="2024"/>
    <s v="Q4"/>
    <n v="1306"/>
    <n v="12317"/>
    <n v="11600"/>
    <n v="417570"/>
    <n v="2.69"/>
    <n v="13"/>
    <n v="9.73"/>
    <n v="20.89"/>
    <n v="12.38"/>
    <n v="4.5"/>
    <n v="15955"/>
    <n v="2566"/>
    <n v="2"/>
    <n v="518811.11"/>
    <n v="3.2252334047950511"/>
  </r>
  <r>
    <s v="P0576"/>
    <x v="422"/>
    <x v="2"/>
    <x v="3"/>
    <n v="2024"/>
    <s v="Q2"/>
    <n v="3426"/>
    <n v="12671"/>
    <n v="5855"/>
    <n v="317986"/>
    <n v="10.58"/>
    <n v="6"/>
    <n v="2.0099999999999998"/>
    <n v="24.04"/>
    <n v="15.74"/>
    <n v="3.6"/>
    <n v="6222"/>
    <n v="7924"/>
    <n v="8"/>
    <n v="23033605.960000001"/>
    <n v="53.059564791711267"/>
  </r>
  <r>
    <s v="P0577"/>
    <x v="132"/>
    <x v="0"/>
    <x v="2"/>
    <n v="2023"/>
    <s v="Q4"/>
    <n v="3536"/>
    <n v="14082"/>
    <n v="11071"/>
    <n v="378996"/>
    <n v="6.83"/>
    <n v="18"/>
    <n v="0.1"/>
    <n v="19.38"/>
    <n v="62.79"/>
    <n v="1.7"/>
    <n v="14312"/>
    <n v="4224"/>
    <n v="6"/>
    <n v="10267880.619999999"/>
    <n v="20.620738478440114"/>
  </r>
  <r>
    <s v="P0578"/>
    <x v="54"/>
    <x v="0"/>
    <x v="2"/>
    <n v="2024"/>
    <s v="Q2"/>
    <n v="3634"/>
    <n v="13701"/>
    <n v="3124"/>
    <n v="437881"/>
    <n v="10.02"/>
    <n v="16"/>
    <n v="0.75"/>
    <n v="15.55"/>
    <n v="44.53"/>
    <n v="1.1000000000000001"/>
    <n v="5508"/>
    <n v="1065"/>
    <n v="4"/>
    <n v="37998921.450000003"/>
    <n v="76.319247674114962"/>
  </r>
  <r>
    <s v="P0579"/>
    <x v="414"/>
    <x v="1"/>
    <x v="0"/>
    <n v="2023"/>
    <s v="Q3"/>
    <n v="1446"/>
    <n v="19278"/>
    <n v="13619"/>
    <n v="358112"/>
    <n v="12.56"/>
    <n v="8"/>
    <n v="3.76"/>
    <n v="15.17"/>
    <n v="71.09"/>
    <n v="1.6"/>
    <n v="11560"/>
    <n v="7028"/>
    <n v="8"/>
    <n v="7824786.8300000001"/>
    <n v="28.069989232309901"/>
  </r>
  <r>
    <s v="P0580"/>
    <x v="423"/>
    <x v="1"/>
    <x v="1"/>
    <n v="2023"/>
    <s v="Q2"/>
    <n v="3687"/>
    <n v="13973"/>
    <n v="10169"/>
    <n v="329652"/>
    <n v="2.5499999999999998"/>
    <n v="12"/>
    <n v="8.2100000000000009"/>
    <n v="21.24"/>
    <n v="89.41"/>
    <n v="3.4"/>
    <n v="14556"/>
    <n v="6196"/>
    <n v="3"/>
    <n v="13695674.76"/>
    <n v="26.584018917804809"/>
  </r>
  <r>
    <s v="P0581"/>
    <x v="124"/>
    <x v="0"/>
    <x v="3"/>
    <n v="2024"/>
    <s v="Q3"/>
    <n v="3380"/>
    <n v="10961"/>
    <n v="10083"/>
    <n v="203077"/>
    <n v="0.28999999999999998"/>
    <n v="4"/>
    <n v="7.0000000000000007E-2"/>
    <n v="13.53"/>
    <n v="62.72"/>
    <n v="1.7"/>
    <n v="8155"/>
    <n v="6257"/>
    <n v="4"/>
    <n v="2764549.47"/>
    <n v="7.4620385400848308"/>
  </r>
  <r>
    <s v="P0582"/>
    <x v="424"/>
    <x v="1"/>
    <x v="3"/>
    <n v="2024"/>
    <s v="Q4"/>
    <n v="2753"/>
    <n v="17096"/>
    <n v="14989"/>
    <n v="104575"/>
    <n v="11.69"/>
    <n v="4"/>
    <n v="4.57"/>
    <n v="20.100000000000001"/>
    <n v="14.04"/>
    <n v="1.9"/>
    <n v="18655"/>
    <n v="9211"/>
    <n v="2"/>
    <n v="5695975.9000000004"/>
    <n v="12.10228629643146"/>
  </r>
  <r>
    <s v="P0583"/>
    <x v="425"/>
    <x v="2"/>
    <x v="1"/>
    <n v="2023"/>
    <s v="Q4"/>
    <n v="520"/>
    <n v="2029"/>
    <n v="13971"/>
    <n v="200043"/>
    <n v="9.15"/>
    <n v="9"/>
    <n v="3.29"/>
    <n v="12.72"/>
    <n v="18.37"/>
    <n v="1.1000000000000001"/>
    <n v="14527"/>
    <n v="8220"/>
    <n v="9"/>
    <n v="-6409895.7199999997"/>
    <n v="-607.52698563142133"/>
  </r>
  <r>
    <s v="P0584"/>
    <x v="219"/>
    <x v="1"/>
    <x v="0"/>
    <n v="2023"/>
    <s v="Q3"/>
    <n v="1403"/>
    <n v="14265"/>
    <n v="6574"/>
    <n v="468815"/>
    <n v="10.49"/>
    <n v="9"/>
    <n v="0.52"/>
    <n v="1.56"/>
    <n v="80.48"/>
    <n v="3.9"/>
    <n v="5530"/>
    <n v="1608"/>
    <n v="3"/>
    <n v="10321656.439999999"/>
    <n v="51.572709923330386"/>
  </r>
  <r>
    <s v="P0585"/>
    <x v="220"/>
    <x v="0"/>
    <x v="2"/>
    <n v="2024"/>
    <s v="Q3"/>
    <n v="2833"/>
    <n v="15410"/>
    <n v="7319"/>
    <n v="116914"/>
    <n v="12.57"/>
    <n v="6"/>
    <n v="4.5"/>
    <n v="9.6"/>
    <n v="52.2"/>
    <n v="4.2"/>
    <n v="2021"/>
    <n v="9504"/>
    <n v="8"/>
    <n v="22804879.399999999"/>
    <n v="52.237040827569203"/>
  </r>
  <r>
    <s v="P0586"/>
    <x v="204"/>
    <x v="2"/>
    <x v="3"/>
    <n v="2023"/>
    <s v="Q2"/>
    <n v="2881"/>
    <n v="13061"/>
    <n v="11783"/>
    <n v="299134"/>
    <n v="12.04"/>
    <n v="14"/>
    <n v="2.5499999999999998"/>
    <n v="11.11"/>
    <n v="75.989999999999995"/>
    <n v="4.2"/>
    <n v="2900"/>
    <n v="971"/>
    <n v="12"/>
    <n v="3382772.89"/>
    <n v="8.9898646622272054"/>
  </r>
  <r>
    <s v="P0587"/>
    <x v="426"/>
    <x v="1"/>
    <x v="0"/>
    <n v="2024"/>
    <s v="Q3"/>
    <n v="407"/>
    <n v="10631"/>
    <n v="2549"/>
    <n v="117055"/>
    <n v="14.41"/>
    <n v="6"/>
    <n v="3.52"/>
    <n v="3.54"/>
    <n v="78.53"/>
    <n v="1.5"/>
    <n v="13430"/>
    <n v="963"/>
    <n v="10"/>
    <n v="3172315.46"/>
    <n v="73.317532495596652"/>
  </r>
  <r>
    <s v="P0588"/>
    <x v="427"/>
    <x v="0"/>
    <x v="0"/>
    <n v="2024"/>
    <s v="Q4"/>
    <n v="3069"/>
    <n v="2025"/>
    <n v="11667"/>
    <n v="137697"/>
    <n v="8.0399999999999991"/>
    <n v="14"/>
    <n v="7.06"/>
    <n v="2.56"/>
    <n v="84.21"/>
    <n v="4.5999999999999996"/>
    <n v="5223"/>
    <n v="3155"/>
    <n v="7"/>
    <n v="-29728997.559999999"/>
    <n v="-478.36384650970069"/>
  </r>
  <r>
    <s v="P0589"/>
    <x v="18"/>
    <x v="0"/>
    <x v="3"/>
    <n v="2024"/>
    <s v="Q4"/>
    <n v="717"/>
    <n v="17885"/>
    <n v="1581"/>
    <n v="156239"/>
    <n v="7.33"/>
    <n v="2"/>
    <n v="5.22"/>
    <n v="13.39"/>
    <n v="85.99"/>
    <n v="3.7"/>
    <n v="8079"/>
    <n v="5233"/>
    <n v="3"/>
    <n v="11533715.609999999"/>
    <n v="89.941709644252029"/>
  </r>
  <r>
    <s v="P0590"/>
    <x v="428"/>
    <x v="2"/>
    <x v="3"/>
    <n v="2023"/>
    <s v="Q3"/>
    <n v="4518"/>
    <n v="1874"/>
    <n v="8348"/>
    <n v="285469"/>
    <n v="6.03"/>
    <n v="18"/>
    <n v="1.25"/>
    <n v="2.13"/>
    <n v="54.39"/>
    <n v="4.5999999999999996"/>
    <n v="19742"/>
    <n v="2782"/>
    <n v="3"/>
    <n v="-29535003.129999999"/>
    <n v="-348.83592784087176"/>
  </r>
  <r>
    <s v="P0591"/>
    <x v="412"/>
    <x v="1"/>
    <x v="0"/>
    <n v="2023"/>
    <s v="Q2"/>
    <n v="1195"/>
    <n v="13697"/>
    <n v="12040"/>
    <n v="173106"/>
    <n v="2.31"/>
    <n v="9"/>
    <n v="9.61"/>
    <n v="7.57"/>
    <n v="37.28"/>
    <n v="2.8"/>
    <n v="6281"/>
    <n v="5378"/>
    <n v="10"/>
    <n v="1807001.43"/>
    <n v="11.039899889509446"/>
  </r>
  <r>
    <s v="P0592"/>
    <x v="92"/>
    <x v="0"/>
    <x v="3"/>
    <n v="2024"/>
    <s v="Q4"/>
    <n v="4235"/>
    <n v="6148"/>
    <n v="7623"/>
    <n v="317499"/>
    <n v="8.59"/>
    <n v="14"/>
    <n v="6.36"/>
    <n v="18.61"/>
    <n v="86.95"/>
    <n v="2.7"/>
    <n v="14373"/>
    <n v="5548"/>
    <n v="11"/>
    <n v="-6564142.6100000003"/>
    <n v="-25.21103842333806"/>
  </r>
  <r>
    <s v="P0593"/>
    <x v="429"/>
    <x v="2"/>
    <x v="2"/>
    <n v="2023"/>
    <s v="Q1"/>
    <n v="3769"/>
    <n v="3865"/>
    <n v="2905"/>
    <n v="366264"/>
    <n v="4.16"/>
    <n v="2"/>
    <n v="7.66"/>
    <n v="24.11"/>
    <n v="53.79"/>
    <n v="4.0999999999999996"/>
    <n v="20282"/>
    <n v="713"/>
    <n v="9"/>
    <n v="3251951.89"/>
    <n v="22.323818157042695"/>
  </r>
  <r>
    <s v="P0594"/>
    <x v="272"/>
    <x v="0"/>
    <x v="0"/>
    <n v="2023"/>
    <s v="Q4"/>
    <n v="2795"/>
    <n v="19409"/>
    <n v="4667"/>
    <n v="350486"/>
    <n v="13.82"/>
    <n v="5"/>
    <n v="0.79"/>
    <n v="17.95"/>
    <n v="15.14"/>
    <n v="1.4"/>
    <n v="18026"/>
    <n v="1972"/>
    <n v="10"/>
    <n v="40853386.049999997"/>
    <n v="75.308341915038397"/>
  </r>
  <r>
    <s v="P0595"/>
    <x v="430"/>
    <x v="2"/>
    <x v="3"/>
    <n v="2024"/>
    <s v="Q2"/>
    <n v="589"/>
    <n v="3146"/>
    <n v="7993"/>
    <n v="52257"/>
    <n v="8.75"/>
    <n v="11"/>
    <n v="0.47"/>
    <n v="24.82"/>
    <n v="61.42"/>
    <n v="3.1"/>
    <n v="12543"/>
    <n v="7823"/>
    <n v="5"/>
    <n v="-2907164.82"/>
    <n v="-156.890136719277"/>
  </r>
  <r>
    <s v="P0596"/>
    <x v="431"/>
    <x v="1"/>
    <x v="3"/>
    <n v="2023"/>
    <s v="Q1"/>
    <n v="2829"/>
    <n v="1513"/>
    <n v="5776"/>
    <n v="339508"/>
    <n v="8.89"/>
    <n v="14"/>
    <n v="0.19"/>
    <n v="17.46"/>
    <n v="57.01"/>
    <n v="4.3"/>
    <n v="17875"/>
    <n v="7289"/>
    <n v="5"/>
    <n v="-12399552.460000001"/>
    <n v="-289.69042097041853"/>
  </r>
  <r>
    <s v="P0597"/>
    <x v="385"/>
    <x v="2"/>
    <x v="2"/>
    <n v="2023"/>
    <s v="Q4"/>
    <n v="4186"/>
    <n v="6099"/>
    <n v="13534"/>
    <n v="206044"/>
    <n v="5.32"/>
    <n v="5"/>
    <n v="1.89"/>
    <n v="7.34"/>
    <n v="81.66"/>
    <n v="4.3"/>
    <n v="18601"/>
    <n v="5486"/>
    <n v="3"/>
    <n v="-31328961.34"/>
    <n v="-122.71231222494082"/>
  </r>
  <r>
    <s v="P0598"/>
    <x v="432"/>
    <x v="2"/>
    <x v="2"/>
    <n v="2024"/>
    <s v="Q3"/>
    <n v="4885"/>
    <n v="3778"/>
    <n v="2913"/>
    <n v="161715"/>
    <n v="0.78"/>
    <n v="12"/>
    <n v="4.1399999999999997"/>
    <n v="16.8"/>
    <n v="62.25"/>
    <n v="4.8"/>
    <n v="2142"/>
    <n v="7042"/>
    <n v="11"/>
    <n v="4063793.2"/>
    <n v="22.019379557238398"/>
  </r>
  <r>
    <s v="P0599"/>
    <x v="392"/>
    <x v="1"/>
    <x v="2"/>
    <n v="2024"/>
    <s v="Q4"/>
    <n v="3825"/>
    <n v="15796"/>
    <n v="6679"/>
    <n v="76654"/>
    <n v="0.48"/>
    <n v="18"/>
    <n v="9.36"/>
    <n v="17.55"/>
    <n v="37.92"/>
    <n v="3.8"/>
    <n v="20432"/>
    <n v="8859"/>
    <n v="2"/>
    <n v="34795853.450000003"/>
    <n v="57.59024531733855"/>
  </r>
  <r>
    <s v="P0600"/>
    <x v="433"/>
    <x v="0"/>
    <x v="1"/>
    <n v="2023"/>
    <s v="Q1"/>
    <n v="2558"/>
    <n v="4655"/>
    <n v="14365"/>
    <n v="261841"/>
    <n v="6.35"/>
    <n v="2"/>
    <n v="4.57"/>
    <n v="9.2899999999999991"/>
    <n v="87.3"/>
    <n v="1.8"/>
    <n v="13385"/>
    <n v="344"/>
    <n v="11"/>
    <n v="-25100030.289999999"/>
    <n v="-210.79194935288629"/>
  </r>
  <r>
    <s v="P0601"/>
    <x v="434"/>
    <x v="2"/>
    <x v="2"/>
    <n v="2024"/>
    <s v="Q4"/>
    <n v="2829"/>
    <n v="9821"/>
    <n v="4770"/>
    <n v="393567"/>
    <n v="1.27"/>
    <n v="7"/>
    <n v="2.9"/>
    <n v="0.44"/>
    <n v="74.13"/>
    <n v="1.1000000000000001"/>
    <n v="9049"/>
    <n v="120"/>
    <n v="14"/>
    <n v="13895711.560000001"/>
    <n v="50.014062463951312"/>
  </r>
  <r>
    <s v="P0602"/>
    <x v="435"/>
    <x v="2"/>
    <x v="1"/>
    <n v="2023"/>
    <s v="Q1"/>
    <n v="974"/>
    <n v="5314"/>
    <n v="10983"/>
    <n v="341464"/>
    <n v="9.1"/>
    <n v="7"/>
    <n v="5.62"/>
    <n v="17.579999999999998"/>
    <n v="60.43"/>
    <n v="2.9"/>
    <n v="14897"/>
    <n v="8685"/>
    <n v="5"/>
    <n v="-5863087.5800000001"/>
    <n v="-113.27807874901754"/>
  </r>
  <r>
    <s v="P0603"/>
    <x v="436"/>
    <x v="0"/>
    <x v="3"/>
    <n v="2024"/>
    <s v="Q4"/>
    <n v="3006"/>
    <n v="14625"/>
    <n v="10059"/>
    <n v="70808"/>
    <n v="13.21"/>
    <n v="19"/>
    <n v="1.1200000000000001"/>
    <n v="0.54"/>
    <n v="33.43"/>
    <n v="3.1"/>
    <n v="16574"/>
    <n v="5867"/>
    <n v="11"/>
    <n v="13654587.460000001"/>
    <n v="31.059447964469921"/>
  </r>
  <r>
    <s v="P0604"/>
    <x v="232"/>
    <x v="2"/>
    <x v="0"/>
    <n v="2023"/>
    <s v="Q1"/>
    <n v="1631"/>
    <n v="4716"/>
    <n v="8064"/>
    <n v="102389"/>
    <n v="13.24"/>
    <n v="14"/>
    <n v="6.1"/>
    <n v="15.78"/>
    <n v="39.880000000000003"/>
    <n v="2"/>
    <n v="15271"/>
    <n v="3615"/>
    <n v="11"/>
    <n v="-5562992.7800000003"/>
    <n v="-72.323717113662397"/>
  </r>
  <r>
    <s v="P0605"/>
    <x v="437"/>
    <x v="1"/>
    <x v="2"/>
    <n v="2024"/>
    <s v="Q1"/>
    <n v="3374"/>
    <n v="3613"/>
    <n v="2377"/>
    <n v="168581"/>
    <n v="9.89"/>
    <n v="3"/>
    <n v="5.68"/>
    <n v="4.09"/>
    <n v="63.6"/>
    <n v="1.5"/>
    <n v="2449"/>
    <n v="2010"/>
    <n v="12"/>
    <n v="4001678.91"/>
    <n v="32.826849086590592"/>
  </r>
  <r>
    <s v="P0606"/>
    <x v="200"/>
    <x v="0"/>
    <x v="1"/>
    <n v="2023"/>
    <s v="Q4"/>
    <n v="4535"/>
    <n v="11738"/>
    <n v="10003"/>
    <n v="177927"/>
    <n v="3.17"/>
    <n v="18"/>
    <n v="7.92"/>
    <n v="14.14"/>
    <n v="15.76"/>
    <n v="3.3"/>
    <n v="18405"/>
    <n v="8581"/>
    <n v="9"/>
    <n v="7690283.8600000003"/>
    <n v="14.446777163212312"/>
  </r>
  <r>
    <s v="P0607"/>
    <x v="438"/>
    <x v="2"/>
    <x v="3"/>
    <n v="2024"/>
    <s v="Q1"/>
    <n v="305"/>
    <n v="15260"/>
    <n v="3074"/>
    <n v="84773"/>
    <n v="12.94"/>
    <n v="2"/>
    <n v="9.8699999999999992"/>
    <n v="12.6"/>
    <n v="30.53"/>
    <n v="4.0999999999999996"/>
    <n v="16232"/>
    <n v="5982"/>
    <n v="3"/>
    <n v="3631944.4"/>
    <n v="78.034170551962703"/>
  </r>
  <r>
    <s v="P0608"/>
    <x v="13"/>
    <x v="2"/>
    <x v="0"/>
    <n v="2024"/>
    <s v="Q4"/>
    <n v="4854"/>
    <n v="14088"/>
    <n v="5669"/>
    <n v="232240"/>
    <n v="13.29"/>
    <n v="12"/>
    <n v="2.5099999999999998"/>
    <n v="0.34"/>
    <n v="67.11"/>
    <n v="5"/>
    <n v="18238"/>
    <n v="8652"/>
    <n v="14"/>
    <n v="40633585.659999996"/>
    <n v="59.420463186604792"/>
  </r>
  <r>
    <s v="P0609"/>
    <x v="439"/>
    <x v="2"/>
    <x v="0"/>
    <n v="2023"/>
    <s v="Q2"/>
    <n v="1888"/>
    <n v="4874"/>
    <n v="10806"/>
    <n v="470963"/>
    <n v="2.95"/>
    <n v="7"/>
    <n v="5.0999999999999996"/>
    <n v="9.07"/>
    <n v="48.4"/>
    <n v="4"/>
    <n v="19366"/>
    <n v="8176"/>
    <n v="13"/>
    <n v="-11670588.07"/>
    <n v="-126.82510351971375"/>
  </r>
  <r>
    <s v="P0610"/>
    <x v="153"/>
    <x v="0"/>
    <x v="2"/>
    <n v="2024"/>
    <s v="Q2"/>
    <n v="1994"/>
    <n v="7930"/>
    <n v="7544"/>
    <n v="388540"/>
    <n v="11.06"/>
    <n v="15"/>
    <n v="9.09"/>
    <n v="15.03"/>
    <n v="42.19"/>
    <n v="4.2"/>
    <n v="11339"/>
    <n v="1722"/>
    <n v="12"/>
    <n v="381128.97"/>
    <n v="2.4103139810351606"/>
  </r>
  <r>
    <s v="P0611"/>
    <x v="367"/>
    <x v="1"/>
    <x v="0"/>
    <n v="2023"/>
    <s v="Q1"/>
    <n v="59"/>
    <n v="13470"/>
    <n v="3226"/>
    <n v="419836"/>
    <n v="4.3"/>
    <n v="12"/>
    <n v="7.85"/>
    <n v="21.22"/>
    <n v="22.12"/>
    <n v="3.5"/>
    <n v="14323"/>
    <n v="4414"/>
    <n v="9"/>
    <n v="184538.78"/>
    <n v="23.220311300693318"/>
  </r>
  <r>
    <s v="P0612"/>
    <x v="440"/>
    <x v="1"/>
    <x v="0"/>
    <n v="2023"/>
    <s v="Q1"/>
    <n v="2921"/>
    <n v="2129"/>
    <n v="14289"/>
    <n v="264764"/>
    <n v="12.04"/>
    <n v="2"/>
    <n v="4.87"/>
    <n v="22.22"/>
    <n v="45.35"/>
    <n v="4.9000000000000004"/>
    <n v="20099"/>
    <n v="2553"/>
    <n v="2"/>
    <n v="-35784146.219999999"/>
    <n v="-575.41799756191256"/>
  </r>
  <r>
    <s v="P0613"/>
    <x v="6"/>
    <x v="2"/>
    <x v="0"/>
    <n v="2024"/>
    <s v="Q4"/>
    <n v="847"/>
    <n v="18153"/>
    <n v="6346"/>
    <n v="107505"/>
    <n v="14.96"/>
    <n v="15"/>
    <n v="9.4499999999999993"/>
    <n v="12.1"/>
    <n v="71.66"/>
    <n v="3.6"/>
    <n v="20421"/>
    <n v="2115"/>
    <n v="2"/>
    <n v="9893011.9000000004"/>
    <n v="64.34231958953643"/>
  </r>
  <r>
    <s v="P0614"/>
    <x v="267"/>
    <x v="1"/>
    <x v="0"/>
    <n v="2023"/>
    <s v="Q4"/>
    <n v="1065"/>
    <n v="12331"/>
    <n v="7652"/>
    <n v="398040"/>
    <n v="0.45"/>
    <n v="8"/>
    <n v="0.56999999999999995"/>
    <n v="18.21"/>
    <n v="31.12"/>
    <n v="4.4000000000000004"/>
    <n v="16190"/>
    <n v="2900"/>
    <n v="5"/>
    <n v="4585076.79"/>
    <n v="34.913927682549762"/>
  </r>
  <r>
    <s v="P0615"/>
    <x v="441"/>
    <x v="2"/>
    <x v="0"/>
    <n v="2023"/>
    <s v="Q1"/>
    <n v="1874"/>
    <n v="7224"/>
    <n v="13394"/>
    <n v="68135"/>
    <n v="13.46"/>
    <n v="13"/>
    <n v="9.31"/>
    <n v="7.91"/>
    <n v="10.43"/>
    <n v="4.8"/>
    <n v="7839"/>
    <n v="9123"/>
    <n v="8"/>
    <n v="-11630722.91"/>
    <n v="-85.913099093972306"/>
  </r>
  <r>
    <s v="P0616"/>
    <x v="383"/>
    <x v="1"/>
    <x v="2"/>
    <n v="2024"/>
    <s v="Q2"/>
    <n v="4519"/>
    <n v="12583"/>
    <n v="13866"/>
    <n v="140887"/>
    <n v="9.34"/>
    <n v="12"/>
    <n v="0.51"/>
    <n v="8.5500000000000007"/>
    <n v="63.48"/>
    <n v="4.7"/>
    <n v="12456"/>
    <n v="8872"/>
    <n v="10"/>
    <n v="-5938772.5499999998"/>
    <n v="-10.444079152445026"/>
  </r>
  <r>
    <s v="P0617"/>
    <x v="117"/>
    <x v="2"/>
    <x v="2"/>
    <n v="2024"/>
    <s v="Q4"/>
    <n v="3186"/>
    <n v="14649"/>
    <n v="3351"/>
    <n v="172118"/>
    <n v="14.6"/>
    <n v="6"/>
    <n v="5.47"/>
    <n v="4.8600000000000003"/>
    <n v="87.81"/>
    <n v="2.5"/>
    <n v="5265"/>
    <n v="6852"/>
    <n v="6"/>
    <n v="35823305.140000001"/>
    <n v="76.755923598606216"/>
  </r>
  <r>
    <s v="P0618"/>
    <x v="436"/>
    <x v="2"/>
    <x v="0"/>
    <n v="2024"/>
    <s v="Q4"/>
    <n v="2243"/>
    <n v="10972"/>
    <n v="7211"/>
    <n v="359521"/>
    <n v="6.98"/>
    <n v="14"/>
    <n v="8.9"/>
    <n v="14.05"/>
    <n v="58.55"/>
    <n v="1.3"/>
    <n v="4327"/>
    <n v="7553"/>
    <n v="3"/>
    <n v="8076387.9500000002"/>
    <n v="32.817243511591698"/>
  </r>
  <r>
    <s v="P0619"/>
    <x v="442"/>
    <x v="2"/>
    <x v="2"/>
    <n v="2024"/>
    <s v="Q1"/>
    <n v="273"/>
    <n v="7776"/>
    <n v="12649"/>
    <n v="204626"/>
    <n v="12.71"/>
    <n v="6"/>
    <n v="2.63"/>
    <n v="7.86"/>
    <n v="19.59"/>
    <n v="1.7"/>
    <n v="3558"/>
    <n v="2953"/>
    <n v="13"/>
    <n v="-1534962.86"/>
    <n v="-72.306771846123709"/>
  </r>
  <r>
    <s v="P0620"/>
    <x v="443"/>
    <x v="0"/>
    <x v="1"/>
    <n v="2023"/>
    <s v="Q3"/>
    <n v="4998"/>
    <n v="17135"/>
    <n v="807"/>
    <n v="374635"/>
    <n v="0.94"/>
    <n v="5"/>
    <n v="4.72"/>
    <n v="2.11"/>
    <n v="35.659999999999997"/>
    <n v="1.2"/>
    <n v="13019"/>
    <n v="2336"/>
    <n v="8"/>
    <n v="81232706.890000001"/>
    <n v="94.852889378686996"/>
  </r>
  <r>
    <s v="P0621"/>
    <x v="444"/>
    <x v="0"/>
    <x v="3"/>
    <n v="2023"/>
    <s v="Q4"/>
    <n v="4208"/>
    <n v="7395"/>
    <n v="8887"/>
    <n v="498837"/>
    <n v="5.03"/>
    <n v="1"/>
    <n v="3.24"/>
    <n v="17.13"/>
    <n v="79.41"/>
    <n v="1.4"/>
    <n v="2230"/>
    <n v="4276"/>
    <n v="12"/>
    <n v="-6777190.1299999999"/>
    <n v="-21.778890943423391"/>
  </r>
  <r>
    <s v="P0622"/>
    <x v="283"/>
    <x v="0"/>
    <x v="0"/>
    <n v="2023"/>
    <s v="Q3"/>
    <n v="3975"/>
    <n v="15494"/>
    <n v="3355"/>
    <n v="295739"/>
    <n v="1.01"/>
    <n v="8"/>
    <n v="9.52"/>
    <n v="17.690000000000001"/>
    <n v="28.61"/>
    <n v="1.7"/>
    <n v="3332"/>
    <n v="2255"/>
    <n v="3"/>
    <n v="47956768.310000002"/>
    <n v="77.8662437153599"/>
  </r>
  <r>
    <s v="P0623"/>
    <x v="407"/>
    <x v="2"/>
    <x v="2"/>
    <n v="2024"/>
    <s v="Q3"/>
    <n v="4834"/>
    <n v="12052"/>
    <n v="1275"/>
    <n v="370427"/>
    <n v="14.63"/>
    <n v="16"/>
    <n v="8.24"/>
    <n v="9"/>
    <n v="58.62"/>
    <n v="2.4"/>
    <n v="10100"/>
    <n v="9636"/>
    <n v="10"/>
    <n v="51725582"/>
    <n v="88.785003640959516"/>
  </r>
  <r>
    <s v="P0624"/>
    <x v="445"/>
    <x v="0"/>
    <x v="1"/>
    <n v="2024"/>
    <s v="Q4"/>
    <n v="4050"/>
    <n v="18459"/>
    <n v="6216"/>
    <n v="329067"/>
    <n v="12.25"/>
    <n v="4"/>
    <n v="7.09"/>
    <n v="1.92"/>
    <n v="42.21"/>
    <n v="3.2"/>
    <n v="17118"/>
    <n v="5798"/>
    <n v="10"/>
    <n v="49255081.079999998"/>
    <n v="65.885196461427014"/>
  </r>
  <r>
    <s v="P0625"/>
    <x v="329"/>
    <x v="2"/>
    <x v="3"/>
    <n v="2024"/>
    <s v="Q2"/>
    <n v="1683"/>
    <n v="7599"/>
    <n v="11203"/>
    <n v="359735"/>
    <n v="12.79"/>
    <n v="11"/>
    <n v="5.88"/>
    <n v="10.66"/>
    <n v="26.63"/>
    <n v="3.8"/>
    <n v="8670"/>
    <n v="6929"/>
    <n v="4"/>
    <n v="-6425277.6600000001"/>
    <n v="-50.240197661808864"/>
  </r>
  <r>
    <s v="P0626"/>
    <x v="446"/>
    <x v="1"/>
    <x v="1"/>
    <n v="2023"/>
    <s v="Q2"/>
    <n v="2202"/>
    <n v="10999"/>
    <n v="9476"/>
    <n v="112261"/>
    <n v="14.07"/>
    <n v="0"/>
    <n v="8.2100000000000009"/>
    <n v="11.06"/>
    <n v="75.069999999999993"/>
    <n v="1.8"/>
    <n v="5679"/>
    <n v="8637"/>
    <n v="14"/>
    <n v="3241373.94"/>
    <n v="13.383158439223978"/>
  </r>
  <r>
    <s v="P0627"/>
    <x v="288"/>
    <x v="2"/>
    <x v="0"/>
    <n v="2024"/>
    <s v="Q3"/>
    <n v="560"/>
    <n v="4678"/>
    <n v="8039"/>
    <n v="366480"/>
    <n v="1.28"/>
    <n v="9"/>
    <n v="3.92"/>
    <n v="16.72"/>
    <n v="69.430000000000007"/>
    <n v="3.7"/>
    <n v="7799"/>
    <n v="1986"/>
    <n v="9"/>
    <n v="-2248656.7200000002"/>
    <n v="-85.837076284126312"/>
  </r>
  <r>
    <s v="P0628"/>
    <x v="142"/>
    <x v="0"/>
    <x v="3"/>
    <n v="2024"/>
    <s v="Q2"/>
    <n v="434"/>
    <n v="7616"/>
    <n v="7510"/>
    <n v="386227"/>
    <n v="5.78"/>
    <n v="10"/>
    <n v="4.4800000000000004"/>
    <n v="7.89"/>
    <n v="62.93"/>
    <n v="3.8"/>
    <n v="9330"/>
    <n v="6571"/>
    <n v="12"/>
    <n v="-340230.89"/>
    <n v="-10.293357968187275"/>
  </r>
  <r>
    <s v="P0629"/>
    <x v="447"/>
    <x v="2"/>
    <x v="3"/>
    <n v="2023"/>
    <s v="Q4"/>
    <n v="454"/>
    <n v="17063"/>
    <n v="5800"/>
    <n v="110948"/>
    <n v="1.07"/>
    <n v="15"/>
    <n v="7.3"/>
    <n v="17.059999999999999"/>
    <n v="28.91"/>
    <n v="3.2"/>
    <n v="12939"/>
    <n v="8846"/>
    <n v="5"/>
    <n v="5002436.9400000004"/>
    <n v="64.5758868210862"/>
  </r>
  <r>
    <s v="P0630"/>
    <x v="91"/>
    <x v="1"/>
    <x v="3"/>
    <n v="2024"/>
    <s v="Q1"/>
    <n v="4663"/>
    <n v="5068"/>
    <n v="5454"/>
    <n v="290891"/>
    <n v="3.16"/>
    <n v="13"/>
    <n v="3.58"/>
    <n v="21.79"/>
    <n v="17.829999999999998"/>
    <n v="4.5999999999999996"/>
    <n v="6302"/>
    <n v="3870"/>
    <n v="4"/>
    <n v="-2090830.79"/>
    <n v="-8.8474245013685628"/>
  </r>
  <r>
    <s v="P0631"/>
    <x v="448"/>
    <x v="1"/>
    <x v="3"/>
    <n v="2024"/>
    <s v="Q1"/>
    <n v="4621"/>
    <n v="11347"/>
    <n v="8878"/>
    <n v="214074"/>
    <n v="3.44"/>
    <n v="7"/>
    <n v="0.64"/>
    <n v="5.94"/>
    <n v="56.09"/>
    <n v="1.4"/>
    <n v="8115"/>
    <n v="8491"/>
    <n v="2"/>
    <n v="11195169.060000001"/>
    <n v="21.350774462616563"/>
  </r>
  <r>
    <s v="P0632"/>
    <x v="449"/>
    <x v="0"/>
    <x v="1"/>
    <n v="2024"/>
    <s v="Q3"/>
    <n v="2050"/>
    <n v="15635"/>
    <n v="6863"/>
    <n v="338816"/>
    <n v="7.04"/>
    <n v="16"/>
    <n v="0.74"/>
    <n v="24.47"/>
    <n v="54.29"/>
    <n v="1.7"/>
    <n v="8262"/>
    <n v="3040"/>
    <n v="6"/>
    <n v="17643759.530000001"/>
    <n v="55.047726036799872"/>
  </r>
  <r>
    <s v="P0633"/>
    <x v="450"/>
    <x v="1"/>
    <x v="3"/>
    <n v="2023"/>
    <s v="Q1"/>
    <n v="2806"/>
    <n v="19274"/>
    <n v="3085"/>
    <n v="316357"/>
    <n v="4.03"/>
    <n v="17"/>
    <n v="1.1499999999999999"/>
    <n v="9.66"/>
    <n v="25.07"/>
    <n v="2.7"/>
    <n v="7043"/>
    <n v="3590"/>
    <n v="14"/>
    <n v="45109967.340000004"/>
    <n v="83.409014770007289"/>
  </r>
  <r>
    <s v="P0634"/>
    <x v="451"/>
    <x v="0"/>
    <x v="3"/>
    <n v="2023"/>
    <s v="Q1"/>
    <n v="1718"/>
    <n v="3242"/>
    <n v="6023"/>
    <n v="191365"/>
    <n v="1.51"/>
    <n v="11"/>
    <n v="8.6999999999999993"/>
    <n v="6.68"/>
    <n v="14.5"/>
    <n v="1.5"/>
    <n v="6383"/>
    <n v="7999"/>
    <n v="12"/>
    <n v="-4969129.68"/>
    <n v="-89.21629026478"/>
  </r>
  <r>
    <s v="P0635"/>
    <x v="452"/>
    <x v="1"/>
    <x v="0"/>
    <n v="2023"/>
    <s v="Q4"/>
    <n v="1510"/>
    <n v="19809"/>
    <n v="14321"/>
    <n v="499076"/>
    <n v="2.5099999999999998"/>
    <n v="16"/>
    <n v="4.72"/>
    <n v="10.54"/>
    <n v="16.46"/>
    <n v="3.3"/>
    <n v="17239"/>
    <n v="406"/>
    <n v="5"/>
    <n v="7787793.46"/>
    <n v="26.036039742454349"/>
  </r>
  <r>
    <s v="P0636"/>
    <x v="453"/>
    <x v="0"/>
    <x v="2"/>
    <n v="2023"/>
    <s v="Q3"/>
    <n v="3686"/>
    <n v="2119"/>
    <n v="7771"/>
    <n v="112507"/>
    <n v="2.21"/>
    <n v="13"/>
    <n v="7.13"/>
    <n v="2.36"/>
    <n v="89.42"/>
    <n v="2.6"/>
    <n v="2166"/>
    <n v="3175"/>
    <n v="2"/>
    <n v="-20945781.359999999"/>
    <n v="-268.17005328888797"/>
  </r>
  <r>
    <s v="P0637"/>
    <x v="303"/>
    <x v="2"/>
    <x v="2"/>
    <n v="2024"/>
    <s v="Q3"/>
    <n v="2774"/>
    <n v="19158"/>
    <n v="13555"/>
    <n v="107134"/>
    <n v="14.6"/>
    <n v="15"/>
    <n v="3.93"/>
    <n v="3.14"/>
    <n v="72.69"/>
    <n v="2.1"/>
    <n v="1776"/>
    <n v="1756"/>
    <n v="11"/>
    <n v="15435584.859999999"/>
    <n v="29.044671175598687"/>
  </r>
  <r>
    <s v="P0638"/>
    <x v="454"/>
    <x v="2"/>
    <x v="1"/>
    <n v="2023"/>
    <s v="Q3"/>
    <n v="4859"/>
    <n v="18840"/>
    <n v="4325"/>
    <n v="183172"/>
    <n v="11.39"/>
    <n v="13"/>
    <n v="2.59"/>
    <n v="10.36"/>
    <n v="83.76"/>
    <n v="1.7"/>
    <n v="15563"/>
    <n v="7344"/>
    <n v="9"/>
    <n v="70345202.640000001"/>
    <n v="76.843420378233048"/>
  </r>
  <r>
    <s v="P0639"/>
    <x v="455"/>
    <x v="1"/>
    <x v="2"/>
    <n v="2023"/>
    <s v="Q2"/>
    <n v="4228"/>
    <n v="3439"/>
    <n v="12331"/>
    <n v="291225"/>
    <n v="14.52"/>
    <n v="8"/>
    <n v="3.47"/>
    <n v="19.059999999999999"/>
    <n v="25.6"/>
    <n v="2.2999999999999998"/>
    <n v="2381"/>
    <n v="6711"/>
    <n v="9"/>
    <n v="-37886620.060000002"/>
    <n v="-260.56657729538438"/>
  </r>
  <r>
    <s v="P0640"/>
    <x v="456"/>
    <x v="1"/>
    <x v="3"/>
    <n v="2023"/>
    <s v="Q1"/>
    <n v="2098"/>
    <n v="17501"/>
    <n v="3622"/>
    <n v="243069"/>
    <n v="6.6"/>
    <n v="3"/>
    <n v="7.94"/>
    <n v="22.51"/>
    <n v="86.85"/>
    <n v="3.4"/>
    <n v="3560"/>
    <n v="6422"/>
    <n v="14"/>
    <n v="28875050.489999998"/>
    <n v="78.641973529607384"/>
  </r>
  <r>
    <s v="P0641"/>
    <x v="55"/>
    <x v="0"/>
    <x v="2"/>
    <n v="2024"/>
    <s v="Q1"/>
    <n v="4196"/>
    <n v="2468"/>
    <n v="5743"/>
    <n v="340316"/>
    <n v="4.18"/>
    <n v="10"/>
    <n v="6.25"/>
    <n v="16.62"/>
    <n v="21.41"/>
    <n v="3.3"/>
    <n v="16177"/>
    <n v="2792"/>
    <n v="9"/>
    <n v="-14082232.619999999"/>
    <n v="-135.98496040065942"/>
  </r>
  <r>
    <s v="P0642"/>
    <x v="205"/>
    <x v="0"/>
    <x v="2"/>
    <n v="2023"/>
    <s v="Q2"/>
    <n v="4830"/>
    <n v="16346"/>
    <n v="7330"/>
    <n v="332276"/>
    <n v="11.97"/>
    <n v="5"/>
    <n v="9.3800000000000008"/>
    <n v="2.63"/>
    <n v="50.73"/>
    <n v="1.7"/>
    <n v="19966"/>
    <n v="1864"/>
    <n v="4"/>
    <n v="43215001.369999997"/>
    <n v="54.736359063917725"/>
  </r>
  <r>
    <s v="P0643"/>
    <x v="172"/>
    <x v="2"/>
    <x v="2"/>
    <n v="2023"/>
    <s v="Q2"/>
    <n v="766"/>
    <n v="1781"/>
    <n v="11916"/>
    <n v="298933"/>
    <n v="4.8899999999999997"/>
    <n v="14"/>
    <n v="6.8"/>
    <n v="16.8"/>
    <n v="76.38"/>
    <n v="1.5"/>
    <n v="8202"/>
    <n v="375"/>
    <n v="7"/>
    <n v="-8062359.7999999998"/>
    <n v="-590.97551321389255"/>
  </r>
  <r>
    <s v="P0644"/>
    <x v="457"/>
    <x v="1"/>
    <x v="1"/>
    <n v="2024"/>
    <s v="Q4"/>
    <n v="4594"/>
    <n v="16860"/>
    <n v="1058"/>
    <n v="330343"/>
    <n v="4.49"/>
    <n v="4"/>
    <n v="5.7"/>
    <n v="15.89"/>
    <n v="37.979999999999997"/>
    <n v="1.1000000000000001"/>
    <n v="10929"/>
    <n v="5371"/>
    <n v="13"/>
    <n v="72264029.109999999"/>
    <n v="93.29827433637459"/>
  </r>
  <r>
    <s v="P0645"/>
    <x v="448"/>
    <x v="2"/>
    <x v="1"/>
    <n v="2023"/>
    <s v="Q2"/>
    <n v="4633"/>
    <n v="7762"/>
    <n v="1082"/>
    <n v="86609"/>
    <n v="3.49"/>
    <n v="10"/>
    <n v="6.1"/>
    <n v="20.14"/>
    <n v="43.99"/>
    <n v="1"/>
    <n v="17353"/>
    <n v="7431"/>
    <n v="13"/>
    <n v="30861810.859999999"/>
    <n v="85.819398584246542"/>
  </r>
  <r>
    <s v="P0646"/>
    <x v="458"/>
    <x v="1"/>
    <x v="3"/>
    <n v="2023"/>
    <s v="Q4"/>
    <n v="1873"/>
    <n v="2558"/>
    <n v="14737"/>
    <n v="224037"/>
    <n v="1.95"/>
    <n v="17"/>
    <n v="9.42"/>
    <n v="20.63"/>
    <n v="20.25"/>
    <n v="4.5"/>
    <n v="1658"/>
    <n v="9693"/>
    <n v="8"/>
    <n v="-23035324.629999999"/>
    <n v="-480.79065686745554"/>
  </r>
  <r>
    <s v="P0647"/>
    <x v="459"/>
    <x v="2"/>
    <x v="3"/>
    <n v="2023"/>
    <s v="Q1"/>
    <n v="2131"/>
    <n v="12224"/>
    <n v="2698"/>
    <n v="189088"/>
    <n v="3.85"/>
    <n v="12"/>
    <n v="7.88"/>
    <n v="21.71"/>
    <n v="19.829999999999998"/>
    <n v="1.2"/>
    <n v="17496"/>
    <n v="5125"/>
    <n v="10"/>
    <n v="20110796.289999999"/>
    <n v="77.202697657184757"/>
  </r>
  <r>
    <s v="P0648"/>
    <x v="388"/>
    <x v="2"/>
    <x v="0"/>
    <n v="2023"/>
    <s v="Q2"/>
    <n v="3469"/>
    <n v="6678"/>
    <n v="4935"/>
    <n v="482995"/>
    <n v="5.33"/>
    <n v="10"/>
    <n v="0.24"/>
    <n v="10.35"/>
    <n v="59.57"/>
    <n v="3.9"/>
    <n v="6729"/>
    <n v="4150"/>
    <n v="6"/>
    <n v="5563461.6500000004"/>
    <n v="24.015652131647172"/>
  </r>
  <r>
    <s v="P0649"/>
    <x v="460"/>
    <x v="0"/>
    <x v="1"/>
    <n v="2023"/>
    <s v="Q1"/>
    <n v="1624"/>
    <n v="8480"/>
    <n v="7429"/>
    <n v="344025"/>
    <n v="10.11"/>
    <n v="13"/>
    <n v="5.34"/>
    <n v="17.45"/>
    <n v="64.040000000000006"/>
    <n v="4.5"/>
    <n v="9456"/>
    <n v="8180"/>
    <n v="10"/>
    <n v="1362781.55"/>
    <n v="9.8956509521098628"/>
  </r>
  <r>
    <s v="P0650"/>
    <x v="461"/>
    <x v="0"/>
    <x v="2"/>
    <n v="2024"/>
    <s v="Q1"/>
    <n v="299"/>
    <n v="10700"/>
    <n v="11968"/>
    <n v="263666"/>
    <n v="0.94"/>
    <n v="17"/>
    <n v="6.88"/>
    <n v="6.71"/>
    <n v="72.19"/>
    <n v="1.4"/>
    <n v="14066"/>
    <n v="3560"/>
    <n v="7"/>
    <n v="-642804.71"/>
    <n v="-20.092042321757884"/>
  </r>
  <r>
    <s v="P0651"/>
    <x v="462"/>
    <x v="0"/>
    <x v="0"/>
    <n v="2024"/>
    <s v="Q3"/>
    <n v="723"/>
    <n v="2729"/>
    <n v="11259"/>
    <n v="336616"/>
    <n v="3.16"/>
    <n v="18"/>
    <n v="7.49"/>
    <n v="24.98"/>
    <n v="54.53"/>
    <n v="2.7"/>
    <n v="4026"/>
    <n v="3935"/>
    <n v="11"/>
    <n v="-6503830.9800000004"/>
    <n v="-329.63051837570652"/>
  </r>
  <r>
    <s v="P0652"/>
    <x v="147"/>
    <x v="1"/>
    <x v="2"/>
    <n v="2023"/>
    <s v="Q4"/>
    <n v="4583"/>
    <n v="9967"/>
    <n v="4000"/>
    <n v="232885"/>
    <n v="12.14"/>
    <n v="14"/>
    <n v="2.13"/>
    <n v="4.38"/>
    <n v="61.66"/>
    <n v="4.8"/>
    <n v="9303"/>
    <n v="4378"/>
    <n v="11"/>
    <n v="27113871.620000001"/>
    <n v="59.357721239418041"/>
  </r>
  <r>
    <s v="P0653"/>
    <x v="463"/>
    <x v="2"/>
    <x v="0"/>
    <n v="2024"/>
    <s v="Q3"/>
    <n v="2215"/>
    <n v="3789"/>
    <n v="5910"/>
    <n v="281440"/>
    <n v="2.2000000000000002"/>
    <n v="8"/>
    <n v="8.67"/>
    <n v="0.25"/>
    <n v="11.08"/>
    <n v="4.3"/>
    <n v="8074"/>
    <n v="1944"/>
    <n v="11"/>
    <n v="-4979455.25"/>
    <n v="-59.331249959041465"/>
  </r>
  <r>
    <s v="P0654"/>
    <x v="51"/>
    <x v="1"/>
    <x v="1"/>
    <n v="2023"/>
    <s v="Q3"/>
    <n v="820"/>
    <n v="2739"/>
    <n v="7967"/>
    <n v="307803"/>
    <n v="5.14"/>
    <n v="7"/>
    <n v="9.56"/>
    <n v="3.72"/>
    <n v="22.97"/>
    <n v="3"/>
    <n v="10233"/>
    <n v="171"/>
    <n v="5"/>
    <n v="-4594766.72"/>
    <n v="-204.57736578242015"/>
  </r>
  <r>
    <s v="P0655"/>
    <x v="290"/>
    <x v="2"/>
    <x v="0"/>
    <n v="2023"/>
    <s v="Q2"/>
    <n v="4012"/>
    <n v="6870"/>
    <n v="1412"/>
    <n v="217093"/>
    <n v="12.97"/>
    <n v="19"/>
    <n v="2.37"/>
    <n v="19.399999999999999"/>
    <n v="88.79"/>
    <n v="4.0999999999999996"/>
    <n v="19022"/>
    <n v="7486"/>
    <n v="14"/>
    <n v="21680383.600000001"/>
    <n v="78.659159348736907"/>
  </r>
  <r>
    <s v="P0656"/>
    <x v="464"/>
    <x v="1"/>
    <x v="2"/>
    <n v="2024"/>
    <s v="Q4"/>
    <n v="4413"/>
    <n v="17670"/>
    <n v="1487"/>
    <n v="366275"/>
    <n v="2.3199999999999998"/>
    <n v="0"/>
    <n v="8.83"/>
    <n v="11.17"/>
    <n v="16.079999999999998"/>
    <n v="4.3"/>
    <n v="8757"/>
    <n v="6962"/>
    <n v="2"/>
    <n v="71049292.829999998"/>
    <n v="91.114874789218618"/>
  </r>
  <r>
    <s v="P0657"/>
    <x v="33"/>
    <x v="1"/>
    <x v="3"/>
    <n v="2024"/>
    <s v="Q3"/>
    <n v="2034"/>
    <n v="1625"/>
    <n v="4490"/>
    <n v="205159"/>
    <n v="1.24"/>
    <n v="3"/>
    <n v="0.97"/>
    <n v="11.19"/>
    <n v="64.3"/>
    <n v="2.4"/>
    <n v="4783"/>
    <n v="7440"/>
    <n v="2"/>
    <n v="-6032580.1900000004"/>
    <n v="-182.51509537856441"/>
  </r>
  <r>
    <s v="P0658"/>
    <x v="414"/>
    <x v="1"/>
    <x v="0"/>
    <n v="2024"/>
    <s v="Q3"/>
    <n v="1127"/>
    <n v="14004"/>
    <n v="9604"/>
    <n v="62828"/>
    <n v="7.27"/>
    <n v="13"/>
    <n v="0.56000000000000005"/>
    <n v="23.88"/>
    <n v="24.09"/>
    <n v="4.5999999999999996"/>
    <n v="17409"/>
    <n v="9968"/>
    <n v="11"/>
    <n v="4895948.12"/>
    <n v="31.021356808436281"/>
  </r>
  <r>
    <s v="P0659"/>
    <x v="465"/>
    <x v="2"/>
    <x v="3"/>
    <n v="2023"/>
    <s v="Q4"/>
    <n v="285"/>
    <n v="16898"/>
    <n v="3107"/>
    <n v="408808"/>
    <n v="4.54"/>
    <n v="1"/>
    <n v="1.29"/>
    <n v="22.99"/>
    <n v="67.34"/>
    <n v="2.9"/>
    <n v="13302"/>
    <n v="9587"/>
    <n v="6"/>
    <n v="3521604.01"/>
    <n v="73.124069702009791"/>
  </r>
  <r>
    <s v="P0660"/>
    <x v="230"/>
    <x v="1"/>
    <x v="3"/>
    <n v="2024"/>
    <s v="Q3"/>
    <n v="438"/>
    <n v="8138"/>
    <n v="7933"/>
    <n v="182473"/>
    <n v="8.4499999999999993"/>
    <n v="15"/>
    <n v="0.57999999999999996"/>
    <n v="7.78"/>
    <n v="66.48"/>
    <n v="3.1"/>
    <n v="9396"/>
    <n v="7735"/>
    <n v="14"/>
    <n v="-92690.78"/>
    <n v="-2.6004274439435715"/>
  </r>
  <r>
    <s v="P0661"/>
    <x v="466"/>
    <x v="1"/>
    <x v="3"/>
    <n v="2024"/>
    <s v="Q1"/>
    <n v="3087"/>
    <n v="8070"/>
    <n v="12005"/>
    <n v="327337"/>
    <n v="12.06"/>
    <n v="2"/>
    <n v="8.4499999999999993"/>
    <n v="5.23"/>
    <n v="28.74"/>
    <n v="5"/>
    <n v="20303"/>
    <n v="1143"/>
    <n v="4"/>
    <n v="-12474687.23"/>
    <n v="-50.074832059453868"/>
  </r>
  <r>
    <s v="P0662"/>
    <x v="467"/>
    <x v="2"/>
    <x v="3"/>
    <n v="2024"/>
    <s v="Q2"/>
    <n v="4908"/>
    <n v="4749"/>
    <n v="7309"/>
    <n v="273461"/>
    <n v="2.06"/>
    <n v="7"/>
    <n v="0.59"/>
    <n v="21.21"/>
    <n v="31.57"/>
    <n v="4.4000000000000004"/>
    <n v="15026"/>
    <n v="3142"/>
    <n v="6"/>
    <n v="-12837962.210000001"/>
    <n v="-55.079421387216087"/>
  </r>
  <r>
    <s v="P0663"/>
    <x v="468"/>
    <x v="2"/>
    <x v="3"/>
    <n v="2024"/>
    <s v="Q1"/>
    <n v="1898"/>
    <n v="10610"/>
    <n v="10773"/>
    <n v="488080"/>
    <n v="8.7100000000000009"/>
    <n v="5"/>
    <n v="2.72"/>
    <n v="22.65"/>
    <n v="62.38"/>
    <n v="2.4"/>
    <n v="19640"/>
    <n v="914"/>
    <n v="6"/>
    <n v="-797476.65"/>
    <n v="-3.9601021065877173"/>
  </r>
  <r>
    <s v="P0664"/>
    <x v="469"/>
    <x v="1"/>
    <x v="0"/>
    <n v="2023"/>
    <s v="Q4"/>
    <n v="4769"/>
    <n v="9095"/>
    <n v="6706"/>
    <n v="463523"/>
    <n v="7.58"/>
    <n v="15"/>
    <n v="1.04"/>
    <n v="13.54"/>
    <n v="41.21"/>
    <n v="1"/>
    <n v="12778"/>
    <n v="5722"/>
    <n v="2"/>
    <n v="10929604.460000001"/>
    <n v="25.198484347382326"/>
  </r>
  <r>
    <s v="P0665"/>
    <x v="99"/>
    <x v="1"/>
    <x v="0"/>
    <n v="2024"/>
    <s v="Q3"/>
    <n v="2864"/>
    <n v="15105"/>
    <n v="3391"/>
    <n v="414662"/>
    <n v="2.16"/>
    <n v="15"/>
    <n v="2.95"/>
    <n v="15.74"/>
    <n v="25.56"/>
    <n v="3.5"/>
    <n v="14742"/>
    <n v="7432"/>
    <n v="9"/>
    <n v="33134218.260000002"/>
    <n v="76.591925099720953"/>
  </r>
  <r>
    <s v="P0666"/>
    <x v="470"/>
    <x v="2"/>
    <x v="3"/>
    <n v="2024"/>
    <s v="Q1"/>
    <n v="3424"/>
    <n v="13615"/>
    <n v="11688"/>
    <n v="331755"/>
    <n v="9.36"/>
    <n v="6"/>
    <n v="0.91"/>
    <n v="6.42"/>
    <n v="68.53"/>
    <n v="3.8"/>
    <n v="20190"/>
    <n v="409"/>
    <n v="6"/>
    <n v="6266286.5800000001"/>
    <n v="13.441844009664985"/>
  </r>
  <r>
    <s v="P0667"/>
    <x v="240"/>
    <x v="2"/>
    <x v="1"/>
    <n v="2024"/>
    <s v="Q1"/>
    <n v="3328"/>
    <n v="7794"/>
    <n v="14635"/>
    <n v="224863"/>
    <n v="4.0999999999999996"/>
    <n v="12"/>
    <n v="6.68"/>
    <n v="20.02"/>
    <n v="22.33"/>
    <n v="3.6"/>
    <n v="4070"/>
    <n v="6761"/>
    <n v="6"/>
    <n v="-22991731.02"/>
    <n v="-88.639633344066439"/>
  </r>
  <r>
    <s v="P0668"/>
    <x v="471"/>
    <x v="0"/>
    <x v="2"/>
    <n v="2023"/>
    <s v="Q1"/>
    <n v="1302"/>
    <n v="7257"/>
    <n v="12950"/>
    <n v="455166"/>
    <n v="7.32"/>
    <n v="12"/>
    <n v="1.33"/>
    <n v="15.8"/>
    <n v="78.45"/>
    <n v="4.9000000000000004"/>
    <n v="1824"/>
    <n v="4327"/>
    <n v="10"/>
    <n v="-7867467.7999999998"/>
    <n v="-83.265839836403515"/>
  </r>
  <r>
    <s v="P0669"/>
    <x v="472"/>
    <x v="2"/>
    <x v="3"/>
    <n v="2024"/>
    <s v="Q4"/>
    <n v="4031"/>
    <n v="14095"/>
    <n v="7983"/>
    <n v="388384"/>
    <n v="1.23"/>
    <n v="4"/>
    <n v="8.52"/>
    <n v="12.59"/>
    <n v="51.17"/>
    <n v="4.5"/>
    <n v="11221"/>
    <n v="1977"/>
    <n v="9"/>
    <n v="24249075.41"/>
    <n v="42.679301764640812"/>
  </r>
  <r>
    <s v="P0670"/>
    <x v="24"/>
    <x v="0"/>
    <x v="0"/>
    <n v="2023"/>
    <s v="Q1"/>
    <n v="4723"/>
    <n v="3469"/>
    <n v="6048"/>
    <n v="289719"/>
    <n v="6.89"/>
    <n v="19"/>
    <n v="8.17"/>
    <n v="1.5"/>
    <n v="18.46"/>
    <n v="2.8"/>
    <n v="7145"/>
    <n v="2586"/>
    <n v="14"/>
    <n v="-12470337.5"/>
    <n v="-76.112495618461978"/>
  </r>
  <r>
    <s v="P0671"/>
    <x v="473"/>
    <x v="1"/>
    <x v="0"/>
    <n v="2023"/>
    <s v="Q3"/>
    <n v="2172"/>
    <n v="12485"/>
    <n v="9566"/>
    <n v="258475"/>
    <n v="4.5999999999999996"/>
    <n v="17"/>
    <n v="0.14000000000000001"/>
    <n v="22.9"/>
    <n v="65.53"/>
    <n v="1.3"/>
    <n v="19829"/>
    <n v="6986"/>
    <n v="2"/>
    <n v="6081570.0999999996"/>
    <n v="22.426802033526787"/>
  </r>
  <r>
    <s v="P0672"/>
    <x v="462"/>
    <x v="0"/>
    <x v="0"/>
    <n v="2024"/>
    <s v="Q3"/>
    <n v="4580"/>
    <n v="18775"/>
    <n v="10902"/>
    <n v="314889"/>
    <n v="12.34"/>
    <n v="14"/>
    <n v="8.9600000000000009"/>
    <n v="15.39"/>
    <n v="51.53"/>
    <n v="2.9"/>
    <n v="15904"/>
    <n v="4935"/>
    <n v="4"/>
    <n v="35743435.609999999"/>
    <n v="41.567209496508298"/>
  </r>
  <r>
    <s v="P0673"/>
    <x v="474"/>
    <x v="0"/>
    <x v="0"/>
    <n v="2023"/>
    <s v="Q1"/>
    <n v="2200"/>
    <n v="5970"/>
    <n v="5908"/>
    <n v="367387"/>
    <n v="0.85"/>
    <n v="17"/>
    <n v="0.28999999999999998"/>
    <n v="4.82"/>
    <n v="33.840000000000003"/>
    <n v="3.8"/>
    <n v="5986"/>
    <n v="894"/>
    <n v="13"/>
    <n v="-230991.82"/>
    <n v="-1.7587316887467643"/>
  </r>
  <r>
    <s v="P0674"/>
    <x v="475"/>
    <x v="1"/>
    <x v="3"/>
    <n v="2024"/>
    <s v="Q2"/>
    <n v="4909"/>
    <n v="11725"/>
    <n v="4404"/>
    <n v="316010"/>
    <n v="6.28"/>
    <n v="1"/>
    <n v="2.4"/>
    <n v="15.16"/>
    <n v="43.8"/>
    <n v="3.4"/>
    <n v="3930"/>
    <n v="6886"/>
    <n v="8"/>
    <n v="35622763.840000004"/>
    <n v="61.890177503484537"/>
  </r>
  <r>
    <s v="P0675"/>
    <x v="313"/>
    <x v="0"/>
    <x v="0"/>
    <n v="2023"/>
    <s v="Q1"/>
    <n v="1379"/>
    <n v="11056"/>
    <n v="1469"/>
    <n v="213317"/>
    <n v="6.88"/>
    <n v="9"/>
    <n v="0.32"/>
    <n v="16.940000000000001"/>
    <n v="33.869999999999997"/>
    <n v="3.2"/>
    <n v="18729"/>
    <n v="4114"/>
    <n v="2"/>
    <n v="13007139.060000001"/>
    <n v="85.313839413614815"/>
  </r>
  <r>
    <s v="P0676"/>
    <x v="304"/>
    <x v="1"/>
    <x v="0"/>
    <n v="2023"/>
    <s v="Q4"/>
    <n v="1408"/>
    <n v="10706"/>
    <n v="5164"/>
    <n v="487940"/>
    <n v="10.88"/>
    <n v="12"/>
    <n v="3.36"/>
    <n v="13.14"/>
    <n v="31.04"/>
    <n v="2.9"/>
    <n v="14656"/>
    <n v="7492"/>
    <n v="2"/>
    <n v="7315182.8600000003"/>
    <n v="48.528324044078943"/>
  </r>
  <r>
    <s v="P0677"/>
    <x v="406"/>
    <x v="2"/>
    <x v="2"/>
    <n v="2024"/>
    <s v="Q2"/>
    <n v="2532"/>
    <n v="11491"/>
    <n v="8129"/>
    <n v="440825"/>
    <n v="8.61"/>
    <n v="17"/>
    <n v="5.14"/>
    <n v="17.95"/>
    <n v="23.09"/>
    <n v="2.2000000000000002"/>
    <n v="2067"/>
    <n v="5453"/>
    <n v="6"/>
    <n v="8071741.0499999998"/>
    <n v="27.742506395897713"/>
  </r>
  <r>
    <s v="P0678"/>
    <x v="178"/>
    <x v="2"/>
    <x v="2"/>
    <n v="2024"/>
    <s v="Q4"/>
    <n v="4592"/>
    <n v="9019"/>
    <n v="2083"/>
    <n v="121354"/>
    <n v="10.01"/>
    <n v="14"/>
    <n v="7.97"/>
    <n v="14.54"/>
    <n v="39.020000000000003"/>
    <n v="2.1"/>
    <n v="3679"/>
    <n v="3507"/>
    <n v="10"/>
    <n v="31728743.460000001"/>
    <n v="76.611260326148482"/>
  </r>
  <r>
    <s v="P0679"/>
    <x v="476"/>
    <x v="2"/>
    <x v="2"/>
    <n v="2023"/>
    <s v="Q4"/>
    <n v="2067"/>
    <n v="15169"/>
    <n v="1723"/>
    <n v="101374"/>
    <n v="11.66"/>
    <n v="11"/>
    <n v="3.38"/>
    <n v="23.69"/>
    <n v="30.08"/>
    <n v="3"/>
    <n v="3519"/>
    <n v="1074"/>
    <n v="7"/>
    <n v="27691484.309999999"/>
    <n v="88.317914917187011"/>
  </r>
  <r>
    <s v="P0680"/>
    <x v="477"/>
    <x v="2"/>
    <x v="1"/>
    <n v="2024"/>
    <s v="Q3"/>
    <n v="1381"/>
    <n v="6112"/>
    <n v="1925"/>
    <n v="164397"/>
    <n v="12.93"/>
    <n v="14"/>
    <n v="7.05"/>
    <n v="1.34"/>
    <n v="64.67"/>
    <n v="1.6"/>
    <n v="17419"/>
    <n v="9339"/>
    <n v="11"/>
    <n v="5617848.6600000001"/>
    <n v="66.556888598443351"/>
  </r>
  <r>
    <s v="P0681"/>
    <x v="478"/>
    <x v="1"/>
    <x v="1"/>
    <n v="2024"/>
    <s v="Q4"/>
    <n v="4394"/>
    <n v="13873"/>
    <n v="2329"/>
    <n v="298552"/>
    <n v="4.71"/>
    <n v="12"/>
    <n v="1.88"/>
    <n v="2.66"/>
    <n v="64.709999999999994"/>
    <n v="2.4"/>
    <n v="20204"/>
    <n v="4337"/>
    <n v="3"/>
    <n v="50425781.340000004"/>
    <n v="82.72222312812886"/>
  </r>
  <r>
    <s v="P0682"/>
    <x v="258"/>
    <x v="1"/>
    <x v="0"/>
    <n v="2023"/>
    <s v="Q1"/>
    <n v="4311"/>
    <n v="19082"/>
    <n v="14846"/>
    <n v="436721"/>
    <n v="8.07"/>
    <n v="17"/>
    <n v="7.51"/>
    <n v="4.34"/>
    <n v="50.15"/>
    <n v="2.2999999999999998"/>
    <n v="19530"/>
    <n v="7348"/>
    <n v="12"/>
    <n v="17824670.66"/>
    <n v="21.668038567560224"/>
  </r>
  <r>
    <s v="P0683"/>
    <x v="474"/>
    <x v="1"/>
    <x v="1"/>
    <n v="2024"/>
    <s v="Q2"/>
    <n v="1408"/>
    <n v="17052"/>
    <n v="10586"/>
    <n v="473332"/>
    <n v="12.6"/>
    <n v="14"/>
    <n v="2.36"/>
    <n v="17.25"/>
    <n v="72.239999999999995"/>
    <n v="3.3"/>
    <n v="5409"/>
    <n v="4469"/>
    <n v="10"/>
    <n v="8630778.75"/>
    <n v="35.94777417971499"/>
  </r>
  <r>
    <s v="P0684"/>
    <x v="52"/>
    <x v="1"/>
    <x v="1"/>
    <n v="2024"/>
    <s v="Q3"/>
    <n v="4687"/>
    <n v="16146"/>
    <n v="9238"/>
    <n v="393173"/>
    <n v="14.84"/>
    <n v="10"/>
    <n v="1.44"/>
    <n v="16.14"/>
    <n v="77.31"/>
    <n v="1.3"/>
    <n v="9515"/>
    <n v="8150"/>
    <n v="7"/>
    <n v="31984606.859999999"/>
    <n v="42.265023547265827"/>
  </r>
  <r>
    <s v="P0685"/>
    <x v="479"/>
    <x v="0"/>
    <x v="3"/>
    <n v="2023"/>
    <s v="Q1"/>
    <n v="4904"/>
    <n v="6738"/>
    <n v="4511"/>
    <n v="405718"/>
    <n v="13.34"/>
    <n v="18"/>
    <n v="1.85"/>
    <n v="22.3"/>
    <n v="56.38"/>
    <n v="4.3"/>
    <n v="4920"/>
    <n v="564"/>
    <n v="6"/>
    <n v="10515467.699999999"/>
    <n v="31.823440148809045"/>
  </r>
  <r>
    <s v="P0686"/>
    <x v="480"/>
    <x v="2"/>
    <x v="1"/>
    <n v="2023"/>
    <s v="Q1"/>
    <n v="3227"/>
    <n v="17077"/>
    <n v="8804"/>
    <n v="463663"/>
    <n v="5.57"/>
    <n v="2"/>
    <n v="1.82"/>
    <n v="18.32"/>
    <n v="59.51"/>
    <n v="3.2"/>
    <n v="16385"/>
    <n v="5427"/>
    <n v="6"/>
    <n v="26233289.68"/>
    <n v="47.603864586148099"/>
  </r>
  <r>
    <s v="P0687"/>
    <x v="481"/>
    <x v="2"/>
    <x v="3"/>
    <n v="2024"/>
    <s v="Q2"/>
    <n v="2178"/>
    <n v="17004"/>
    <n v="10552"/>
    <n v="342575"/>
    <n v="2.93"/>
    <n v="6"/>
    <n v="5.13"/>
    <n v="12.71"/>
    <n v="32.630000000000003"/>
    <n v="3.7"/>
    <n v="18240"/>
    <n v="5515"/>
    <n v="13"/>
    <n v="13709868.289999999"/>
    <n v="37.018968285753104"/>
  </r>
  <r>
    <s v="P0688"/>
    <x v="294"/>
    <x v="2"/>
    <x v="2"/>
    <n v="2023"/>
    <s v="Q3"/>
    <n v="2230"/>
    <n v="5219"/>
    <n v="7074"/>
    <n v="461124"/>
    <n v="7.34"/>
    <n v="13"/>
    <n v="8.4499999999999993"/>
    <n v="24.8"/>
    <n v="81.59"/>
    <n v="3.8"/>
    <n v="8985"/>
    <n v="8215"/>
    <n v="4"/>
    <n v="-4597798.8"/>
    <n v="-39.505521821354705"/>
  </r>
  <r>
    <s v="P0689"/>
    <x v="151"/>
    <x v="2"/>
    <x v="0"/>
    <n v="2024"/>
    <s v="Q2"/>
    <n v="4942"/>
    <n v="1802"/>
    <n v="11392"/>
    <n v="79336"/>
    <n v="11.12"/>
    <n v="13"/>
    <n v="0.8"/>
    <n v="6.65"/>
    <n v="11.94"/>
    <n v="2.2000000000000002"/>
    <n v="20965"/>
    <n v="387"/>
    <n v="7"/>
    <n v="-47473122.649999999"/>
    <n v="-533.07740095878"/>
  </r>
  <r>
    <s v="P0690"/>
    <x v="482"/>
    <x v="0"/>
    <x v="1"/>
    <n v="2024"/>
    <s v="Q3"/>
    <n v="187"/>
    <n v="13644"/>
    <n v="11235"/>
    <n v="353136"/>
    <n v="7.39"/>
    <n v="12"/>
    <n v="7.07"/>
    <n v="20.83"/>
    <n v="37.89"/>
    <n v="2.9"/>
    <n v="20164"/>
    <n v="3295"/>
    <n v="14"/>
    <n v="97326.17"/>
    <n v="3.8145763862433117"/>
  </r>
  <r>
    <s v="P0691"/>
    <x v="483"/>
    <x v="0"/>
    <x v="0"/>
    <n v="2024"/>
    <s v="Q2"/>
    <n v="3522"/>
    <n v="18870"/>
    <n v="4664"/>
    <n v="105350"/>
    <n v="7.25"/>
    <n v="11"/>
    <n v="6.54"/>
    <n v="10.67"/>
    <n v="67.739999999999995"/>
    <n v="4.8"/>
    <n v="5631"/>
    <n v="9167"/>
    <n v="5"/>
    <n v="49928171.329999998"/>
    <n v="75.124986691270891"/>
  </r>
  <r>
    <s v="P0692"/>
    <x v="177"/>
    <x v="2"/>
    <x v="0"/>
    <n v="2023"/>
    <s v="Q1"/>
    <n v="2882"/>
    <n v="11555"/>
    <n v="10931"/>
    <n v="119561"/>
    <n v="12.57"/>
    <n v="8"/>
    <n v="8.73"/>
    <n v="16.22"/>
    <n v="16.41"/>
    <n v="4.0999999999999996"/>
    <n v="12152"/>
    <n v="2092"/>
    <n v="14"/>
    <n v="1678790.78"/>
    <n v="5.0411851594717474"/>
  </r>
  <r>
    <s v="P0693"/>
    <x v="309"/>
    <x v="1"/>
    <x v="3"/>
    <n v="2024"/>
    <s v="Q3"/>
    <n v="3629"/>
    <n v="5940"/>
    <n v="14017"/>
    <n v="364099"/>
    <n v="5.42"/>
    <n v="0"/>
    <n v="2.44"/>
    <n v="18.18"/>
    <n v="24.65"/>
    <n v="4.9000000000000004"/>
    <n v="15879"/>
    <n v="7550"/>
    <n v="13"/>
    <n v="-29675550.18"/>
    <n v="-137.66557918674204"/>
  </r>
  <r>
    <s v="P0694"/>
    <x v="197"/>
    <x v="0"/>
    <x v="0"/>
    <n v="2024"/>
    <s v="Q4"/>
    <n v="3081"/>
    <n v="4572"/>
    <n v="8633"/>
    <n v="111240"/>
    <n v="12.9"/>
    <n v="18"/>
    <n v="4.5"/>
    <n v="15.84"/>
    <n v="57.14"/>
    <n v="4"/>
    <n v="16403"/>
    <n v="3025"/>
    <n v="11"/>
    <n v="-12623196.84"/>
    <n v="-89.613086217192659"/>
  </r>
  <r>
    <s v="P0695"/>
    <x v="484"/>
    <x v="1"/>
    <x v="2"/>
    <n v="2024"/>
    <s v="Q1"/>
    <n v="4214"/>
    <n v="15098"/>
    <n v="12061"/>
    <n v="201165"/>
    <n v="6.1"/>
    <n v="10"/>
    <n v="9.26"/>
    <n v="3.51"/>
    <n v="54.8"/>
    <n v="1.7"/>
    <n v="17413"/>
    <n v="1220"/>
    <n v="3"/>
    <n v="12596749.49"/>
    <n v="19.799058569599673"/>
  </r>
  <r>
    <s v="P0696"/>
    <x v="233"/>
    <x v="0"/>
    <x v="3"/>
    <n v="2024"/>
    <s v="Q4"/>
    <n v="2643"/>
    <n v="15787"/>
    <n v="7588"/>
    <n v="449371"/>
    <n v="4.92"/>
    <n v="18"/>
    <n v="6.6"/>
    <n v="11.07"/>
    <n v="69.11"/>
    <n v="1.3"/>
    <n v="20671"/>
    <n v="5410"/>
    <n v="14"/>
    <n v="21220574.93"/>
    <n v="50.858128407830684"/>
  </r>
  <r>
    <s v="P0697"/>
    <x v="255"/>
    <x v="2"/>
    <x v="2"/>
    <n v="2024"/>
    <s v="Q1"/>
    <n v="4350"/>
    <n v="15465"/>
    <n v="1026"/>
    <n v="96607"/>
    <n v="6.81"/>
    <n v="17"/>
    <n v="3.89"/>
    <n v="14.04"/>
    <n v="75.010000000000005"/>
    <n v="3.3"/>
    <n v="10970"/>
    <n v="546"/>
    <n v="4"/>
    <n v="62713028.960000001"/>
    <n v="93.222038581743732"/>
  </r>
  <r>
    <s v="P0698"/>
    <x v="485"/>
    <x v="0"/>
    <x v="1"/>
    <n v="2024"/>
    <s v="Q3"/>
    <n v="3868"/>
    <n v="11019"/>
    <n v="12539"/>
    <n v="476703"/>
    <n v="11.44"/>
    <n v="11"/>
    <n v="1.31"/>
    <n v="21.23"/>
    <n v="20.29"/>
    <n v="2.4"/>
    <n v="18349"/>
    <n v="6727"/>
    <n v="10"/>
    <n v="-6356084.2300000004"/>
    <n v="-14.912861872597047"/>
  </r>
  <r>
    <s v="P0699"/>
    <x v="86"/>
    <x v="1"/>
    <x v="3"/>
    <n v="2023"/>
    <s v="Q3"/>
    <n v="4188"/>
    <n v="14880"/>
    <n v="1064"/>
    <n v="236740"/>
    <n v="1.89"/>
    <n v="0"/>
    <n v="2.62"/>
    <n v="11.09"/>
    <n v="11.47"/>
    <n v="2.1"/>
    <n v="13040"/>
    <n v="2996"/>
    <n v="12"/>
    <n v="57624656.909999996"/>
    <n v="92.469550915441971"/>
  </r>
  <r>
    <s v="P0700"/>
    <x v="486"/>
    <x v="1"/>
    <x v="2"/>
    <n v="2024"/>
    <s v="Q3"/>
    <n v="3873"/>
    <n v="13365"/>
    <n v="10387"/>
    <n v="464179"/>
    <n v="2.95"/>
    <n v="18"/>
    <n v="5.81"/>
    <n v="22.97"/>
    <n v="65.17"/>
    <n v="4.2"/>
    <n v="19371"/>
    <n v="821"/>
    <n v="12"/>
    <n v="11069592.029999999"/>
    <n v="21.385290550743687"/>
  </r>
  <r>
    <s v="P0701"/>
    <x v="297"/>
    <x v="0"/>
    <x v="2"/>
    <n v="2023"/>
    <s v="Q3"/>
    <n v="4092"/>
    <n v="9625"/>
    <n v="12549"/>
    <n v="231196"/>
    <n v="14.27"/>
    <n v="19"/>
    <n v="7.18"/>
    <n v="11.01"/>
    <n v="34.11"/>
    <n v="2.5"/>
    <n v="6097"/>
    <n v="2263"/>
    <n v="10"/>
    <n v="-12196215.01"/>
    <n v="-30.966256642673063"/>
  </r>
  <r>
    <s v="P0702"/>
    <x v="487"/>
    <x v="0"/>
    <x v="3"/>
    <n v="2024"/>
    <s v="Q4"/>
    <n v="1956"/>
    <n v="4791"/>
    <n v="14545"/>
    <n v="365014"/>
    <n v="2.63"/>
    <n v="16"/>
    <n v="1.24"/>
    <n v="13.72"/>
    <n v="60.08"/>
    <n v="2.2999999999999998"/>
    <n v="6036"/>
    <n v="9643"/>
    <n v="7"/>
    <n v="-19443851.719999999"/>
    <n v="-207.48527423820821"/>
  </r>
  <r>
    <s v="P0703"/>
    <x v="13"/>
    <x v="1"/>
    <x v="3"/>
    <n v="2024"/>
    <s v="Q1"/>
    <n v="810"/>
    <n v="5533"/>
    <n v="1445"/>
    <n v="499763"/>
    <n v="8.52"/>
    <n v="4"/>
    <n v="6"/>
    <n v="19.91"/>
    <n v="22.04"/>
    <n v="4.4000000000000004"/>
    <n v="18209"/>
    <n v="4080"/>
    <n v="11"/>
    <n v="2811497.09"/>
    <n v="62.732406682241006"/>
  </r>
  <r>
    <s v="P0704"/>
    <x v="488"/>
    <x v="0"/>
    <x v="2"/>
    <n v="2024"/>
    <s v="Q3"/>
    <n v="3495"/>
    <n v="6605"/>
    <n v="8344"/>
    <n v="114110"/>
    <n v="8.69"/>
    <n v="2"/>
    <n v="5.5"/>
    <n v="14.58"/>
    <n v="47.52"/>
    <n v="4.4000000000000004"/>
    <n v="11457"/>
    <n v="4602"/>
    <n v="11"/>
    <n v="-6191929.5800000001"/>
    <n v="-26.822917047063015"/>
  </r>
  <r>
    <s v="P0705"/>
    <x v="243"/>
    <x v="0"/>
    <x v="2"/>
    <n v="2024"/>
    <s v="Q3"/>
    <n v="949"/>
    <n v="18587"/>
    <n v="14506"/>
    <n v="234626"/>
    <n v="7.34"/>
    <n v="1"/>
    <n v="5.14"/>
    <n v="24.01"/>
    <n v="50.35"/>
    <n v="2.4"/>
    <n v="5662"/>
    <n v="1825"/>
    <n v="10"/>
    <n v="3638218.99"/>
    <n v="20.625919812180502"/>
  </r>
  <r>
    <s v="P0706"/>
    <x v="489"/>
    <x v="0"/>
    <x v="2"/>
    <n v="2024"/>
    <s v="Q1"/>
    <n v="4505"/>
    <n v="9633"/>
    <n v="6369"/>
    <n v="202008"/>
    <n v="9.67"/>
    <n v="2"/>
    <n v="6.9"/>
    <n v="16.510000000000002"/>
    <n v="56.81"/>
    <n v="4.3"/>
    <n v="1803"/>
    <n v="8985"/>
    <n v="5"/>
    <n v="14502295.49"/>
    <n v="33.417995345955731"/>
  </r>
  <r>
    <s v="P0707"/>
    <x v="308"/>
    <x v="1"/>
    <x v="0"/>
    <n v="2023"/>
    <s v="Q1"/>
    <n v="2997"/>
    <n v="18458"/>
    <n v="3790"/>
    <n v="429039"/>
    <n v="3.45"/>
    <n v="7"/>
    <n v="8.3699999999999992"/>
    <n v="13.07"/>
    <n v="51.05"/>
    <n v="4.4000000000000004"/>
    <n v="6567"/>
    <n v="3513"/>
    <n v="12"/>
    <n v="43530943.93"/>
    <n v="78.691296363723865"/>
  </r>
  <r>
    <s v="P0708"/>
    <x v="229"/>
    <x v="1"/>
    <x v="1"/>
    <n v="2023"/>
    <s v="Q4"/>
    <n v="1769"/>
    <n v="7204"/>
    <n v="14475"/>
    <n v="54426"/>
    <n v="8.2899999999999991"/>
    <n v="15"/>
    <n v="3.23"/>
    <n v="0.59"/>
    <n v="49.66"/>
    <n v="2.7"/>
    <n v="6524"/>
    <n v="594"/>
    <n v="6"/>
    <n v="-12916825.59"/>
    <n v="-101.35711921553536"/>
  </r>
  <r>
    <s v="P0709"/>
    <x v="490"/>
    <x v="1"/>
    <x v="0"/>
    <n v="2023"/>
    <s v="Q4"/>
    <n v="330"/>
    <n v="9348"/>
    <n v="10891"/>
    <n v="269911"/>
    <n v="5.58"/>
    <n v="5"/>
    <n v="8.89"/>
    <n v="10.34"/>
    <n v="36.619999999999997"/>
    <n v="1.3"/>
    <n v="9215"/>
    <n v="1047"/>
    <n v="11"/>
    <n v="-779111.34"/>
    <n v="-25.256134515890611"/>
  </r>
  <r>
    <s v="P0710"/>
    <x v="7"/>
    <x v="1"/>
    <x v="2"/>
    <n v="2024"/>
    <s v="Q4"/>
    <n v="3316"/>
    <n v="14475"/>
    <n v="3304"/>
    <n v="339750"/>
    <n v="9.93"/>
    <n v="12"/>
    <n v="1.61"/>
    <n v="7.48"/>
    <n v="15.69"/>
    <n v="1"/>
    <n v="12726"/>
    <n v="122"/>
    <n v="7"/>
    <n v="36703278.520000003"/>
    <n v="76.466597332033317"/>
  </r>
  <r>
    <s v="P0711"/>
    <x v="491"/>
    <x v="2"/>
    <x v="2"/>
    <n v="2023"/>
    <s v="Q3"/>
    <n v="1937"/>
    <n v="8424"/>
    <n v="11764"/>
    <n v="491048"/>
    <n v="2.12"/>
    <n v="15"/>
    <n v="1.73"/>
    <n v="18.7"/>
    <n v="17.16"/>
    <n v="3.1"/>
    <n v="4131"/>
    <n v="1228"/>
    <n v="14"/>
    <n v="-6960646.7000000002"/>
    <n v="-42.658110220276804"/>
  </r>
  <r>
    <s v="P0712"/>
    <x v="442"/>
    <x v="1"/>
    <x v="0"/>
    <n v="2023"/>
    <s v="Q4"/>
    <n v="3316"/>
    <n v="1988"/>
    <n v="14337"/>
    <n v="78151"/>
    <n v="8.56"/>
    <n v="15"/>
    <n v="2.67"/>
    <n v="5.21"/>
    <n v="44.7"/>
    <n v="2.4"/>
    <n v="14912"/>
    <n v="657"/>
    <n v="10"/>
    <n v="-41027440.210000001"/>
    <n v="-622.36264708273768"/>
  </r>
  <r>
    <s v="P0713"/>
    <x v="492"/>
    <x v="0"/>
    <x v="3"/>
    <n v="2024"/>
    <s v="Q3"/>
    <n v="716"/>
    <n v="8614"/>
    <n v="14069"/>
    <n v="323452"/>
    <n v="2.78"/>
    <n v="2"/>
    <n v="1.2"/>
    <n v="5.13"/>
    <n v="38.46"/>
    <n v="5"/>
    <n v="16537"/>
    <n v="9908"/>
    <n v="14"/>
    <n v="-4229237.13"/>
    <n v="-68.571578455495981"/>
  </r>
  <r>
    <s v="P0714"/>
    <x v="425"/>
    <x v="2"/>
    <x v="2"/>
    <n v="2024"/>
    <s v="Q4"/>
    <n v="4238"/>
    <n v="17240"/>
    <n v="10146"/>
    <n v="290853"/>
    <n v="4.18"/>
    <n v="12"/>
    <n v="2.2999999999999998"/>
    <n v="4.74"/>
    <n v="51.29"/>
    <n v="4.0999999999999996"/>
    <n v="13147"/>
    <n v="3830"/>
    <n v="6"/>
    <n v="29773514.260000002"/>
    <n v="40.750400831500215"/>
  </r>
  <r>
    <s v="P0715"/>
    <x v="192"/>
    <x v="0"/>
    <x v="2"/>
    <n v="2023"/>
    <s v="Q3"/>
    <n v="721"/>
    <n v="4673"/>
    <n v="1387"/>
    <n v="304595"/>
    <n v="3.28"/>
    <n v="13"/>
    <n v="1.06"/>
    <n v="3.14"/>
    <n v="34.39"/>
    <n v="4"/>
    <n v="14069"/>
    <n v="5441"/>
    <n v="9"/>
    <n v="2064607.86"/>
    <n v="61.278274907078256"/>
  </r>
  <r>
    <s v="P0716"/>
    <x v="170"/>
    <x v="0"/>
    <x v="3"/>
    <n v="2024"/>
    <s v="Q4"/>
    <n v="2019"/>
    <n v="3167"/>
    <n v="13563"/>
    <n v="226743"/>
    <n v="2.74"/>
    <n v="7"/>
    <n v="8.2200000000000006"/>
    <n v="7.78"/>
    <n v="65.03"/>
    <n v="4.8"/>
    <n v="3869"/>
    <n v="7098"/>
    <n v="12"/>
    <n v="-21216274.780000001"/>
    <n v="-331.80639278918477"/>
  </r>
  <r>
    <s v="P0717"/>
    <x v="493"/>
    <x v="0"/>
    <x v="0"/>
    <n v="2024"/>
    <s v="Q3"/>
    <n v="4206"/>
    <n v="5614"/>
    <n v="10813"/>
    <n v="140306"/>
    <n v="12.39"/>
    <n v="11"/>
    <n v="1.39"/>
    <n v="22.15"/>
    <n v="79.12"/>
    <n v="4.5999999999999996"/>
    <n v="13159"/>
    <n v="7282"/>
    <n v="2"/>
    <n v="-22007322.149999999"/>
    <n v="-93.202062730884222"/>
  </r>
  <r>
    <s v="P0718"/>
    <x v="494"/>
    <x v="2"/>
    <x v="0"/>
    <n v="2024"/>
    <s v="Q4"/>
    <n v="3172"/>
    <n v="5053"/>
    <n v="9977"/>
    <n v="275180"/>
    <n v="4.29"/>
    <n v="7"/>
    <n v="7.47"/>
    <n v="19.37"/>
    <n v="33.909999999999997"/>
    <n v="2.2999999999999998"/>
    <n v="2028"/>
    <n v="7134"/>
    <n v="6"/>
    <n v="-15894127.369999999"/>
    <n v="-99.164040053116651"/>
  </r>
  <r>
    <s v="P0719"/>
    <x v="17"/>
    <x v="0"/>
    <x v="0"/>
    <n v="2024"/>
    <s v="Q1"/>
    <n v="4749"/>
    <n v="9261"/>
    <n v="4879"/>
    <n v="419128"/>
    <n v="13.91"/>
    <n v="8"/>
    <n v="0.48"/>
    <n v="18.38"/>
    <n v="25.44"/>
    <n v="1.7"/>
    <n v="12002"/>
    <n v="1756"/>
    <n v="11"/>
    <n v="20390971.620000001"/>
    <n v="46.363676447526544"/>
  </r>
  <r>
    <s v="P0720"/>
    <x v="495"/>
    <x v="1"/>
    <x v="0"/>
    <n v="2024"/>
    <s v="Q2"/>
    <n v="4827"/>
    <n v="2500"/>
    <n v="4148"/>
    <n v="52204"/>
    <n v="14.55"/>
    <n v="0"/>
    <n v="9.49"/>
    <n v="19.93"/>
    <n v="19.29"/>
    <n v="4"/>
    <n v="6175"/>
    <n v="4273"/>
    <n v="2"/>
    <n v="-8007119.9299999997"/>
    <n v="-66.352765112906567"/>
  </r>
  <r>
    <s v="P0721"/>
    <x v="167"/>
    <x v="0"/>
    <x v="0"/>
    <n v="2024"/>
    <s v="Q1"/>
    <n v="3950"/>
    <n v="17138"/>
    <n v="7099"/>
    <n v="142769"/>
    <n v="8.57"/>
    <n v="5"/>
    <n v="7.11"/>
    <n v="6.74"/>
    <n v="59.3"/>
    <n v="2.5"/>
    <n v="19547"/>
    <n v="5541"/>
    <n v="11"/>
    <n v="39511274.259999998"/>
    <n v="58.366520265129971"/>
  </r>
  <r>
    <s v="P0722"/>
    <x v="496"/>
    <x v="0"/>
    <x v="3"/>
    <n v="2024"/>
    <s v="Q4"/>
    <n v="573"/>
    <n v="19272"/>
    <n v="4631"/>
    <n v="137265"/>
    <n v="2.15"/>
    <n v="18"/>
    <n v="7.0000000000000007E-2"/>
    <n v="22.19"/>
    <n v="45.51"/>
    <n v="2.9"/>
    <n v="3841"/>
    <n v="9098"/>
    <n v="7"/>
    <n v="8252005.8099999996"/>
    <n v="74.727097863089043"/>
  </r>
  <r>
    <s v="P0723"/>
    <x v="293"/>
    <x v="0"/>
    <x v="1"/>
    <n v="2023"/>
    <s v="Q2"/>
    <n v="2443"/>
    <n v="6950"/>
    <n v="10233"/>
    <n v="343275"/>
    <n v="5.62"/>
    <n v="10"/>
    <n v="7.64"/>
    <n v="3.43"/>
    <n v="25.04"/>
    <n v="3.5"/>
    <n v="15419"/>
    <n v="3412"/>
    <n v="8"/>
    <n v="-8363647.4299999997"/>
    <n v="-49.259210311652438"/>
  </r>
  <r>
    <s v="P0724"/>
    <x v="363"/>
    <x v="1"/>
    <x v="0"/>
    <n v="2023"/>
    <s v="Q4"/>
    <n v="3167"/>
    <n v="5212"/>
    <n v="9181"/>
    <n v="102428"/>
    <n v="11.97"/>
    <n v="10"/>
    <n v="5.14"/>
    <n v="8.41"/>
    <n v="62.25"/>
    <n v="4.5999999999999996"/>
    <n v="16230"/>
    <n v="8745"/>
    <n v="13"/>
    <n v="-12672259.41"/>
    <n v="-76.771775427282648"/>
  </r>
  <r>
    <s v="P0725"/>
    <x v="26"/>
    <x v="2"/>
    <x v="1"/>
    <n v="2023"/>
    <s v="Q2"/>
    <n v="2643"/>
    <n v="2867"/>
    <n v="14528"/>
    <n v="83870"/>
    <n v="5.51"/>
    <n v="12"/>
    <n v="7.79"/>
    <n v="14.67"/>
    <n v="21.88"/>
    <n v="2.7"/>
    <n v="16756"/>
    <n v="2424"/>
    <n v="6"/>
    <n v="-30903907.670000002"/>
    <n v="-407.8388011794421"/>
  </r>
  <r>
    <s v="P0726"/>
    <x v="497"/>
    <x v="0"/>
    <x v="2"/>
    <n v="2024"/>
    <s v="Q2"/>
    <n v="2018"/>
    <n v="9689"/>
    <n v="9972"/>
    <n v="153547"/>
    <n v="1.31"/>
    <n v="10"/>
    <n v="5.22"/>
    <n v="2.57"/>
    <n v="54.34"/>
    <n v="4.0999999999999996"/>
    <n v="6405"/>
    <n v="9739"/>
    <n v="2"/>
    <n v="-724643.57"/>
    <n v="-3.7061613708637946"/>
  </r>
  <r>
    <s v="P0727"/>
    <x v="498"/>
    <x v="2"/>
    <x v="1"/>
    <n v="2023"/>
    <s v="Q3"/>
    <n v="1803"/>
    <n v="10513"/>
    <n v="10690"/>
    <n v="285990"/>
    <n v="8.35"/>
    <n v="17"/>
    <n v="6.41"/>
    <n v="18.25"/>
    <n v="52.17"/>
    <n v="2.1"/>
    <n v="17039"/>
    <n v="5695"/>
    <n v="7"/>
    <n v="-605139.25"/>
    <n v="-3.1925148901824478"/>
  </r>
  <r>
    <s v="P0728"/>
    <x v="499"/>
    <x v="0"/>
    <x v="2"/>
    <n v="2023"/>
    <s v="Q2"/>
    <n v="2346"/>
    <n v="18338"/>
    <n v="2515"/>
    <n v="99067"/>
    <n v="12.68"/>
    <n v="14"/>
    <n v="7.86"/>
    <n v="9.68"/>
    <n v="68.739999999999995"/>
    <n v="3.8"/>
    <n v="16755"/>
    <n v="6084"/>
    <n v="11"/>
    <n v="37021681.32"/>
    <n v="86.055010503255303"/>
  </r>
  <r>
    <s v="P0729"/>
    <x v="352"/>
    <x v="1"/>
    <x v="2"/>
    <n v="2023"/>
    <s v="Q1"/>
    <n v="2311"/>
    <n v="5226"/>
    <n v="11585"/>
    <n v="288083"/>
    <n v="11.94"/>
    <n v="0"/>
    <n v="4.05"/>
    <n v="19.61"/>
    <n v="14.41"/>
    <n v="1"/>
    <n v="10384"/>
    <n v="2611"/>
    <n v="6"/>
    <n v="-14983751.609999999"/>
    <n v="-124.06555255874538"/>
  </r>
  <r>
    <s v="P0730"/>
    <x v="500"/>
    <x v="1"/>
    <x v="3"/>
    <n v="2024"/>
    <s v="Q1"/>
    <n v="2336"/>
    <n v="6306"/>
    <n v="13128"/>
    <n v="162217"/>
    <n v="2.63"/>
    <n v="6"/>
    <n v="0.03"/>
    <n v="12.32"/>
    <n v="81.03"/>
    <n v="4.5"/>
    <n v="10643"/>
    <n v="462"/>
    <n v="7"/>
    <n v="-16098421.32"/>
    <n v="-109.28397530727423"/>
  </r>
  <r>
    <s v="P0731"/>
    <x v="501"/>
    <x v="1"/>
    <x v="2"/>
    <n v="2023"/>
    <s v="Q1"/>
    <n v="4252"/>
    <n v="3690"/>
    <n v="7250"/>
    <n v="464823"/>
    <n v="10.09"/>
    <n v="12"/>
    <n v="8.5"/>
    <n v="4.5199999999999996"/>
    <n v="66.239999999999995"/>
    <n v="1.1000000000000001"/>
    <n v="7450"/>
    <n v="3554"/>
    <n v="12"/>
    <n v="-15601947.52"/>
    <n v="-99.439559257304708"/>
  </r>
  <r>
    <s v="P0732"/>
    <x v="502"/>
    <x v="1"/>
    <x v="0"/>
    <n v="2023"/>
    <s v="Q3"/>
    <n v="2928"/>
    <n v="10608"/>
    <n v="14030"/>
    <n v="468184"/>
    <n v="3.31"/>
    <n v="11"/>
    <n v="3.81"/>
    <n v="18.37"/>
    <n v="27.29"/>
    <n v="3.9"/>
    <n v="2860"/>
    <n v="2898"/>
    <n v="11"/>
    <n v="-10487818.369999999"/>
    <n v="-33.766074481626404"/>
  </r>
  <r>
    <s v="P0733"/>
    <x v="354"/>
    <x v="1"/>
    <x v="2"/>
    <n v="2023"/>
    <s v="Q3"/>
    <n v="4193"/>
    <n v="13678"/>
    <n v="13425"/>
    <n v="148934"/>
    <n v="3.27"/>
    <n v="17"/>
    <n v="4.96"/>
    <n v="6.3"/>
    <n v="24.67"/>
    <n v="1.2"/>
    <n v="6627"/>
    <n v="4720"/>
    <n v="8"/>
    <n v="911888.7"/>
    <n v="1.5899899243013136"/>
  </r>
  <r>
    <s v="P0734"/>
    <x v="503"/>
    <x v="1"/>
    <x v="2"/>
    <n v="2024"/>
    <s v="Q4"/>
    <n v="3694"/>
    <n v="4375"/>
    <n v="6233"/>
    <n v="192980"/>
    <n v="13.11"/>
    <n v="18"/>
    <n v="0.08"/>
    <n v="12.27"/>
    <n v="44.53"/>
    <n v="2.1"/>
    <n v="15752"/>
    <n v="3355"/>
    <n v="8"/>
    <n v="-7056444.2699999996"/>
    <n v="-43.662738154536314"/>
  </r>
  <r>
    <s v="P0735"/>
    <x v="60"/>
    <x v="2"/>
    <x v="2"/>
    <n v="2023"/>
    <s v="Q4"/>
    <n v="4482"/>
    <n v="7092"/>
    <n v="1898"/>
    <n v="469639"/>
    <n v="3.75"/>
    <n v="14"/>
    <n v="4.92"/>
    <n v="1.89"/>
    <n v="75.41"/>
    <n v="3"/>
    <n v="10230"/>
    <n v="1317"/>
    <n v="3"/>
    <n v="22809867.109999999"/>
    <n v="71.75995801844968"/>
  </r>
  <r>
    <s v="P0736"/>
    <x v="148"/>
    <x v="2"/>
    <x v="0"/>
    <n v="2023"/>
    <s v="Q3"/>
    <n v="2105"/>
    <n v="19324"/>
    <n v="7896"/>
    <n v="386851"/>
    <n v="3.95"/>
    <n v="7"/>
    <n v="9.86"/>
    <n v="15.45"/>
    <n v="77.44"/>
    <n v="2.7"/>
    <n v="5425"/>
    <n v="1585"/>
    <n v="13"/>
    <n v="23669073.550000001"/>
    <n v="58.187825828932404"/>
  </r>
  <r>
    <s v="P0737"/>
    <x v="504"/>
    <x v="0"/>
    <x v="0"/>
    <n v="2024"/>
    <s v="Q3"/>
    <n v="4770"/>
    <n v="14092"/>
    <n v="3126"/>
    <n v="259329"/>
    <n v="0.01"/>
    <n v="18"/>
    <n v="2.78"/>
    <n v="16.649999999999999"/>
    <n v="51.64"/>
    <n v="1.8"/>
    <n v="9963"/>
    <n v="5449"/>
    <n v="4"/>
    <n v="52048474.350000001"/>
    <n v="77.431378390344136"/>
  </r>
  <r>
    <s v="P0738"/>
    <x v="342"/>
    <x v="0"/>
    <x v="1"/>
    <n v="2024"/>
    <s v="Q3"/>
    <n v="1326"/>
    <n v="10427"/>
    <n v="12239"/>
    <n v="307354"/>
    <n v="13.06"/>
    <n v="9"/>
    <n v="3.95"/>
    <n v="9.4700000000000006"/>
    <n v="78.86"/>
    <n v="2.2999999999999998"/>
    <n v="18912"/>
    <n v="7295"/>
    <n v="13"/>
    <n v="-2710075.47"/>
    <n v="-19.601011687808413"/>
  </r>
  <r>
    <s v="P0739"/>
    <x v="262"/>
    <x v="0"/>
    <x v="1"/>
    <n v="2023"/>
    <s v="Q2"/>
    <n v="2816"/>
    <n v="15937"/>
    <n v="9887"/>
    <n v="111215"/>
    <n v="11.89"/>
    <n v="6"/>
    <n v="6.87"/>
    <n v="23.86"/>
    <n v="10.44"/>
    <n v="3.9"/>
    <n v="2742"/>
    <n v="7850"/>
    <n v="7"/>
    <n v="16925561.140000001"/>
    <n v="37.71410907900141"/>
  </r>
  <r>
    <s v="P0740"/>
    <x v="204"/>
    <x v="1"/>
    <x v="2"/>
    <n v="2024"/>
    <s v="Q2"/>
    <n v="352"/>
    <n v="13030"/>
    <n v="7216"/>
    <n v="236907"/>
    <n v="9.41"/>
    <n v="17"/>
    <n v="8.15"/>
    <n v="21.85"/>
    <n v="12.81"/>
    <n v="3.7"/>
    <n v="10284"/>
    <n v="6179"/>
    <n v="4"/>
    <n v="1809599.15"/>
    <n v="39.454387384008925"/>
  </r>
  <r>
    <s v="P0741"/>
    <x v="505"/>
    <x v="2"/>
    <x v="3"/>
    <n v="2023"/>
    <s v="Q2"/>
    <n v="688"/>
    <n v="8510"/>
    <n v="7780"/>
    <n v="361573"/>
    <n v="11.25"/>
    <n v="15"/>
    <n v="4.17"/>
    <n v="17.7"/>
    <n v="82.95"/>
    <n v="1.3"/>
    <n v="11297"/>
    <n v="9499"/>
    <n v="3"/>
    <n v="140649.29999999999"/>
    <n v="2.4022576039133168"/>
  </r>
  <r>
    <s v="P0742"/>
    <x v="415"/>
    <x v="1"/>
    <x v="2"/>
    <n v="2024"/>
    <s v="Q1"/>
    <n v="105"/>
    <n v="12707"/>
    <n v="7563"/>
    <n v="394296"/>
    <n v="2.2799999999999998"/>
    <n v="19"/>
    <n v="3.1"/>
    <n v="17.84"/>
    <n v="72.03"/>
    <n v="4"/>
    <n v="7906"/>
    <n v="9740"/>
    <n v="5"/>
    <n v="145806.16"/>
    <n v="10.928071891383452"/>
  </r>
  <r>
    <s v="P0743"/>
    <x v="506"/>
    <x v="0"/>
    <x v="1"/>
    <n v="2023"/>
    <s v="Q1"/>
    <n v="4871"/>
    <n v="4489"/>
    <n v="2474"/>
    <n v="158048"/>
    <n v="6.87"/>
    <n v="5"/>
    <n v="9.3800000000000008"/>
    <n v="6.31"/>
    <n v="46.06"/>
    <n v="1.2"/>
    <n v="15465"/>
    <n v="8135"/>
    <n v="6"/>
    <n v="9657010.6899999995"/>
    <n v="44.164668724877281"/>
  </r>
  <r>
    <s v="P0744"/>
    <x v="507"/>
    <x v="2"/>
    <x v="0"/>
    <n v="2024"/>
    <s v="Q4"/>
    <n v="575"/>
    <n v="13540"/>
    <n v="11901"/>
    <n v="219530"/>
    <n v="5.27"/>
    <n v="8"/>
    <n v="6.77"/>
    <n v="16.420000000000002"/>
    <n v="70.290000000000006"/>
    <n v="3.2"/>
    <n v="15233"/>
    <n v="1607"/>
    <n v="12"/>
    <n v="722878.58"/>
    <n v="9.2849345578318676"/>
  </r>
  <r>
    <s v="P0745"/>
    <x v="167"/>
    <x v="0"/>
    <x v="2"/>
    <n v="2024"/>
    <s v="Q3"/>
    <n v="4619"/>
    <n v="10718"/>
    <n v="8750"/>
    <n v="227241"/>
    <n v="1.41"/>
    <n v="12"/>
    <n v="1.19"/>
    <n v="4.96"/>
    <n v="86.45"/>
    <n v="2"/>
    <n v="19324"/>
    <n v="1103"/>
    <n v="11"/>
    <n v="8862946.0399999991"/>
    <n v="17.902611623755956"/>
  </r>
  <r>
    <s v="P0746"/>
    <x v="508"/>
    <x v="2"/>
    <x v="0"/>
    <n v="2023"/>
    <s v="Q1"/>
    <n v="4173"/>
    <n v="7971"/>
    <n v="9922"/>
    <n v="188731"/>
    <n v="7.29"/>
    <n v="7"/>
    <n v="0.69"/>
    <n v="3.6"/>
    <n v="71.77"/>
    <n v="3.4"/>
    <n v="5126"/>
    <n v="6503"/>
    <n v="10"/>
    <n v="-8330257.5999999996"/>
    <n v="-25.043627626542094"/>
  </r>
  <r>
    <s v="P0747"/>
    <x v="110"/>
    <x v="0"/>
    <x v="1"/>
    <n v="2023"/>
    <s v="Q1"/>
    <n v="2175"/>
    <n v="4363"/>
    <n v="13376"/>
    <n v="289977"/>
    <n v="13.81"/>
    <n v="15"/>
    <n v="4.84"/>
    <n v="24.99"/>
    <n v="77.39"/>
    <n v="2"/>
    <n v="11574"/>
    <n v="1025"/>
    <n v="4"/>
    <n v="-19893276.989999998"/>
    <n v="-209.63406482410866"/>
  </r>
  <r>
    <s v="P0748"/>
    <x v="14"/>
    <x v="0"/>
    <x v="0"/>
    <n v="2024"/>
    <s v="Q1"/>
    <n v="3337"/>
    <n v="12193"/>
    <n v="9715"/>
    <n v="389384"/>
    <n v="0.6"/>
    <n v="12"/>
    <n v="2.2000000000000002"/>
    <n v="15.56"/>
    <n v="70.849999999999994"/>
    <n v="4.9000000000000004"/>
    <n v="18068"/>
    <n v="8375"/>
    <n v="4"/>
    <n v="7879686.4400000004"/>
    <n v="19.366099341081576"/>
  </r>
  <r>
    <s v="P0749"/>
    <x v="150"/>
    <x v="2"/>
    <x v="3"/>
    <n v="2024"/>
    <s v="Q2"/>
    <n v="414"/>
    <n v="2677"/>
    <n v="11932"/>
    <n v="476009"/>
    <n v="4.37"/>
    <n v="12"/>
    <n v="2.54"/>
    <n v="10.77"/>
    <n v="23.46"/>
    <n v="2.2000000000000002"/>
    <n v="9531"/>
    <n v="6683"/>
    <n v="7"/>
    <n v="-4307589.7699999996"/>
    <n v="-388.67412057263607"/>
  </r>
  <r>
    <s v="P0750"/>
    <x v="438"/>
    <x v="0"/>
    <x v="1"/>
    <n v="2023"/>
    <s v="Q4"/>
    <n v="4671"/>
    <n v="6260"/>
    <n v="6849"/>
    <n v="163688"/>
    <n v="3.11"/>
    <n v="16"/>
    <n v="8.7799999999999994"/>
    <n v="7.2"/>
    <n v="76.69"/>
    <n v="2"/>
    <n v="4688"/>
    <n v="4027"/>
    <n v="6"/>
    <n v="-2914914.2"/>
    <n v="-9.968769985150713"/>
  </r>
  <r>
    <s v="P0751"/>
    <x v="509"/>
    <x v="0"/>
    <x v="1"/>
    <n v="2024"/>
    <s v="Q4"/>
    <n v="1696"/>
    <n v="1511"/>
    <n v="1889"/>
    <n v="358617"/>
    <n v="3.57"/>
    <n v="19"/>
    <n v="0.9"/>
    <n v="15.1"/>
    <n v="25.61"/>
    <n v="2.1"/>
    <n v="4445"/>
    <n v="9834"/>
    <n v="7"/>
    <n v="-999720.1"/>
    <n v="-39.01109239788719"/>
  </r>
  <r>
    <s v="P0752"/>
    <x v="510"/>
    <x v="1"/>
    <x v="2"/>
    <n v="2023"/>
    <s v="Q1"/>
    <n v="968"/>
    <n v="17853"/>
    <n v="5378"/>
    <n v="408906"/>
    <n v="13.63"/>
    <n v="4"/>
    <n v="7.15"/>
    <n v="1.24"/>
    <n v="81.41"/>
    <n v="4.5999999999999996"/>
    <n v="8265"/>
    <n v="1085"/>
    <n v="8"/>
    <n v="11666892.76"/>
    <n v="67.510083264937307"/>
  </r>
  <r>
    <s v="P0753"/>
    <x v="511"/>
    <x v="2"/>
    <x v="0"/>
    <n v="2023"/>
    <s v="Q2"/>
    <n v="2847"/>
    <n v="13056"/>
    <n v="9927"/>
    <n v="270460"/>
    <n v="7.02"/>
    <n v="16"/>
    <n v="2.71"/>
    <n v="2.37"/>
    <n v="46.69"/>
    <n v="3.5"/>
    <n v="20358"/>
    <n v="4331"/>
    <n v="12"/>
    <n v="8637800.6300000008"/>
    <n v="23.238364918653627"/>
  </r>
  <r>
    <s v="P0754"/>
    <x v="512"/>
    <x v="2"/>
    <x v="2"/>
    <n v="2023"/>
    <s v="Q1"/>
    <n v="1581"/>
    <n v="13063"/>
    <n v="11287"/>
    <n v="419100"/>
    <n v="6.99"/>
    <n v="8"/>
    <n v="7.6"/>
    <n v="0.82"/>
    <n v="64.16"/>
    <n v="3.9"/>
    <n v="12307"/>
    <n v="5402"/>
    <n v="4"/>
    <n v="2388755.1800000002"/>
    <n v="11.566363716961007"/>
  </r>
  <r>
    <s v="P0755"/>
    <x v="358"/>
    <x v="2"/>
    <x v="2"/>
    <n v="2024"/>
    <s v="Q1"/>
    <n v="3395"/>
    <n v="15551"/>
    <n v="955"/>
    <n v="430596"/>
    <n v="11.41"/>
    <n v="1"/>
    <n v="7.22"/>
    <n v="12.48"/>
    <n v="49.78"/>
    <n v="4.7"/>
    <n v="11704"/>
    <n v="5391"/>
    <n v="14"/>
    <n v="49122811.520000003"/>
    <n v="93.043302189034733"/>
  </r>
  <r>
    <s v="P0756"/>
    <x v="263"/>
    <x v="1"/>
    <x v="2"/>
    <n v="2023"/>
    <s v="Q3"/>
    <n v="1956"/>
    <n v="12522"/>
    <n v="10062"/>
    <n v="236823"/>
    <n v="2.3199999999999998"/>
    <n v="17"/>
    <n v="7.0000000000000007E-2"/>
    <n v="15.02"/>
    <n v="17.52"/>
    <n v="4.5999999999999996"/>
    <n v="10852"/>
    <n v="1008"/>
    <n v="6"/>
    <n v="4574921.9800000004"/>
    <n v="18.678463246199982"/>
  </r>
  <r>
    <s v="P0757"/>
    <x v="513"/>
    <x v="0"/>
    <x v="2"/>
    <n v="2024"/>
    <s v="Q3"/>
    <n v="3136"/>
    <n v="9734"/>
    <n v="2758"/>
    <n v="438455"/>
    <n v="7.31"/>
    <n v="8"/>
    <n v="5.09"/>
    <n v="1.56"/>
    <n v="33.26"/>
    <n v="4"/>
    <n v="6099"/>
    <n v="5151"/>
    <n v="9"/>
    <n v="21438279.440000001"/>
    <n v="70.22997787054004"/>
  </r>
  <r>
    <s v="P0758"/>
    <x v="514"/>
    <x v="0"/>
    <x v="0"/>
    <n v="2024"/>
    <s v="Q1"/>
    <n v="4630"/>
    <n v="17673"/>
    <n v="11493"/>
    <n v="259987"/>
    <n v="6.45"/>
    <n v="5"/>
    <n v="1.39"/>
    <n v="18.03"/>
    <n v="88.7"/>
    <n v="1.8"/>
    <n v="5813"/>
    <n v="2686"/>
    <n v="5"/>
    <n v="28353394.969999999"/>
    <n v="34.650842562369242"/>
  </r>
  <r>
    <s v="P0759"/>
    <x v="515"/>
    <x v="0"/>
    <x v="2"/>
    <n v="2023"/>
    <s v="Q2"/>
    <n v="2125"/>
    <n v="14678"/>
    <n v="7144"/>
    <n v="497470"/>
    <n v="8.9499999999999993"/>
    <n v="10"/>
    <n v="8.66"/>
    <n v="5.76"/>
    <n v="86.86"/>
    <n v="4.4000000000000004"/>
    <n v="3718"/>
    <n v="9435"/>
    <n v="11"/>
    <n v="15512274.24"/>
    <n v="49.733572421310804"/>
  </r>
  <r>
    <s v="P0760"/>
    <x v="238"/>
    <x v="2"/>
    <x v="0"/>
    <n v="2024"/>
    <s v="Q3"/>
    <n v="763"/>
    <n v="8070"/>
    <n v="6579"/>
    <n v="319150"/>
    <n v="14.99"/>
    <n v="5"/>
    <n v="8.7200000000000006"/>
    <n v="17.13"/>
    <n v="35.64"/>
    <n v="1.8"/>
    <n v="15286"/>
    <n v="1431"/>
    <n v="3"/>
    <n v="818465.87"/>
    <n v="13.292372442309347"/>
  </r>
  <r>
    <s v="P0761"/>
    <x v="334"/>
    <x v="0"/>
    <x v="2"/>
    <n v="2023"/>
    <s v="Q1"/>
    <n v="1112"/>
    <n v="1906"/>
    <n v="13211"/>
    <n v="299243"/>
    <n v="11.54"/>
    <n v="5"/>
    <n v="4.18"/>
    <n v="24.55"/>
    <n v="89.7"/>
    <n v="4"/>
    <n v="19036"/>
    <n v="6951"/>
    <n v="5"/>
    <n v="-12870427.550000001"/>
    <n v="-607.2468779960293"/>
  </r>
  <r>
    <s v="P0762"/>
    <x v="367"/>
    <x v="0"/>
    <x v="1"/>
    <n v="2023"/>
    <s v="Q1"/>
    <n v="2026"/>
    <n v="10706"/>
    <n v="6944"/>
    <n v="124218"/>
    <n v="5.97"/>
    <n v="12"/>
    <n v="4.4400000000000004"/>
    <n v="17.28"/>
    <n v="77.64"/>
    <n v="3.7"/>
    <n v="1556"/>
    <n v="9845"/>
    <n v="3"/>
    <n v="7497576.7199999997"/>
    <n v="34.566406932186823"/>
  </r>
  <r>
    <s v="P0763"/>
    <x v="516"/>
    <x v="2"/>
    <x v="1"/>
    <n v="2023"/>
    <s v="Q4"/>
    <n v="1346"/>
    <n v="5931"/>
    <n v="5863"/>
    <n v="246416"/>
    <n v="12.41"/>
    <n v="10"/>
    <n v="3.03"/>
    <n v="22.08"/>
    <n v="58.88"/>
    <n v="4"/>
    <n v="14033"/>
    <n v="1906"/>
    <n v="4"/>
    <n v="-154910.07999999999"/>
    <n v="-1.9404689340992487"/>
  </r>
  <r>
    <s v="P0764"/>
    <x v="280"/>
    <x v="0"/>
    <x v="1"/>
    <n v="2023"/>
    <s v="Q1"/>
    <n v="175"/>
    <n v="8042"/>
    <n v="4630"/>
    <n v="477056"/>
    <n v="2.56"/>
    <n v="13"/>
    <n v="7.17"/>
    <n v="23.7"/>
    <n v="13.21"/>
    <n v="3.1"/>
    <n v="1643"/>
    <n v="905"/>
    <n v="5"/>
    <n v="120020.3"/>
    <n v="8.5281060148506054"/>
  </r>
  <r>
    <s v="P0765"/>
    <x v="517"/>
    <x v="1"/>
    <x v="3"/>
    <n v="2023"/>
    <s v="Q3"/>
    <n v="4682"/>
    <n v="10406"/>
    <n v="9846"/>
    <n v="82430"/>
    <n v="0.46"/>
    <n v="1"/>
    <n v="3.59"/>
    <n v="12.17"/>
    <n v="82.12"/>
    <n v="3.6"/>
    <n v="8718"/>
    <n v="4247"/>
    <n v="5"/>
    <n v="2539477.83"/>
    <n v="5.2122974883136379"/>
  </r>
  <r>
    <s v="P0766"/>
    <x v="518"/>
    <x v="1"/>
    <x v="2"/>
    <n v="2023"/>
    <s v="Q1"/>
    <n v="3646"/>
    <n v="5646"/>
    <n v="9631"/>
    <n v="73091"/>
    <n v="3.07"/>
    <n v="7"/>
    <n v="2.68"/>
    <n v="17.559999999999999"/>
    <n v="54.59"/>
    <n v="4.8"/>
    <n v="10059"/>
    <n v="171"/>
    <n v="11"/>
    <n v="-14602418.560000001"/>
    <n v="-70.936091338116938"/>
  </r>
  <r>
    <s v="P0767"/>
    <x v="299"/>
    <x v="1"/>
    <x v="0"/>
    <n v="2023"/>
    <s v="Q1"/>
    <n v="3333"/>
    <n v="13546"/>
    <n v="11230"/>
    <n v="307125"/>
    <n v="5.1100000000000003"/>
    <n v="2"/>
    <n v="4.32"/>
    <n v="21.3"/>
    <n v="79.48"/>
    <n v="1.4"/>
    <n v="2115"/>
    <n v="127"/>
    <n v="10"/>
    <n v="7412081.7000000002"/>
    <n v="16.417000551376564"/>
  </r>
  <r>
    <s v="P0768"/>
    <x v="38"/>
    <x v="1"/>
    <x v="1"/>
    <n v="2023"/>
    <s v="Q1"/>
    <n v="1653"/>
    <n v="14111"/>
    <n v="10594"/>
    <n v="476199"/>
    <n v="7.66"/>
    <n v="2"/>
    <n v="0.91"/>
    <n v="8.92"/>
    <n v="76.75"/>
    <n v="2.2000000000000002"/>
    <n v="9562"/>
    <n v="8760"/>
    <n v="11"/>
    <n v="5337393.08"/>
    <n v="22.882240337745632"/>
  </r>
  <r>
    <s v="P0769"/>
    <x v="233"/>
    <x v="2"/>
    <x v="2"/>
    <n v="2023"/>
    <s v="Q4"/>
    <n v="116"/>
    <n v="14576"/>
    <n v="7459"/>
    <n v="73989"/>
    <n v="9.23"/>
    <n v="0"/>
    <n v="7.47"/>
    <n v="6.53"/>
    <n v="76.64"/>
    <n v="3.4"/>
    <n v="13020"/>
    <n v="4083"/>
    <n v="7"/>
    <n v="751576.47"/>
    <n v="44.450517974753019"/>
  </r>
  <r>
    <s v="P0770"/>
    <x v="326"/>
    <x v="2"/>
    <x v="0"/>
    <n v="2023"/>
    <s v="Q1"/>
    <n v="282"/>
    <n v="18024"/>
    <n v="1241"/>
    <n v="125451"/>
    <n v="13.66"/>
    <n v="18"/>
    <n v="0.13"/>
    <n v="23.66"/>
    <n v="65.849999999999994"/>
    <n v="4.9000000000000004"/>
    <n v="7477"/>
    <n v="9055"/>
    <n v="10"/>
    <n v="4607331.34"/>
    <n v="90.646107396599646"/>
  </r>
  <r>
    <s v="P0771"/>
    <x v="404"/>
    <x v="2"/>
    <x v="0"/>
    <n v="2024"/>
    <s v="Q2"/>
    <n v="2206"/>
    <n v="6382"/>
    <n v="6840"/>
    <n v="68990"/>
    <n v="7.65"/>
    <n v="17"/>
    <n v="6.44"/>
    <n v="18.16"/>
    <n v="33.31"/>
    <n v="1.4"/>
    <n v="12919"/>
    <n v="7155"/>
    <n v="5"/>
    <n v="-1079356.1599999999"/>
    <n v="-7.6665940273428808"/>
  </r>
  <r>
    <s v="P0772"/>
    <x v="519"/>
    <x v="0"/>
    <x v="1"/>
    <n v="2024"/>
    <s v="Q1"/>
    <n v="1219"/>
    <n v="15613"/>
    <n v="14926"/>
    <n v="402414"/>
    <n v="7.52"/>
    <n v="16"/>
    <n v="1.83"/>
    <n v="5.49"/>
    <n v="36.89"/>
    <n v="1.1000000000000001"/>
    <n v="11280"/>
    <n v="6790"/>
    <n v="10"/>
    <n v="435033.51"/>
    <n v="2.2857706186768172"/>
  </r>
  <r>
    <s v="P0773"/>
    <x v="520"/>
    <x v="2"/>
    <x v="1"/>
    <n v="2023"/>
    <s v="Q1"/>
    <n v="2208"/>
    <n v="15145"/>
    <n v="6725"/>
    <n v="392504"/>
    <n v="0.75"/>
    <n v="19"/>
    <n v="2.3199999999999998"/>
    <n v="11.23"/>
    <n v="34.68"/>
    <n v="1.2"/>
    <n v="12181"/>
    <n v="9716"/>
    <n v="12"/>
    <n v="18198844.77"/>
    <n v="54.42212229247707"/>
  </r>
  <r>
    <s v="P0774"/>
    <x v="521"/>
    <x v="0"/>
    <x v="0"/>
    <n v="2023"/>
    <s v="Q3"/>
    <n v="4256"/>
    <n v="7512"/>
    <n v="8158"/>
    <n v="300541"/>
    <n v="0.52"/>
    <n v="12"/>
    <n v="6.36"/>
    <n v="19.91"/>
    <n v="11.6"/>
    <n v="1.2"/>
    <n v="8484"/>
    <n v="3932"/>
    <n v="14"/>
    <n v="-3049936.91"/>
    <n v="-9.5396767114971937"/>
  </r>
  <r>
    <s v="P0775"/>
    <x v="522"/>
    <x v="2"/>
    <x v="2"/>
    <n v="2024"/>
    <s v="Q2"/>
    <n v="1543"/>
    <n v="18847"/>
    <n v="5428"/>
    <n v="348225"/>
    <n v="8.27"/>
    <n v="2"/>
    <n v="9.93"/>
    <n v="13.68"/>
    <n v="56.61"/>
    <n v="4.5999999999999996"/>
    <n v="6471"/>
    <n v="9967"/>
    <n v="10"/>
    <n v="20357278.32"/>
    <n v="70.00217881682633"/>
  </r>
  <r>
    <s v="P0776"/>
    <x v="117"/>
    <x v="1"/>
    <x v="0"/>
    <n v="2024"/>
    <s v="Q4"/>
    <n v="4768"/>
    <n v="8651"/>
    <n v="7170"/>
    <n v="192105"/>
    <n v="6.57"/>
    <n v="0"/>
    <n v="7.78"/>
    <n v="16.25"/>
    <n v="65.91"/>
    <n v="3.9"/>
    <n v="2444"/>
    <n v="659"/>
    <n v="7"/>
    <n v="6869286.75"/>
    <n v="16.653636731874887"/>
  </r>
  <r>
    <s v="P0777"/>
    <x v="181"/>
    <x v="1"/>
    <x v="1"/>
    <n v="2023"/>
    <s v="Q1"/>
    <n v="4057"/>
    <n v="5110"/>
    <n v="10328"/>
    <n v="420416"/>
    <n v="12.59"/>
    <n v="3"/>
    <n v="2.2599999999999998"/>
    <n v="18.84"/>
    <n v="78.31"/>
    <n v="3.7"/>
    <n v="10614"/>
    <n v="8057"/>
    <n v="6"/>
    <n v="-21589860.84"/>
    <n v="-104.14152553123857"/>
  </r>
  <r>
    <s v="P0778"/>
    <x v="523"/>
    <x v="2"/>
    <x v="1"/>
    <n v="2024"/>
    <s v="Q3"/>
    <n v="2522"/>
    <n v="11384"/>
    <n v="12692"/>
    <n v="328385"/>
    <n v="2.41"/>
    <n v="12"/>
    <n v="1.76"/>
    <n v="15.55"/>
    <n v="21.21"/>
    <n v="3.1"/>
    <n v="8578"/>
    <n v="3931"/>
    <n v="4"/>
    <n v="-3627176.55"/>
    <n v="-12.633646643201107"/>
  </r>
  <r>
    <s v="P0779"/>
    <x v="63"/>
    <x v="2"/>
    <x v="3"/>
    <n v="2024"/>
    <s v="Q2"/>
    <n v="2710"/>
    <n v="8394"/>
    <n v="1748"/>
    <n v="174932"/>
    <n v="0.37"/>
    <n v="16"/>
    <n v="8.66"/>
    <n v="13.5"/>
    <n v="53.53"/>
    <n v="4.0999999999999996"/>
    <n v="19630"/>
    <n v="7444"/>
    <n v="6"/>
    <n v="17835714.5"/>
    <n v="78.4065340117304"/>
  </r>
  <r>
    <s v="P0780"/>
    <x v="11"/>
    <x v="1"/>
    <x v="3"/>
    <n v="2023"/>
    <s v="Q1"/>
    <n v="2789"/>
    <n v="14967"/>
    <n v="12365"/>
    <n v="318083"/>
    <n v="6.74"/>
    <n v="10"/>
    <n v="4.4400000000000004"/>
    <n v="18.739999999999998"/>
    <n v="10.64"/>
    <n v="1.6"/>
    <n v="13812"/>
    <n v="5271"/>
    <n v="4"/>
    <n v="6938876.2599999998"/>
    <n v="16.622864696978983"/>
  </r>
  <r>
    <s v="P0781"/>
    <x v="407"/>
    <x v="2"/>
    <x v="3"/>
    <n v="2023"/>
    <s v="Q2"/>
    <n v="1811"/>
    <n v="17989"/>
    <n v="8979"/>
    <n v="163000"/>
    <n v="3.56"/>
    <n v="1"/>
    <n v="1.37"/>
    <n v="18.190000000000001"/>
    <n v="17.61"/>
    <n v="2.6"/>
    <n v="7283"/>
    <n v="178"/>
    <n v="6"/>
    <n v="16154091.810000001"/>
    <n v="49.585771493770395"/>
  </r>
  <r>
    <s v="P0782"/>
    <x v="524"/>
    <x v="1"/>
    <x v="1"/>
    <n v="2023"/>
    <s v="Q3"/>
    <n v="3564"/>
    <n v="11373"/>
    <n v="6915"/>
    <n v="228634"/>
    <n v="0.74"/>
    <n v="15"/>
    <n v="8.6199999999999992"/>
    <n v="15.75"/>
    <n v="14.34"/>
    <n v="3"/>
    <n v="11251"/>
    <n v="5029"/>
    <n v="6"/>
    <n v="15659662.25"/>
    <n v="38.63399830144899"/>
  </r>
  <r>
    <s v="P0783"/>
    <x v="525"/>
    <x v="2"/>
    <x v="1"/>
    <n v="2023"/>
    <s v="Q3"/>
    <n v="2025"/>
    <n v="13789"/>
    <n v="1259"/>
    <n v="85063"/>
    <n v="10.87"/>
    <n v="1"/>
    <n v="8.16"/>
    <n v="8.99"/>
    <n v="68.040000000000006"/>
    <n v="1.4"/>
    <n v="8407"/>
    <n v="3747"/>
    <n v="3"/>
    <n v="25288178.010000002"/>
    <n v="90.564864317504828"/>
  </r>
  <r>
    <s v="P0784"/>
    <x v="275"/>
    <x v="0"/>
    <x v="3"/>
    <n v="2024"/>
    <s v="Q4"/>
    <n v="2412"/>
    <n v="13708"/>
    <n v="8368"/>
    <n v="257793"/>
    <n v="1.67"/>
    <n v="18"/>
    <n v="9.84"/>
    <n v="10.15"/>
    <n v="16.48"/>
    <n v="2.7"/>
    <n v="20810"/>
    <n v="1131"/>
    <n v="10"/>
    <n v="12622276.85"/>
    <n v="38.175637865772778"/>
  </r>
  <r>
    <s v="P0785"/>
    <x v="42"/>
    <x v="0"/>
    <x v="0"/>
    <n v="2024"/>
    <s v="Q4"/>
    <n v="926"/>
    <n v="12328"/>
    <n v="5446"/>
    <n v="208117"/>
    <n v="9.1199999999999992"/>
    <n v="18"/>
    <n v="9.1"/>
    <n v="24.26"/>
    <n v="67.319999999999993"/>
    <n v="2.2999999999999998"/>
    <n v="18973"/>
    <n v="7481"/>
    <n v="8"/>
    <n v="6164590.7400000002"/>
    <n v="54.000855136001846"/>
  </r>
  <r>
    <s v="P0786"/>
    <x v="89"/>
    <x v="2"/>
    <x v="0"/>
    <n v="2024"/>
    <s v="Q1"/>
    <n v="3862"/>
    <n v="3637"/>
    <n v="1192"/>
    <n v="487985"/>
    <n v="4.22"/>
    <n v="15"/>
    <n v="8.52"/>
    <n v="2.81"/>
    <n v="29.97"/>
    <n v="1.1000000000000001"/>
    <n v="4457"/>
    <n v="2172"/>
    <n v="7"/>
    <n v="8954602.1899999995"/>
    <n v="63.751546800128203"/>
  </r>
  <r>
    <s v="P0787"/>
    <x v="526"/>
    <x v="1"/>
    <x v="3"/>
    <n v="2024"/>
    <s v="Q3"/>
    <n v="3498"/>
    <n v="2786"/>
    <n v="12930"/>
    <n v="359262"/>
    <n v="2.6"/>
    <n v="18"/>
    <n v="0.53"/>
    <n v="6.71"/>
    <n v="80.22"/>
    <n v="1.5"/>
    <n v="20496"/>
    <n v="7011"/>
    <n v="6"/>
    <n v="-35842980.710000001"/>
    <n v="-367.79278149712871"/>
  </r>
  <r>
    <s v="P0788"/>
    <x v="18"/>
    <x v="0"/>
    <x v="0"/>
    <n v="2024"/>
    <s v="Q3"/>
    <n v="1362"/>
    <n v="17210"/>
    <n v="2587"/>
    <n v="134703"/>
    <n v="5.7"/>
    <n v="8"/>
    <n v="1.04"/>
    <n v="12.31"/>
    <n v="75.05"/>
    <n v="4.0999999999999996"/>
    <n v="7547"/>
    <n v="6188"/>
    <n v="5"/>
    <n v="19781810.690000001"/>
    <n v="84.393318307748885"/>
  </r>
  <r>
    <s v="P0789"/>
    <x v="527"/>
    <x v="0"/>
    <x v="2"/>
    <n v="2024"/>
    <s v="Q3"/>
    <n v="1510"/>
    <n v="12871"/>
    <n v="13932"/>
    <n v="464841"/>
    <n v="12.02"/>
    <n v="0"/>
    <n v="5.69"/>
    <n v="20.92"/>
    <n v="86.63"/>
    <n v="1.1000000000000001"/>
    <n v="7749"/>
    <n v="1584"/>
    <n v="9"/>
    <n v="-2066971.92"/>
    <n v="-10.63519210752032"/>
  </r>
  <r>
    <s v="P0790"/>
    <x v="504"/>
    <x v="0"/>
    <x v="1"/>
    <n v="2023"/>
    <s v="Q1"/>
    <n v="2759"/>
    <n v="17445"/>
    <n v="8174"/>
    <n v="285796"/>
    <n v="5.88"/>
    <n v="9"/>
    <n v="5.31"/>
    <n v="4.09"/>
    <n v="80.7"/>
    <n v="4.7"/>
    <n v="17847"/>
    <n v="5938"/>
    <n v="3"/>
    <n v="25292888.91"/>
    <n v="52.550368075464426"/>
  </r>
  <r>
    <s v="P0791"/>
    <x v="528"/>
    <x v="2"/>
    <x v="3"/>
    <n v="2024"/>
    <s v="Q4"/>
    <n v="2374"/>
    <n v="8552"/>
    <n v="11249"/>
    <n v="178557"/>
    <n v="11.26"/>
    <n v="18"/>
    <n v="4.58"/>
    <n v="6.92"/>
    <n v="84.67"/>
    <n v="1.3"/>
    <n v="5259"/>
    <n v="1650"/>
    <n v="9"/>
    <n v="-6581241.9199999999"/>
    <n v="-32.416001853569583"/>
  </r>
  <r>
    <s v="P0792"/>
    <x v="337"/>
    <x v="2"/>
    <x v="0"/>
    <n v="2024"/>
    <s v="Q3"/>
    <n v="1783"/>
    <n v="5154"/>
    <n v="1938"/>
    <n v="339220"/>
    <n v="1.88"/>
    <n v="0"/>
    <n v="3.97"/>
    <n v="1.64"/>
    <n v="78.7"/>
    <n v="4.2"/>
    <n v="5763"/>
    <n v="5597"/>
    <n v="2"/>
    <n v="5394906.3600000003"/>
    <n v="58.706765552557236"/>
  </r>
  <r>
    <s v="P0793"/>
    <x v="529"/>
    <x v="1"/>
    <x v="1"/>
    <n v="2024"/>
    <s v="Q1"/>
    <n v="1655"/>
    <n v="17100"/>
    <n v="12800"/>
    <n v="303317"/>
    <n v="11.59"/>
    <n v="1"/>
    <n v="4.3099999999999996"/>
    <n v="17.649999999999999"/>
    <n v="65.47"/>
    <n v="4.5999999999999996"/>
    <n v="11781"/>
    <n v="4782"/>
    <n v="11"/>
    <n v="6813165.3499999996"/>
    <n v="24.074363880496811"/>
  </r>
  <r>
    <s v="P0794"/>
    <x v="530"/>
    <x v="2"/>
    <x v="0"/>
    <n v="2024"/>
    <s v="Q4"/>
    <n v="2613"/>
    <n v="10136"/>
    <n v="5541"/>
    <n v="245877"/>
    <n v="3.55"/>
    <n v="15"/>
    <n v="5.69"/>
    <n v="5.96"/>
    <n v="23.62"/>
    <n v="4.8"/>
    <n v="3402"/>
    <n v="1929"/>
    <n v="2"/>
    <n v="11760852.039999999"/>
    <n v="44.405092049315684"/>
  </r>
  <r>
    <s v="P0795"/>
    <x v="269"/>
    <x v="0"/>
    <x v="1"/>
    <n v="2023"/>
    <s v="Q2"/>
    <n v="3471"/>
    <n v="7941"/>
    <n v="8218"/>
    <n v="356749"/>
    <n v="10.16"/>
    <n v="11"/>
    <n v="0.02"/>
    <n v="9.7200000000000006"/>
    <n v="31.74"/>
    <n v="4.5"/>
    <n v="4067"/>
    <n v="3851"/>
    <n v="4"/>
    <n v="-1318225.72"/>
    <n v="-4.7825549788085286"/>
  </r>
  <r>
    <s v="P0796"/>
    <x v="531"/>
    <x v="2"/>
    <x v="3"/>
    <n v="2024"/>
    <s v="Q4"/>
    <n v="3567"/>
    <n v="11167"/>
    <n v="7162"/>
    <n v="396709"/>
    <n v="8.49"/>
    <n v="7"/>
    <n v="2.61"/>
    <n v="11.09"/>
    <n v="27.02"/>
    <n v="2.2000000000000002"/>
    <n v="11690"/>
    <n v="6181"/>
    <n v="6"/>
    <n v="13889114.91"/>
    <n v="34.868634929467099"/>
  </r>
  <r>
    <s v="P0797"/>
    <x v="532"/>
    <x v="2"/>
    <x v="2"/>
    <n v="2023"/>
    <s v="Q3"/>
    <n v="2447"/>
    <n v="13649"/>
    <n v="3254"/>
    <n v="351265"/>
    <n v="13.94"/>
    <n v="17"/>
    <n v="5.18"/>
    <n v="22.28"/>
    <n v="58.29"/>
    <n v="2.2999999999999998"/>
    <n v="9575"/>
    <n v="6701"/>
    <n v="7"/>
    <n v="25085277.719999999"/>
    <n v="75.107639028509226"/>
  </r>
  <r>
    <s v="P0798"/>
    <x v="325"/>
    <x v="0"/>
    <x v="3"/>
    <n v="2024"/>
    <s v="Q3"/>
    <n v="3785"/>
    <n v="3298"/>
    <n v="10458"/>
    <n v="343577"/>
    <n v="5.81"/>
    <n v="1"/>
    <n v="7.22"/>
    <n v="10.28"/>
    <n v="50.29"/>
    <n v="2.7"/>
    <n v="4494"/>
    <n v="4559"/>
    <n v="5"/>
    <n v="-27444187.280000001"/>
    <n v="-219.85373049436311"/>
  </r>
  <r>
    <s v="P0799"/>
    <x v="439"/>
    <x v="0"/>
    <x v="2"/>
    <n v="2023"/>
    <s v="Q2"/>
    <n v="2920"/>
    <n v="11100"/>
    <n v="4474"/>
    <n v="93309"/>
    <n v="0.99"/>
    <n v="12"/>
    <n v="1.74"/>
    <n v="3.63"/>
    <n v="79.37"/>
    <n v="1.6"/>
    <n v="6729"/>
    <n v="3956"/>
    <n v="8"/>
    <n v="19254607.370000001"/>
    <n v="59.405798377144272"/>
  </r>
  <r>
    <s v="P0800"/>
    <x v="455"/>
    <x v="0"/>
    <x v="0"/>
    <n v="2023"/>
    <s v="Q3"/>
    <n v="1210"/>
    <n v="6995"/>
    <n v="2177"/>
    <n v="379612"/>
    <n v="0.28999999999999998"/>
    <n v="5"/>
    <n v="5.47"/>
    <n v="13.11"/>
    <n v="86.21"/>
    <n v="1.1000000000000001"/>
    <n v="3510"/>
    <n v="6282"/>
    <n v="8"/>
    <n v="5450154.8899999997"/>
    <n v="64.392569544952423"/>
  </r>
  <r>
    <s v="P0801"/>
    <x v="416"/>
    <x v="0"/>
    <x v="2"/>
    <n v="2024"/>
    <s v="Q2"/>
    <n v="4904"/>
    <n v="11400"/>
    <n v="7501"/>
    <n v="487470"/>
    <n v="12.4"/>
    <n v="5"/>
    <n v="7.14"/>
    <n v="24.07"/>
    <n v="42.39"/>
    <n v="4.5"/>
    <n v="8877"/>
    <n v="6183"/>
    <n v="3"/>
    <n v="18633201.93"/>
    <n v="33.32975932643599"/>
  </r>
  <r>
    <s v="P0802"/>
    <x v="515"/>
    <x v="1"/>
    <x v="2"/>
    <n v="2023"/>
    <s v="Q3"/>
    <n v="292"/>
    <n v="15173"/>
    <n v="3397"/>
    <n v="379437"/>
    <n v="7.87"/>
    <n v="8"/>
    <n v="4.45"/>
    <n v="15.19"/>
    <n v="50.51"/>
    <n v="3.2"/>
    <n v="14536"/>
    <n v="8070"/>
    <n v="3"/>
    <n v="3059139.81"/>
    <n v="69.047032219271969"/>
  </r>
  <r>
    <s v="P0803"/>
    <x v="533"/>
    <x v="2"/>
    <x v="2"/>
    <n v="2023"/>
    <s v="Q4"/>
    <n v="2640"/>
    <n v="12630"/>
    <n v="941"/>
    <n v="408402"/>
    <n v="11.63"/>
    <n v="15"/>
    <n v="0.27"/>
    <n v="24.58"/>
    <n v="87.72"/>
    <n v="3.4"/>
    <n v="18714"/>
    <n v="2194"/>
    <n v="3"/>
    <n v="30450533.420000002"/>
    <n v="91.324568187816411"/>
  </r>
  <r>
    <s v="P0804"/>
    <x v="534"/>
    <x v="1"/>
    <x v="2"/>
    <n v="2023"/>
    <s v="Q1"/>
    <n v="1113"/>
    <n v="16722"/>
    <n v="3459"/>
    <n v="481069"/>
    <n v="3.52"/>
    <n v="10"/>
    <n v="4.49"/>
    <n v="21.03"/>
    <n v="32.1"/>
    <n v="4.7"/>
    <n v="1548"/>
    <n v="6338"/>
    <n v="3"/>
    <n v="14280628.970000001"/>
    <n v="76.729779880124141"/>
  </r>
  <r>
    <s v="P0805"/>
    <x v="402"/>
    <x v="1"/>
    <x v="0"/>
    <n v="2023"/>
    <s v="Q1"/>
    <n v="4374"/>
    <n v="2800"/>
    <n v="5396"/>
    <n v="350549"/>
    <n v="5.18"/>
    <n v="6"/>
    <n v="2.96"/>
    <n v="0.9"/>
    <n v="73.39"/>
    <n v="3.7"/>
    <n v="5710"/>
    <n v="3132"/>
    <n v="14"/>
    <n v="-11705453.9"/>
    <n v="-95.576571787837224"/>
  </r>
  <r>
    <s v="P0806"/>
    <x v="78"/>
    <x v="0"/>
    <x v="0"/>
    <n v="2023"/>
    <s v="Q4"/>
    <n v="2645"/>
    <n v="10935"/>
    <n v="9831"/>
    <n v="93527"/>
    <n v="0.45"/>
    <n v="9"/>
    <n v="9.3000000000000007"/>
    <n v="16.46"/>
    <n v="28.02"/>
    <n v="3.8"/>
    <n v="19062"/>
    <n v="1648"/>
    <n v="10"/>
    <n v="2826536.54"/>
    <n v="9.7726003891356648"/>
  </r>
  <r>
    <s v="P0807"/>
    <x v="535"/>
    <x v="1"/>
    <x v="2"/>
    <n v="2023"/>
    <s v="Q1"/>
    <n v="969"/>
    <n v="6116"/>
    <n v="12610"/>
    <n v="389371"/>
    <n v="14.42"/>
    <n v="9"/>
    <n v="1.25"/>
    <n v="7.17"/>
    <n v="64.52"/>
    <n v="4.0999999999999996"/>
    <n v="16338"/>
    <n v="8659"/>
    <n v="6"/>
    <n v="-6682064.1699999999"/>
    <n v="-112.75073670306648"/>
  </r>
  <r>
    <s v="P0808"/>
    <x v="407"/>
    <x v="0"/>
    <x v="3"/>
    <n v="2023"/>
    <s v="Q4"/>
    <n v="55"/>
    <n v="17893"/>
    <n v="14770"/>
    <n v="443708"/>
    <n v="10.02"/>
    <n v="19"/>
    <n v="6.52"/>
    <n v="13.99"/>
    <n v="30.29"/>
    <n v="1.5"/>
    <n v="17538"/>
    <n v="164"/>
    <n v="12"/>
    <n v="-271956.99"/>
    <n v="-27.634675825487875"/>
  </r>
  <r>
    <s v="P0809"/>
    <x v="536"/>
    <x v="2"/>
    <x v="0"/>
    <n v="2023"/>
    <s v="Q1"/>
    <n v="517"/>
    <n v="12117"/>
    <n v="6461"/>
    <n v="274490"/>
    <n v="14"/>
    <n v="17"/>
    <n v="0.53"/>
    <n v="6.98"/>
    <n v="80.7"/>
    <n v="2.4"/>
    <n v="9378"/>
    <n v="3399"/>
    <n v="9"/>
    <n v="2649655.02"/>
    <n v="42.296427050953397"/>
  </r>
  <r>
    <s v="P0810"/>
    <x v="537"/>
    <x v="0"/>
    <x v="1"/>
    <n v="2023"/>
    <s v="Q3"/>
    <n v="4220"/>
    <n v="7252"/>
    <n v="6942"/>
    <n v="189883"/>
    <n v="3.98"/>
    <n v="19"/>
    <n v="4.46"/>
    <n v="8.7200000000000006"/>
    <n v="54.92"/>
    <n v="4.9000000000000004"/>
    <n v="17954"/>
    <n v="4949"/>
    <n v="6"/>
    <n v="1118308.28"/>
    <n v="3.6541914242320472"/>
  </r>
  <r>
    <s v="P0811"/>
    <x v="538"/>
    <x v="2"/>
    <x v="3"/>
    <n v="2023"/>
    <s v="Q4"/>
    <n v="53"/>
    <n v="11352"/>
    <n v="12909"/>
    <n v="143344"/>
    <n v="9.17"/>
    <n v="8"/>
    <n v="5.54"/>
    <n v="23.08"/>
    <n v="24.87"/>
    <n v="4.7"/>
    <n v="16847"/>
    <n v="5739"/>
    <n v="14"/>
    <n v="-225888.08"/>
    <n v="-37.544390814684803"/>
  </r>
  <r>
    <s v="P0812"/>
    <x v="539"/>
    <x v="0"/>
    <x v="0"/>
    <n v="2024"/>
    <s v="Q2"/>
    <n v="695"/>
    <n v="7795"/>
    <n v="6426"/>
    <n v="205344"/>
    <n v="10.18"/>
    <n v="14"/>
    <n v="2.98"/>
    <n v="5.17"/>
    <n v="27.95"/>
    <n v="4.5"/>
    <n v="9379"/>
    <n v="2135"/>
    <n v="12"/>
    <n v="746105.83"/>
    <n v="13.772079132075993"/>
  </r>
  <r>
    <s v="P0813"/>
    <x v="540"/>
    <x v="2"/>
    <x v="1"/>
    <n v="2023"/>
    <s v="Q4"/>
    <n v="167"/>
    <n v="18956"/>
    <n v="9587"/>
    <n v="273564"/>
    <n v="4.76"/>
    <n v="3"/>
    <n v="4.55"/>
    <n v="21.85"/>
    <n v="49.51"/>
    <n v="2.8"/>
    <n v="19661"/>
    <n v="5774"/>
    <n v="6"/>
    <n v="1291037.1499999999"/>
    <n v="40.782661833960262"/>
  </r>
  <r>
    <s v="P0814"/>
    <x v="142"/>
    <x v="0"/>
    <x v="2"/>
    <n v="2023"/>
    <s v="Q3"/>
    <n v="2978"/>
    <n v="4725"/>
    <n v="10896"/>
    <n v="97153"/>
    <n v="12.72"/>
    <n v="7"/>
    <n v="1.64"/>
    <n v="0.76"/>
    <n v="86.93"/>
    <n v="4.4000000000000004"/>
    <n v="14754"/>
    <n v="2328"/>
    <n v="2"/>
    <n v="-18474391.760000002"/>
    <n v="-131.29362599095307"/>
  </r>
  <r>
    <s v="P0815"/>
    <x v="541"/>
    <x v="0"/>
    <x v="0"/>
    <n v="2024"/>
    <s v="Q2"/>
    <n v="2601"/>
    <n v="2816"/>
    <n v="9272"/>
    <n v="158042"/>
    <n v="14.21"/>
    <n v="8"/>
    <n v="3.04"/>
    <n v="2.27"/>
    <n v="71.569999999999993"/>
    <n v="1.2"/>
    <n v="8880"/>
    <n v="5720"/>
    <n v="7"/>
    <n v="-16950100.27"/>
    <n v="-231.41913662468107"/>
  </r>
  <r>
    <s v="P0816"/>
    <x v="229"/>
    <x v="0"/>
    <x v="1"/>
    <n v="2023"/>
    <s v="Q2"/>
    <n v="4339"/>
    <n v="13837"/>
    <n v="1223"/>
    <n v="104110"/>
    <n v="13.27"/>
    <n v="12"/>
    <n v="6.21"/>
    <n v="21.37"/>
    <n v="49.06"/>
    <n v="1.6"/>
    <n v="3728"/>
    <n v="696"/>
    <n v="5"/>
    <n v="54628014.630000003"/>
    <n v="90.987938621566414"/>
  </r>
  <r>
    <s v="P0817"/>
    <x v="325"/>
    <x v="1"/>
    <x v="0"/>
    <n v="2024"/>
    <s v="Q4"/>
    <n v="896"/>
    <n v="8307"/>
    <n v="7799"/>
    <n v="195051"/>
    <n v="11.09"/>
    <n v="8"/>
    <n v="3.02"/>
    <n v="15.76"/>
    <n v="37.020000000000003"/>
    <n v="2.7"/>
    <n v="11314"/>
    <n v="3706"/>
    <n v="4"/>
    <n v="260101.24"/>
    <n v="3.4945415011436136"/>
  </r>
  <r>
    <s v="P0818"/>
    <x v="542"/>
    <x v="1"/>
    <x v="3"/>
    <n v="2024"/>
    <s v="Q1"/>
    <n v="2812"/>
    <n v="5183"/>
    <n v="13357"/>
    <n v="291131"/>
    <n v="4.16"/>
    <n v="3"/>
    <n v="9"/>
    <n v="18.68"/>
    <n v="53.94"/>
    <n v="2.9"/>
    <n v="10388"/>
    <n v="3989"/>
    <n v="7"/>
    <n v="-23276437.68"/>
    <n v="-159.70554298726358"/>
  </r>
  <r>
    <s v="P0819"/>
    <x v="37"/>
    <x v="1"/>
    <x v="0"/>
    <n v="2023"/>
    <s v="Q2"/>
    <n v="1191"/>
    <n v="8727"/>
    <n v="5049"/>
    <n v="289173"/>
    <n v="4.22"/>
    <n v="16"/>
    <n v="6.28"/>
    <n v="5.24"/>
    <n v="69.87"/>
    <n v="2.1"/>
    <n v="7891"/>
    <n v="3606"/>
    <n v="3"/>
    <n v="4091319.76"/>
    <n v="39.362863660718055"/>
  </r>
  <r>
    <s v="P0820"/>
    <x v="432"/>
    <x v="2"/>
    <x v="3"/>
    <n v="2023"/>
    <s v="Q2"/>
    <n v="1860"/>
    <n v="4773"/>
    <n v="2550"/>
    <n v="78328"/>
    <n v="14.45"/>
    <n v="15"/>
    <n v="4.3899999999999997"/>
    <n v="13.43"/>
    <n v="72.709999999999994"/>
    <n v="2.4"/>
    <n v="10929"/>
    <n v="1495"/>
    <n v="9"/>
    <n v="4056438.57"/>
    <n v="45.692037536411128"/>
  </r>
  <r>
    <s v="P0821"/>
    <x v="350"/>
    <x v="0"/>
    <x v="2"/>
    <n v="2023"/>
    <s v="Q4"/>
    <n v="773"/>
    <n v="1645"/>
    <n v="5557"/>
    <n v="162911"/>
    <n v="0.15"/>
    <n v="14"/>
    <n v="0.39"/>
    <n v="18.43"/>
    <n v="35.97"/>
    <n v="1.7"/>
    <n v="20290"/>
    <n v="9878"/>
    <n v="2"/>
    <n v="-3186905.43"/>
    <n v="-250.62464797870376"/>
  </r>
  <r>
    <s v="P0822"/>
    <x v="543"/>
    <x v="2"/>
    <x v="0"/>
    <n v="2023"/>
    <s v="Q1"/>
    <n v="274"/>
    <n v="6510"/>
    <n v="2767"/>
    <n v="325011"/>
    <n v="10.74"/>
    <n v="2"/>
    <n v="5"/>
    <n v="15.68"/>
    <n v="67.69"/>
    <n v="3"/>
    <n v="2137"/>
    <n v="7629"/>
    <n v="13"/>
    <n v="700555.32"/>
    <n v="39.274519829123079"/>
  </r>
  <r>
    <s v="P0823"/>
    <x v="544"/>
    <x v="0"/>
    <x v="3"/>
    <n v="2024"/>
    <s v="Q3"/>
    <n v="4677"/>
    <n v="17535"/>
    <n v="4888"/>
    <n v="109234"/>
    <n v="10.59"/>
    <n v="19"/>
    <n v="7.65"/>
    <n v="11.79"/>
    <n v="62.62"/>
    <n v="4.2"/>
    <n v="18833"/>
    <n v="8403"/>
    <n v="10"/>
    <n v="59040773.210000001"/>
    <n v="71.991114396028493"/>
  </r>
  <r>
    <s v="P0824"/>
    <x v="59"/>
    <x v="1"/>
    <x v="1"/>
    <n v="2024"/>
    <s v="Q1"/>
    <n v="4258"/>
    <n v="4540"/>
    <n v="4978"/>
    <n v="337995"/>
    <n v="9.34"/>
    <n v="4"/>
    <n v="2.66"/>
    <n v="23.99"/>
    <n v="86.73"/>
    <n v="3.6"/>
    <n v="11596"/>
    <n v="552"/>
    <n v="9"/>
    <n v="-2203022.9900000002"/>
    <n v="-11.396133269740504"/>
  </r>
  <r>
    <s v="P0825"/>
    <x v="545"/>
    <x v="1"/>
    <x v="0"/>
    <n v="2024"/>
    <s v="Q2"/>
    <n v="4704"/>
    <n v="11154"/>
    <n v="8589"/>
    <n v="343423"/>
    <n v="14.85"/>
    <n v="4"/>
    <n v="8.07"/>
    <n v="16.899999999999999"/>
    <n v="84.49"/>
    <n v="1.4"/>
    <n v="5087"/>
    <n v="7436"/>
    <n v="2"/>
    <n v="11722320.1"/>
    <n v="22.341669510282149"/>
  </r>
  <r>
    <s v="P0826"/>
    <x v="135"/>
    <x v="2"/>
    <x v="3"/>
    <n v="2023"/>
    <s v="Q4"/>
    <n v="2098"/>
    <n v="18366"/>
    <n v="3746"/>
    <n v="298503"/>
    <n v="4.68"/>
    <n v="19"/>
    <n v="2.52"/>
    <n v="22.69"/>
    <n v="73.150000000000006"/>
    <n v="3"/>
    <n v="2611"/>
    <n v="2731"/>
    <n v="11"/>
    <n v="30374234.309999999"/>
    <n v="78.828865265499189"/>
  </r>
  <r>
    <s v="P0827"/>
    <x v="322"/>
    <x v="2"/>
    <x v="1"/>
    <n v="2023"/>
    <s v="Q3"/>
    <n v="4799"/>
    <n v="19133"/>
    <n v="10441"/>
    <n v="277135"/>
    <n v="5.0999999999999996"/>
    <n v="14"/>
    <n v="8.24"/>
    <n v="18.239999999999998"/>
    <n v="67.87"/>
    <n v="3.8"/>
    <n v="9867"/>
    <n v="2286"/>
    <n v="13"/>
    <n v="41435754.759999998"/>
    <n v="45.12751638498704"/>
  </r>
  <r>
    <s v="P0828"/>
    <x v="329"/>
    <x v="1"/>
    <x v="2"/>
    <n v="2023"/>
    <s v="Q4"/>
    <n v="4465"/>
    <n v="18514"/>
    <n v="6194"/>
    <n v="123402"/>
    <n v="1.18"/>
    <n v="17"/>
    <n v="0.85"/>
    <n v="18.39"/>
    <n v="31.92"/>
    <n v="3.1"/>
    <n v="2222"/>
    <n v="6067"/>
    <n v="10"/>
    <n v="54885379.609999999"/>
    <n v="66.39493494284946"/>
  </r>
  <r>
    <s v="P0829"/>
    <x v="180"/>
    <x v="1"/>
    <x v="2"/>
    <n v="2024"/>
    <s v="Q1"/>
    <n v="1623"/>
    <n v="16496"/>
    <n v="8680"/>
    <n v="327593"/>
    <n v="6.64"/>
    <n v="14"/>
    <n v="8.66"/>
    <n v="2"/>
    <n v="77.680000000000007"/>
    <n v="2.6"/>
    <n v="6366"/>
    <n v="6474"/>
    <n v="3"/>
    <n v="12357773"/>
    <n v="46.157581546309629"/>
  </r>
  <r>
    <s v="P0830"/>
    <x v="546"/>
    <x v="1"/>
    <x v="2"/>
    <n v="2024"/>
    <s v="Q4"/>
    <n v="1878"/>
    <n v="17836"/>
    <n v="11323"/>
    <n v="388365"/>
    <n v="3.92"/>
    <n v="1"/>
    <n v="4.99"/>
    <n v="8.99"/>
    <n v="44.2"/>
    <n v="3.5"/>
    <n v="11639"/>
    <n v="5458"/>
    <n v="4"/>
    <n v="11843040.01"/>
    <n v="35.356571475621813"/>
  </r>
  <r>
    <s v="P0831"/>
    <x v="291"/>
    <x v="0"/>
    <x v="1"/>
    <n v="2023"/>
    <s v="Q1"/>
    <n v="1967"/>
    <n v="10353"/>
    <n v="5875"/>
    <n v="401224"/>
    <n v="5.15"/>
    <n v="12"/>
    <n v="2.97"/>
    <n v="21.46"/>
    <n v="31.78"/>
    <n v="4.9000000000000004"/>
    <n v="18586"/>
    <n v="4448"/>
    <n v="3"/>
    <n v="8406980.5399999991"/>
    <n v="41.282830668161239"/>
  </r>
  <r>
    <s v="P0832"/>
    <x v="498"/>
    <x v="1"/>
    <x v="2"/>
    <n v="2024"/>
    <s v="Q4"/>
    <n v="4284"/>
    <n v="13195"/>
    <n v="11212"/>
    <n v="55451"/>
    <n v="12.52"/>
    <n v="3"/>
    <n v="2.65"/>
    <n v="5.82"/>
    <n v="40.729999999999997"/>
    <n v="1.4"/>
    <n v="3628"/>
    <n v="1559"/>
    <n v="14"/>
    <n v="8439715.1799999997"/>
    <n v="14.930313734689276"/>
  </r>
  <r>
    <s v="P0833"/>
    <x v="547"/>
    <x v="2"/>
    <x v="1"/>
    <n v="2024"/>
    <s v="Q4"/>
    <n v="2076"/>
    <n v="4352"/>
    <n v="12781"/>
    <n v="137178"/>
    <n v="14.03"/>
    <n v="9"/>
    <n v="4.32"/>
    <n v="2.89"/>
    <n v="76.87"/>
    <n v="2.6"/>
    <n v="10618"/>
    <n v="2042"/>
    <n v="9"/>
    <n v="-17635784.890000001"/>
    <n v="-195.19943535804859"/>
  </r>
  <r>
    <s v="P0834"/>
    <x v="302"/>
    <x v="0"/>
    <x v="2"/>
    <n v="2024"/>
    <s v="Q1"/>
    <n v="3794"/>
    <n v="17514"/>
    <n v="8030"/>
    <n v="484532"/>
    <n v="2.79"/>
    <n v="12"/>
    <n v="9.99"/>
    <n v="8.15"/>
    <n v="21.89"/>
    <n v="2.6"/>
    <n v="4017"/>
    <n v="5522"/>
    <n v="3"/>
    <n v="35497755.850000001"/>
    <n v="53.421764207731634"/>
  </r>
  <r>
    <s v="P0835"/>
    <x v="493"/>
    <x v="0"/>
    <x v="0"/>
    <n v="2024"/>
    <s v="Q2"/>
    <n v="951"/>
    <n v="2487"/>
    <n v="11802"/>
    <n v="375905"/>
    <n v="5.59"/>
    <n v="9"/>
    <n v="2.2000000000000002"/>
    <n v="5.51"/>
    <n v="46.49"/>
    <n v="3.3"/>
    <n v="19033"/>
    <n v="5296"/>
    <n v="11"/>
    <n v="-9234475.5099999998"/>
    <n v="-390.44146322179222"/>
  </r>
  <r>
    <s v="P0836"/>
    <x v="436"/>
    <x v="2"/>
    <x v="1"/>
    <n v="2024"/>
    <s v="Q2"/>
    <n v="4835"/>
    <n v="9122"/>
    <n v="14747"/>
    <n v="286562"/>
    <n v="13.93"/>
    <n v="8"/>
    <n v="1.03"/>
    <n v="23.13"/>
    <n v="49.39"/>
    <n v="1.6"/>
    <n v="15728"/>
    <n v="161"/>
    <n v="3"/>
    <n v="-27483460.129999999"/>
    <n v="-62.313889894698704"/>
  </r>
  <r>
    <s v="P0837"/>
    <x v="548"/>
    <x v="0"/>
    <x v="0"/>
    <n v="2024"/>
    <s v="Q4"/>
    <n v="2089"/>
    <n v="10660"/>
    <n v="14486"/>
    <n v="351014"/>
    <n v="0.93"/>
    <n v="7"/>
    <n v="5.85"/>
    <n v="21.7"/>
    <n v="12.93"/>
    <n v="1.7"/>
    <n v="15679"/>
    <n v="1594"/>
    <n v="2"/>
    <n v="-8343549.7000000002"/>
    <n v="-37.467542842567653"/>
  </r>
  <r>
    <s v="P0838"/>
    <x v="549"/>
    <x v="2"/>
    <x v="2"/>
    <n v="2024"/>
    <s v="Q1"/>
    <n v="59"/>
    <n v="18984"/>
    <n v="13720"/>
    <n v="408710"/>
    <n v="1.39"/>
    <n v="2"/>
    <n v="4.8899999999999997"/>
    <n v="12.49"/>
    <n v="25.66"/>
    <n v="2.1"/>
    <n v="19762"/>
    <n v="1280"/>
    <n v="8"/>
    <n v="-98146.49"/>
    <n v="-8.7626413322191041"/>
  </r>
  <r>
    <s v="P0839"/>
    <x v="211"/>
    <x v="0"/>
    <x v="1"/>
    <n v="2023"/>
    <s v="Q1"/>
    <n v="310"/>
    <n v="8152"/>
    <n v="2331"/>
    <n v="435893"/>
    <n v="2.44"/>
    <n v="15"/>
    <n v="5.24"/>
    <n v="1.53"/>
    <n v="76.14"/>
    <n v="4.8"/>
    <n v="11175"/>
    <n v="6368"/>
    <n v="13"/>
    <n v="1368615.47"/>
    <n v="54.157122336889415"/>
  </r>
  <r>
    <s v="P0840"/>
    <x v="265"/>
    <x v="2"/>
    <x v="2"/>
    <n v="2023"/>
    <s v="Q4"/>
    <n v="1723"/>
    <n v="8921"/>
    <n v="13874"/>
    <n v="173765"/>
    <n v="8.93"/>
    <n v="13"/>
    <n v="6.67"/>
    <n v="17.86"/>
    <n v="76.459999999999994"/>
    <n v="3.9"/>
    <n v="1809"/>
    <n v="2888"/>
    <n v="3"/>
    <n v="-8707801.8599999994"/>
    <n v="-56.651279305164181"/>
  </r>
  <r>
    <s v="P0841"/>
    <x v="550"/>
    <x v="0"/>
    <x v="1"/>
    <n v="2023"/>
    <s v="Q1"/>
    <n v="2269"/>
    <n v="2269"/>
    <n v="3790"/>
    <n v="437025"/>
    <n v="2.2599999999999998"/>
    <n v="8"/>
    <n v="2.67"/>
    <n v="15.59"/>
    <n v="33.39"/>
    <n v="3.6"/>
    <n v="5452"/>
    <n v="4736"/>
    <n v="11"/>
    <n v="-3888189.59"/>
    <n v="-75.522862324533961"/>
  </r>
  <r>
    <s v="P0842"/>
    <x v="423"/>
    <x v="0"/>
    <x v="0"/>
    <n v="2023"/>
    <s v="Q1"/>
    <n v="2110"/>
    <n v="19227"/>
    <n v="7955"/>
    <n v="474089"/>
    <n v="14.52"/>
    <n v="10"/>
    <n v="9.11"/>
    <n v="24.26"/>
    <n v="79.989999999999995"/>
    <n v="4.3"/>
    <n v="20933"/>
    <n v="4821"/>
    <n v="6"/>
    <n v="23309806.739999998"/>
    <n v="57.457230834305129"/>
  </r>
  <r>
    <s v="P0843"/>
    <x v="443"/>
    <x v="0"/>
    <x v="1"/>
    <n v="2024"/>
    <s v="Q4"/>
    <n v="3763"/>
    <n v="15614"/>
    <n v="5293"/>
    <n v="178389"/>
    <n v="6.7"/>
    <n v="2"/>
    <n v="4.3600000000000003"/>
    <n v="13.97"/>
    <n v="71.739999999999995"/>
    <n v="1.5"/>
    <n v="15371"/>
    <n v="5810"/>
    <n v="6"/>
    <n v="38659520.030000001"/>
    <n v="65.797298760990515"/>
  </r>
  <r>
    <s v="P0844"/>
    <x v="551"/>
    <x v="2"/>
    <x v="3"/>
    <n v="2024"/>
    <s v="Q3"/>
    <n v="1669"/>
    <n v="5858"/>
    <n v="10135"/>
    <n v="239699"/>
    <n v="7.52"/>
    <n v="4"/>
    <n v="1.29"/>
    <n v="8.41"/>
    <n v="43.43"/>
    <n v="4.4000000000000004"/>
    <n v="11192"/>
    <n v="7802"/>
    <n v="4"/>
    <n v="-7378020.4100000001"/>
    <n v="-75.463014224605857"/>
  </r>
  <r>
    <s v="P0845"/>
    <x v="155"/>
    <x v="1"/>
    <x v="1"/>
    <n v="2023"/>
    <s v="Q1"/>
    <n v="370"/>
    <n v="13043"/>
    <n v="1733"/>
    <n v="247227"/>
    <n v="3.7"/>
    <n v="9"/>
    <n v="7.42"/>
    <n v="12.98"/>
    <n v="69.87"/>
    <n v="3.4"/>
    <n v="1515"/>
    <n v="205"/>
    <n v="4"/>
    <n v="3937460.02"/>
    <n v="81.590001056795501"/>
  </r>
  <r>
    <s v="P0846"/>
    <x v="552"/>
    <x v="2"/>
    <x v="2"/>
    <n v="2024"/>
    <s v="Q1"/>
    <n v="1392"/>
    <n v="7199"/>
    <n v="2260"/>
    <n v="337516"/>
    <n v="7.06"/>
    <n v="12"/>
    <n v="6.43"/>
    <n v="24.48"/>
    <n v="86.91"/>
    <n v="2.2999999999999998"/>
    <n v="18489"/>
    <n v="9446"/>
    <n v="14"/>
    <n v="6537547.5199999996"/>
    <n v="65.238422322385119"/>
  </r>
  <r>
    <s v="P0847"/>
    <x v="454"/>
    <x v="0"/>
    <x v="3"/>
    <n v="2023"/>
    <s v="Q2"/>
    <n v="2426"/>
    <n v="19125"/>
    <n v="14940"/>
    <n v="315786"/>
    <n v="9.93"/>
    <n v="3"/>
    <n v="3.16"/>
    <n v="17.41"/>
    <n v="46.72"/>
    <n v="4.3"/>
    <n v="17505"/>
    <n v="4187"/>
    <n v="13"/>
    <n v="9837006.5899999999"/>
    <n v="21.201701803447403"/>
  </r>
  <r>
    <s v="P0848"/>
    <x v="553"/>
    <x v="2"/>
    <x v="0"/>
    <n v="2024"/>
    <s v="Q3"/>
    <n v="2882"/>
    <n v="2625"/>
    <n v="3523"/>
    <n v="310220"/>
    <n v="11.27"/>
    <n v="12"/>
    <n v="6.22"/>
    <n v="16.8"/>
    <n v="29.07"/>
    <n v="4.2"/>
    <n v="15778"/>
    <n v="4025"/>
    <n v="4"/>
    <n v="-2898272.8"/>
    <n v="-38.310337397970983"/>
  </r>
  <r>
    <s v="P0849"/>
    <x v="554"/>
    <x v="1"/>
    <x v="1"/>
    <n v="2024"/>
    <s v="Q2"/>
    <n v="2874"/>
    <n v="12293"/>
    <n v="11504"/>
    <n v="471217"/>
    <n v="11.31"/>
    <n v="11"/>
    <n v="2.2000000000000002"/>
    <n v="6.02"/>
    <n v="85.35"/>
    <n v="4.4000000000000004"/>
    <n v="16317"/>
    <n v="2008"/>
    <n v="7"/>
    <n v="1796362.98"/>
    <n v="5.0845140410373233"/>
  </r>
  <r>
    <s v="P0850"/>
    <x v="6"/>
    <x v="2"/>
    <x v="1"/>
    <n v="2024"/>
    <s v="Q3"/>
    <n v="2044"/>
    <n v="8264"/>
    <n v="1085"/>
    <n v="346208"/>
    <n v="8.67"/>
    <n v="4"/>
    <n v="4.45"/>
    <n v="18.59"/>
    <n v="58.3"/>
    <n v="1.5"/>
    <n v="11259"/>
    <n v="2149"/>
    <n v="5"/>
    <n v="14327649.41"/>
    <n v="84.821069872770011"/>
  </r>
  <r>
    <s v="P0851"/>
    <x v="390"/>
    <x v="2"/>
    <x v="3"/>
    <n v="2023"/>
    <s v="Q4"/>
    <n v="3008"/>
    <n v="13823"/>
    <n v="1064"/>
    <n v="275898"/>
    <n v="13.57"/>
    <n v="9"/>
    <n v="8.99"/>
    <n v="18.760000000000002"/>
    <n v="18.420000000000002"/>
    <n v="4.9000000000000004"/>
    <n v="17164"/>
    <n v="9566"/>
    <n v="14"/>
    <n v="38103155.240000002"/>
    <n v="91.639096822132714"/>
  </r>
  <r>
    <s v="P0852"/>
    <x v="24"/>
    <x v="1"/>
    <x v="3"/>
    <n v="2023"/>
    <s v="Q4"/>
    <n v="2088"/>
    <n v="14531"/>
    <n v="11359"/>
    <n v="326266"/>
    <n v="12.26"/>
    <n v="8"/>
    <n v="1.34"/>
    <n v="7.93"/>
    <n v="55.81"/>
    <n v="4.8"/>
    <n v="7912"/>
    <n v="9237"/>
    <n v="4"/>
    <n v="6296862.0700000003"/>
    <n v="20.753826572651786"/>
  </r>
  <r>
    <s v="P0853"/>
    <x v="555"/>
    <x v="0"/>
    <x v="1"/>
    <n v="2024"/>
    <s v="Q4"/>
    <n v="3540"/>
    <n v="15552"/>
    <n v="7616"/>
    <n v="468036"/>
    <n v="11.36"/>
    <n v="19"/>
    <n v="3.87"/>
    <n v="12.09"/>
    <n v="50.05"/>
    <n v="2.4"/>
    <n v="11696"/>
    <n v="8272"/>
    <n v="3"/>
    <n v="27625391.91"/>
    <n v="50.17864599680896"/>
  </r>
  <r>
    <s v="P0854"/>
    <x v="556"/>
    <x v="1"/>
    <x v="2"/>
    <n v="2023"/>
    <s v="Q4"/>
    <n v="3727"/>
    <n v="14140"/>
    <n v="12439"/>
    <n v="118431"/>
    <n v="0.83"/>
    <n v="6"/>
    <n v="8.2100000000000009"/>
    <n v="7.37"/>
    <n v="78.45"/>
    <n v="1.3"/>
    <n v="10007"/>
    <n v="4004"/>
    <n v="14"/>
    <n v="6221188.6299999999"/>
    <n v="11.804961292058525"/>
  </r>
  <r>
    <s v="P0855"/>
    <x v="169"/>
    <x v="1"/>
    <x v="3"/>
    <n v="2024"/>
    <s v="Q3"/>
    <n v="1168"/>
    <n v="9343"/>
    <n v="14765"/>
    <n v="105745"/>
    <n v="0.1"/>
    <n v="1"/>
    <n v="9.69"/>
    <n v="6.47"/>
    <n v="52.46"/>
    <n v="1.7"/>
    <n v="6320"/>
    <n v="3896"/>
    <n v="4"/>
    <n v="-6438647.4699999997"/>
    <n v="-59.001826416817806"/>
  </r>
  <r>
    <s v="P0856"/>
    <x v="557"/>
    <x v="2"/>
    <x v="1"/>
    <n v="2023"/>
    <s v="Q2"/>
    <n v="1654"/>
    <n v="15710"/>
    <n v="14314"/>
    <n v="100081"/>
    <n v="3.19"/>
    <n v="6"/>
    <n v="4.54"/>
    <n v="0.65"/>
    <n v="30.42"/>
    <n v="5"/>
    <n v="9335"/>
    <n v="392"/>
    <n v="5"/>
    <n v="2208902.35"/>
    <n v="8.500898425744122"/>
  </r>
  <r>
    <s v="P0857"/>
    <x v="77"/>
    <x v="0"/>
    <x v="0"/>
    <n v="2023"/>
    <s v="Q4"/>
    <n v="4077"/>
    <n v="17956"/>
    <n v="13908"/>
    <n v="451927"/>
    <n v="9.9499999999999993"/>
    <n v="7"/>
    <n v="5.07"/>
    <n v="7.13"/>
    <n v="64.05"/>
    <n v="3.3"/>
    <n v="3349"/>
    <n v="6366"/>
    <n v="7"/>
    <n v="16051761.869999999"/>
    <n v="21.926655846332569"/>
  </r>
  <r>
    <s v="P0858"/>
    <x v="558"/>
    <x v="0"/>
    <x v="0"/>
    <n v="2023"/>
    <s v="Q2"/>
    <n v="285"/>
    <n v="11606"/>
    <n v="2562"/>
    <n v="266204"/>
    <n v="6.17"/>
    <n v="6"/>
    <n v="5.72"/>
    <n v="13.85"/>
    <n v="53.41"/>
    <n v="2.4"/>
    <n v="15087"/>
    <n v="6470"/>
    <n v="5"/>
    <n v="2311322.15"/>
    <n v="69.876807519401638"/>
  </r>
  <r>
    <s v="P0859"/>
    <x v="559"/>
    <x v="1"/>
    <x v="1"/>
    <n v="2024"/>
    <s v="Q4"/>
    <n v="2019"/>
    <n v="6689"/>
    <n v="12040"/>
    <n v="462009"/>
    <n v="6.04"/>
    <n v="13"/>
    <n v="9.32"/>
    <n v="0.04"/>
    <n v="28.64"/>
    <n v="2.2000000000000002"/>
    <n v="3453"/>
    <n v="4960"/>
    <n v="9"/>
    <n v="-11265678.039999999"/>
    <n v="-83.418009104862747"/>
  </r>
  <r>
    <s v="P0860"/>
    <x v="68"/>
    <x v="1"/>
    <x v="0"/>
    <n v="2023"/>
    <s v="Q4"/>
    <n v="4479"/>
    <n v="3972"/>
    <n v="11373"/>
    <n v="451415"/>
    <n v="13.27"/>
    <n v="18"/>
    <n v="8.58"/>
    <n v="7.08"/>
    <n v="55.89"/>
    <n v="2"/>
    <n v="20653"/>
    <n v="3829"/>
    <n v="4"/>
    <n v="-33600501.079999998"/>
    <n v="-188.86672593396011"/>
  </r>
  <r>
    <s v="P0861"/>
    <x v="560"/>
    <x v="2"/>
    <x v="0"/>
    <n v="2024"/>
    <s v="Q2"/>
    <n v="1958"/>
    <n v="18591"/>
    <n v="11261"/>
    <n v="126253"/>
    <n v="13.43"/>
    <n v="4"/>
    <n v="1.71"/>
    <n v="22.04"/>
    <n v="75.72"/>
    <n v="3.7"/>
    <n v="14231"/>
    <n v="8062"/>
    <n v="13"/>
    <n v="14225864.960000001"/>
    <n v="39.080781836236184"/>
  </r>
  <r>
    <s v="P0862"/>
    <x v="561"/>
    <x v="0"/>
    <x v="0"/>
    <n v="2024"/>
    <s v="Q2"/>
    <n v="425"/>
    <n v="19688"/>
    <n v="840"/>
    <n v="348335"/>
    <n v="13.64"/>
    <n v="17"/>
    <n v="4.37"/>
    <n v="14.84"/>
    <n v="12.29"/>
    <n v="2.7"/>
    <n v="20930"/>
    <n v="5610"/>
    <n v="4"/>
    <n v="7662050.1600000001"/>
    <n v="91.570262686139074"/>
  </r>
  <r>
    <s v="P0863"/>
    <x v="265"/>
    <x v="1"/>
    <x v="3"/>
    <n v="2023"/>
    <s v="Q1"/>
    <n v="3580"/>
    <n v="8204"/>
    <n v="6627"/>
    <n v="322355"/>
    <n v="4.71"/>
    <n v="19"/>
    <n v="4.6399999999999997"/>
    <n v="15.2"/>
    <n v="60.47"/>
    <n v="4.9000000000000004"/>
    <n v="8340"/>
    <n v="8719"/>
    <n v="4"/>
    <n v="5323289.8"/>
    <n v="18.124725232820072"/>
  </r>
  <r>
    <s v="P0864"/>
    <x v="146"/>
    <x v="1"/>
    <x v="2"/>
    <n v="2024"/>
    <s v="Q1"/>
    <n v="2685"/>
    <n v="5213"/>
    <n v="9059"/>
    <n v="161086"/>
    <n v="10.37"/>
    <n v="11"/>
    <n v="7.89"/>
    <n v="10.08"/>
    <n v="37.97"/>
    <n v="3.7"/>
    <n v="6566"/>
    <n v="6861"/>
    <n v="9"/>
    <n v="-10487606.08"/>
    <n v="-74.928036448057625"/>
  </r>
  <r>
    <s v="P0865"/>
    <x v="560"/>
    <x v="1"/>
    <x v="1"/>
    <n v="2024"/>
    <s v="Q4"/>
    <n v="1620"/>
    <n v="6551"/>
    <n v="1787"/>
    <n v="499962"/>
    <n v="4.07"/>
    <n v="16"/>
    <n v="6.03"/>
    <n v="16.91"/>
    <n v="33.409999999999997"/>
    <n v="4.2"/>
    <n v="3915"/>
    <n v="6210"/>
    <n v="5"/>
    <n v="7217701.0899999999"/>
    <n v="68.01054866752979"/>
  </r>
  <r>
    <s v="P0866"/>
    <x v="562"/>
    <x v="0"/>
    <x v="1"/>
    <n v="2023"/>
    <s v="Q2"/>
    <n v="2610"/>
    <n v="12256"/>
    <n v="14887"/>
    <n v="464758"/>
    <n v="2.86"/>
    <n v="12"/>
    <n v="6.54"/>
    <n v="4.75"/>
    <n v="41.41"/>
    <n v="2.2000000000000002"/>
    <n v="3889"/>
    <n v="7055"/>
    <n v="2"/>
    <n v="-7331672.75"/>
    <n v="-22.919957728109399"/>
  </r>
  <r>
    <s v="P0867"/>
    <x v="291"/>
    <x v="0"/>
    <x v="1"/>
    <n v="2024"/>
    <s v="Q2"/>
    <n v="3441"/>
    <n v="3975"/>
    <n v="8604"/>
    <n v="474528"/>
    <n v="2.77"/>
    <n v="1"/>
    <n v="9.98"/>
    <n v="20.47"/>
    <n v="37.36"/>
    <n v="1.3"/>
    <n v="17711"/>
    <n v="206"/>
    <n v="3"/>
    <n v="-16402937.470000001"/>
    <n v="-119.9222653207072"/>
  </r>
  <r>
    <s v="P0868"/>
    <x v="563"/>
    <x v="1"/>
    <x v="2"/>
    <n v="2024"/>
    <s v="Q3"/>
    <n v="3015"/>
    <n v="5110"/>
    <n v="8589"/>
    <n v="488458"/>
    <n v="5.13"/>
    <n v="12"/>
    <n v="0.75"/>
    <n v="2.92"/>
    <n v="76.58"/>
    <n v="3"/>
    <n v="2263"/>
    <n v="4854"/>
    <n v="14"/>
    <n v="-10977645.92"/>
    <n v="-71.252646876511122"/>
  </r>
  <r>
    <s v="P0869"/>
    <x v="471"/>
    <x v="1"/>
    <x v="2"/>
    <n v="2024"/>
    <s v="Q3"/>
    <n v="3693"/>
    <n v="5755"/>
    <n v="6517"/>
    <n v="414115"/>
    <n v="6.45"/>
    <n v="6"/>
    <n v="2.23"/>
    <n v="16.399999999999999"/>
    <n v="31.98"/>
    <n v="2.2999999999999998"/>
    <n v="18699"/>
    <n v="5378"/>
    <n v="11"/>
    <n v="-3228197.4"/>
    <n v="-15.189219136963514"/>
  </r>
  <r>
    <s v="P0870"/>
    <x v="564"/>
    <x v="0"/>
    <x v="1"/>
    <n v="2024"/>
    <s v="Q2"/>
    <n v="3900"/>
    <n v="15984"/>
    <n v="13000"/>
    <n v="143783"/>
    <n v="12.46"/>
    <n v="9"/>
    <n v="4.08"/>
    <n v="8.5299999999999994"/>
    <n v="68.650000000000006"/>
    <n v="1.8"/>
    <n v="7755"/>
    <n v="6508"/>
    <n v="14"/>
    <n v="11493808.470000001"/>
    <n v="18.438002858627861"/>
  </r>
  <r>
    <s v="P0871"/>
    <x v="565"/>
    <x v="1"/>
    <x v="3"/>
    <n v="2024"/>
    <s v="Q3"/>
    <n v="922"/>
    <n v="3235"/>
    <n v="14743"/>
    <n v="175681"/>
    <n v="1.8"/>
    <n v="5"/>
    <n v="3.48"/>
    <n v="18.690000000000001"/>
    <n v="17.52"/>
    <n v="4.8"/>
    <n v="18761"/>
    <n v="7735"/>
    <n v="14"/>
    <n v="-10786075.689999999"/>
    <n v="-361.62484250688141"/>
  </r>
  <r>
    <s v="P0872"/>
    <x v="147"/>
    <x v="2"/>
    <x v="2"/>
    <n v="2023"/>
    <s v="Q4"/>
    <n v="1302"/>
    <n v="9758"/>
    <n v="3998"/>
    <n v="137893"/>
    <n v="11.02"/>
    <n v="2"/>
    <n v="0.22"/>
    <n v="13.74"/>
    <n v="86.11"/>
    <n v="2.8"/>
    <n v="8673"/>
    <n v="1325"/>
    <n v="3"/>
    <n v="7361613.2599999998"/>
    <n v="57.943029768949273"/>
  </r>
  <r>
    <s v="P0873"/>
    <x v="334"/>
    <x v="1"/>
    <x v="3"/>
    <n v="2024"/>
    <s v="Q3"/>
    <n v="1364"/>
    <n v="9479"/>
    <n v="6174"/>
    <n v="498604"/>
    <n v="7.97"/>
    <n v="2"/>
    <n v="0.92"/>
    <n v="11.31"/>
    <n v="59.79"/>
    <n v="1.7"/>
    <n v="12018"/>
    <n v="4350"/>
    <n v="4"/>
    <n v="4009404.69"/>
    <n v="31.010088128132601"/>
  </r>
  <r>
    <s v="P0874"/>
    <x v="566"/>
    <x v="0"/>
    <x v="3"/>
    <n v="2024"/>
    <s v="Q1"/>
    <n v="4870"/>
    <n v="3928"/>
    <n v="5590"/>
    <n v="208763"/>
    <n v="4.32"/>
    <n v="17"/>
    <n v="6.81"/>
    <n v="4.24"/>
    <n v="66.540000000000006"/>
    <n v="1.8"/>
    <n v="11752"/>
    <n v="995"/>
    <n v="7"/>
    <n v="-8302707.2400000002"/>
    <n v="-43.402953575028121"/>
  </r>
  <r>
    <s v="P0875"/>
    <x v="507"/>
    <x v="2"/>
    <x v="1"/>
    <n v="2024"/>
    <s v="Q2"/>
    <n v="2948"/>
    <n v="13845"/>
    <n v="7983"/>
    <n v="127960"/>
    <n v="7.39"/>
    <n v="10"/>
    <n v="8.7899999999999991"/>
    <n v="15.92"/>
    <n v="33.840000000000003"/>
    <n v="2.1"/>
    <n v="13947"/>
    <n v="1720"/>
    <n v="9"/>
    <n v="17153200.079999998"/>
    <n v="42.026644282772089"/>
  </r>
  <r>
    <s v="P0876"/>
    <x v="41"/>
    <x v="2"/>
    <x v="1"/>
    <n v="2024"/>
    <s v="Q2"/>
    <n v="127"/>
    <n v="8926"/>
    <n v="3324"/>
    <n v="396532"/>
    <n v="4.5"/>
    <n v="19"/>
    <n v="5.14"/>
    <n v="24.37"/>
    <n v="42.97"/>
    <n v="5"/>
    <n v="16589"/>
    <n v="5188"/>
    <n v="13"/>
    <n v="314897.63"/>
    <n v="27.77849986150342"/>
  </r>
  <r>
    <s v="P0877"/>
    <x v="118"/>
    <x v="2"/>
    <x v="3"/>
    <n v="2023"/>
    <s v="Q1"/>
    <n v="2671"/>
    <n v="10033"/>
    <n v="10077"/>
    <n v="72601"/>
    <n v="8.94"/>
    <n v="4"/>
    <n v="5.39"/>
    <n v="20.64"/>
    <n v="27.9"/>
    <n v="2.1"/>
    <n v="10895"/>
    <n v="5519"/>
    <n v="2"/>
    <n v="-190145.64"/>
    <n v="-0.70954782202632483"/>
  </r>
  <r>
    <s v="P0878"/>
    <x v="483"/>
    <x v="1"/>
    <x v="0"/>
    <n v="2024"/>
    <s v="Q3"/>
    <n v="4277"/>
    <n v="6749"/>
    <n v="3279"/>
    <n v="461236"/>
    <n v="6.51"/>
    <n v="18"/>
    <n v="2.5499999999999998"/>
    <n v="1.5"/>
    <n v="84.6"/>
    <n v="2.2999999999999998"/>
    <n v="13567"/>
    <n v="1485"/>
    <n v="10"/>
    <n v="14379952.5"/>
    <n v="49.817137934999366"/>
  </r>
  <r>
    <s v="P0879"/>
    <x v="251"/>
    <x v="1"/>
    <x v="2"/>
    <n v="2023"/>
    <s v="Q1"/>
    <n v="650"/>
    <n v="11186"/>
    <n v="10685"/>
    <n v="189227"/>
    <n v="2.4700000000000002"/>
    <n v="18"/>
    <n v="7.68"/>
    <n v="9.41"/>
    <n v="49.05"/>
    <n v="3.6"/>
    <n v="20707"/>
    <n v="2533"/>
    <n v="2"/>
    <n v="136413.59"/>
    <n v="1.8761582472596239"/>
  </r>
  <r>
    <s v="P0880"/>
    <x v="458"/>
    <x v="2"/>
    <x v="1"/>
    <n v="2024"/>
    <s v="Q1"/>
    <n v="1115"/>
    <n v="15609"/>
    <n v="11307"/>
    <n v="250191"/>
    <n v="1.75"/>
    <n v="14"/>
    <n v="7.52"/>
    <n v="23.14"/>
    <n v="60.44"/>
    <n v="2.2000000000000002"/>
    <n v="6787"/>
    <n v="1401"/>
    <n v="11"/>
    <n v="4546515.8600000003"/>
    <n v="26.123343580956949"/>
  </r>
  <r>
    <s v="P0881"/>
    <x v="34"/>
    <x v="1"/>
    <x v="0"/>
    <n v="2023"/>
    <s v="Q3"/>
    <n v="2186"/>
    <n v="2161"/>
    <n v="5954"/>
    <n v="217849"/>
    <n v="8.1999999999999993"/>
    <n v="15"/>
    <n v="5.88"/>
    <n v="12.58"/>
    <n v="68.739999999999995"/>
    <n v="1.9"/>
    <n v="14961"/>
    <n v="6958"/>
    <n v="3"/>
    <n v="-8509359.5800000001"/>
    <n v="-180.13244816939061"/>
  </r>
  <r>
    <s v="P0882"/>
    <x v="330"/>
    <x v="1"/>
    <x v="0"/>
    <n v="2023"/>
    <s v="Q2"/>
    <n v="2499"/>
    <n v="13575"/>
    <n v="1578"/>
    <n v="331854"/>
    <n v="13.54"/>
    <n v="8"/>
    <n v="2.13"/>
    <n v="16.55"/>
    <n v="39.69"/>
    <n v="1.6"/>
    <n v="14902"/>
    <n v="9050"/>
    <n v="4"/>
    <n v="29648632.449999999"/>
    <n v="87.397411856086819"/>
  </r>
  <r>
    <s v="P0883"/>
    <x v="74"/>
    <x v="2"/>
    <x v="2"/>
    <n v="2024"/>
    <s v="Q1"/>
    <n v="2393"/>
    <n v="16288"/>
    <n v="13581"/>
    <n v="420858"/>
    <n v="5.16"/>
    <n v="3"/>
    <n v="0.97"/>
    <n v="22.81"/>
    <n v="67.61"/>
    <n v="2.2999999999999998"/>
    <n v="8933"/>
    <n v="9038"/>
    <n v="8"/>
    <n v="6056970.1900000004"/>
    <n v="15.539783966948459"/>
  </r>
  <r>
    <s v="P0884"/>
    <x v="567"/>
    <x v="1"/>
    <x v="3"/>
    <n v="2023"/>
    <s v="Q2"/>
    <n v="1913"/>
    <n v="11560"/>
    <n v="10577"/>
    <n v="205604"/>
    <n v="11"/>
    <n v="14"/>
    <n v="0.64"/>
    <n v="21.84"/>
    <n v="64.08"/>
    <n v="1.4"/>
    <n v="12784"/>
    <n v="8884"/>
    <n v="10"/>
    <n v="1674853.16"/>
    <n v="7.5736273575264486"/>
  </r>
  <r>
    <s v="P0885"/>
    <x v="568"/>
    <x v="2"/>
    <x v="1"/>
    <n v="2024"/>
    <s v="Q4"/>
    <n v="1368"/>
    <n v="17336"/>
    <n v="2292"/>
    <n v="178727"/>
    <n v="9.8800000000000008"/>
    <n v="11"/>
    <n v="5.93"/>
    <n v="12.55"/>
    <n v="66.45"/>
    <n v="1.1000000000000001"/>
    <n v="6326"/>
    <n v="5744"/>
    <n v="4"/>
    <n v="20401452.449999999"/>
    <n v="86.025279385155315"/>
  </r>
  <r>
    <s v="P0886"/>
    <x v="376"/>
    <x v="0"/>
    <x v="1"/>
    <n v="2023"/>
    <s v="Q1"/>
    <n v="4761"/>
    <n v="12026"/>
    <n v="14878"/>
    <n v="461817"/>
    <n v="13.97"/>
    <n v="2"/>
    <n v="8.25"/>
    <n v="10.94"/>
    <n v="49.14"/>
    <n v="4.2"/>
    <n v="5164"/>
    <n v="5188"/>
    <n v="9"/>
    <n v="-14040199.939999999"/>
    <n v="-24.521888390458912"/>
  </r>
  <r>
    <s v="P0887"/>
    <x v="387"/>
    <x v="1"/>
    <x v="2"/>
    <n v="2023"/>
    <s v="Q2"/>
    <n v="3647"/>
    <n v="4874"/>
    <n v="1460"/>
    <n v="113227"/>
    <n v="12.31"/>
    <n v="13"/>
    <n v="8.58"/>
    <n v="8.49"/>
    <n v="40.630000000000003"/>
    <n v="1.6"/>
    <n v="12028"/>
    <n v="9360"/>
    <n v="10"/>
    <n v="12337622.51"/>
    <n v="69.408105424788019"/>
  </r>
  <r>
    <s v="P0888"/>
    <x v="333"/>
    <x v="2"/>
    <x v="0"/>
    <n v="2023"/>
    <s v="Q3"/>
    <n v="3812"/>
    <n v="1707"/>
    <n v="2148"/>
    <n v="186039"/>
    <n v="8.5"/>
    <n v="16"/>
    <n v="4.6399999999999997"/>
    <n v="17.98"/>
    <n v="27.77"/>
    <n v="4.0999999999999996"/>
    <n v="1997"/>
    <n v="5540"/>
    <n v="11"/>
    <n v="-1867148.98"/>
    <n v="-28.694096772071791"/>
  </r>
  <r>
    <s v="P0889"/>
    <x v="550"/>
    <x v="0"/>
    <x v="2"/>
    <n v="2024"/>
    <s v="Q1"/>
    <n v="4720"/>
    <n v="4165"/>
    <n v="14415"/>
    <n v="134289"/>
    <n v="9.86"/>
    <n v="18"/>
    <n v="7.84"/>
    <n v="7.17"/>
    <n v="75.97"/>
    <n v="4.2"/>
    <n v="9141"/>
    <n v="7593"/>
    <n v="8"/>
    <n v="-48514296.170000002"/>
    <n v="-246.78157451116039"/>
  </r>
  <r>
    <s v="P0890"/>
    <x v="276"/>
    <x v="2"/>
    <x v="0"/>
    <n v="2024"/>
    <s v="Q2"/>
    <n v="2240"/>
    <n v="2132"/>
    <n v="10291"/>
    <n v="201094"/>
    <n v="13.48"/>
    <n v="5"/>
    <n v="9.4700000000000006"/>
    <n v="6.25"/>
    <n v="58.67"/>
    <n v="3.2"/>
    <n v="6143"/>
    <n v="6391"/>
    <n v="5"/>
    <n v="-18477260.25"/>
    <n v="-386.90323158168047"/>
  </r>
  <r>
    <s v="P0891"/>
    <x v="569"/>
    <x v="0"/>
    <x v="1"/>
    <n v="2023"/>
    <s v="Q3"/>
    <n v="1042"/>
    <n v="4583"/>
    <n v="12932"/>
    <n v="486679"/>
    <n v="5.99"/>
    <n v="3"/>
    <n v="2.75"/>
    <n v="8.91"/>
    <n v="45.55"/>
    <n v="2.2000000000000002"/>
    <n v="6556"/>
    <n v="3407"/>
    <n v="5"/>
    <n v="-9186345.9100000001"/>
    <n v="-192.36462864722043"/>
  </r>
  <r>
    <s v="P0892"/>
    <x v="122"/>
    <x v="2"/>
    <x v="3"/>
    <n v="2024"/>
    <s v="Q2"/>
    <n v="2762"/>
    <n v="15211"/>
    <n v="10978"/>
    <n v="255743"/>
    <n v="4.9000000000000004"/>
    <n v="6"/>
    <n v="3.98"/>
    <n v="4.43"/>
    <n v="85.52"/>
    <n v="1.6"/>
    <n v="1631"/>
    <n v="8994"/>
    <n v="5"/>
    <n v="11435798.57"/>
    <n v="27.219807938450728"/>
  </r>
  <r>
    <s v="P0893"/>
    <x v="570"/>
    <x v="1"/>
    <x v="3"/>
    <n v="2023"/>
    <s v="Q2"/>
    <n v="2242"/>
    <n v="11623"/>
    <n v="8651"/>
    <n v="317866"/>
    <n v="0.16"/>
    <n v="18"/>
    <n v="9.31"/>
    <n v="17.38"/>
    <n v="13.83"/>
    <n v="3.9"/>
    <n v="6943"/>
    <n v="4808"/>
    <n v="7"/>
    <n v="6345340.6200000001"/>
    <n v="24.350119341798457"/>
  </r>
  <r>
    <s v="P0894"/>
    <x v="179"/>
    <x v="0"/>
    <x v="1"/>
    <n v="2024"/>
    <s v="Q1"/>
    <n v="1298"/>
    <n v="8623"/>
    <n v="7956"/>
    <n v="208485"/>
    <n v="12.4"/>
    <n v="16"/>
    <n v="3.38"/>
    <n v="15.41"/>
    <n v="78.010000000000005"/>
    <n v="3.4"/>
    <n v="18741"/>
    <n v="204"/>
    <n v="5"/>
    <n v="657265.59"/>
    <n v="5.8722943637853895"/>
  </r>
  <r>
    <s v="P0895"/>
    <x v="571"/>
    <x v="1"/>
    <x v="1"/>
    <n v="2024"/>
    <s v="Q2"/>
    <n v="3104"/>
    <n v="12254"/>
    <n v="2844"/>
    <n v="393194"/>
    <n v="12.01"/>
    <n v="15"/>
    <n v="9.14"/>
    <n v="12.07"/>
    <n v="89.81"/>
    <n v="3.6"/>
    <n v="14943"/>
    <n v="9789"/>
    <n v="6"/>
    <n v="28815433.93"/>
    <n v="75.757489690931976"/>
  </r>
  <r>
    <s v="P0896"/>
    <x v="572"/>
    <x v="1"/>
    <x v="3"/>
    <n v="2024"/>
    <s v="Q1"/>
    <n v="4648"/>
    <n v="3179"/>
    <n v="8168"/>
    <n v="283820"/>
    <n v="1.57"/>
    <n v="14"/>
    <n v="9.81"/>
    <n v="9.76"/>
    <n v="80.959999999999994"/>
    <n v="1"/>
    <n v="10212"/>
    <n v="3933"/>
    <n v="10"/>
    <n v="-23472701.760000002"/>
    <n v="-158.85702807635522"/>
  </r>
  <r>
    <s v="P0897"/>
    <x v="573"/>
    <x v="2"/>
    <x v="1"/>
    <n v="2024"/>
    <s v="Q3"/>
    <n v="4083"/>
    <n v="17401"/>
    <n v="4316"/>
    <n v="286994"/>
    <n v="8.65"/>
    <n v="7"/>
    <n v="6.62"/>
    <n v="22.73"/>
    <n v="74.83"/>
    <n v="4.7"/>
    <n v="9721"/>
    <n v="495"/>
    <n v="13"/>
    <n v="53139038.270000003"/>
    <n v="74.792853572548694"/>
  </r>
  <r>
    <s v="P0898"/>
    <x v="574"/>
    <x v="2"/>
    <x v="3"/>
    <n v="2023"/>
    <s v="Q3"/>
    <n v="2047"/>
    <n v="1736"/>
    <n v="14435"/>
    <n v="395740"/>
    <n v="6.96"/>
    <n v="18"/>
    <n v="8.17"/>
    <n v="0.73"/>
    <n v="39.94"/>
    <n v="1.3"/>
    <n v="17160"/>
    <n v="3617"/>
    <n v="8"/>
    <n v="-26390593.73"/>
    <n v="-742.64557467486418"/>
  </r>
  <r>
    <s v="P0899"/>
    <x v="210"/>
    <x v="1"/>
    <x v="3"/>
    <n v="2024"/>
    <s v="Q4"/>
    <n v="4966"/>
    <n v="8946"/>
    <n v="10050"/>
    <n v="378876"/>
    <n v="1.78"/>
    <n v="7"/>
    <n v="7.5"/>
    <n v="19.23"/>
    <n v="28.51"/>
    <n v="2.5"/>
    <n v="7647"/>
    <n v="3391"/>
    <n v="9"/>
    <n v="-5861359.2300000004"/>
    <n v="-13.193582288468358"/>
  </r>
  <r>
    <s v="P0900"/>
    <x v="24"/>
    <x v="1"/>
    <x v="2"/>
    <n v="2023"/>
    <s v="Q3"/>
    <n v="3737"/>
    <n v="5943"/>
    <n v="9968"/>
    <n v="455513"/>
    <n v="14.71"/>
    <n v="17"/>
    <n v="7"/>
    <n v="22.55"/>
    <n v="68.790000000000006"/>
    <n v="2.6"/>
    <n v="13088"/>
    <n v="2110"/>
    <n v="6"/>
    <n v="-15496960.550000001"/>
    <n v="-69.77786856683403"/>
  </r>
  <r>
    <s v="P0901"/>
    <x v="575"/>
    <x v="2"/>
    <x v="2"/>
    <n v="2023"/>
    <s v="Q1"/>
    <n v="2201"/>
    <n v="16963"/>
    <n v="5377"/>
    <n v="118323"/>
    <n v="3.22"/>
    <n v="15"/>
    <n v="3.07"/>
    <n v="11.16"/>
    <n v="34.369999999999997"/>
    <n v="1"/>
    <n v="6104"/>
    <n v="4637"/>
    <n v="6"/>
    <n v="25382451.84"/>
    <n v="67.984650023892769"/>
  </r>
  <r>
    <s v="P0902"/>
    <x v="570"/>
    <x v="1"/>
    <x v="0"/>
    <n v="2024"/>
    <s v="Q1"/>
    <n v="4068"/>
    <n v="10055"/>
    <n v="1527"/>
    <n v="335960"/>
    <n v="1.01"/>
    <n v="19"/>
    <n v="0.56999999999999995"/>
    <n v="13.77"/>
    <n v="24.08"/>
    <n v="3"/>
    <n v="10952"/>
    <n v="9960"/>
    <n v="14"/>
    <n v="34355930.229999997"/>
    <n v="83.992148957528073"/>
  </r>
  <r>
    <s v="P0903"/>
    <x v="555"/>
    <x v="2"/>
    <x v="1"/>
    <n v="2024"/>
    <s v="Q4"/>
    <n v="3160"/>
    <n v="18169"/>
    <n v="11519"/>
    <n v="90695"/>
    <n v="8.92"/>
    <n v="18"/>
    <n v="3.43"/>
    <n v="23.61"/>
    <n v="72.92"/>
    <n v="4"/>
    <n v="19442"/>
    <n v="5068"/>
    <n v="12"/>
    <n v="20923281.390000001"/>
    <n v="36.442795856205208"/>
  </r>
  <r>
    <s v="P0904"/>
    <x v="576"/>
    <x v="2"/>
    <x v="0"/>
    <n v="2024"/>
    <s v="Q2"/>
    <n v="2020"/>
    <n v="1648"/>
    <n v="12128"/>
    <n v="462918"/>
    <n v="11.08"/>
    <n v="9"/>
    <n v="6.67"/>
    <n v="5.31"/>
    <n v="35"/>
    <n v="4.3"/>
    <n v="17899"/>
    <n v="4862"/>
    <n v="8"/>
    <n v="-21632523.309999999"/>
    <n v="-649.82827399548205"/>
  </r>
  <r>
    <s v="P0905"/>
    <x v="577"/>
    <x v="2"/>
    <x v="2"/>
    <n v="2024"/>
    <s v="Q2"/>
    <n v="247"/>
    <n v="14895"/>
    <n v="14119"/>
    <n v="468458"/>
    <n v="0.49"/>
    <n v="16"/>
    <n v="1.03"/>
    <n v="13"/>
    <n v="83.16"/>
    <n v="4.5"/>
    <n v="5105"/>
    <n v="1151"/>
    <n v="12"/>
    <n v="-276799"/>
    <n v="-7.5236235293478098"/>
  </r>
  <r>
    <s v="P0906"/>
    <x v="578"/>
    <x v="2"/>
    <x v="0"/>
    <n v="2024"/>
    <s v="Q3"/>
    <n v="2676"/>
    <n v="6395"/>
    <n v="8268"/>
    <n v="105841"/>
    <n v="9.8800000000000008"/>
    <n v="12"/>
    <n v="0.12"/>
    <n v="11.87"/>
    <n v="77.25"/>
    <n v="3"/>
    <n v="14784"/>
    <n v="2941"/>
    <n v="14"/>
    <n v="-5118000.87"/>
    <n v="-29.907058309988539"/>
  </r>
  <r>
    <s v="P0907"/>
    <x v="579"/>
    <x v="1"/>
    <x v="3"/>
    <n v="2024"/>
    <s v="Q3"/>
    <n v="1252"/>
    <n v="18896"/>
    <n v="1142"/>
    <n v="440642"/>
    <n v="7.98"/>
    <n v="12"/>
    <n v="1.4"/>
    <n v="6.46"/>
    <n v="77.81"/>
    <n v="3.5"/>
    <n v="3107"/>
    <n v="6718"/>
    <n v="13"/>
    <n v="21787359.539999999"/>
    <n v="92.09379953970344"/>
  </r>
  <r>
    <s v="P0908"/>
    <x v="333"/>
    <x v="2"/>
    <x v="3"/>
    <n v="2024"/>
    <s v="Q1"/>
    <n v="2085"/>
    <n v="12523"/>
    <n v="2247"/>
    <n v="248784"/>
    <n v="1.55"/>
    <n v="6"/>
    <n v="7.16"/>
    <n v="20.46"/>
    <n v="71.73"/>
    <n v="1.3"/>
    <n v="13209"/>
    <n v="4823"/>
    <n v="9"/>
    <n v="21176655.539999999"/>
    <n v="81.10412300360143"/>
  </r>
  <r>
    <s v="P0909"/>
    <x v="102"/>
    <x v="2"/>
    <x v="3"/>
    <n v="2024"/>
    <s v="Q4"/>
    <n v="527"/>
    <n v="12199"/>
    <n v="11371"/>
    <n v="157096"/>
    <n v="2.59"/>
    <n v="9"/>
    <n v="9.73"/>
    <n v="22.49"/>
    <n v="80.47"/>
    <n v="3"/>
    <n v="3516"/>
    <n v="7572"/>
    <n v="10"/>
    <n v="279237.51"/>
    <n v="4.3434908420185003"/>
  </r>
  <r>
    <s v="P0910"/>
    <x v="580"/>
    <x v="0"/>
    <x v="1"/>
    <n v="2023"/>
    <s v="Q4"/>
    <n v="1304"/>
    <n v="11215"/>
    <n v="7381"/>
    <n v="142764"/>
    <n v="8.52"/>
    <n v="1"/>
    <n v="9.83"/>
    <n v="19.55"/>
    <n v="74.459999999999994"/>
    <n v="1.6"/>
    <n v="5074"/>
    <n v="8013"/>
    <n v="3"/>
    <n v="4856752.45"/>
    <n v="33.210017053737737"/>
  </r>
  <r>
    <s v="P0911"/>
    <x v="390"/>
    <x v="1"/>
    <x v="0"/>
    <n v="2024"/>
    <s v="Q2"/>
    <n v="972"/>
    <n v="17663"/>
    <n v="12651"/>
    <n v="496790"/>
    <n v="4.45"/>
    <n v="3"/>
    <n v="4.9400000000000004"/>
    <n v="4.88"/>
    <n v="58.2"/>
    <n v="2.5"/>
    <n v="15041"/>
    <n v="5624"/>
    <n v="4"/>
    <n v="4374869.12"/>
    <n v="25.482048102692641"/>
  </r>
  <r>
    <s v="P0912"/>
    <x v="356"/>
    <x v="2"/>
    <x v="0"/>
    <n v="2023"/>
    <s v="Q4"/>
    <n v="469"/>
    <n v="7282"/>
    <n v="7117"/>
    <n v="135744"/>
    <n v="14.07"/>
    <n v="5"/>
    <n v="8.69"/>
    <n v="2.17"/>
    <n v="33.67"/>
    <n v="2.2999999999999998"/>
    <n v="8774"/>
    <n v="3684"/>
    <n v="13"/>
    <n v="-58361.17"/>
    <n v="-1.7088363455996589"/>
  </r>
  <r>
    <s v="P0913"/>
    <x v="269"/>
    <x v="1"/>
    <x v="3"/>
    <n v="2024"/>
    <s v="Q4"/>
    <n v="2254"/>
    <n v="18224"/>
    <n v="1326"/>
    <n v="340626"/>
    <n v="12.28"/>
    <n v="17"/>
    <n v="7.37"/>
    <n v="15.14"/>
    <n v="81.06"/>
    <n v="2.7"/>
    <n v="11435"/>
    <n v="8639"/>
    <n v="13"/>
    <n v="37747450.859999999"/>
    <n v="91.894603866854979"/>
  </r>
  <r>
    <s v="P0914"/>
    <x v="403"/>
    <x v="1"/>
    <x v="3"/>
    <n v="2023"/>
    <s v="Q1"/>
    <n v="2647"/>
    <n v="4317"/>
    <n v="10888"/>
    <n v="59171"/>
    <n v="14.75"/>
    <n v="5"/>
    <n v="5.01"/>
    <n v="1.43"/>
    <n v="77.25"/>
    <n v="3.3"/>
    <n v="17248"/>
    <n v="1363"/>
    <n v="3"/>
    <n v="-17452609.43"/>
    <n v="-152.730009865146"/>
  </r>
  <r>
    <s v="P0915"/>
    <x v="228"/>
    <x v="0"/>
    <x v="3"/>
    <n v="2023"/>
    <s v="Q1"/>
    <n v="1170"/>
    <n v="16596"/>
    <n v="13746"/>
    <n v="150755"/>
    <n v="3.9"/>
    <n v="16"/>
    <n v="5.73"/>
    <n v="16.82"/>
    <n v="47.83"/>
    <n v="4.5999999999999996"/>
    <n v="7906"/>
    <n v="4765"/>
    <n v="11"/>
    <n v="3183728.18"/>
    <n v="16.396331625579638"/>
  </r>
  <r>
    <s v="P0916"/>
    <x v="144"/>
    <x v="2"/>
    <x v="3"/>
    <n v="2023"/>
    <s v="Q2"/>
    <n v="3118"/>
    <n v="6799"/>
    <n v="11065"/>
    <n v="158125"/>
    <n v="14.55"/>
    <n v="13"/>
    <n v="1.37"/>
    <n v="13.26"/>
    <n v="13.13"/>
    <n v="2.6"/>
    <n v="13326"/>
    <n v="8114"/>
    <n v="8"/>
    <n v="-13459526.26"/>
    <n v="-63.490481705937022"/>
  </r>
  <r>
    <s v="P0917"/>
    <x v="581"/>
    <x v="0"/>
    <x v="0"/>
    <n v="2024"/>
    <s v="Q4"/>
    <n v="1000"/>
    <n v="11417"/>
    <n v="13907"/>
    <n v="442866"/>
    <n v="6.47"/>
    <n v="10"/>
    <n v="9.3800000000000008"/>
    <n v="16.57"/>
    <n v="61.08"/>
    <n v="4.9000000000000004"/>
    <n v="18972"/>
    <n v="1451"/>
    <n v="13"/>
    <n v="-2932882.57"/>
    <n v="-25.688732328983093"/>
  </r>
  <r>
    <s v="P0918"/>
    <x v="582"/>
    <x v="0"/>
    <x v="3"/>
    <n v="2024"/>
    <s v="Q2"/>
    <n v="2386"/>
    <n v="19573"/>
    <n v="7548"/>
    <n v="418226"/>
    <n v="5.21"/>
    <n v="18"/>
    <n v="3.52"/>
    <n v="14.75"/>
    <n v="14.05"/>
    <n v="4"/>
    <n v="2861"/>
    <n v="7080"/>
    <n v="3"/>
    <n v="28273409.25"/>
    <n v="60.541105087327772"/>
  </r>
  <r>
    <s v="P0919"/>
    <x v="39"/>
    <x v="1"/>
    <x v="3"/>
    <n v="2023"/>
    <s v="Q4"/>
    <n v="2293"/>
    <n v="4767"/>
    <n v="1205"/>
    <n v="53696"/>
    <n v="0.76"/>
    <n v="1"/>
    <n v="4.46"/>
    <n v="10.57"/>
    <n v="84.1"/>
    <n v="3"/>
    <n v="5973"/>
    <n v="7290"/>
    <n v="13"/>
    <n v="8113959.4299999997"/>
    <n v="74.23071183436862"/>
  </r>
  <r>
    <s v="P0920"/>
    <x v="155"/>
    <x v="2"/>
    <x v="3"/>
    <n v="2023"/>
    <s v="Q2"/>
    <n v="2695"/>
    <n v="5906"/>
    <n v="8786"/>
    <n v="176310"/>
    <n v="0.79"/>
    <n v="2"/>
    <n v="6.72"/>
    <n v="5.0199999999999996"/>
    <n v="86.93"/>
    <n v="3.6"/>
    <n v="8819"/>
    <n v="3927"/>
    <n v="3"/>
    <n v="-7937915.0199999996"/>
    <n v="-49.871706958804822"/>
  </r>
  <r>
    <s v="P0921"/>
    <x v="391"/>
    <x v="0"/>
    <x v="0"/>
    <n v="2023"/>
    <s v="Q1"/>
    <n v="1907"/>
    <n v="19326"/>
    <n v="10565"/>
    <n v="463274"/>
    <n v="10.38"/>
    <n v="10"/>
    <n v="3.34"/>
    <n v="7.64"/>
    <n v="25.16"/>
    <n v="1.4"/>
    <n v="10167"/>
    <n v="8961"/>
    <n v="3"/>
    <n v="16243945.359999999"/>
    <n v="44.075662788244927"/>
  </r>
  <r>
    <s v="P0922"/>
    <x v="583"/>
    <x v="0"/>
    <x v="1"/>
    <n v="2024"/>
    <s v="Q4"/>
    <n v="4662"/>
    <n v="11882"/>
    <n v="14899"/>
    <n v="201385"/>
    <n v="6.87"/>
    <n v="5"/>
    <n v="2.54"/>
    <n v="13.11"/>
    <n v="64.11"/>
    <n v="4.4000000000000004"/>
    <n v="10981"/>
    <n v="2746"/>
    <n v="13"/>
    <n v="-14266652.109999999"/>
    <n v="-25.75492289004324"/>
  </r>
  <r>
    <s v="P0923"/>
    <x v="350"/>
    <x v="2"/>
    <x v="0"/>
    <n v="2023"/>
    <s v="Q4"/>
    <n v="1915"/>
    <n v="5937"/>
    <n v="13592"/>
    <n v="331293"/>
    <n v="3.4"/>
    <n v="13"/>
    <n v="6.31"/>
    <n v="16.3"/>
    <n v="17.38"/>
    <n v="3.3"/>
    <n v="10020"/>
    <n v="366"/>
    <n v="14"/>
    <n v="-14990634.300000001"/>
    <n v="-131.85122902750422"/>
  </r>
  <r>
    <s v="P0924"/>
    <x v="248"/>
    <x v="0"/>
    <x v="1"/>
    <n v="2024"/>
    <s v="Q4"/>
    <n v="2962"/>
    <n v="6935"/>
    <n v="4540"/>
    <n v="442208"/>
    <n v="9.2100000000000009"/>
    <n v="18"/>
    <n v="0.25"/>
    <n v="19.489999999999998"/>
    <n v="68.36"/>
    <n v="4.9000000000000004"/>
    <n v="19070"/>
    <n v="9730"/>
    <n v="5"/>
    <n v="6651762.5099999998"/>
    <n v="32.382115350069881"/>
  </r>
  <r>
    <s v="P0925"/>
    <x v="584"/>
    <x v="1"/>
    <x v="2"/>
    <n v="2023"/>
    <s v="Q2"/>
    <n v="2903"/>
    <n v="5607"/>
    <n v="13266"/>
    <n v="365665"/>
    <n v="3.79"/>
    <n v="15"/>
    <n v="7.21"/>
    <n v="19.18"/>
    <n v="37.78"/>
    <n v="3.5"/>
    <n v="5036"/>
    <n v="7534"/>
    <n v="2"/>
    <n v="-22599761.18"/>
    <n v="-138.84372537379306"/>
  </r>
  <r>
    <s v="P0926"/>
    <x v="182"/>
    <x v="0"/>
    <x v="2"/>
    <n v="2023"/>
    <s v="Q3"/>
    <n v="4960"/>
    <n v="2060"/>
    <n v="13219"/>
    <n v="95740"/>
    <n v="8.66"/>
    <n v="6"/>
    <n v="5.14"/>
    <n v="24.32"/>
    <n v="64.48"/>
    <n v="4.3"/>
    <n v="3273"/>
    <n v="1122"/>
    <n v="3"/>
    <n v="-55444404.32"/>
    <n v="-542.63627779517697"/>
  </r>
  <r>
    <s v="P0927"/>
    <x v="110"/>
    <x v="0"/>
    <x v="3"/>
    <n v="2023"/>
    <s v="Q4"/>
    <n v="3278"/>
    <n v="13829"/>
    <n v="2646"/>
    <n v="156611"/>
    <n v="5.39"/>
    <n v="7"/>
    <n v="6.06"/>
    <n v="7.15"/>
    <n v="39.83"/>
    <n v="4.2"/>
    <n v="11755"/>
    <n v="8047"/>
    <n v="4"/>
    <n v="36501255.850000001"/>
    <n v="80.520799990964335"/>
  </r>
  <r>
    <s v="P0928"/>
    <x v="585"/>
    <x v="2"/>
    <x v="3"/>
    <n v="2023"/>
    <s v="Q4"/>
    <n v="3769"/>
    <n v="3326"/>
    <n v="2278"/>
    <n v="448172"/>
    <n v="12.35"/>
    <n v="18"/>
    <n v="6.32"/>
    <n v="1.78"/>
    <n v="21.65"/>
    <n v="2.4"/>
    <n v="4058"/>
    <n v="2137"/>
    <n v="8"/>
    <n v="3501738.22"/>
    <n v="27.934139266641324"/>
  </r>
  <r>
    <s v="P0929"/>
    <x v="207"/>
    <x v="1"/>
    <x v="3"/>
    <n v="2023"/>
    <s v="Q1"/>
    <n v="3278"/>
    <n v="12921"/>
    <n v="11387"/>
    <n v="298922"/>
    <n v="12.31"/>
    <n v="19"/>
    <n v="5.27"/>
    <n v="8.64"/>
    <n v="42.49"/>
    <n v="2"/>
    <n v="6579"/>
    <n v="8856"/>
    <n v="11"/>
    <n v="4729521.3600000003"/>
    <n v="11.16637260483629"/>
  </r>
  <r>
    <s v="P0930"/>
    <x v="586"/>
    <x v="1"/>
    <x v="2"/>
    <n v="2023"/>
    <s v="Q2"/>
    <n v="2421"/>
    <n v="13765"/>
    <n v="1571"/>
    <n v="378785"/>
    <n v="7.16"/>
    <n v="15"/>
    <n v="5.83"/>
    <n v="18.579999999999998"/>
    <n v="19.010000000000002"/>
    <n v="2.7"/>
    <n v="15841"/>
    <n v="7878"/>
    <n v="2"/>
    <n v="29142870.420000002"/>
    <n v="87.450303307735481"/>
  </r>
  <r>
    <s v="P0931"/>
    <x v="587"/>
    <x v="0"/>
    <x v="2"/>
    <n v="2024"/>
    <s v="Q2"/>
    <n v="2941"/>
    <n v="9129"/>
    <n v="6325"/>
    <n v="113811"/>
    <n v="5.26"/>
    <n v="6"/>
    <n v="6.84"/>
    <n v="10.95"/>
    <n v="56.15"/>
    <n v="2.9"/>
    <n v="11481"/>
    <n v="1159"/>
    <n v="7"/>
    <n v="8132742.0499999998"/>
    <n v="30.291359567235116"/>
  </r>
  <r>
    <s v="P0932"/>
    <x v="248"/>
    <x v="1"/>
    <x v="0"/>
    <n v="2024"/>
    <s v="Q4"/>
    <n v="3806"/>
    <n v="9825"/>
    <n v="9570"/>
    <n v="495376"/>
    <n v="5.44"/>
    <n v="8"/>
    <n v="7.53"/>
    <n v="20.440000000000001"/>
    <n v="13.28"/>
    <n v="2"/>
    <n v="5024"/>
    <n v="1524"/>
    <n v="4"/>
    <n v="475133.56"/>
    <n v="1.2706161290797042"/>
  </r>
  <r>
    <s v="P0933"/>
    <x v="38"/>
    <x v="2"/>
    <x v="3"/>
    <n v="2023"/>
    <s v="Q4"/>
    <n v="4275"/>
    <n v="9193"/>
    <n v="11893"/>
    <n v="232385"/>
    <n v="12.09"/>
    <n v="12"/>
    <n v="7.27"/>
    <n v="13.73"/>
    <n v="52.19"/>
    <n v="4.5999999999999996"/>
    <n v="10498"/>
    <n v="4223"/>
    <n v="4"/>
    <n v="-11774898.73"/>
    <n v="-29.961517198122394"/>
  </r>
  <r>
    <s v="P0934"/>
    <x v="496"/>
    <x v="2"/>
    <x v="1"/>
    <n v="2024"/>
    <s v="Q3"/>
    <n v="144"/>
    <n v="9764"/>
    <n v="14603"/>
    <n v="113232"/>
    <n v="4.92"/>
    <n v="0"/>
    <n v="8.6999999999999993"/>
    <n v="23.24"/>
    <n v="80.91"/>
    <n v="3.2"/>
    <n v="15197"/>
    <n v="319"/>
    <n v="5"/>
    <n v="-810071.24"/>
    <n v="-57.614653033820382"/>
  </r>
  <r>
    <s v="P0935"/>
    <x v="588"/>
    <x v="2"/>
    <x v="3"/>
    <n v="2023"/>
    <s v="Q1"/>
    <n v="2724"/>
    <n v="14186"/>
    <n v="993"/>
    <n v="327561"/>
    <n v="3.14"/>
    <n v="7"/>
    <n v="1.89"/>
    <n v="23.7"/>
    <n v="77.03"/>
    <n v="4.9000000000000004"/>
    <n v="20550"/>
    <n v="505"/>
    <n v="14"/>
    <n v="35610147.299999997"/>
    <n v="92.152412939232136"/>
  </r>
  <r>
    <s v="P0936"/>
    <x v="252"/>
    <x v="0"/>
    <x v="3"/>
    <n v="2024"/>
    <s v="Q2"/>
    <n v="2005"/>
    <n v="15216"/>
    <n v="2807"/>
    <n v="205801"/>
    <n v="1.27"/>
    <n v="3"/>
    <n v="4.01"/>
    <n v="1.73"/>
    <n v="80.62"/>
    <n v="4.2"/>
    <n v="15106"/>
    <n v="9929"/>
    <n v="5"/>
    <n v="24674242.27"/>
    <n v="80.8777290147397"/>
  </r>
  <r>
    <s v="P0937"/>
    <x v="589"/>
    <x v="1"/>
    <x v="2"/>
    <n v="2024"/>
    <s v="Q3"/>
    <n v="843"/>
    <n v="8221"/>
    <n v="1985"/>
    <n v="162492"/>
    <n v="7"/>
    <n v="2"/>
    <n v="9.48"/>
    <n v="11.41"/>
    <n v="83.76"/>
    <n v="3.2"/>
    <n v="14929"/>
    <n v="2418"/>
    <n v="8"/>
    <n v="5094444.59"/>
    <n v="73.509694886356343"/>
  </r>
  <r>
    <s v="P0938"/>
    <x v="431"/>
    <x v="1"/>
    <x v="2"/>
    <n v="2024"/>
    <s v="Q1"/>
    <n v="1884"/>
    <n v="8873"/>
    <n v="3194"/>
    <n v="80099"/>
    <n v="7.23"/>
    <n v="2"/>
    <n v="3.97"/>
    <n v="15.24"/>
    <n v="18.36"/>
    <n v="4.8"/>
    <n v="17539"/>
    <n v="9966"/>
    <n v="4"/>
    <n v="10619121.76"/>
    <n v="63.523909816823043"/>
  </r>
  <r>
    <s v="P0939"/>
    <x v="590"/>
    <x v="0"/>
    <x v="3"/>
    <n v="2023"/>
    <s v="Q1"/>
    <n v="2166"/>
    <n v="7407"/>
    <n v="11990"/>
    <n v="279206"/>
    <n v="12.61"/>
    <n v="12"/>
    <n v="1.25"/>
    <n v="6.4"/>
    <n v="20.3"/>
    <n v="3"/>
    <n v="8640"/>
    <n v="9083"/>
    <n v="9"/>
    <n v="-10205990.4"/>
    <n v="-63.614242273629763"/>
  </r>
  <r>
    <s v="P0940"/>
    <x v="421"/>
    <x v="1"/>
    <x v="3"/>
    <n v="2024"/>
    <s v="Q3"/>
    <n v="4156"/>
    <n v="17627"/>
    <n v="14472"/>
    <n v="473177"/>
    <n v="3.32"/>
    <n v="7"/>
    <n v="5.25"/>
    <n v="10.18"/>
    <n v="54.56"/>
    <n v="4.5"/>
    <n v="10285"/>
    <n v="5158"/>
    <n v="9"/>
    <n v="12638992.82"/>
    <n v="17.252757726370536"/>
  </r>
  <r>
    <s v="P0941"/>
    <x v="279"/>
    <x v="0"/>
    <x v="1"/>
    <n v="2023"/>
    <s v="Q1"/>
    <n v="3375"/>
    <n v="7156"/>
    <n v="10784"/>
    <n v="455818"/>
    <n v="5.71"/>
    <n v="6"/>
    <n v="1.0900000000000001"/>
    <n v="16.940000000000001"/>
    <n v="81.52"/>
    <n v="2.4"/>
    <n v="16401"/>
    <n v="1409"/>
    <n v="12"/>
    <n v="-12700334.939999999"/>
    <n v="-52.586112415377926"/>
  </r>
  <r>
    <s v="P0942"/>
    <x v="591"/>
    <x v="2"/>
    <x v="2"/>
    <n v="2023"/>
    <s v="Q2"/>
    <n v="2969"/>
    <n v="10484"/>
    <n v="10102"/>
    <n v="168474"/>
    <n v="12.13"/>
    <n v="0"/>
    <n v="2.0299999999999998"/>
    <n v="5.67"/>
    <n v="87.95"/>
    <n v="2.5"/>
    <n v="4780"/>
    <n v="7721"/>
    <n v="14"/>
    <n v="965678.33"/>
    <n v="3.1023820287701387"/>
  </r>
  <r>
    <s v="P0943"/>
    <x v="244"/>
    <x v="0"/>
    <x v="2"/>
    <n v="2024"/>
    <s v="Q1"/>
    <n v="2647"/>
    <n v="9786"/>
    <n v="4805"/>
    <n v="321400"/>
    <n v="12.35"/>
    <n v="15"/>
    <n v="9.98"/>
    <n v="15.05"/>
    <n v="13.7"/>
    <n v="2.7"/>
    <n v="3712"/>
    <n v="5029"/>
    <n v="8"/>
    <n v="12863291.949999999"/>
    <n v="49.658428758507235"/>
  </r>
  <r>
    <s v="P0944"/>
    <x v="361"/>
    <x v="2"/>
    <x v="1"/>
    <n v="2024"/>
    <s v="Q1"/>
    <n v="3255"/>
    <n v="7401"/>
    <n v="8229"/>
    <n v="293588"/>
    <n v="5.77"/>
    <n v="5"/>
    <n v="5.41"/>
    <n v="17.440000000000001"/>
    <n v="38.46"/>
    <n v="3.2"/>
    <n v="16713"/>
    <n v="9622"/>
    <n v="3"/>
    <n v="-2988745.44"/>
    <n v="-12.406449993991346"/>
  </r>
  <r>
    <s v="P0945"/>
    <x v="592"/>
    <x v="1"/>
    <x v="3"/>
    <n v="2024"/>
    <s v="Q4"/>
    <n v="4857"/>
    <n v="6417"/>
    <n v="3061"/>
    <n v="84681"/>
    <n v="6.89"/>
    <n v="6"/>
    <n v="2.84"/>
    <n v="2.2599999999999998"/>
    <n v="27.03"/>
    <n v="3.2"/>
    <n v="9578"/>
    <n v="8802"/>
    <n v="6"/>
    <n v="16215408.74"/>
    <n v="52.026877020001272"/>
  </r>
  <r>
    <s v="P0946"/>
    <x v="512"/>
    <x v="0"/>
    <x v="0"/>
    <n v="2023"/>
    <s v="Q3"/>
    <n v="864"/>
    <n v="9929"/>
    <n v="4536"/>
    <n v="141328"/>
    <n v="4.55"/>
    <n v="11"/>
    <n v="9.9499999999999993"/>
    <n v="12.44"/>
    <n v="70.48"/>
    <n v="3"/>
    <n v="17436"/>
    <n v="8783"/>
    <n v="7"/>
    <n v="4518211.5599999996"/>
    <n v="52.668058493078632"/>
  </r>
  <r>
    <s v="P0947"/>
    <x v="302"/>
    <x v="2"/>
    <x v="1"/>
    <n v="2023"/>
    <s v="Q3"/>
    <n v="395"/>
    <n v="16216"/>
    <n v="12785"/>
    <n v="268512"/>
    <n v="13.99"/>
    <n v="8"/>
    <n v="9.67"/>
    <n v="6.58"/>
    <n v="61.22"/>
    <n v="2.2000000000000002"/>
    <n v="18497"/>
    <n v="1717"/>
    <n v="13"/>
    <n v="1086726.42"/>
    <n v="16.965997327221746"/>
  </r>
  <r>
    <s v="P0948"/>
    <x v="32"/>
    <x v="1"/>
    <x v="1"/>
    <n v="2024"/>
    <s v="Q3"/>
    <n v="2399"/>
    <n v="17295"/>
    <n v="10928"/>
    <n v="355505"/>
    <n v="1.78"/>
    <n v="10"/>
    <n v="4.41"/>
    <n v="18.11"/>
    <n v="19.59"/>
    <n v="4.7"/>
    <n v="15774"/>
    <n v="1620"/>
    <n v="11"/>
    <n v="14918909.890000001"/>
    <n v="35.957234011810598"/>
  </r>
  <r>
    <s v="P0949"/>
    <x v="111"/>
    <x v="1"/>
    <x v="2"/>
    <n v="2023"/>
    <s v="Q1"/>
    <n v="412"/>
    <n v="12638"/>
    <n v="7516"/>
    <n v="84540"/>
    <n v="14.01"/>
    <n v="9"/>
    <n v="2.6"/>
    <n v="4.74"/>
    <n v="48.68"/>
    <n v="3.4"/>
    <n v="2368"/>
    <n v="7992"/>
    <n v="5"/>
    <n v="2025719.26"/>
    <n v="38.904845073495409"/>
  </r>
  <r>
    <s v="P0950"/>
    <x v="593"/>
    <x v="2"/>
    <x v="3"/>
    <n v="2023"/>
    <s v="Q3"/>
    <n v="2493"/>
    <n v="4030"/>
    <n v="5675"/>
    <n v="207608"/>
    <n v="10.26"/>
    <n v="0"/>
    <n v="8.3800000000000008"/>
    <n v="22.31"/>
    <n v="64.84"/>
    <n v="2.6"/>
    <n v="18695"/>
    <n v="1683"/>
    <n v="14"/>
    <n v="-4308615.3099999996"/>
    <n v="-42.885491883477208"/>
  </r>
  <r>
    <s v="P0951"/>
    <x v="548"/>
    <x v="1"/>
    <x v="3"/>
    <n v="2024"/>
    <s v="Q2"/>
    <n v="2315"/>
    <n v="19844"/>
    <n v="13349"/>
    <n v="134700"/>
    <n v="7.97"/>
    <n v="17"/>
    <n v="7.16"/>
    <n v="10.77"/>
    <n v="72.319999999999993"/>
    <n v="3.6"/>
    <n v="17542"/>
    <n v="6804"/>
    <n v="11"/>
    <n v="14901214.23"/>
    <n v="32.437057058011455"/>
  </r>
  <r>
    <s v="P0952"/>
    <x v="146"/>
    <x v="1"/>
    <x v="1"/>
    <n v="2024"/>
    <s v="Q3"/>
    <n v="2238"/>
    <n v="18932"/>
    <n v="9721"/>
    <n v="390676"/>
    <n v="0.49"/>
    <n v="3"/>
    <n v="6.87"/>
    <n v="4.95"/>
    <n v="11.6"/>
    <n v="4.0999999999999996"/>
    <n v="16907"/>
    <n v="8088"/>
    <n v="6"/>
    <n v="20223537.050000001"/>
    <n v="47.731000413124285"/>
  </r>
  <r>
    <s v="P0953"/>
    <x v="369"/>
    <x v="2"/>
    <x v="2"/>
    <n v="2023"/>
    <s v="Q2"/>
    <n v="3055"/>
    <n v="7272"/>
    <n v="5178"/>
    <n v="237647"/>
    <n v="7.13"/>
    <n v="4"/>
    <n v="8.93"/>
    <n v="10.95"/>
    <n v="81.239999999999995"/>
    <n v="4.8"/>
    <n v="17754"/>
    <n v="6683"/>
    <n v="10"/>
    <n v="6159512.0499999998"/>
    <n v="27.725617303956252"/>
  </r>
  <r>
    <s v="P0954"/>
    <x v="594"/>
    <x v="1"/>
    <x v="2"/>
    <n v="2023"/>
    <s v="Q3"/>
    <n v="3331"/>
    <n v="16976"/>
    <n v="8615"/>
    <n v="439770"/>
    <n v="6.12"/>
    <n v="8"/>
    <n v="6.89"/>
    <n v="10.220000000000001"/>
    <n v="55.54"/>
    <n v="3"/>
    <n v="3244"/>
    <n v="1675"/>
    <n v="12"/>
    <n v="27410710.780000001"/>
    <n v="48.474160670716444"/>
  </r>
  <r>
    <s v="P0955"/>
    <x v="415"/>
    <x v="2"/>
    <x v="3"/>
    <n v="2024"/>
    <s v="Q1"/>
    <n v="1034"/>
    <n v="17251"/>
    <n v="14578"/>
    <n v="446087"/>
    <n v="2.42"/>
    <n v="16"/>
    <n v="2.84"/>
    <n v="10.72"/>
    <n v="74.95"/>
    <n v="1.4"/>
    <n v="3756"/>
    <n v="7035"/>
    <n v="8"/>
    <n v="2317784.2799999998"/>
    <n v="12.993860474211289"/>
  </r>
  <r>
    <s v="P0956"/>
    <x v="470"/>
    <x v="2"/>
    <x v="0"/>
    <n v="2023"/>
    <s v="Q4"/>
    <n v="1689"/>
    <n v="4464"/>
    <n v="4251"/>
    <n v="96002"/>
    <n v="9.85"/>
    <n v="2"/>
    <n v="6.94"/>
    <n v="14.64"/>
    <n v="74.64"/>
    <n v="2.8"/>
    <n v="13359"/>
    <n v="6276"/>
    <n v="3"/>
    <n v="263740.36"/>
    <n v="3.4980237930017339"/>
  </r>
  <r>
    <s v="P0957"/>
    <x v="224"/>
    <x v="1"/>
    <x v="1"/>
    <n v="2023"/>
    <s v="Q3"/>
    <n v="877"/>
    <n v="8637"/>
    <n v="13449"/>
    <n v="99812"/>
    <n v="14.57"/>
    <n v="15"/>
    <n v="3.06"/>
    <n v="13.03"/>
    <n v="25.19"/>
    <n v="2.9"/>
    <n v="6923"/>
    <n v="9338"/>
    <n v="12"/>
    <n v="-4319949.03"/>
    <n v="-57.031672754737549"/>
  </r>
  <r>
    <s v="P0958"/>
    <x v="558"/>
    <x v="1"/>
    <x v="3"/>
    <n v="2023"/>
    <s v="Q2"/>
    <n v="2780"/>
    <n v="18847"/>
    <n v="8416"/>
    <n v="465842"/>
    <n v="8.43"/>
    <n v="4"/>
    <n v="7.59"/>
    <n v="3.74"/>
    <n v="18.809999999999999"/>
    <n v="4.5999999999999996"/>
    <n v="6589"/>
    <n v="2713"/>
    <n v="2"/>
    <n v="28532334.260000002"/>
    <n v="54.456569161819168"/>
  </r>
  <r>
    <s v="P0959"/>
    <x v="473"/>
    <x v="0"/>
    <x v="3"/>
    <n v="2023"/>
    <s v="Q1"/>
    <n v="3581"/>
    <n v="18420"/>
    <n v="13528"/>
    <n v="241051"/>
    <n v="10.72"/>
    <n v="15"/>
    <n v="6.2"/>
    <n v="1.64"/>
    <n v="67.7"/>
    <n v="2.6"/>
    <n v="8108"/>
    <n v="3992"/>
    <n v="3"/>
    <n v="17277199.359999999"/>
    <n v="26.192647465920537"/>
  </r>
  <r>
    <s v="P0960"/>
    <x v="595"/>
    <x v="1"/>
    <x v="1"/>
    <n v="2024"/>
    <s v="Q2"/>
    <n v="4501"/>
    <n v="15391"/>
    <n v="11132"/>
    <n v="307906"/>
    <n v="1.03"/>
    <n v="2"/>
    <n v="0.77"/>
    <n v="18.239999999999998"/>
    <n v="22.51"/>
    <n v="4.8"/>
    <n v="11217"/>
    <n v="8753"/>
    <n v="4"/>
    <n v="18861834.760000002"/>
    <n v="27.227519939367355"/>
  </r>
  <r>
    <s v="P0961"/>
    <x v="450"/>
    <x v="1"/>
    <x v="2"/>
    <n v="2024"/>
    <s v="Q2"/>
    <n v="2985"/>
    <n v="8840"/>
    <n v="10636"/>
    <n v="158946"/>
    <n v="6.27"/>
    <n v="19"/>
    <n v="5.13"/>
    <n v="13.99"/>
    <n v="77.989999999999995"/>
    <n v="2.9"/>
    <n v="19353"/>
    <n v="6833"/>
    <n v="12"/>
    <n v="-5520019.9900000002"/>
    <n v="-20.919150768927594"/>
  </r>
  <r>
    <s v="P0962"/>
    <x v="291"/>
    <x v="2"/>
    <x v="0"/>
    <n v="2024"/>
    <s v="Q4"/>
    <n v="3926"/>
    <n v="9467"/>
    <n v="3600"/>
    <n v="116668"/>
    <n v="1.75"/>
    <n v="14"/>
    <n v="3.43"/>
    <n v="8.98"/>
    <n v="68.099999999999994"/>
    <n v="4.9000000000000004"/>
    <n v="20559"/>
    <n v="4531"/>
    <n v="3"/>
    <n v="22917165.02"/>
    <n v="61.659247413367858"/>
  </r>
  <r>
    <s v="P0963"/>
    <x v="567"/>
    <x v="1"/>
    <x v="2"/>
    <n v="2023"/>
    <s v="Q2"/>
    <n v="176"/>
    <n v="13915"/>
    <n v="13954"/>
    <n v="149003"/>
    <n v="9.19"/>
    <n v="2"/>
    <n v="3.29"/>
    <n v="20.21"/>
    <n v="77.349999999999994"/>
    <n v="1"/>
    <n v="19397"/>
    <n v="8212"/>
    <n v="12"/>
    <n v="-155887.21"/>
    <n v="-6.3652373991441538"/>
  </r>
  <r>
    <s v="P0964"/>
    <x v="596"/>
    <x v="2"/>
    <x v="2"/>
    <n v="2023"/>
    <s v="Q2"/>
    <n v="3227"/>
    <n v="13371"/>
    <n v="14535"/>
    <n v="261142"/>
    <n v="14.08"/>
    <n v="19"/>
    <n v="6.02"/>
    <n v="9.6999999999999993"/>
    <n v="33.92"/>
    <n v="4.5999999999999996"/>
    <n v="6376"/>
    <n v="1481"/>
    <n v="4"/>
    <n v="-4017379.7"/>
    <n v="-9.3106505420606371"/>
  </r>
  <r>
    <s v="P0965"/>
    <x v="597"/>
    <x v="0"/>
    <x v="1"/>
    <n v="2023"/>
    <s v="Q1"/>
    <n v="3106"/>
    <n v="13416"/>
    <n v="9133"/>
    <n v="270462"/>
    <n v="9.93"/>
    <n v="13"/>
    <n v="3.22"/>
    <n v="19.899999999999999"/>
    <n v="35.33"/>
    <n v="4.7"/>
    <n v="19335"/>
    <n v="9437"/>
    <n v="11"/>
    <n v="13032516.1"/>
    <n v="31.275464544166155"/>
  </r>
  <r>
    <s v="P0966"/>
    <x v="30"/>
    <x v="0"/>
    <x v="0"/>
    <n v="2024"/>
    <s v="Q1"/>
    <n v="653"/>
    <n v="10234"/>
    <n v="6210"/>
    <n v="355142"/>
    <n v="1.1499999999999999"/>
    <n v="15"/>
    <n v="7.77"/>
    <n v="7.64"/>
    <n v="63.7"/>
    <n v="4.8"/>
    <n v="4507"/>
    <n v="3615"/>
    <n v="12"/>
    <n v="2272522.36"/>
    <n v="34.005531811356974"/>
  </r>
  <r>
    <s v="P0967"/>
    <x v="403"/>
    <x v="2"/>
    <x v="2"/>
    <n v="2024"/>
    <s v="Q2"/>
    <n v="3499"/>
    <n v="2345"/>
    <n v="2255"/>
    <n v="244886"/>
    <n v="5.32"/>
    <n v="16"/>
    <n v="0.71"/>
    <n v="1.82"/>
    <n v="12.52"/>
    <n v="1.1000000000000001"/>
    <n v="15825"/>
    <n v="4554"/>
    <n v="12"/>
    <n v="70022.179999999993"/>
    <n v="0.85339253189001296"/>
  </r>
  <r>
    <s v="P0968"/>
    <x v="521"/>
    <x v="0"/>
    <x v="1"/>
    <n v="2024"/>
    <s v="Q3"/>
    <n v="4196"/>
    <n v="3994"/>
    <n v="7692"/>
    <n v="154601"/>
    <n v="8.26"/>
    <n v="19"/>
    <n v="6.6"/>
    <n v="23.32"/>
    <n v="68.12"/>
    <n v="1.7"/>
    <n v="4624"/>
    <n v="7869"/>
    <n v="13"/>
    <n v="-15671432.32"/>
    <n v="-93.511527539163851"/>
  </r>
  <r>
    <s v="P0969"/>
    <x v="598"/>
    <x v="1"/>
    <x v="0"/>
    <n v="2023"/>
    <s v="Q1"/>
    <n v="3583"/>
    <n v="14177"/>
    <n v="14963"/>
    <n v="488823"/>
    <n v="6.05"/>
    <n v="17"/>
    <n v="8.09"/>
    <n v="9.86"/>
    <n v="76.86"/>
    <n v="3.6"/>
    <n v="3253"/>
    <n v="6589"/>
    <n v="13"/>
    <n v="-3305070.86"/>
    <n v="-6.5065328618832847"/>
  </r>
  <r>
    <s v="P0970"/>
    <x v="599"/>
    <x v="0"/>
    <x v="3"/>
    <n v="2024"/>
    <s v="Q1"/>
    <n v="3417"/>
    <n v="19768"/>
    <n v="14935"/>
    <n v="319956"/>
    <n v="12.5"/>
    <n v="17"/>
    <n v="6.73"/>
    <n v="19.82"/>
    <n v="43.21"/>
    <n v="1.1000000000000001"/>
    <n v="19496"/>
    <n v="8484"/>
    <n v="10"/>
    <n v="16194385.18"/>
    <n v="23.974897189013866"/>
  </r>
  <r>
    <s v="P0971"/>
    <x v="579"/>
    <x v="0"/>
    <x v="0"/>
    <n v="2024"/>
    <s v="Q2"/>
    <n v="3418"/>
    <n v="13830"/>
    <n v="6608"/>
    <n v="111844"/>
    <n v="12.22"/>
    <n v="13"/>
    <n v="4.97"/>
    <n v="6.98"/>
    <n v="71.19"/>
    <n v="1.3"/>
    <n v="4775"/>
    <n v="3634"/>
    <n v="5"/>
    <n v="24572945.02"/>
    <n v="51.983195214649847"/>
  </r>
  <r>
    <s v="P0972"/>
    <x v="544"/>
    <x v="1"/>
    <x v="0"/>
    <n v="2023"/>
    <s v="Q2"/>
    <n v="3847"/>
    <n v="6679"/>
    <n v="7596"/>
    <n v="251165"/>
    <n v="9.18"/>
    <n v="17"/>
    <n v="9.5"/>
    <n v="16.16"/>
    <n v="23.97"/>
    <n v="1.9"/>
    <n v="10247"/>
    <n v="855"/>
    <n v="13"/>
    <n v="-3778880.16"/>
    <n v="-14.707182769843039"/>
  </r>
  <r>
    <s v="P0973"/>
    <x v="600"/>
    <x v="2"/>
    <x v="3"/>
    <n v="2023"/>
    <s v="Q4"/>
    <n v="1842"/>
    <n v="8110"/>
    <n v="5596"/>
    <n v="445395"/>
    <n v="5.6"/>
    <n v="14"/>
    <n v="3"/>
    <n v="21.83"/>
    <n v="35.78"/>
    <n v="3"/>
    <n v="13943"/>
    <n v="9976"/>
    <n v="10"/>
    <n v="4185371.17"/>
    <n v="28.017120523850263"/>
  </r>
  <r>
    <s v="P0974"/>
    <x v="601"/>
    <x v="0"/>
    <x v="0"/>
    <n v="2024"/>
    <s v="Q1"/>
    <n v="2911"/>
    <n v="7930"/>
    <n v="5893"/>
    <n v="224870"/>
    <n v="3.83"/>
    <n v="14"/>
    <n v="0.19"/>
    <n v="1.04"/>
    <n v="87.94"/>
    <n v="3.2"/>
    <n v="19933"/>
    <n v="2625"/>
    <n v="12"/>
    <n v="5704835.96"/>
    <n v="24.713130825676231"/>
  </r>
  <r>
    <s v="P0975"/>
    <x v="602"/>
    <x v="0"/>
    <x v="3"/>
    <n v="2023"/>
    <s v="Q1"/>
    <n v="3526"/>
    <n v="8654"/>
    <n v="11088"/>
    <n v="124601"/>
    <n v="1.59"/>
    <n v="5"/>
    <n v="4.32"/>
    <n v="20.77"/>
    <n v="88.91"/>
    <n v="1.1000000000000001"/>
    <n v="2324"/>
    <n v="927"/>
    <n v="4"/>
    <n v="-8706905.7699999996"/>
    <n v="-28.534130656861677"/>
  </r>
  <r>
    <s v="P0976"/>
    <x v="603"/>
    <x v="1"/>
    <x v="2"/>
    <n v="2023"/>
    <s v="Q4"/>
    <n v="3467"/>
    <n v="15328"/>
    <n v="2125"/>
    <n v="451491"/>
    <n v="5.32"/>
    <n v="14"/>
    <n v="0.33"/>
    <n v="14.28"/>
    <n v="51.01"/>
    <n v="1.7"/>
    <n v="15380"/>
    <n v="9181"/>
    <n v="13"/>
    <n v="45323295.719999999"/>
    <n v="85.286864655297506"/>
  </r>
  <r>
    <s v="P0977"/>
    <x v="604"/>
    <x v="2"/>
    <x v="0"/>
    <n v="2024"/>
    <s v="Q3"/>
    <n v="1695"/>
    <n v="11645"/>
    <n v="5776"/>
    <n v="493790"/>
    <n v="6.2"/>
    <n v="17"/>
    <n v="9.5399999999999991"/>
    <n v="15.19"/>
    <n v="84.74"/>
    <n v="3"/>
    <n v="12541"/>
    <n v="4848"/>
    <n v="2"/>
    <n v="9454149.8100000005"/>
    <n v="47.897548341990372"/>
  </r>
  <r>
    <s v="P0978"/>
    <x v="131"/>
    <x v="1"/>
    <x v="3"/>
    <n v="2024"/>
    <s v="Q3"/>
    <n v="1255"/>
    <n v="7988"/>
    <n v="10205"/>
    <n v="360001"/>
    <n v="10.14"/>
    <n v="3"/>
    <n v="2.1"/>
    <n v="13.08"/>
    <n v="51.82"/>
    <n v="3.4"/>
    <n v="20914"/>
    <n v="2433"/>
    <n v="12"/>
    <n v="-3142349.08"/>
    <n v="-31.345315582936156"/>
  </r>
  <r>
    <s v="P0979"/>
    <x v="605"/>
    <x v="1"/>
    <x v="2"/>
    <n v="2024"/>
    <s v="Q1"/>
    <n v="3080"/>
    <n v="5350"/>
    <n v="1959"/>
    <n v="437699"/>
    <n v="9.8699999999999992"/>
    <n v="7"/>
    <n v="7.89"/>
    <n v="21.86"/>
    <n v="33.33"/>
    <n v="1.6"/>
    <n v="2581"/>
    <n v="5046"/>
    <n v="6"/>
    <n v="10006559.140000001"/>
    <n v="60.726782012380141"/>
  </r>
  <r>
    <s v="P0980"/>
    <x v="338"/>
    <x v="0"/>
    <x v="2"/>
    <n v="2023"/>
    <s v="Q2"/>
    <n v="2922"/>
    <n v="18573"/>
    <n v="5450"/>
    <n v="332844"/>
    <n v="1.05"/>
    <n v="14"/>
    <n v="7.75"/>
    <n v="1.0900000000000001"/>
    <n v="31.35"/>
    <n v="2.6"/>
    <n v="13017"/>
    <n v="8402"/>
    <n v="11"/>
    <n v="38012560.909999996"/>
    <n v="70.043019307832893"/>
  </r>
  <r>
    <s v="P0981"/>
    <x v="606"/>
    <x v="0"/>
    <x v="2"/>
    <n v="2024"/>
    <s v="Q4"/>
    <n v="3122"/>
    <n v="15064"/>
    <n v="13491"/>
    <n v="307927"/>
    <n v="5.93"/>
    <n v="2"/>
    <n v="2.1800000000000002"/>
    <n v="6.53"/>
    <n v="84.36"/>
    <n v="4.5999999999999996"/>
    <n v="18376"/>
    <n v="8146"/>
    <n v="11"/>
    <n v="4602972.47"/>
    <n v="9.7873511837428726"/>
  </r>
  <r>
    <s v="P0982"/>
    <x v="91"/>
    <x v="0"/>
    <x v="0"/>
    <n v="2024"/>
    <s v="Q3"/>
    <n v="1904"/>
    <n v="6578"/>
    <n v="5787"/>
    <n v="482680"/>
    <n v="2.73"/>
    <n v="14"/>
    <n v="6.21"/>
    <n v="21.89"/>
    <n v="23.8"/>
    <n v="5"/>
    <n v="6264"/>
    <n v="9084"/>
    <n v="3"/>
    <n v="1023362.11"/>
    <n v="8.170874122680388"/>
  </r>
  <r>
    <s v="P0983"/>
    <x v="607"/>
    <x v="0"/>
    <x v="2"/>
    <n v="2024"/>
    <s v="Q2"/>
    <n v="4071"/>
    <n v="13668"/>
    <n v="5497"/>
    <n v="223423"/>
    <n v="2.35"/>
    <n v="12"/>
    <n v="0.48"/>
    <n v="18.809999999999999"/>
    <n v="56.37"/>
    <n v="4.9000000000000004"/>
    <n v="9766"/>
    <n v="7281"/>
    <n v="5"/>
    <n v="33040699.190000001"/>
    <n v="59.380405164921989"/>
  </r>
  <r>
    <s v="P0984"/>
    <x v="391"/>
    <x v="1"/>
    <x v="2"/>
    <n v="2024"/>
    <s v="Q2"/>
    <n v="4712"/>
    <n v="6948"/>
    <n v="14918"/>
    <n v="143330"/>
    <n v="12.41"/>
    <n v="8"/>
    <n v="4.84"/>
    <n v="0.44"/>
    <n v="54.44"/>
    <n v="4.5"/>
    <n v="12683"/>
    <n v="3514"/>
    <n v="3"/>
    <n v="-37697970.439999998"/>
    <n v="-115.14706642015926"/>
  </r>
  <r>
    <s v="P0985"/>
    <x v="476"/>
    <x v="2"/>
    <x v="1"/>
    <n v="2024"/>
    <s v="Q3"/>
    <n v="2758"/>
    <n v="19063"/>
    <n v="1140"/>
    <n v="275391"/>
    <n v="0.63"/>
    <n v="1"/>
    <n v="0.15"/>
    <n v="12.93"/>
    <n v="69.17"/>
    <n v="2.6"/>
    <n v="18212"/>
    <n v="9601"/>
    <n v="3"/>
    <n v="49156230.07"/>
    <n v="93.496005915578507"/>
  </r>
  <r>
    <s v="P0986"/>
    <x v="558"/>
    <x v="1"/>
    <x v="2"/>
    <n v="2023"/>
    <s v="Q2"/>
    <n v="3552"/>
    <n v="10574"/>
    <n v="4628"/>
    <n v="263606"/>
    <n v="6.29"/>
    <n v="7"/>
    <n v="9.2100000000000009"/>
    <n v="13.24"/>
    <n v="49.94"/>
    <n v="3.7"/>
    <n v="14377"/>
    <n v="6557"/>
    <n v="14"/>
    <n v="20856572.760000002"/>
    <n v="55.53038463799529"/>
  </r>
  <r>
    <s v="P0987"/>
    <x v="543"/>
    <x v="2"/>
    <x v="1"/>
    <n v="2024"/>
    <s v="Q1"/>
    <n v="1382"/>
    <n v="7906"/>
    <n v="2768"/>
    <n v="457085"/>
    <n v="2.52"/>
    <n v="19"/>
    <n v="9.76"/>
    <n v="10.02"/>
    <n v="31.78"/>
    <n v="2.7"/>
    <n v="11482"/>
    <n v="6849"/>
    <n v="4"/>
    <n v="6643620.9800000004"/>
    <n v="60.805098291319538"/>
  </r>
  <r>
    <s v="P0988"/>
    <x v="212"/>
    <x v="1"/>
    <x v="0"/>
    <n v="2024"/>
    <s v="Q2"/>
    <n v="251"/>
    <n v="10300"/>
    <n v="1503"/>
    <n v="241387"/>
    <n v="13.19"/>
    <n v="16"/>
    <n v="2.2200000000000002"/>
    <n v="7.43"/>
    <n v="23.55"/>
    <n v="3.6"/>
    <n v="10468"/>
    <n v="396"/>
    <n v="6"/>
    <n v="1966652.57"/>
    <n v="76.070574788225741"/>
  </r>
  <r>
    <s v="P0989"/>
    <x v="474"/>
    <x v="0"/>
    <x v="1"/>
    <n v="2023"/>
    <s v="Q4"/>
    <n v="3557"/>
    <n v="15583"/>
    <n v="13405"/>
    <n v="291133"/>
    <n v="8.36"/>
    <n v="12"/>
    <n v="2.08"/>
    <n v="17.04"/>
    <n v="59.67"/>
    <n v="2.2000000000000002"/>
    <n v="16139"/>
    <n v="9921"/>
    <n v="5"/>
    <n v="7455995.96"/>
    <n v="13.451500378025974"/>
  </r>
  <r>
    <s v="P0990"/>
    <x v="608"/>
    <x v="1"/>
    <x v="2"/>
    <n v="2023"/>
    <s v="Q4"/>
    <n v="4262"/>
    <n v="3138"/>
    <n v="6282"/>
    <n v="464170"/>
    <n v="3.47"/>
    <n v="0"/>
    <n v="7.54"/>
    <n v="5.19"/>
    <n v="67.52"/>
    <n v="3.4"/>
    <n v="6174"/>
    <n v="668"/>
    <n v="3"/>
    <n v="-13863903.189999999"/>
    <n v="-103.66189230931657"/>
  </r>
  <r>
    <s v="P0991"/>
    <x v="44"/>
    <x v="2"/>
    <x v="3"/>
    <n v="2024"/>
    <s v="Q3"/>
    <n v="624"/>
    <n v="11840"/>
    <n v="11421"/>
    <n v="212627"/>
    <n v="7.54"/>
    <n v="1"/>
    <n v="2.5299999999999998"/>
    <n v="19.97"/>
    <n v="55.56"/>
    <n v="3.1"/>
    <n v="5816"/>
    <n v="5383"/>
    <n v="12"/>
    <n v="48809.03"/>
    <n v="0.66063850809944558"/>
  </r>
  <r>
    <s v="P0992"/>
    <x v="609"/>
    <x v="1"/>
    <x v="1"/>
    <n v="2024"/>
    <s v="Q4"/>
    <n v="586"/>
    <n v="2882"/>
    <n v="7176"/>
    <n v="375497"/>
    <n v="10.97"/>
    <n v="14"/>
    <n v="8.9499999999999993"/>
    <n v="20.079999999999998"/>
    <n v="69.069999999999993"/>
    <n v="1.1000000000000001"/>
    <n v="16814"/>
    <n v="7764"/>
    <n v="11"/>
    <n v="-2891801.08"/>
    <n v="-171.22880394492827"/>
  </r>
  <r>
    <s v="P0993"/>
    <x v="557"/>
    <x v="1"/>
    <x v="0"/>
    <n v="2024"/>
    <s v="Q1"/>
    <n v="1675"/>
    <n v="2903"/>
    <n v="2600"/>
    <n v="488242"/>
    <n v="14.37"/>
    <n v="11"/>
    <n v="5.74"/>
    <n v="10.38"/>
    <n v="21.32"/>
    <n v="4.2"/>
    <n v="11195"/>
    <n v="7611"/>
    <n v="3"/>
    <n v="19272.62"/>
    <n v="0.396350044472779"/>
  </r>
  <r>
    <s v="P0994"/>
    <x v="610"/>
    <x v="2"/>
    <x v="2"/>
    <n v="2023"/>
    <s v="Q1"/>
    <n v="2172"/>
    <n v="10511"/>
    <n v="6263"/>
    <n v="412916"/>
    <n v="3.31"/>
    <n v="13"/>
    <n v="3.51"/>
    <n v="7.09"/>
    <n v="80.599999999999994"/>
    <n v="1"/>
    <n v="17314"/>
    <n v="5565"/>
    <n v="7"/>
    <n v="8813732.9100000001"/>
    <n v="38.606108649134214"/>
  </r>
  <r>
    <s v="P0995"/>
    <x v="514"/>
    <x v="0"/>
    <x v="3"/>
    <n v="2024"/>
    <s v="Q4"/>
    <n v="435"/>
    <n v="4792"/>
    <n v="14660"/>
    <n v="228048"/>
    <n v="13.29"/>
    <n v="1"/>
    <n v="8.33"/>
    <n v="7.1"/>
    <n v="56.59"/>
    <n v="2.2000000000000002"/>
    <n v="9879"/>
    <n v="8363"/>
    <n v="8"/>
    <n v="-4520635.0999999996"/>
    <n v="-216.86695738107571"/>
  </r>
  <r>
    <s v="P0996"/>
    <x v="303"/>
    <x v="2"/>
    <x v="3"/>
    <n v="2024"/>
    <s v="Q2"/>
    <n v="3331"/>
    <n v="10511"/>
    <n v="5712"/>
    <n v="403646"/>
    <n v="14.01"/>
    <n v="17"/>
    <n v="4.93"/>
    <n v="12.06"/>
    <n v="20.149999999999999"/>
    <n v="1"/>
    <n v="2714"/>
    <n v="4482"/>
    <n v="13"/>
    <n v="15581810.939999999"/>
    <n v="44.504022019104745"/>
  </r>
  <r>
    <s v="P0997"/>
    <x v="369"/>
    <x v="0"/>
    <x v="3"/>
    <n v="2023"/>
    <s v="Q2"/>
    <n v="524"/>
    <n v="1919"/>
    <n v="5448"/>
    <n v="426087"/>
    <n v="13.75"/>
    <n v="6"/>
    <n v="9.1199999999999992"/>
    <n v="17.989999999999998"/>
    <n v="46.95"/>
    <n v="2.5"/>
    <n v="13138"/>
    <n v="165"/>
    <n v="11"/>
    <n v="-2275300.9900000002"/>
    <n v="-226.27292661970097"/>
  </r>
  <r>
    <s v="P0998"/>
    <x v="611"/>
    <x v="0"/>
    <x v="1"/>
    <n v="2024"/>
    <s v="Q1"/>
    <n v="467"/>
    <n v="13911"/>
    <n v="1655"/>
    <n v="421994"/>
    <n v="9.5299999999999994"/>
    <n v="5"/>
    <n v="9.2799999999999994"/>
    <n v="8.9700000000000006"/>
    <n v="77.58"/>
    <n v="1.3"/>
    <n v="12213"/>
    <n v="979"/>
    <n v="7"/>
    <n v="5301549.03"/>
    <n v="81.607025974391817"/>
  </r>
  <r>
    <s v="P0999"/>
    <x v="66"/>
    <x v="0"/>
    <x v="0"/>
    <n v="2023"/>
    <s v="Q3"/>
    <n v="3650"/>
    <n v="6017"/>
    <n v="10804"/>
    <n v="95095"/>
    <n v="9.4499999999999993"/>
    <n v="13"/>
    <n v="1.65"/>
    <n v="15.25"/>
    <n v="81.8"/>
    <n v="4.7"/>
    <n v="17477"/>
    <n v="8359"/>
    <n v="8"/>
    <n v="-17567660.25"/>
    <n v="-79.990985586500358"/>
  </r>
  <r>
    <s v="P1000"/>
    <x v="612"/>
    <x v="2"/>
    <x v="0"/>
    <n v="2024"/>
    <s v="Q3"/>
    <n v="1004"/>
    <n v="16922"/>
    <n v="3666"/>
    <n v="195342"/>
    <n v="6.05"/>
    <n v="7"/>
    <n v="0.02"/>
    <n v="9.56"/>
    <n v="31.17"/>
    <n v="2.7"/>
    <n v="13571"/>
    <n v="9508"/>
    <n v="2"/>
    <n v="13113672.439999999"/>
    <n v="77.186069808933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Model_567"/>
    <x v="0"/>
    <x v="0"/>
    <n v="2024"/>
    <s v="Q3"/>
    <n v="910"/>
    <n v="6471"/>
    <n v="10500"/>
    <n v="487818"/>
    <n v="4.9800000000000004"/>
    <n v="9"/>
    <n v="3.97"/>
    <n v="24.6"/>
    <n v="34.36"/>
    <n v="3.8"/>
    <n v="2476"/>
    <n v="8822"/>
    <n v="8"/>
    <n v="-4154232.6"/>
    <n v="-70.546913448165185"/>
    <n v="5888610"/>
  </r>
  <r>
    <s v="P0002"/>
    <s v="Model_264"/>
    <x v="1"/>
    <x v="1"/>
    <n v="2023"/>
    <s v="Q3"/>
    <n v="3822"/>
    <n v="14990"/>
    <n v="8670"/>
    <n v="426742"/>
    <n v="10.4"/>
    <n v="5"/>
    <n v="4.74"/>
    <n v="22.65"/>
    <n v="11.99"/>
    <n v="1.4"/>
    <n v="20164"/>
    <n v="9362"/>
    <n v="5"/>
    <n v="23728275.350000001"/>
    <n v="41.416544135999963"/>
    <n v="57291780"/>
  </r>
  <r>
    <s v="P0003"/>
    <s v="Model_677"/>
    <x v="0"/>
    <x v="2"/>
    <n v="2024"/>
    <s v="Q3"/>
    <n v="3142"/>
    <n v="19089"/>
    <n v="6493"/>
    <n v="361478"/>
    <n v="11.57"/>
    <n v="17"/>
    <n v="4.51"/>
    <n v="1.39"/>
    <n v="10.31"/>
    <n v="1.1000000000000001"/>
    <n v="7397"/>
    <n v="3236"/>
    <n v="12"/>
    <n v="39215152.609999999"/>
    <n v="65.382955911001361"/>
    <n v="59977638"/>
  </r>
  <r>
    <s v="P0004"/>
    <s v="Model_344"/>
    <x v="0"/>
    <x v="2"/>
    <n v="2023"/>
    <s v="Q2"/>
    <n v="516"/>
    <n v="14451"/>
    <n v="1567"/>
    <n v="380792"/>
    <n v="9.82"/>
    <n v="17"/>
    <n v="8.69"/>
    <n v="20.83"/>
    <n v="28.18"/>
    <n v="3.2"/>
    <n v="17457"/>
    <n v="9254"/>
    <n v="9"/>
    <n v="6267331.1699999999"/>
    <n v="84.049481970347259"/>
    <n v="7456716"/>
  </r>
  <r>
    <s v="P0005"/>
    <s v="Model_433"/>
    <x v="2"/>
    <x v="0"/>
    <n v="2024"/>
    <s v="Q1"/>
    <n v="4476"/>
    <n v="13812"/>
    <n v="2844"/>
    <n v="72054"/>
    <n v="2.27"/>
    <n v="4"/>
    <n v="5.3"/>
    <n v="11.45"/>
    <n v="42.51"/>
    <n v="3.8"/>
    <n v="16859"/>
    <n v="6718"/>
    <n v="10"/>
    <n v="49020702.549999997"/>
    <n v="79.292641085176214"/>
    <n v="61822512"/>
  </r>
  <r>
    <s v="P0006"/>
    <s v="Model_349"/>
    <x v="2"/>
    <x v="3"/>
    <n v="2024"/>
    <s v="Q1"/>
    <n v="3494"/>
    <n v="3490"/>
    <n v="11131"/>
    <n v="120028"/>
    <n v="13.14"/>
    <n v="6"/>
    <n v="4.68"/>
    <n v="6.47"/>
    <n v="78.099999999999994"/>
    <n v="4.2"/>
    <n v="14740"/>
    <n v="5365"/>
    <n v="13"/>
    <n v="-26817688.469999999"/>
    <n v="-219.92419645302709"/>
    <n v="12194060"/>
  </r>
  <r>
    <s v="P0007"/>
    <s v="Model_740"/>
    <x v="2"/>
    <x v="2"/>
    <n v="2024"/>
    <s v="Q4"/>
    <n v="3221"/>
    <n v="6799"/>
    <n v="12021"/>
    <n v="72207"/>
    <n v="8.09"/>
    <n v="1"/>
    <n v="4.1100000000000003"/>
    <n v="21.97"/>
    <n v="73.88"/>
    <n v="2.4"/>
    <n v="1607"/>
    <n v="7189"/>
    <n v="10"/>
    <n v="-16892290.969999999"/>
    <n v="-77.135231549428411"/>
    <n v="21899579"/>
  </r>
  <r>
    <s v="P0008"/>
    <s v="Model_777"/>
    <x v="1"/>
    <x v="1"/>
    <n v="2023"/>
    <s v="Q1"/>
    <n v="2969"/>
    <n v="14497"/>
    <n v="2349"/>
    <n v="280893"/>
    <n v="4.24"/>
    <n v="10"/>
    <n v="8.18"/>
    <n v="4.92"/>
    <n v="31.37"/>
    <n v="1"/>
    <n v="17024"/>
    <n v="8065"/>
    <n v="4"/>
    <n v="35786514.079999998"/>
    <n v="83.144027870901525"/>
    <n v="43041593"/>
  </r>
  <r>
    <s v="P0009"/>
    <s v="Model_910"/>
    <x v="2"/>
    <x v="3"/>
    <n v="2024"/>
    <s v="Q1"/>
    <n v="180"/>
    <n v="14972"/>
    <n v="10756"/>
    <n v="131554"/>
    <n v="6.38"/>
    <n v="12"/>
    <n v="8.9499999999999993"/>
    <n v="23.68"/>
    <n v="29.56"/>
    <n v="2.9"/>
    <n v="3126"/>
    <n v="9697"/>
    <n v="6"/>
    <n v="627302.31999999995"/>
    <n v="23.276869415501526"/>
    <n v="2694960"/>
  </r>
  <r>
    <s v="P0010"/>
    <s v="Model_504"/>
    <x v="2"/>
    <x v="1"/>
    <n v="2024"/>
    <s v="Q1"/>
    <n v="1735"/>
    <n v="5880"/>
    <n v="6940"/>
    <n v="202458"/>
    <n v="0.56000000000000005"/>
    <n v="4"/>
    <n v="8.5299999999999994"/>
    <n v="5.14"/>
    <n v="28.19"/>
    <n v="1.1000000000000001"/>
    <n v="7729"/>
    <n v="8808"/>
    <n v="7"/>
    <n v="-2041563.14"/>
    <n v="-20.011793409006255"/>
    <n v="10201800"/>
  </r>
  <r>
    <s v="P0011"/>
    <s v="Model_189"/>
    <x v="1"/>
    <x v="1"/>
    <n v="2024"/>
    <s v="Q2"/>
    <n v="819"/>
    <n v="6257"/>
    <n v="11637"/>
    <n v="133276"/>
    <n v="1.92"/>
    <n v="5"/>
    <n v="6.74"/>
    <n v="15.34"/>
    <n v="37.14"/>
    <n v="1.4"/>
    <n v="8377"/>
    <n v="6669"/>
    <n v="7"/>
    <n v="-4539511.34"/>
    <n v="-88.5847672828654"/>
    <n v="5124483"/>
  </r>
  <r>
    <s v="P0012"/>
    <s v="Model_789"/>
    <x v="2"/>
    <x v="0"/>
    <n v="2023"/>
    <s v="Q1"/>
    <n v="2441"/>
    <n v="11895"/>
    <n v="4516"/>
    <n v="364925"/>
    <n v="11.48"/>
    <n v="13"/>
    <n v="1.37"/>
    <n v="5.58"/>
    <n v="49.86"/>
    <n v="2.2999999999999998"/>
    <n v="2374"/>
    <n v="1591"/>
    <n v="11"/>
    <n v="17647208.420000002"/>
    <n v="60.777633943323906"/>
    <n v="29035695"/>
  </r>
  <r>
    <s v="P0013"/>
    <s v="Model_372"/>
    <x v="2"/>
    <x v="1"/>
    <n v="2024"/>
    <s v="Q2"/>
    <n v="2483"/>
    <n v="17741"/>
    <n v="13597"/>
    <n v="233852"/>
    <n v="0"/>
    <n v="11"/>
    <n v="2.77"/>
    <n v="13.64"/>
    <n v="45.09"/>
    <n v="2.7"/>
    <n v="7043"/>
    <n v="5313"/>
    <n v="9"/>
    <n v="10055686.359999999"/>
    <n v="22.827423900935695"/>
    <n v="44050903"/>
  </r>
  <r>
    <s v="P0014"/>
    <s v="Model_314"/>
    <x v="1"/>
    <x v="1"/>
    <n v="2023"/>
    <s v="Q4"/>
    <n v="1234"/>
    <n v="7088"/>
    <n v="14294"/>
    <n v="242512"/>
    <n v="6.25"/>
    <n v="3"/>
    <n v="0.46"/>
    <n v="17.100000000000001"/>
    <n v="27.46"/>
    <n v="2.1"/>
    <n v="5309"/>
    <n v="4328"/>
    <n v="7"/>
    <n v="-9134733.0999999996"/>
    <n v="-104.43762667791066"/>
    <n v="8746592"/>
  </r>
  <r>
    <s v="P0015"/>
    <s v="Model_972"/>
    <x v="1"/>
    <x v="1"/>
    <n v="2024"/>
    <s v="Q1"/>
    <n v="4605"/>
    <n v="18850"/>
    <n v="5281"/>
    <n v="487415"/>
    <n v="7.84"/>
    <n v="5"/>
    <n v="9.31"/>
    <n v="4.76"/>
    <n v="20.440000000000001"/>
    <n v="3.3"/>
    <n v="12103"/>
    <n v="7608"/>
    <n v="7"/>
    <n v="61997825.240000002"/>
    <n v="71.422568871915843"/>
    <n v="86804250"/>
  </r>
  <r>
    <s v="P0016"/>
    <s v="Model_585"/>
    <x v="1"/>
    <x v="3"/>
    <n v="2023"/>
    <s v="Q4"/>
    <n v="3435"/>
    <n v="6444"/>
    <n v="14685"/>
    <n v="373179"/>
    <n v="0.82"/>
    <n v="9"/>
    <n v="6.61"/>
    <n v="13.02"/>
    <n v="11.01"/>
    <n v="1.2"/>
    <n v="3607"/>
    <n v="4509"/>
    <n v="5"/>
    <n v="-28681027.02"/>
    <n v="-129.57237686321389"/>
    <n v="22135140"/>
  </r>
  <r>
    <s v="P0017"/>
    <s v="Model_844"/>
    <x v="2"/>
    <x v="2"/>
    <n v="2024"/>
    <s v="Q1"/>
    <n v="4167"/>
    <n v="14895"/>
    <n v="8698"/>
    <n v="58210"/>
    <n v="14.6"/>
    <n v="17"/>
    <n v="7.46"/>
    <n v="11.73"/>
    <n v="22.32"/>
    <n v="1.6"/>
    <n v="13245"/>
    <n v="690"/>
    <n v="8"/>
    <n v="25764677.27"/>
    <n v="41.510761346544442"/>
    <n v="62067465"/>
  </r>
  <r>
    <s v="P0018"/>
    <s v="Model_757"/>
    <x v="2"/>
    <x v="0"/>
    <n v="2024"/>
    <s v="Q4"/>
    <n v="4893"/>
    <n v="18572"/>
    <n v="7348"/>
    <n v="94363"/>
    <n v="3.39"/>
    <n v="14"/>
    <n v="3.12"/>
    <n v="1.78"/>
    <n v="66.430000000000007"/>
    <n v="3.8"/>
    <n v="10965"/>
    <n v="7479"/>
    <n v="9"/>
    <n v="54824667.219999999"/>
    <n v="60.331220819925022"/>
    <n v="90872796"/>
  </r>
  <r>
    <s v="P0019"/>
    <s v="Model_208"/>
    <x v="0"/>
    <x v="1"/>
    <n v="2024"/>
    <s v="Q1"/>
    <n v="2954"/>
    <n v="5743"/>
    <n v="3093"/>
    <n v="292247"/>
    <n v="4.5599999999999996"/>
    <n v="7"/>
    <n v="8.4600000000000009"/>
    <n v="20.46"/>
    <n v="29.49"/>
    <n v="1.6"/>
    <n v="2059"/>
    <n v="9835"/>
    <n v="4"/>
    <n v="7535832.54"/>
    <n v="44.420345465457878"/>
    <n v="16964822"/>
  </r>
  <r>
    <s v="P0020"/>
    <s v="Model_249"/>
    <x v="1"/>
    <x v="0"/>
    <n v="2024"/>
    <s v="Q3"/>
    <n v="524"/>
    <n v="11416"/>
    <n v="5637"/>
    <n v="128279"/>
    <n v="4.5599999999999996"/>
    <n v="8"/>
    <n v="2.6"/>
    <n v="8.39"/>
    <n v="47.49"/>
    <n v="3.6"/>
    <n v="9808"/>
    <n v="3156"/>
    <n v="8"/>
    <n v="2899908.61"/>
    <n v="48.477371554320435"/>
    <n v="5981984"/>
  </r>
  <r>
    <s v="P0021"/>
    <s v="Model_819"/>
    <x v="0"/>
    <x v="3"/>
    <n v="2023"/>
    <s v="Q1"/>
    <n v="1132"/>
    <n v="11484"/>
    <n v="8558"/>
    <n v="241420"/>
    <n v="3.46"/>
    <n v="4"/>
    <n v="0.02"/>
    <n v="14.36"/>
    <n v="57.3"/>
    <n v="1.2"/>
    <n v="16750"/>
    <n v="2306"/>
    <n v="4"/>
    <n v="3070797.64"/>
    <n v="23.621723817928277"/>
    <n v="12999888"/>
  </r>
  <r>
    <s v="P0022"/>
    <s v="Model_308"/>
    <x v="0"/>
    <x v="3"/>
    <n v="2024"/>
    <s v="Q1"/>
    <n v="2608"/>
    <n v="3259"/>
    <n v="11700"/>
    <n v="236356"/>
    <n v="0.02"/>
    <n v="9"/>
    <n v="3.76"/>
    <n v="12.87"/>
    <n v="80.95"/>
    <n v="2.6"/>
    <n v="14755"/>
    <n v="2808"/>
    <n v="9"/>
    <n v="-22250496.870000001"/>
    <n v="-261.78681299261888"/>
    <n v="8499472"/>
  </r>
  <r>
    <s v="P0023"/>
    <s v="Model_409"/>
    <x v="2"/>
    <x v="0"/>
    <n v="2023"/>
    <s v="Q2"/>
    <n v="2097"/>
    <n v="10681"/>
    <n v="7593"/>
    <n v="253196"/>
    <n v="10.94"/>
    <n v="19"/>
    <n v="5.71"/>
    <n v="12.83"/>
    <n v="81.11"/>
    <n v="1.7"/>
    <n v="4546"/>
    <n v="6081"/>
    <n v="2"/>
    <n v="6222327.1699999999"/>
    <n v="27.780656018510889"/>
    <n v="22398057"/>
  </r>
  <r>
    <s v="P0024"/>
    <s v="Model_779"/>
    <x v="0"/>
    <x v="0"/>
    <n v="2023"/>
    <s v="Q3"/>
    <n v="2797"/>
    <n v="3982"/>
    <n v="8438"/>
    <n v="249919"/>
    <n v="14.5"/>
    <n v="5"/>
    <n v="4.79"/>
    <n v="2.68"/>
    <n v="69.66"/>
    <n v="1.4"/>
    <n v="15356"/>
    <n v="5822"/>
    <n v="2"/>
    <n v="-12713353.68"/>
    <n v="-114.14750072142661"/>
    <n v="11137654"/>
  </r>
  <r>
    <s v="P0025"/>
    <s v="Model_343"/>
    <x v="0"/>
    <x v="1"/>
    <n v="2023"/>
    <s v="Q3"/>
    <n v="1025"/>
    <n v="2451"/>
    <n v="8793"/>
    <n v="465648"/>
    <n v="3.36"/>
    <n v="15"/>
    <n v="8.6199999999999992"/>
    <n v="10.59"/>
    <n v="12.81"/>
    <n v="3.3"/>
    <n v="17927"/>
    <n v="847"/>
    <n v="7"/>
    <n v="-6966208.5899999999"/>
    <n v="-277.28686509239628"/>
    <n v="2512275"/>
  </r>
  <r>
    <s v="P0026"/>
    <s v="Model_179"/>
    <x v="0"/>
    <x v="0"/>
    <n v="2023"/>
    <s v="Q4"/>
    <n v="1856"/>
    <n v="3579"/>
    <n v="6807"/>
    <n v="307324"/>
    <n v="9.9499999999999993"/>
    <n v="2"/>
    <n v="1.05"/>
    <n v="11.31"/>
    <n v="56.01"/>
    <n v="4.7"/>
    <n v="2008"/>
    <n v="9092"/>
    <n v="11"/>
    <n v="-6298503.3099999996"/>
    <n v="-94.819506719031509"/>
    <n v="6642624"/>
  </r>
  <r>
    <s v="P0027"/>
    <s v="Model_887"/>
    <x v="1"/>
    <x v="2"/>
    <n v="2023"/>
    <s v="Q1"/>
    <n v="239"/>
    <n v="4217"/>
    <n v="6342"/>
    <n v="245161"/>
    <n v="11.13"/>
    <n v="9"/>
    <n v="5.54"/>
    <n v="18.34"/>
    <n v="72.930000000000007"/>
    <n v="1.2"/>
    <n v="7607"/>
    <n v="6653"/>
    <n v="10"/>
    <n v="-753054.34"/>
    <n v="-74.717926940467109"/>
    <n v="1007863"/>
  </r>
  <r>
    <s v="P0028"/>
    <s v="Model_698"/>
    <x v="1"/>
    <x v="0"/>
    <n v="2023"/>
    <s v="Q2"/>
    <n v="2784"/>
    <n v="11192"/>
    <n v="9892"/>
    <n v="498614"/>
    <n v="12.73"/>
    <n v="10"/>
    <n v="5.13"/>
    <n v="21"/>
    <n v="11.38"/>
    <n v="2.7"/>
    <n v="14976"/>
    <n v="1597"/>
    <n v="13"/>
    <n v="3120565"/>
    <n v="10.015123307493859"/>
    <n v="31158528"/>
  </r>
  <r>
    <s v="P0029"/>
    <s v="Model_358"/>
    <x v="2"/>
    <x v="1"/>
    <n v="2023"/>
    <s v="Q1"/>
    <n v="3055"/>
    <n v="8811"/>
    <n v="12076"/>
    <n v="280363"/>
    <n v="6.34"/>
    <n v="10"/>
    <n v="2.81"/>
    <n v="13.62"/>
    <n v="53.97"/>
    <n v="3.8"/>
    <n v="4939"/>
    <n v="1479"/>
    <n v="5"/>
    <n v="-10254951.619999999"/>
    <n v="-38.097563360484706"/>
    <n v="26917605"/>
  </r>
  <r>
    <s v="P0030"/>
    <s v="Model_793"/>
    <x v="0"/>
    <x v="2"/>
    <n v="2023"/>
    <s v="Q4"/>
    <n v="4708"/>
    <n v="19949"/>
    <n v="7156"/>
    <n v="184393"/>
    <n v="4.54"/>
    <n v="16"/>
    <n v="8.2200000000000006"/>
    <n v="2.17"/>
    <n v="78.62"/>
    <n v="2.9"/>
    <n v="14636"/>
    <n v="8971"/>
    <n v="7"/>
    <n v="60045048.829999998"/>
    <n v="63.932195354313222"/>
    <n v="93919892"/>
  </r>
  <r>
    <s v="P0031"/>
    <s v="Model_341"/>
    <x v="2"/>
    <x v="0"/>
    <n v="2023"/>
    <s v="Q4"/>
    <n v="1949"/>
    <n v="2268"/>
    <n v="11001"/>
    <n v="393492"/>
    <n v="4.88"/>
    <n v="3"/>
    <n v="7.53"/>
    <n v="5.92"/>
    <n v="47.93"/>
    <n v="4.2"/>
    <n v="15667"/>
    <n v="7460"/>
    <n v="13"/>
    <n v="-17414114.920000002"/>
    <n v="-393.95490926925856"/>
    <n v="4420332"/>
  </r>
  <r>
    <s v="P0032"/>
    <s v="Model_579"/>
    <x v="2"/>
    <x v="2"/>
    <n v="2024"/>
    <s v="Q2"/>
    <n v="1317"/>
    <n v="6990"/>
    <n v="9233"/>
    <n v="480599"/>
    <n v="10.69"/>
    <n v="3"/>
    <n v="7.33"/>
    <n v="4.12"/>
    <n v="10.33"/>
    <n v="1.7"/>
    <n v="18800"/>
    <n v="3870"/>
    <n v="6"/>
    <n v="-3434634.12"/>
    <n v="-37.309336800701296"/>
    <n v="9205830"/>
  </r>
  <r>
    <s v="P0033"/>
    <s v="Model_360"/>
    <x v="2"/>
    <x v="3"/>
    <n v="2023"/>
    <s v="Q4"/>
    <n v="1578"/>
    <n v="17034"/>
    <n v="8180"/>
    <n v="425960"/>
    <n v="12.25"/>
    <n v="16"/>
    <n v="8.76"/>
    <n v="3.12"/>
    <n v="10.88"/>
    <n v="4.8"/>
    <n v="18682"/>
    <n v="3442"/>
    <n v="13"/>
    <n v="13545648.880000001"/>
    <n v="50.393691406421482"/>
    <n v="26879652"/>
  </r>
  <r>
    <s v="P0034"/>
    <s v="Model_854"/>
    <x v="0"/>
    <x v="2"/>
    <n v="2024"/>
    <s v="Q4"/>
    <n v="3252"/>
    <n v="8145"/>
    <n v="3185"/>
    <n v="259754"/>
    <n v="2.72"/>
    <n v="8"/>
    <n v="7.23"/>
    <n v="9.15"/>
    <n v="43.33"/>
    <n v="2.5"/>
    <n v="6471"/>
    <n v="9188"/>
    <n v="2"/>
    <n v="15870156.85"/>
    <n v="59.915555955743713"/>
    <n v="26487540"/>
  </r>
  <r>
    <s v="P0035"/>
    <s v="Model_326"/>
    <x v="2"/>
    <x v="0"/>
    <n v="2024"/>
    <s v="Q2"/>
    <n v="3606"/>
    <n v="6732"/>
    <n v="5068"/>
    <n v="173053"/>
    <n v="5.56"/>
    <n v="18"/>
    <n v="2.3199999999999998"/>
    <n v="5.73"/>
    <n v="22.4"/>
    <n v="2.4"/>
    <n v="19644"/>
    <n v="1646"/>
    <n v="7"/>
    <n v="5827325.2699999996"/>
    <n v="24.004873990302684"/>
    <n v="24275592"/>
  </r>
  <r>
    <s v="P0036"/>
    <s v="Model_908"/>
    <x v="2"/>
    <x v="2"/>
    <n v="2024"/>
    <s v="Q1"/>
    <n v="3940"/>
    <n v="12985"/>
    <n v="1471"/>
    <n v="233965"/>
    <n v="13.53"/>
    <n v="4"/>
    <n v="7.06"/>
    <n v="5.46"/>
    <n v="63.16"/>
    <n v="4.5"/>
    <n v="17383"/>
    <n v="3226"/>
    <n v="10"/>
    <n v="45131189.539999999"/>
    <n v="88.214221290086755"/>
    <n v="51160900"/>
  </r>
  <r>
    <s v="P0037"/>
    <s v="Model_396"/>
    <x v="0"/>
    <x v="1"/>
    <n v="2023"/>
    <s v="Q2"/>
    <n v="696"/>
    <n v="7297"/>
    <n v="963"/>
    <n v="216892"/>
    <n v="12.1"/>
    <n v="5"/>
    <n v="3.08"/>
    <n v="1.37"/>
    <n v="66.7"/>
    <n v="3.3"/>
    <n v="2318"/>
    <n v="5989"/>
    <n v="13"/>
    <n v="4191570.63"/>
    <n v="82.532158350384904"/>
    <n v="5078712"/>
  </r>
  <r>
    <s v="P0038"/>
    <s v="Model_876"/>
    <x v="2"/>
    <x v="0"/>
    <n v="2024"/>
    <s v="Q1"/>
    <n v="2938"/>
    <n v="13842"/>
    <n v="9456"/>
    <n v="378406"/>
    <n v="14.77"/>
    <n v="2"/>
    <n v="2.42"/>
    <n v="0.44"/>
    <n v="24.23"/>
    <n v="3.1"/>
    <n v="11860"/>
    <n v="6308"/>
    <n v="4"/>
    <n v="12507661.560000001"/>
    <n v="30.755690719015117"/>
    <n v="40667796"/>
  </r>
  <r>
    <s v="P0039"/>
    <s v="Model_455"/>
    <x v="2"/>
    <x v="1"/>
    <n v="2024"/>
    <s v="Q2"/>
    <n v="2485"/>
    <n v="9538"/>
    <n v="12034"/>
    <n v="184832"/>
    <n v="11.31"/>
    <n v="0"/>
    <n v="0.73"/>
    <n v="2.57"/>
    <n v="81.08"/>
    <n v="3.9"/>
    <n v="13427"/>
    <n v="8975"/>
    <n v="12"/>
    <n v="-6387394.5700000003"/>
    <n v="-26.948837373159062"/>
    <n v="23701930"/>
  </r>
  <r>
    <s v="P0040"/>
    <s v="Model_886"/>
    <x v="0"/>
    <x v="2"/>
    <n v="2023"/>
    <s v="Q1"/>
    <n v="650"/>
    <n v="17502"/>
    <n v="5392"/>
    <n v="203262"/>
    <n v="5.9"/>
    <n v="19"/>
    <n v="7.44"/>
    <n v="4.3"/>
    <n v="45.35"/>
    <n v="3.3"/>
    <n v="17523"/>
    <n v="1395"/>
    <n v="4"/>
    <n v="7668233.7000000002"/>
    <n v="67.405340049049343"/>
    <n v="11376300"/>
  </r>
  <r>
    <s v="P0041"/>
    <s v="Model_412"/>
    <x v="2"/>
    <x v="3"/>
    <n v="2023"/>
    <s v="Q1"/>
    <n v="2413"/>
    <n v="14587"/>
    <n v="5595"/>
    <n v="117411"/>
    <n v="8.86"/>
    <n v="15"/>
    <n v="7.11"/>
    <n v="10.77"/>
    <n v="21.43"/>
    <n v="1.7"/>
    <n v="4565"/>
    <n v="1485"/>
    <n v="3"/>
    <n v="21580274.23"/>
    <n v="61.31033008261079"/>
    <n v="35198431"/>
  </r>
  <r>
    <s v="P0042"/>
    <s v="Model_273"/>
    <x v="1"/>
    <x v="3"/>
    <n v="2023"/>
    <s v="Q3"/>
    <n v="2111"/>
    <n v="6373"/>
    <n v="11434"/>
    <n v="335521"/>
    <n v="9.92"/>
    <n v="10"/>
    <n v="2.34"/>
    <n v="12.76"/>
    <n v="71.14"/>
    <n v="3.7"/>
    <n v="4759"/>
    <n v="1042"/>
    <n v="14"/>
    <n v="-11019304.76"/>
    <n v="-81.907192997935169"/>
    <n v="13453403"/>
  </r>
  <r>
    <s v="P0043"/>
    <s v="Model_739"/>
    <x v="1"/>
    <x v="3"/>
    <n v="2023"/>
    <s v="Q2"/>
    <n v="291"/>
    <n v="2981"/>
    <n v="5598"/>
    <n v="489953"/>
    <n v="1.18"/>
    <n v="12"/>
    <n v="7.49"/>
    <n v="3.51"/>
    <n v="73.2"/>
    <n v="1.5"/>
    <n v="18790"/>
    <n v="3380"/>
    <n v="5"/>
    <n v="-1251503.51"/>
    <n v="-144.27035716467756"/>
    <n v="867471"/>
  </r>
  <r>
    <s v="P0044"/>
    <s v="Model_402"/>
    <x v="0"/>
    <x v="1"/>
    <n v="2023"/>
    <s v="Q2"/>
    <n v="2091"/>
    <n v="11593"/>
    <n v="6836"/>
    <n v="88211"/>
    <n v="8.17"/>
    <n v="9"/>
    <n v="9.18"/>
    <n v="10.62"/>
    <n v="61.14"/>
    <n v="4.2"/>
    <n v="13800"/>
    <n v="1133"/>
    <n v="11"/>
    <n v="9858665.3800000008"/>
    <n v="40.66944609420014"/>
    <n v="24240963"/>
  </r>
  <r>
    <s v="P0045"/>
    <s v="Model_414"/>
    <x v="2"/>
    <x v="1"/>
    <n v="2024"/>
    <s v="Q1"/>
    <n v="2874"/>
    <n v="15922"/>
    <n v="3155"/>
    <n v="263981"/>
    <n v="10.64"/>
    <n v="2"/>
    <n v="1.08"/>
    <n v="8.5399999999999991"/>
    <n v="78.28"/>
    <n v="5"/>
    <n v="2102"/>
    <n v="2886"/>
    <n v="4"/>
    <n v="36428368.460000001"/>
    <n v="79.607747782618418"/>
    <n v="45759828"/>
  </r>
  <r>
    <s v="P0046"/>
    <s v="Model_133"/>
    <x v="2"/>
    <x v="3"/>
    <n v="2023"/>
    <s v="Q2"/>
    <n v="2662"/>
    <n v="17938"/>
    <n v="6687"/>
    <n v="315888"/>
    <n v="2.5099999999999998"/>
    <n v="8"/>
    <n v="2.33"/>
    <n v="4.59"/>
    <n v="68.989999999999995"/>
    <n v="2.5"/>
    <n v="5795"/>
    <n v="2333"/>
    <n v="13"/>
    <n v="29634269.41"/>
    <n v="62.060054692936404"/>
    <n v="47750956"/>
  </r>
  <r>
    <s v="P0047"/>
    <s v="Model_720"/>
    <x v="0"/>
    <x v="3"/>
    <n v="2024"/>
    <s v="Q4"/>
    <n v="1413"/>
    <n v="9143"/>
    <n v="13270"/>
    <n v="306638"/>
    <n v="11.71"/>
    <n v="11"/>
    <n v="7.5"/>
    <n v="0.17"/>
    <n v="80.58"/>
    <n v="2.8"/>
    <n v="11483"/>
    <n v="1720"/>
    <n v="3"/>
    <n v="-6138089.1699999999"/>
    <n v="-47.51189053320369"/>
    <n v="12919059"/>
  </r>
  <r>
    <s v="P0048"/>
    <s v="Model_404"/>
    <x v="0"/>
    <x v="0"/>
    <n v="2023"/>
    <s v="Q2"/>
    <n v="1528"/>
    <n v="17208"/>
    <n v="13716"/>
    <n v="337139"/>
    <n v="8.76"/>
    <n v="13"/>
    <n v="2.75"/>
    <n v="11.68"/>
    <n v="44.71"/>
    <n v="1.2"/>
    <n v="5027"/>
    <n v="3635"/>
    <n v="2"/>
    <n v="4998625.32"/>
    <n v="19.010644172563111"/>
    <n v="26293824"/>
  </r>
  <r>
    <s v="P0049"/>
    <s v="Model_496"/>
    <x v="2"/>
    <x v="0"/>
    <n v="2024"/>
    <s v="Q2"/>
    <n v="2606"/>
    <n v="12771"/>
    <n v="8761"/>
    <n v="198049"/>
    <n v="14.28"/>
    <n v="0"/>
    <n v="6.25"/>
    <n v="17.14"/>
    <n v="69.81"/>
    <n v="1.1000000000000001"/>
    <n v="3311"/>
    <n v="3305"/>
    <n v="4"/>
    <n v="10251993.859999999"/>
    <n v="30.80413522025901"/>
    <n v="33281226"/>
  </r>
  <r>
    <s v="P0050"/>
    <s v="Model_900"/>
    <x v="2"/>
    <x v="1"/>
    <n v="2023"/>
    <s v="Q2"/>
    <n v="825"/>
    <n v="18716"/>
    <n v="11549"/>
    <n v="279010"/>
    <n v="0.64"/>
    <n v="17"/>
    <n v="0.81"/>
    <n v="5.66"/>
    <n v="89.98"/>
    <n v="4.7"/>
    <n v="13603"/>
    <n v="2982"/>
    <n v="11"/>
    <n v="5633759.3399999999"/>
    <n v="36.486424449668732"/>
    <n v="15440700"/>
  </r>
  <r>
    <s v="P0051"/>
    <s v="Model_371"/>
    <x v="1"/>
    <x v="1"/>
    <n v="2023"/>
    <s v="Q3"/>
    <n v="4064"/>
    <n v="14100"/>
    <n v="6627"/>
    <n v="84542"/>
    <n v="3.98"/>
    <n v="16"/>
    <n v="4.5199999999999996"/>
    <n v="3.3"/>
    <n v="67.989999999999995"/>
    <n v="1.5"/>
    <n v="10532"/>
    <n v="270"/>
    <n v="7"/>
    <n v="30285726.699999999"/>
    <n v="52.852457663204333"/>
    <n v="57302400"/>
  </r>
  <r>
    <s v="P0052"/>
    <s v="Model_781"/>
    <x v="2"/>
    <x v="1"/>
    <n v="2023"/>
    <s v="Q2"/>
    <n v="84"/>
    <n v="12498"/>
    <n v="9537"/>
    <n v="60651"/>
    <n v="9.02"/>
    <n v="8"/>
    <n v="7.39"/>
    <n v="22.18"/>
    <n v="19.13"/>
    <n v="2.8"/>
    <n v="14377"/>
    <n v="8240"/>
    <n v="10"/>
    <n v="188050.82"/>
    <n v="17.912467899625845"/>
    <n v="1049832"/>
  </r>
  <r>
    <s v="P0053"/>
    <s v="Model_366"/>
    <x v="0"/>
    <x v="1"/>
    <n v="2023"/>
    <s v="Q3"/>
    <n v="3202"/>
    <n v="15795"/>
    <n v="14675"/>
    <n v="149239"/>
    <n v="4.45"/>
    <n v="8"/>
    <n v="6.87"/>
    <n v="6.88"/>
    <n v="51.47"/>
    <n v="4.3"/>
    <n v="9463"/>
    <n v="9845"/>
    <n v="12"/>
    <n v="3436994.12"/>
    <n v="6.7957568463363458"/>
    <n v="50575590"/>
  </r>
  <r>
    <s v="P0054"/>
    <s v="Model_237"/>
    <x v="2"/>
    <x v="1"/>
    <n v="2023"/>
    <s v="Q2"/>
    <n v="2005"/>
    <n v="12182"/>
    <n v="5519"/>
    <n v="391075"/>
    <n v="10.72"/>
    <n v="9"/>
    <n v="8.15"/>
    <n v="5.59"/>
    <n v="56.99"/>
    <n v="4.5999999999999996"/>
    <n v="16724"/>
    <n v="3997"/>
    <n v="6"/>
    <n v="12968234.41"/>
    <n v="53.094297624842838"/>
    <n v="24424910"/>
  </r>
  <r>
    <s v="P0055"/>
    <s v="Model_403"/>
    <x v="0"/>
    <x v="0"/>
    <n v="2023"/>
    <s v="Q1"/>
    <n v="1635"/>
    <n v="17880"/>
    <n v="12827"/>
    <n v="276416"/>
    <n v="11.39"/>
    <n v="18"/>
    <n v="8.77"/>
    <n v="21.43"/>
    <n v="23.94"/>
    <n v="3.1"/>
    <n v="10416"/>
    <n v="9887"/>
    <n v="4"/>
    <n v="7985217.5700000003"/>
    <n v="27.31501744555959"/>
    <n v="29233800"/>
  </r>
  <r>
    <s v="P0056"/>
    <s v="Model_664"/>
    <x v="0"/>
    <x v="1"/>
    <n v="2023"/>
    <s v="Q3"/>
    <n v="3993"/>
    <n v="10019"/>
    <n v="1393"/>
    <n v="414256"/>
    <n v="1.54"/>
    <n v="14"/>
    <n v="7.73"/>
    <n v="20.43"/>
    <n v="87.03"/>
    <n v="3.3"/>
    <n v="8266"/>
    <n v="9915"/>
    <n v="6"/>
    <n v="34029341.57"/>
    <n v="85.060877620774974"/>
    <n v="40005867"/>
  </r>
  <r>
    <s v="P0057"/>
    <s v="Model_521"/>
    <x v="0"/>
    <x v="0"/>
    <n v="2023"/>
    <s v="Q1"/>
    <n v="3123"/>
    <n v="4800"/>
    <n v="5639"/>
    <n v="328859"/>
    <n v="7.71"/>
    <n v="4"/>
    <n v="6.72"/>
    <n v="11.21"/>
    <n v="24.05"/>
    <n v="3.7"/>
    <n v="18686"/>
    <n v="4222"/>
    <n v="6"/>
    <n v="-2949067.21"/>
    <n v="-19.673038811506029"/>
    <n v="14990400"/>
  </r>
  <r>
    <s v="P0058"/>
    <s v="Model_264"/>
    <x v="0"/>
    <x v="1"/>
    <n v="2023"/>
    <s v="Q4"/>
    <n v="1071"/>
    <n v="8222"/>
    <n v="8194"/>
    <n v="487625"/>
    <n v="7.63"/>
    <n v="14"/>
    <n v="0.32"/>
    <n v="12.23"/>
    <n v="24.2"/>
    <n v="4.8"/>
    <n v="20466"/>
    <n v="5209"/>
    <n v="6"/>
    <n v="-457649.23"/>
    <n v="-5.1971564754986561"/>
    <n v="8805762"/>
  </r>
  <r>
    <s v="P0059"/>
    <s v="Model_432"/>
    <x v="1"/>
    <x v="1"/>
    <n v="2024"/>
    <s v="Q1"/>
    <n v="3511"/>
    <n v="8718"/>
    <n v="14856"/>
    <n v="205378"/>
    <n v="5.54"/>
    <n v="19"/>
    <n v="5.35"/>
    <n v="5.44"/>
    <n v="83.21"/>
    <n v="3.4"/>
    <n v="3165"/>
    <n v="9383"/>
    <n v="13"/>
    <n v="-21755901.440000001"/>
    <n v="-71.077049033258248"/>
    <n v="30608898"/>
  </r>
  <r>
    <s v="P0060"/>
    <s v="Model_349"/>
    <x v="0"/>
    <x v="3"/>
    <n v="2024"/>
    <s v="Q3"/>
    <n v="2663"/>
    <n v="4554"/>
    <n v="12796"/>
    <n v="200158"/>
    <n v="13.99"/>
    <n v="1"/>
    <n v="0.38"/>
    <n v="1.96"/>
    <n v="47.22"/>
    <n v="3.2"/>
    <n v="17432"/>
    <n v="2937"/>
    <n v="13"/>
    <n v="-22148605.960000001"/>
    <n v="-182.63424098781411"/>
    <n v="12127302"/>
  </r>
  <r>
    <s v="P0061"/>
    <s v="Model_306"/>
    <x v="0"/>
    <x v="1"/>
    <n v="2023"/>
    <s v="Q3"/>
    <n v="3893"/>
    <n v="15075"/>
    <n v="10451"/>
    <n v="457592"/>
    <n v="12.41"/>
    <n v="12"/>
    <n v="8.08"/>
    <n v="14.34"/>
    <n v="15.06"/>
    <n v="1.1000000000000001"/>
    <n v="8475"/>
    <n v="8699"/>
    <n v="8"/>
    <n v="17543625.66"/>
    <n v="29.893559277846578"/>
    <n v="58686975"/>
  </r>
  <r>
    <s v="P0062"/>
    <s v="Model_171"/>
    <x v="0"/>
    <x v="2"/>
    <n v="2024"/>
    <s v="Q4"/>
    <n v="1550"/>
    <n v="9470"/>
    <n v="4293"/>
    <n v="373494"/>
    <n v="10.46"/>
    <n v="15"/>
    <n v="3.21"/>
    <n v="2.46"/>
    <n v="57.85"/>
    <n v="1.3"/>
    <n v="4052"/>
    <n v="5328"/>
    <n v="6"/>
    <n v="7650853.54"/>
    <n v="52.122856831420108"/>
    <n v="14678500"/>
  </r>
  <r>
    <s v="P0063"/>
    <s v="Model_171"/>
    <x v="1"/>
    <x v="1"/>
    <n v="2024"/>
    <s v="Q1"/>
    <n v="4848"/>
    <n v="3643"/>
    <n v="11593"/>
    <n v="383569"/>
    <n v="10.71"/>
    <n v="14"/>
    <n v="5.62"/>
    <n v="11.23"/>
    <n v="58.15"/>
    <n v="3.3"/>
    <n v="14719"/>
    <n v="4269"/>
    <n v="8"/>
    <n v="-38925180.229999997"/>
    <n v="-220.39860923884041"/>
    <n v="17661264"/>
  </r>
  <r>
    <s v="P0064"/>
    <s v="Model_743"/>
    <x v="2"/>
    <x v="0"/>
    <n v="2024"/>
    <s v="Q3"/>
    <n v="211"/>
    <n v="11003"/>
    <n v="6964"/>
    <n v="479852"/>
    <n v="6.93"/>
    <n v="9"/>
    <n v="2.79"/>
    <n v="23.51"/>
    <n v="15.16"/>
    <n v="4.7"/>
    <n v="15774"/>
    <n v="6821"/>
    <n v="10"/>
    <n v="372353.49"/>
    <n v="16.038430277309118"/>
    <n v="2321633"/>
  </r>
  <r>
    <s v="P0065"/>
    <s v="Model_794"/>
    <x v="0"/>
    <x v="3"/>
    <n v="2023"/>
    <s v="Q4"/>
    <n v="4347"/>
    <n v="16649"/>
    <n v="11436"/>
    <n v="398264"/>
    <n v="13.81"/>
    <n v="13"/>
    <n v="7.83"/>
    <n v="23.82"/>
    <n v="87.8"/>
    <n v="4.5"/>
    <n v="14112"/>
    <n v="779"/>
    <n v="6"/>
    <n v="22262623.18"/>
    <n v="30.760864874254633"/>
    <n v="72373203"/>
  </r>
  <r>
    <s v="P0066"/>
    <s v="Model_970"/>
    <x v="0"/>
    <x v="2"/>
    <n v="2023"/>
    <s v="Q2"/>
    <n v="2031"/>
    <n v="13675"/>
    <n v="3472"/>
    <n v="427033"/>
    <n v="10.42"/>
    <n v="9"/>
    <n v="8.8699999999999992"/>
    <n v="5.98"/>
    <n v="53.52"/>
    <n v="4.9000000000000004"/>
    <n v="4308"/>
    <n v="7529"/>
    <n v="3"/>
    <n v="20295254.02"/>
    <n v="73.073049703993945"/>
    <n v="27773925"/>
  </r>
  <r>
    <s v="P0067"/>
    <s v="Model_998"/>
    <x v="1"/>
    <x v="3"/>
    <n v="2024"/>
    <s v="Q3"/>
    <n v="1045"/>
    <n v="9856"/>
    <n v="5000"/>
    <n v="494865"/>
    <n v="10.93"/>
    <n v="13"/>
    <n v="3.99"/>
    <n v="15.6"/>
    <n v="54.78"/>
    <n v="3.1"/>
    <n v="12590"/>
    <n v="5587"/>
    <n v="6"/>
    <n v="4579639.4000000004"/>
    <n v="44.464590582862115"/>
    <n v="10299520"/>
  </r>
  <r>
    <s v="P0068"/>
    <s v="Model_931"/>
    <x v="2"/>
    <x v="0"/>
    <n v="2023"/>
    <s v="Q3"/>
    <n v="4961"/>
    <n v="16570"/>
    <n v="816"/>
    <n v="477826"/>
    <n v="12.93"/>
    <n v="8"/>
    <n v="8.6300000000000008"/>
    <n v="11.85"/>
    <n v="51.61"/>
    <n v="4.2"/>
    <n v="13760"/>
    <n v="336"/>
    <n v="9"/>
    <n v="77677756.150000006"/>
    <n v="94.494152944566906"/>
    <n v="82203770"/>
  </r>
  <r>
    <s v="P0069"/>
    <s v="Model_522"/>
    <x v="2"/>
    <x v="0"/>
    <n v="2024"/>
    <s v="Q1"/>
    <n v="3392"/>
    <n v="2322"/>
    <n v="3991"/>
    <n v="191130"/>
    <n v="4.1100000000000003"/>
    <n v="13"/>
    <n v="2.67"/>
    <n v="21.89"/>
    <n v="58.86"/>
    <n v="4.4000000000000004"/>
    <n v="16795"/>
    <n v="6904"/>
    <n v="13"/>
    <n v="-5852399.8899999997"/>
    <n v="-74.304640015316977"/>
    <n v="7876224"/>
  </r>
  <r>
    <s v="P0070"/>
    <s v="Model_271"/>
    <x v="0"/>
    <x v="1"/>
    <n v="2024"/>
    <s v="Q4"/>
    <n v="4601"/>
    <n v="18827"/>
    <n v="1192"/>
    <n v="305948"/>
    <n v="12.11"/>
    <n v="2"/>
    <n v="5.35"/>
    <n v="6.79"/>
    <n v="31.14"/>
    <n v="3.6"/>
    <n v="16337"/>
    <n v="2523"/>
    <n v="5"/>
    <n v="80832680.209999993"/>
    <n v="93.315464732027891"/>
    <n v="86623027"/>
  </r>
  <r>
    <s v="P0071"/>
    <s v="Model_988"/>
    <x v="1"/>
    <x v="2"/>
    <n v="2024"/>
    <s v="Q3"/>
    <n v="3848"/>
    <n v="15789"/>
    <n v="9416"/>
    <n v="386781"/>
    <n v="2.93"/>
    <n v="19"/>
    <n v="8.59"/>
    <n v="0.09"/>
    <n v="32.979999999999997"/>
    <n v="2.4"/>
    <n v="16169"/>
    <n v="1132"/>
    <n v="3"/>
    <n v="24136522.91"/>
    <n v="39.726931178170965"/>
    <n v="60756072"/>
  </r>
  <r>
    <s v="P0072"/>
    <s v="Model_898"/>
    <x v="0"/>
    <x v="0"/>
    <n v="2024"/>
    <s v="Q4"/>
    <n v="1325"/>
    <n v="7650"/>
    <n v="7072"/>
    <n v="382338"/>
    <n v="5.18"/>
    <n v="15"/>
    <n v="3.26"/>
    <n v="4.0599999999999996"/>
    <n v="50.91"/>
    <n v="2.9"/>
    <n v="12023"/>
    <n v="6439"/>
    <n v="11"/>
    <n v="383507.94"/>
    <n v="3.7835288198298187"/>
    <n v="10136250"/>
  </r>
  <r>
    <s v="P0073"/>
    <s v="Model_279"/>
    <x v="1"/>
    <x v="0"/>
    <n v="2024"/>
    <s v="Q3"/>
    <n v="1066"/>
    <n v="5925"/>
    <n v="1371"/>
    <n v="389061"/>
    <n v="5.03"/>
    <n v="1"/>
    <n v="9.5399999999999991"/>
    <n v="8.74"/>
    <n v="74.53"/>
    <n v="4.4000000000000004"/>
    <n v="14262"/>
    <n v="3040"/>
    <n v="4"/>
    <n v="4465494.26"/>
    <n v="70.700742711029832"/>
    <n v="6316050"/>
  </r>
  <r>
    <s v="P0074"/>
    <s v="Model_339"/>
    <x v="1"/>
    <x v="1"/>
    <n v="2024"/>
    <s v="Q2"/>
    <n v="387"/>
    <n v="17532"/>
    <n v="4431"/>
    <n v="114200"/>
    <n v="14.68"/>
    <n v="9"/>
    <n v="1.22"/>
    <n v="7.89"/>
    <n v="13.99"/>
    <n v="2.2000000000000002"/>
    <n v="15269"/>
    <n v="5509"/>
    <n v="10"/>
    <n v="4955879.1100000003"/>
    <n v="73.042945317856578"/>
    <n v="6784884"/>
  </r>
  <r>
    <s v="P0075"/>
    <s v="Model_416"/>
    <x v="2"/>
    <x v="0"/>
    <n v="2024"/>
    <s v="Q4"/>
    <n v="928"/>
    <n v="3698"/>
    <n v="6972"/>
    <n v="155848"/>
    <n v="12.85"/>
    <n v="2"/>
    <n v="0.18"/>
    <n v="19.78"/>
    <n v="58.27"/>
    <n v="4.7"/>
    <n v="15231"/>
    <n v="3232"/>
    <n v="10"/>
    <n v="-3194139.78"/>
    <n v="-93.076283662184593"/>
    <n v="3431744"/>
  </r>
  <r>
    <s v="P0076"/>
    <s v="Model_493"/>
    <x v="0"/>
    <x v="1"/>
    <n v="2023"/>
    <s v="Q2"/>
    <n v="1126"/>
    <n v="4952"/>
    <n v="10112"/>
    <n v="156022"/>
    <n v="10.52"/>
    <n v="10"/>
    <n v="9.0399999999999991"/>
    <n v="17.010000000000002"/>
    <n v="74.540000000000006"/>
    <n v="1.9"/>
    <n v="13377"/>
    <n v="7180"/>
    <n v="9"/>
    <n v="-5966199.0099999998"/>
    <n v="-106.99875124463051"/>
    <n v="5575952"/>
  </r>
  <r>
    <s v="P0077"/>
    <s v="Model_635"/>
    <x v="0"/>
    <x v="3"/>
    <n v="2023"/>
    <s v="Q1"/>
    <n v="4937"/>
    <n v="10606"/>
    <n v="7977"/>
    <n v="227691"/>
    <n v="10.91"/>
    <n v="10"/>
    <n v="0.69"/>
    <n v="7.49"/>
    <n v="22.55"/>
    <n v="4"/>
    <n v="3956"/>
    <n v="5042"/>
    <n v="9"/>
    <n v="12751674.51"/>
    <n v="24.352999996829748"/>
    <n v="52361822"/>
  </r>
  <r>
    <s v="P0078"/>
    <s v="Model_364"/>
    <x v="2"/>
    <x v="0"/>
    <n v="2023"/>
    <s v="Q1"/>
    <n v="4043"/>
    <n v="15359"/>
    <n v="9233"/>
    <n v="460370"/>
    <n v="8.43"/>
    <n v="12"/>
    <n v="9.92"/>
    <n v="11.44"/>
    <n v="11.2"/>
    <n v="3.5"/>
    <n v="6923"/>
    <n v="7061"/>
    <n v="9"/>
    <n v="24307036.559999999"/>
    <n v="39.144011692651546"/>
    <n v="62096437"/>
  </r>
  <r>
    <s v="P0079"/>
    <s v="Model_416"/>
    <x v="1"/>
    <x v="2"/>
    <n v="2023"/>
    <s v="Q4"/>
    <n v="4909"/>
    <n v="19192"/>
    <n v="4697"/>
    <n v="462755"/>
    <n v="14.21"/>
    <n v="6"/>
    <n v="9.51"/>
    <n v="2.39"/>
    <n v="35.020000000000003"/>
    <n v="4"/>
    <n v="15746"/>
    <n v="7830"/>
    <n v="9"/>
    <n v="70693197.609999999"/>
    <n v="75.035081596774518"/>
    <n v="94213528"/>
  </r>
  <r>
    <s v="P0080"/>
    <s v="Model_697"/>
    <x v="2"/>
    <x v="2"/>
    <n v="2024"/>
    <s v="Q3"/>
    <n v="429"/>
    <n v="10205"/>
    <n v="13087"/>
    <n v="306453"/>
    <n v="7.44"/>
    <n v="16"/>
    <n v="1.37"/>
    <n v="22.45"/>
    <n v="57.05"/>
    <n v="2.7"/>
    <n v="14346"/>
    <n v="733"/>
    <n v="9"/>
    <n v="-1542853.45"/>
    <n v="-35.241499150857308"/>
    <n v="4377945"/>
  </r>
  <r>
    <s v="P0081"/>
    <s v="Model_780"/>
    <x v="0"/>
    <x v="0"/>
    <n v="2023"/>
    <s v="Q3"/>
    <n v="542"/>
    <n v="11612"/>
    <n v="8923"/>
    <n v="372202"/>
    <n v="5.71"/>
    <n v="1"/>
    <n v="5.38"/>
    <n v="23.39"/>
    <n v="21.06"/>
    <n v="4.7"/>
    <n v="5817"/>
    <n v="6922"/>
    <n v="2"/>
    <n v="1085212.6100000001"/>
    <n v="17.242828865164299"/>
    <n v="6293704"/>
  </r>
  <r>
    <s v="P0082"/>
    <s v="Model_998"/>
    <x v="1"/>
    <x v="0"/>
    <n v="2023"/>
    <s v="Q1"/>
    <n v="2112"/>
    <n v="6341"/>
    <n v="3079"/>
    <n v="112068"/>
    <n v="2.4500000000000002"/>
    <n v="11"/>
    <n v="1.85"/>
    <n v="24.5"/>
    <n v="44.09"/>
    <n v="3.5"/>
    <n v="19440"/>
    <n v="4203"/>
    <n v="7"/>
    <n v="6777251.5"/>
    <n v="50.605991162611765"/>
    <n v="13392192"/>
  </r>
  <r>
    <s v="P0083"/>
    <s v="Model_721"/>
    <x v="2"/>
    <x v="0"/>
    <n v="2023"/>
    <s v="Q1"/>
    <n v="3934"/>
    <n v="16858"/>
    <n v="9780"/>
    <n v="412076"/>
    <n v="11.79"/>
    <n v="9"/>
    <n v="4.28"/>
    <n v="21.71"/>
    <n v="54.19"/>
    <n v="2.2000000000000002"/>
    <n v="20089"/>
    <n v="9684"/>
    <n v="13"/>
    <n v="27432754.289999999"/>
    <n v="41.364617098605819"/>
    <n v="66319372"/>
  </r>
  <r>
    <s v="P0084"/>
    <s v="Model_784"/>
    <x v="2"/>
    <x v="2"/>
    <n v="2023"/>
    <s v="Q1"/>
    <n v="114"/>
    <n v="2909"/>
    <n v="8251"/>
    <n v="211445"/>
    <n v="11.02"/>
    <n v="17"/>
    <n v="0.61"/>
    <n v="4.3499999999999996"/>
    <n v="57.91"/>
    <n v="3.6"/>
    <n v="14135"/>
    <n v="6587"/>
    <n v="10"/>
    <n v="-820437.35"/>
    <n v="-247.39837949979795"/>
    <n v="331626"/>
  </r>
  <r>
    <s v="P0085"/>
    <s v="Model_158"/>
    <x v="2"/>
    <x v="2"/>
    <n v="2024"/>
    <s v="Q3"/>
    <n v="2618"/>
    <n v="6066"/>
    <n v="9706"/>
    <n v="214226"/>
    <n v="5.77"/>
    <n v="10"/>
    <n v="2.2400000000000002"/>
    <n v="1.1499999999999999"/>
    <n v="31.95"/>
    <n v="2.1"/>
    <n v="14970"/>
    <n v="3546"/>
    <n v="9"/>
    <n v="-9743747.1500000004"/>
    <n v="-61.35556466089718"/>
    <n v="15880788"/>
  </r>
  <r>
    <s v="P0086"/>
    <s v="Model_578"/>
    <x v="0"/>
    <x v="3"/>
    <n v="2023"/>
    <s v="Q2"/>
    <n v="2077"/>
    <n v="12882"/>
    <n v="13846"/>
    <n v="187103"/>
    <n v="0.38"/>
    <n v="15"/>
    <n v="3.63"/>
    <n v="14.49"/>
    <n v="42"/>
    <n v="2.2000000000000002"/>
    <n v="14676"/>
    <n v="5838"/>
    <n v="4"/>
    <n v="-2189345.4900000002"/>
    <n v="-8.182660065359757"/>
    <n v="26755914"/>
  </r>
  <r>
    <s v="P0087"/>
    <s v="Model_333"/>
    <x v="1"/>
    <x v="0"/>
    <n v="2023"/>
    <s v="Q1"/>
    <n v="2745"/>
    <n v="19439"/>
    <n v="11841"/>
    <n v="274605"/>
    <n v="12.58"/>
    <n v="16"/>
    <n v="4.3899999999999997"/>
    <n v="22.82"/>
    <n v="72.27"/>
    <n v="2.6"/>
    <n v="10613"/>
    <n v="3198"/>
    <n v="12"/>
    <n v="20581882.18"/>
    <n v="38.571703458701457"/>
    <n v="53360055"/>
  </r>
  <r>
    <s v="P0088"/>
    <s v="Model_536"/>
    <x v="0"/>
    <x v="2"/>
    <n v="2023"/>
    <s v="Q1"/>
    <n v="1545"/>
    <n v="16096"/>
    <n v="1575"/>
    <n v="253047"/>
    <n v="0.17"/>
    <n v="18"/>
    <n v="9.77"/>
    <n v="4.43"/>
    <n v="85.3"/>
    <n v="4.4000000000000004"/>
    <n v="15046"/>
    <n v="8197"/>
    <n v="2"/>
    <n v="22181893.57"/>
    <n v="89.197394797879397"/>
    <n v="24868320"/>
  </r>
  <r>
    <s v="P0089"/>
    <s v="Model_946"/>
    <x v="1"/>
    <x v="0"/>
    <n v="2024"/>
    <s v="Q1"/>
    <n v="441"/>
    <n v="2304"/>
    <n v="13018"/>
    <n v="334929"/>
    <n v="10.56"/>
    <n v="17"/>
    <n v="8.08"/>
    <n v="0.18"/>
    <n v="78.95"/>
    <n v="3"/>
    <n v="8305"/>
    <n v="5576"/>
    <n v="3"/>
    <n v="-5059803.18"/>
    <n v="-497.98075514928189"/>
    <n v="1016064"/>
  </r>
  <r>
    <s v="P0090"/>
    <s v="Model_595"/>
    <x v="1"/>
    <x v="0"/>
    <n v="2024"/>
    <s v="Q1"/>
    <n v="4564"/>
    <n v="14721"/>
    <n v="7669"/>
    <n v="299768"/>
    <n v="14.55"/>
    <n v="2"/>
    <n v="7.37"/>
    <n v="20.14"/>
    <n v="55.14"/>
    <n v="3.7"/>
    <n v="18288"/>
    <n v="8353"/>
    <n v="12"/>
    <n v="31885539.859999999"/>
    <n v="47.458152337538991"/>
    <n v="67186644"/>
  </r>
  <r>
    <s v="P0091"/>
    <s v="Model_199"/>
    <x v="1"/>
    <x v="0"/>
    <n v="2024"/>
    <s v="Q2"/>
    <n v="4524"/>
    <n v="2779"/>
    <n v="3047"/>
    <n v="209741"/>
    <n v="6.56"/>
    <n v="15"/>
    <n v="5.37"/>
    <n v="1.92"/>
    <n v="42.82"/>
    <n v="2.6"/>
    <n v="19504"/>
    <n v="5281"/>
    <n v="3"/>
    <n v="-1422174.92"/>
    <n v="-11.312064495335578"/>
    <n v="12572196"/>
  </r>
  <r>
    <s v="P0092"/>
    <s v="Model_232"/>
    <x v="2"/>
    <x v="1"/>
    <n v="2023"/>
    <s v="Q3"/>
    <n v="3611"/>
    <n v="14692"/>
    <n v="7888"/>
    <n v="144475"/>
    <n v="3.52"/>
    <n v="5"/>
    <n v="8.4"/>
    <n v="10.34"/>
    <n v="36.64"/>
    <n v="2.1"/>
    <n v="20836"/>
    <n v="1917"/>
    <n v="8"/>
    <n v="24424758.66"/>
    <n v="46.038575033496812"/>
    <n v="53052812"/>
  </r>
  <r>
    <s v="P0093"/>
    <s v="Model_486"/>
    <x v="2"/>
    <x v="1"/>
    <n v="2024"/>
    <s v="Q2"/>
    <n v="2328"/>
    <n v="8583"/>
    <n v="878"/>
    <n v="52282"/>
    <n v="10.57"/>
    <n v="11"/>
    <n v="3.39"/>
    <n v="16.97"/>
    <n v="20"/>
    <n v="4.8"/>
    <n v="9580"/>
    <n v="8924"/>
    <n v="13"/>
    <n v="17884941.030000001"/>
    <n v="89.508735951311095"/>
    <n v="19981224"/>
  </r>
  <r>
    <s v="P0094"/>
    <s v="Model_275"/>
    <x v="0"/>
    <x v="1"/>
    <n v="2024"/>
    <s v="Q2"/>
    <n v="3149"/>
    <n v="12593"/>
    <n v="8880"/>
    <n v="215696"/>
    <n v="12.26"/>
    <n v="10"/>
    <n v="7.09"/>
    <n v="5.92"/>
    <n v="18.52"/>
    <n v="3.4"/>
    <n v="4618"/>
    <n v="4987"/>
    <n v="7"/>
    <n v="11476535.08"/>
    <n v="28.940692880409575"/>
    <n v="39655357"/>
  </r>
  <r>
    <s v="P0095"/>
    <s v="Model_681"/>
    <x v="1"/>
    <x v="2"/>
    <n v="2023"/>
    <s v="Q4"/>
    <n v="250"/>
    <n v="19271"/>
    <n v="7899"/>
    <n v="229510"/>
    <n v="8.1999999999999993"/>
    <n v="14"/>
    <n v="9.94"/>
    <n v="2.1"/>
    <n v="65.069999999999993"/>
    <n v="4.7"/>
    <n v="8130"/>
    <n v="2698"/>
    <n v="12"/>
    <n v="2613487.9"/>
    <n v="54.247063463234909"/>
    <n v="4817750"/>
  </r>
  <r>
    <s v="P0096"/>
    <s v="Model_361"/>
    <x v="2"/>
    <x v="0"/>
    <n v="2023"/>
    <s v="Q3"/>
    <n v="4925"/>
    <n v="14380"/>
    <n v="4726"/>
    <n v="270972"/>
    <n v="14.51"/>
    <n v="14"/>
    <n v="3.15"/>
    <n v="19.25"/>
    <n v="30.78"/>
    <n v="1.8"/>
    <n v="2065"/>
    <n v="9592"/>
    <n v="3"/>
    <n v="47274958.75"/>
    <n v="66.752269790953306"/>
    <n v="70821500"/>
  </r>
  <r>
    <s v="P0097"/>
    <s v="Model_145"/>
    <x v="2"/>
    <x v="3"/>
    <n v="2023"/>
    <s v="Q1"/>
    <n v="3154"/>
    <n v="17017"/>
    <n v="9847"/>
    <n v="379678"/>
    <n v="0.78"/>
    <n v="15"/>
    <n v="6.74"/>
    <n v="15.75"/>
    <n v="30.37"/>
    <n v="1.6"/>
    <n v="17201"/>
    <n v="2753"/>
    <n v="9"/>
    <n v="22234486.25"/>
    <n v="41.426897638897344"/>
    <n v="53671618"/>
  </r>
  <r>
    <s v="P0098"/>
    <s v="Model_506"/>
    <x v="0"/>
    <x v="3"/>
    <n v="2023"/>
    <s v="Q3"/>
    <n v="4648"/>
    <n v="3606"/>
    <n v="8140"/>
    <n v="212777"/>
    <n v="7.57"/>
    <n v="9"/>
    <n v="8.44"/>
    <n v="24.71"/>
    <n v="89.86"/>
    <n v="4.4000000000000004"/>
    <n v="16359"/>
    <n v="1554"/>
    <n v="10"/>
    <n v="-21286833.710000001"/>
    <n v="-127.00453412174966"/>
    <n v="16760688"/>
  </r>
  <r>
    <s v="P0099"/>
    <s v="Model_232"/>
    <x v="1"/>
    <x v="3"/>
    <n v="2024"/>
    <s v="Q1"/>
    <n v="2504"/>
    <n v="17586"/>
    <n v="14527"/>
    <n v="481460"/>
    <n v="10.78"/>
    <n v="11"/>
    <n v="9.16"/>
    <n v="8.61"/>
    <n v="25.03"/>
    <n v="3.7"/>
    <n v="9170"/>
    <n v="1238"/>
    <n v="8"/>
    <n v="7178267.3899999997"/>
    <n v="16.301149799124993"/>
    <n v="44035344"/>
  </r>
  <r>
    <s v="P0100"/>
    <s v="Model_384"/>
    <x v="0"/>
    <x v="1"/>
    <n v="2023"/>
    <s v="Q3"/>
    <n v="3695"/>
    <n v="6331"/>
    <n v="7883"/>
    <n v="387108"/>
    <n v="12.94"/>
    <n v="12"/>
    <n v="7.18"/>
    <n v="1.54"/>
    <n v="21.84"/>
    <n v="1.7"/>
    <n v="20752"/>
    <n v="5907"/>
    <n v="5"/>
    <n v="-6121749.54"/>
    <n v="-26.169100858823636"/>
    <n v="23393045"/>
  </r>
  <r>
    <s v="P0101"/>
    <s v="Model_444"/>
    <x v="1"/>
    <x v="1"/>
    <n v="2024"/>
    <s v="Q3"/>
    <n v="854"/>
    <n v="4686"/>
    <n v="7030"/>
    <n v="218509"/>
    <n v="2.69"/>
    <n v="3"/>
    <n v="2.84"/>
    <n v="18.36"/>
    <n v="17.89"/>
    <n v="2.1"/>
    <n v="10976"/>
    <n v="3292"/>
    <n v="14"/>
    <n v="-2220303.3599999999"/>
    <n v="-55.482006794867566"/>
    <n v="4001844"/>
  </r>
  <r>
    <s v="P0102"/>
    <s v="Model_690"/>
    <x v="0"/>
    <x v="3"/>
    <n v="2023"/>
    <s v="Q2"/>
    <n v="2781"/>
    <n v="4073"/>
    <n v="11140"/>
    <n v="258944"/>
    <n v="12"/>
    <n v="6"/>
    <n v="3.26"/>
    <n v="13.04"/>
    <n v="56.38"/>
    <n v="4.2"/>
    <n v="10276"/>
    <n v="6216"/>
    <n v="14"/>
    <n v="-19912284.039999999"/>
    <n v="-175.79466042812874"/>
    <n v="11327013"/>
  </r>
  <r>
    <s v="P0103"/>
    <s v="Model_461"/>
    <x v="2"/>
    <x v="2"/>
    <n v="2024"/>
    <s v="Q4"/>
    <n v="2823"/>
    <n v="14308"/>
    <n v="10023"/>
    <n v="169006"/>
    <n v="8.2899999999999991"/>
    <n v="1"/>
    <n v="0.21"/>
    <n v="5.33"/>
    <n v="60.23"/>
    <n v="2.8"/>
    <n v="16521"/>
    <n v="3859"/>
    <n v="2"/>
    <n v="11927543.67"/>
    <n v="29.529847603519592"/>
    <n v="40391484"/>
  </r>
  <r>
    <s v="P0104"/>
    <s v="Model_270"/>
    <x v="1"/>
    <x v="2"/>
    <n v="2024"/>
    <s v="Q3"/>
    <n v="1620"/>
    <n v="4099"/>
    <n v="5740"/>
    <n v="286440"/>
    <n v="5.95"/>
    <n v="14"/>
    <n v="7.61"/>
    <n v="19.54"/>
    <n v="39.22"/>
    <n v="3.7"/>
    <n v="5827"/>
    <n v="3129"/>
    <n v="5"/>
    <n v="-2944879.54"/>
    <n v="-44.348057490685775"/>
    <n v="6640380"/>
  </r>
  <r>
    <s v="P0105"/>
    <s v="Model_692"/>
    <x v="1"/>
    <x v="1"/>
    <n v="2024"/>
    <s v="Q2"/>
    <n v="2740"/>
    <n v="5533"/>
    <n v="4071"/>
    <n v="254054"/>
    <n v="1.98"/>
    <n v="7"/>
    <n v="0.43"/>
    <n v="5.09"/>
    <n v="52.83"/>
    <n v="2.2999999999999998"/>
    <n v="16775"/>
    <n v="9652"/>
    <n v="5"/>
    <n v="3751820.91"/>
    <n v="24.747473420921057"/>
    <n v="15160420"/>
  </r>
  <r>
    <s v="P0106"/>
    <s v="Model_157"/>
    <x v="1"/>
    <x v="0"/>
    <n v="2024"/>
    <s v="Q2"/>
    <n v="3890"/>
    <n v="9928"/>
    <n v="12568"/>
    <n v="362727"/>
    <n v="12.98"/>
    <n v="6"/>
    <n v="8.65"/>
    <n v="6.52"/>
    <n v="73.069999999999993"/>
    <n v="2.5"/>
    <n v="9114"/>
    <n v="5195"/>
    <n v="9"/>
    <n v="-10632333.52"/>
    <n v="-27.530697940337522"/>
    <n v="38619920"/>
  </r>
  <r>
    <s v="P0107"/>
    <s v="Model_574"/>
    <x v="0"/>
    <x v="1"/>
    <n v="2023"/>
    <s v="Q1"/>
    <n v="1078"/>
    <n v="2804"/>
    <n v="13174"/>
    <n v="350536"/>
    <n v="2.36"/>
    <n v="14"/>
    <n v="1.19"/>
    <n v="2.31"/>
    <n v="75.45"/>
    <n v="5"/>
    <n v="2745"/>
    <n v="163"/>
    <n v="5"/>
    <n v="-11529398.310000001"/>
    <n v="-381.42563069190845"/>
    <n v="3022712"/>
  </r>
  <r>
    <s v="P0108"/>
    <s v="Model_240"/>
    <x v="0"/>
    <x v="3"/>
    <n v="2023"/>
    <s v="Q3"/>
    <n v="552"/>
    <n v="19185"/>
    <n v="4256"/>
    <n v="57461"/>
    <n v="4.6500000000000004"/>
    <n v="13"/>
    <n v="1.72"/>
    <n v="9.99"/>
    <n v="86.63"/>
    <n v="2"/>
    <n v="9743"/>
    <n v="1445"/>
    <n v="5"/>
    <n v="8183337.0099999998"/>
    <n v="77.273317110665403"/>
    <n v="10590120"/>
  </r>
  <r>
    <s v="P0109"/>
    <s v="Model_902"/>
    <x v="2"/>
    <x v="2"/>
    <n v="2023"/>
    <s v="Q1"/>
    <n v="4543"/>
    <n v="19935"/>
    <n v="8588"/>
    <n v="150123"/>
    <n v="4.3499999999999996"/>
    <n v="7"/>
    <n v="4.7699999999999996"/>
    <n v="10.47"/>
    <n v="75.94"/>
    <n v="3"/>
    <n v="11855"/>
    <n v="1074"/>
    <n v="14"/>
    <n v="51399287.530000001"/>
    <n v="56.754215154789058"/>
    <n v="90564705"/>
  </r>
  <r>
    <s v="P0110"/>
    <s v="Model_875"/>
    <x v="1"/>
    <x v="1"/>
    <n v="2023"/>
    <s v="Q1"/>
    <n v="920"/>
    <n v="10133"/>
    <n v="12498"/>
    <n v="322660"/>
    <n v="13.07"/>
    <n v="11"/>
    <n v="7.38"/>
    <n v="12.86"/>
    <n v="55.19"/>
    <n v="4.4000000000000004"/>
    <n v="2037"/>
    <n v="4261"/>
    <n v="3"/>
    <n v="-2498472.86"/>
    <n v="-26.800862228019511"/>
    <n v="9322360"/>
  </r>
  <r>
    <s v="P0111"/>
    <s v="Model_140"/>
    <x v="1"/>
    <x v="0"/>
    <n v="2023"/>
    <s v="Q3"/>
    <n v="4538"/>
    <n v="12872"/>
    <n v="9399"/>
    <n v="198586"/>
    <n v="10.09"/>
    <n v="12"/>
    <n v="1.39"/>
    <n v="17.72"/>
    <n v="24.37"/>
    <n v="2"/>
    <n v="17424"/>
    <n v="6062"/>
    <n v="13"/>
    <n v="15561870.279999999"/>
    <n v="26.641045740122564"/>
    <n v="58413136"/>
  </r>
  <r>
    <s v="P0112"/>
    <s v="Model_951"/>
    <x v="0"/>
    <x v="1"/>
    <n v="2023"/>
    <s v="Q2"/>
    <n v="256"/>
    <n v="10496"/>
    <n v="8450"/>
    <n v="433395"/>
    <n v="11.95"/>
    <n v="10"/>
    <n v="4.4000000000000004"/>
    <n v="22.65"/>
    <n v="17.98"/>
    <n v="2.7"/>
    <n v="17736"/>
    <n v="9914"/>
    <n v="11"/>
    <n v="90358.35"/>
    <n v="3.3628268358184075"/>
    <n v="2686976"/>
  </r>
  <r>
    <s v="P0113"/>
    <s v="Model_639"/>
    <x v="1"/>
    <x v="2"/>
    <n v="2023"/>
    <s v="Q2"/>
    <n v="1534"/>
    <n v="17958"/>
    <n v="3511"/>
    <n v="479484"/>
    <n v="3.76"/>
    <n v="16"/>
    <n v="4.83"/>
    <n v="3.44"/>
    <n v="14.36"/>
    <n v="3.5"/>
    <n v="18424"/>
    <n v="8749"/>
    <n v="8"/>
    <n v="21682210.559999999"/>
    <n v="78.708245358247893"/>
    <n v="27547572"/>
  </r>
  <r>
    <s v="P0114"/>
    <s v="Model_806"/>
    <x v="1"/>
    <x v="3"/>
    <n v="2023"/>
    <s v="Q1"/>
    <n v="913"/>
    <n v="6975"/>
    <n v="12080"/>
    <n v="281496"/>
    <n v="9.3699999999999992"/>
    <n v="16"/>
    <n v="2.12"/>
    <n v="1.36"/>
    <n v="63.32"/>
    <n v="2.9"/>
    <n v="18698"/>
    <n v="6696"/>
    <n v="5"/>
    <n v="-4942362.3600000003"/>
    <n v="-77.610341424348434"/>
    <n v="6368175"/>
  </r>
  <r>
    <s v="P0115"/>
    <s v="Model_407"/>
    <x v="1"/>
    <x v="0"/>
    <n v="2024"/>
    <s v="Q4"/>
    <n v="2840"/>
    <n v="8684"/>
    <n v="2468"/>
    <n v="217860"/>
    <n v="8.58"/>
    <n v="3"/>
    <n v="1.1599999999999999"/>
    <n v="0.46"/>
    <n v="74.599999999999994"/>
    <n v="2.8"/>
    <n v="2915"/>
    <n v="3430"/>
    <n v="12"/>
    <n v="17435579.539999999"/>
    <n v="70.696551939458033"/>
    <n v="24662560"/>
  </r>
  <r>
    <s v="P0116"/>
    <s v="Model_428"/>
    <x v="0"/>
    <x v="0"/>
    <n v="2023"/>
    <s v="Q3"/>
    <n v="613"/>
    <n v="14375"/>
    <n v="947"/>
    <n v="256821"/>
    <n v="12.49"/>
    <n v="7"/>
    <n v="8.36"/>
    <n v="3.59"/>
    <n v="50.69"/>
    <n v="2.5"/>
    <n v="12530"/>
    <n v="1840"/>
    <n v="7"/>
    <n v="7974539.4100000001"/>
    <n v="90.497645620256762"/>
    <n v="8811875"/>
  </r>
  <r>
    <s v="P0117"/>
    <s v="Model_868"/>
    <x v="1"/>
    <x v="3"/>
    <n v="2024"/>
    <s v="Q1"/>
    <n v="4241"/>
    <n v="3122"/>
    <n v="7220"/>
    <n v="242121"/>
    <n v="13.59"/>
    <n v="4"/>
    <n v="5.0199999999999996"/>
    <n v="16.45"/>
    <n v="14.38"/>
    <n v="3.3"/>
    <n v="3152"/>
    <n v="6155"/>
    <n v="4"/>
    <n v="-17621755.449999999"/>
    <n v="-133.0907887086812"/>
    <n v="13240402"/>
  </r>
  <r>
    <s v="P0118"/>
    <s v="Model_674"/>
    <x v="2"/>
    <x v="3"/>
    <n v="2023"/>
    <s v="Q1"/>
    <n v="1807"/>
    <n v="17488"/>
    <n v="13319"/>
    <n v="374637"/>
    <n v="0.18"/>
    <n v="15"/>
    <n v="0.14000000000000001"/>
    <n v="18.190000000000001"/>
    <n v="52.84"/>
    <n v="3.5"/>
    <n v="12357"/>
    <n v="6421"/>
    <n v="8"/>
    <n v="7158727.8099999996"/>
    <n v="22.653616950904052"/>
    <n v="31600816"/>
  </r>
  <r>
    <s v="P0119"/>
    <s v="Model_774"/>
    <x v="0"/>
    <x v="1"/>
    <n v="2024"/>
    <s v="Q3"/>
    <n v="1728"/>
    <n v="9541"/>
    <n v="12889"/>
    <n v="86027"/>
    <n v="10.11"/>
    <n v="3"/>
    <n v="8.0299999999999994"/>
    <n v="19.66"/>
    <n v="84.86"/>
    <n v="3.6"/>
    <n v="20240"/>
    <n v="2054"/>
    <n v="7"/>
    <n v="-5871390.6600000001"/>
    <n v="-35.612572275792196"/>
    <n v="16486848"/>
  </r>
  <r>
    <s v="P0120"/>
    <s v="Model_184"/>
    <x v="0"/>
    <x v="1"/>
    <n v="2023"/>
    <s v="Q1"/>
    <n v="3292"/>
    <n v="18225"/>
    <n v="10942"/>
    <n v="405691"/>
    <n v="0.78"/>
    <n v="14"/>
    <n v="9.81"/>
    <n v="6.09"/>
    <n v="57.81"/>
    <n v="1.3"/>
    <n v="5310"/>
    <n v="379"/>
    <n v="4"/>
    <n v="23569938.91"/>
    <n v="39.285392213238396"/>
    <n v="59996700"/>
  </r>
  <r>
    <s v="P0121"/>
    <s v="Model_715"/>
    <x v="0"/>
    <x v="1"/>
    <n v="2024"/>
    <s v="Q4"/>
    <n v="4686"/>
    <n v="19958"/>
    <n v="1165"/>
    <n v="223921"/>
    <n v="8.23"/>
    <n v="11"/>
    <n v="6.06"/>
    <n v="7.65"/>
    <n v="74.75"/>
    <n v="3.5"/>
    <n v="18069"/>
    <n v="2491"/>
    <n v="5"/>
    <n v="87840069.349999994"/>
    <n v="93.923305255590734"/>
    <n v="93523188"/>
  </r>
  <r>
    <s v="P0122"/>
    <s v="Model_936"/>
    <x v="0"/>
    <x v="2"/>
    <n v="2023"/>
    <s v="Q3"/>
    <n v="1109"/>
    <n v="9492"/>
    <n v="10666"/>
    <n v="412271"/>
    <n v="4.3099999999999996"/>
    <n v="4"/>
    <n v="5.04"/>
    <n v="12.08"/>
    <n v="74.010000000000005"/>
    <n v="4.8"/>
    <n v="3051"/>
    <n v="9332"/>
    <n v="11"/>
    <n v="-1714249.08"/>
    <n v="-16.284883250362796"/>
    <n v="10526628"/>
  </r>
  <r>
    <s v="P0123"/>
    <s v="Model_720"/>
    <x v="1"/>
    <x v="0"/>
    <n v="2023"/>
    <s v="Q2"/>
    <n v="1772"/>
    <n v="17146"/>
    <n v="5331"/>
    <n v="198930"/>
    <n v="4.5999999999999996"/>
    <n v="15"/>
    <n v="8.7799999999999994"/>
    <n v="1.58"/>
    <n v="84.57"/>
    <n v="3.2"/>
    <n v="15084"/>
    <n v="6539"/>
    <n v="6"/>
    <n v="20737248.420000002"/>
    <n v="68.253447618500957"/>
    <n v="30382712"/>
  </r>
  <r>
    <s v="P0124"/>
    <s v="Model_651"/>
    <x v="0"/>
    <x v="2"/>
    <n v="2023"/>
    <s v="Q3"/>
    <n v="3364"/>
    <n v="18529"/>
    <n v="13486"/>
    <n v="265234"/>
    <n v="5.29"/>
    <n v="13"/>
    <n v="9.5299999999999994"/>
    <n v="15.28"/>
    <n v="71.62"/>
    <n v="3.9"/>
    <n v="2261"/>
    <n v="1061"/>
    <n v="10"/>
    <n v="16699402.720000001"/>
    <n v="26.791249555842949"/>
    <n v="62331556"/>
  </r>
  <r>
    <s v="P0125"/>
    <s v="Model_366"/>
    <x v="0"/>
    <x v="0"/>
    <n v="2023"/>
    <s v="Q2"/>
    <n v="3207"/>
    <n v="5763"/>
    <n v="6130"/>
    <n v="129003"/>
    <n v="9.32"/>
    <n v="9"/>
    <n v="7.55"/>
    <n v="24.59"/>
    <n v="69.819999999999993"/>
    <n v="3.2"/>
    <n v="14011"/>
    <n v="6927"/>
    <n v="7"/>
    <n v="-1305996.5900000001"/>
    <n v="-7.0663389197054576"/>
    <n v="18481941"/>
  </r>
  <r>
    <s v="P0126"/>
    <s v="Model_301"/>
    <x v="0"/>
    <x v="0"/>
    <n v="2023"/>
    <s v="Q3"/>
    <n v="2675"/>
    <n v="15560"/>
    <n v="6310"/>
    <n v="233467"/>
    <n v="5.01"/>
    <n v="6"/>
    <n v="4.45"/>
    <n v="9.02"/>
    <n v="28.73"/>
    <n v="4.4000000000000004"/>
    <n v="10971"/>
    <n v="1317"/>
    <n v="14"/>
    <n v="24510273.98"/>
    <n v="58.886370468250725"/>
    <n v="41623000"/>
  </r>
  <r>
    <s v="P0127"/>
    <s v="Model_607"/>
    <x v="2"/>
    <x v="3"/>
    <n v="2023"/>
    <s v="Q4"/>
    <n v="2779"/>
    <n v="16656"/>
    <n v="11538"/>
    <n v="89758"/>
    <n v="10.99"/>
    <n v="12"/>
    <n v="5.92"/>
    <n v="18.82"/>
    <n v="14.79"/>
    <n v="4.7"/>
    <n v="13967"/>
    <n v="8666"/>
    <n v="5"/>
    <n v="14133145.18"/>
    <n v="30.533708928878212"/>
    <n v="46287024"/>
  </r>
  <r>
    <s v="P0128"/>
    <s v="Model_816"/>
    <x v="0"/>
    <x v="1"/>
    <n v="2023"/>
    <s v="Q1"/>
    <n v="1647"/>
    <n v="10146"/>
    <n v="9554"/>
    <n v="366456"/>
    <n v="6.07"/>
    <n v="19"/>
    <n v="7.01"/>
    <n v="12.5"/>
    <n v="51.41"/>
    <n v="1.7"/>
    <n v="7663"/>
    <n v="6107"/>
    <n v="12"/>
    <n v="608555.5"/>
    <n v="3.6417634653069437"/>
    <n v="16710462"/>
  </r>
  <r>
    <s v="P0129"/>
    <s v="Model_719"/>
    <x v="2"/>
    <x v="0"/>
    <n v="2023"/>
    <s v="Q4"/>
    <n v="3110"/>
    <n v="13164"/>
    <n v="12554"/>
    <n v="380814"/>
    <n v="1.03"/>
    <n v="4"/>
    <n v="1.94"/>
    <n v="3.2"/>
    <n v="19.95"/>
    <n v="2.7"/>
    <n v="17565"/>
    <n v="4230"/>
    <n v="12"/>
    <n v="1516282.8"/>
    <n v="3.7036671190355461"/>
    <n v="40940040"/>
  </r>
  <r>
    <s v="P0130"/>
    <s v="Model_899"/>
    <x v="0"/>
    <x v="0"/>
    <n v="2024"/>
    <s v="Q4"/>
    <n v="2743"/>
    <n v="4469"/>
    <n v="11481"/>
    <n v="132279"/>
    <n v="11.76"/>
    <n v="2"/>
    <n v="4.47"/>
    <n v="14.56"/>
    <n v="86.98"/>
    <n v="2.6"/>
    <n v="13386"/>
    <n v="1492"/>
    <n v="8"/>
    <n v="-19366209.559999999"/>
    <n v="-157.9823118176196"/>
    <n v="12258467"/>
  </r>
  <r>
    <s v="P0131"/>
    <s v="Model_295"/>
    <x v="0"/>
    <x v="3"/>
    <n v="2023"/>
    <s v="Q2"/>
    <n v="4941"/>
    <n v="4528"/>
    <n v="14372"/>
    <n v="65434"/>
    <n v="4.29"/>
    <n v="14"/>
    <n v="8.3000000000000007"/>
    <n v="7.5"/>
    <n v="33.19"/>
    <n v="2.6"/>
    <n v="19420"/>
    <n v="2176"/>
    <n v="3"/>
    <n v="-48704645.5"/>
    <n v="-217.69533096546314"/>
    <n v="22372848"/>
  </r>
  <r>
    <s v="P0132"/>
    <s v="Model_482"/>
    <x v="0"/>
    <x v="0"/>
    <n v="2023"/>
    <s v="Q1"/>
    <n v="3677"/>
    <n v="5129"/>
    <n v="9764"/>
    <n v="245119"/>
    <n v="6.49"/>
    <n v="3"/>
    <n v="6.55"/>
    <n v="0.86"/>
    <n v="78.239999999999995"/>
    <n v="1.5"/>
    <n v="7701"/>
    <n v="9066"/>
    <n v="5"/>
    <n v="-17288014.859999999"/>
    <n v="-91.668219973633214"/>
    <n v="18859333"/>
  </r>
  <r>
    <s v="P0133"/>
    <s v="Model_385"/>
    <x v="1"/>
    <x v="3"/>
    <n v="2024"/>
    <s v="Q1"/>
    <n v="1413"/>
    <n v="4567"/>
    <n v="7293"/>
    <n v="490991"/>
    <n v="10.28"/>
    <n v="14"/>
    <n v="4.1100000000000003"/>
    <n v="15.87"/>
    <n v="41.01"/>
    <n v="4.3"/>
    <n v="17080"/>
    <n v="4416"/>
    <n v="6"/>
    <n v="-4342844.87"/>
    <n v="-67.297842719494028"/>
    <n v="6453171"/>
  </r>
  <r>
    <s v="P0134"/>
    <s v="Model_819"/>
    <x v="0"/>
    <x v="1"/>
    <n v="2024"/>
    <s v="Q4"/>
    <n v="2031"/>
    <n v="7441"/>
    <n v="11029"/>
    <n v="387913"/>
    <n v="4.99"/>
    <n v="13"/>
    <n v="6.63"/>
    <n v="21.47"/>
    <n v="35.86"/>
    <n v="1.1000000000000001"/>
    <n v="20654"/>
    <n v="6296"/>
    <n v="5"/>
    <n v="-7675162.4699999997"/>
    <n v="-50.786273783105585"/>
    <n v="15112671"/>
  </r>
  <r>
    <s v="P0135"/>
    <s v="Model_409"/>
    <x v="2"/>
    <x v="2"/>
    <n v="2024"/>
    <s v="Q1"/>
    <n v="1713"/>
    <n v="19270"/>
    <n v="12415"/>
    <n v="295754"/>
    <n v="0.85"/>
    <n v="19"/>
    <n v="1.18"/>
    <n v="8.6199999999999992"/>
    <n v="84.81"/>
    <n v="3.1"/>
    <n v="8899"/>
    <n v="4689"/>
    <n v="5"/>
    <n v="11446852.380000001"/>
    <n v="34.677438047399072"/>
    <n v="33009510"/>
  </r>
  <r>
    <s v="P0136"/>
    <s v="Model_821"/>
    <x v="2"/>
    <x v="2"/>
    <n v="2024"/>
    <s v="Q1"/>
    <n v="1579"/>
    <n v="13055"/>
    <n v="11559"/>
    <n v="378821"/>
    <n v="5.61"/>
    <n v="18"/>
    <n v="4.01"/>
    <n v="9.76"/>
    <n v="39.07"/>
    <n v="3.6"/>
    <n v="18445"/>
    <n v="8242"/>
    <n v="12"/>
    <n v="1983353.24"/>
    <n v="9.621461886416629"/>
    <n v="20613845"/>
  </r>
  <r>
    <s v="P0137"/>
    <s v="Model_278"/>
    <x v="1"/>
    <x v="2"/>
    <n v="2023"/>
    <s v="Q4"/>
    <n v="2088"/>
    <n v="14581"/>
    <n v="6239"/>
    <n v="133555"/>
    <n v="14.17"/>
    <n v="12"/>
    <n v="7.93"/>
    <n v="22.28"/>
    <n v="41.22"/>
    <n v="1.8"/>
    <n v="9123"/>
    <n v="6360"/>
    <n v="14"/>
    <n v="17284518.719999999"/>
    <n v="56.772691906567118"/>
    <n v="30445128"/>
  </r>
  <r>
    <s v="P0138"/>
    <s v="Model_167"/>
    <x v="2"/>
    <x v="1"/>
    <n v="2023"/>
    <s v="Q1"/>
    <n v="3352"/>
    <n v="8319"/>
    <n v="10565"/>
    <n v="178379"/>
    <n v="9.6300000000000008"/>
    <n v="9"/>
    <n v="2.21"/>
    <n v="20.34"/>
    <n v="18.489999999999998"/>
    <n v="4.5999999999999996"/>
    <n v="11827"/>
    <n v="8571"/>
    <n v="10"/>
    <n v="-7706991.3399999999"/>
    <n v="-27.638198823695131"/>
    <n v="27885288"/>
  </r>
  <r>
    <s v="P0139"/>
    <s v="Model_641"/>
    <x v="2"/>
    <x v="0"/>
    <n v="2024"/>
    <s v="Q2"/>
    <n v="2287"/>
    <n v="12546"/>
    <n v="12686"/>
    <n v="266992"/>
    <n v="10.07"/>
    <n v="4"/>
    <n v="1.86"/>
    <n v="17.87"/>
    <n v="63.64"/>
    <n v="4.4000000000000004"/>
    <n v="8687"/>
    <n v="7997"/>
    <n v="12"/>
    <n v="-587189.87"/>
    <n v="-2.0464781253435107"/>
    <n v="28692702"/>
  </r>
  <r>
    <s v="P0140"/>
    <s v="Model_572"/>
    <x v="1"/>
    <x v="1"/>
    <n v="2024"/>
    <s v="Q3"/>
    <n v="1356"/>
    <n v="19217"/>
    <n v="14079"/>
    <n v="289511"/>
    <n v="9.48"/>
    <n v="19"/>
    <n v="9.51"/>
    <n v="6.22"/>
    <n v="33.11"/>
    <n v="2.9"/>
    <n v="3680"/>
    <n v="4941"/>
    <n v="14"/>
    <n v="6677610.7800000003"/>
    <n v="25.62570497821573"/>
    <n v="26058252"/>
  </r>
  <r>
    <s v="P0141"/>
    <s v="Model_569"/>
    <x v="1"/>
    <x v="1"/>
    <n v="2024"/>
    <s v="Q2"/>
    <n v="4079"/>
    <n v="4211"/>
    <n v="7311"/>
    <n v="226806"/>
    <n v="2.98"/>
    <n v="19"/>
    <n v="2.1"/>
    <n v="22.76"/>
    <n v="56.85"/>
    <n v="2.6"/>
    <n v="3460"/>
    <n v="7261"/>
    <n v="3"/>
    <n v="-12871728.76"/>
    <n v="-74.937281262158578"/>
    <n v="17176669"/>
  </r>
  <r>
    <s v="P0142"/>
    <s v="Model_288"/>
    <x v="2"/>
    <x v="3"/>
    <n v="2024"/>
    <s v="Q4"/>
    <n v="2725"/>
    <n v="6353"/>
    <n v="12283"/>
    <n v="413809"/>
    <n v="6.28"/>
    <n v="5"/>
    <n v="2.61"/>
    <n v="3.86"/>
    <n v="57.31"/>
    <n v="1.9"/>
    <n v="6653"/>
    <n v="9766"/>
    <n v="7"/>
    <n v="-16573062.859999999"/>
    <n v="-95.7320624944944"/>
    <n v="17311925"/>
  </r>
  <r>
    <s v="P0143"/>
    <s v="Model_106"/>
    <x v="0"/>
    <x v="3"/>
    <n v="2023"/>
    <s v="Q3"/>
    <n v="1332"/>
    <n v="9215"/>
    <n v="8304"/>
    <n v="483819"/>
    <n v="11.26"/>
    <n v="3"/>
    <n v="9.6999999999999993"/>
    <n v="15.67"/>
    <n v="67.540000000000006"/>
    <n v="3.9"/>
    <n v="8535"/>
    <n v="1159"/>
    <n v="9"/>
    <n v="729617.33"/>
    <n v="5.9442296067092597"/>
    <n v="12274380"/>
  </r>
  <r>
    <s v="P0144"/>
    <s v="Model_135"/>
    <x v="0"/>
    <x v="3"/>
    <n v="2023"/>
    <s v="Q3"/>
    <n v="759"/>
    <n v="10442"/>
    <n v="2046"/>
    <n v="118803"/>
    <n v="1.52"/>
    <n v="1"/>
    <n v="7.35"/>
    <n v="0.72"/>
    <n v="69.62"/>
    <n v="1.5"/>
    <n v="12971"/>
    <n v="2022"/>
    <n v="9"/>
    <n v="6253760.2800000003"/>
    <n v="78.907042326027536"/>
    <n v="7925478"/>
  </r>
  <r>
    <s v="P0145"/>
    <s v="Model_288"/>
    <x v="1"/>
    <x v="1"/>
    <n v="2024"/>
    <s v="Q3"/>
    <n v="4794"/>
    <n v="17007"/>
    <n v="12711"/>
    <n v="482548"/>
    <n v="4.17"/>
    <n v="15"/>
    <n v="7"/>
    <n v="16.09"/>
    <n v="51.16"/>
    <n v="3.7"/>
    <n v="2082"/>
    <n v="6201"/>
    <n v="12"/>
    <n v="20112459.91"/>
    <n v="24.668312986242704"/>
    <n v="81531558"/>
  </r>
  <r>
    <s v="P0146"/>
    <s v="Model_390"/>
    <x v="2"/>
    <x v="3"/>
    <n v="2024"/>
    <s v="Q2"/>
    <n v="4463"/>
    <n v="17326"/>
    <n v="4639"/>
    <n v="403847"/>
    <n v="4.1399999999999997"/>
    <n v="17"/>
    <n v="8.5299999999999994"/>
    <n v="6.93"/>
    <n v="36.479999999999997"/>
    <n v="4.4000000000000004"/>
    <n v="17014"/>
    <n v="4692"/>
    <n v="8"/>
    <n v="56218227.07"/>
    <n v="72.702935811784144"/>
    <n v="77325938"/>
  </r>
  <r>
    <s v="P0147"/>
    <s v="Model_741"/>
    <x v="2"/>
    <x v="1"/>
    <n v="2023"/>
    <s v="Q1"/>
    <n v="3798"/>
    <n v="3262"/>
    <n v="9351"/>
    <n v="333456"/>
    <n v="6.48"/>
    <n v="4"/>
    <n v="1.1599999999999999"/>
    <n v="11.24"/>
    <n v="77"/>
    <n v="1.9"/>
    <n v="17031"/>
    <n v="6449"/>
    <n v="11"/>
    <n v="-23459489.239999998"/>
    <n v="-189.35624609938625"/>
    <n v="12389076"/>
  </r>
  <r>
    <s v="P0148"/>
    <s v="Model_574"/>
    <x v="1"/>
    <x v="0"/>
    <n v="2024"/>
    <s v="Q2"/>
    <n v="4829"/>
    <n v="17350"/>
    <n v="14008"/>
    <n v="274448"/>
    <n v="14.71"/>
    <n v="3"/>
    <n v="7.06"/>
    <n v="8.6300000000000008"/>
    <n v="34.79"/>
    <n v="4.5"/>
    <n v="18172"/>
    <n v="2573"/>
    <n v="12"/>
    <n v="15864061.369999999"/>
    <n v="18.934668092569925"/>
    <n v="83783150"/>
  </r>
  <r>
    <s v="P0149"/>
    <s v="Model_647"/>
    <x v="1"/>
    <x v="0"/>
    <n v="2023"/>
    <s v="Q3"/>
    <n v="713"/>
    <n v="13612"/>
    <n v="3176"/>
    <n v="225251"/>
    <n v="1.01"/>
    <n v="12"/>
    <n v="5.04"/>
    <n v="4.32"/>
    <n v="50.6"/>
    <n v="1.1000000000000001"/>
    <n v="9479"/>
    <n v="8208"/>
    <n v="5"/>
    <n v="7215612.6799999997"/>
    <n v="74.346707941470669"/>
    <n v="9705356"/>
  </r>
  <r>
    <s v="P0150"/>
    <s v="Model_457"/>
    <x v="0"/>
    <x v="3"/>
    <n v="2023"/>
    <s v="Q4"/>
    <n v="2048"/>
    <n v="14152"/>
    <n v="3809"/>
    <n v="252514"/>
    <n v="7.78"/>
    <n v="18"/>
    <n v="8.2899999999999991"/>
    <n v="15.55"/>
    <n v="42.1"/>
    <n v="4.7"/>
    <n v="4560"/>
    <n v="8196"/>
    <n v="8"/>
    <n v="20929934.449999999"/>
    <n v="72.213782897569686"/>
    <n v="28983296"/>
  </r>
  <r>
    <s v="P0151"/>
    <s v="Model_570"/>
    <x v="0"/>
    <x v="0"/>
    <n v="2023"/>
    <s v="Q1"/>
    <n v="3495"/>
    <n v="7622"/>
    <n v="11985"/>
    <n v="295404"/>
    <n v="2.69"/>
    <n v="1"/>
    <n v="5.08"/>
    <n v="22.05"/>
    <n v="78.41"/>
    <n v="1.5"/>
    <n v="15231"/>
    <n v="6848"/>
    <n v="14"/>
    <n v="-15544111.050000001"/>
    <n v="-58.351196502556981"/>
    <n v="26638890"/>
  </r>
  <r>
    <s v="P0152"/>
    <s v="Model_962"/>
    <x v="2"/>
    <x v="1"/>
    <n v="2024"/>
    <s v="Q4"/>
    <n v="3793"/>
    <n v="1981"/>
    <n v="9954"/>
    <n v="167961"/>
    <n v="14.56"/>
    <n v="12"/>
    <n v="6.2"/>
    <n v="23.98"/>
    <n v="44.55"/>
    <n v="3.6"/>
    <n v="13794"/>
    <n v="4649"/>
    <n v="11"/>
    <n v="-30409573.98"/>
    <n v="-404.70914473152743"/>
    <n v="7513933"/>
  </r>
  <r>
    <s v="P0153"/>
    <s v="Model_858"/>
    <x v="2"/>
    <x v="1"/>
    <n v="2024"/>
    <s v="Q3"/>
    <n v="1545"/>
    <n v="16036"/>
    <n v="12624"/>
    <n v="352523"/>
    <n v="1.7"/>
    <n v="10"/>
    <n v="4.78"/>
    <n v="4.8099999999999996"/>
    <n v="40.89"/>
    <n v="2"/>
    <n v="19067"/>
    <n v="694"/>
    <n v="7"/>
    <n v="4919012.1900000004"/>
    <n v="19.854244575917779"/>
    <n v="24775620"/>
  </r>
  <r>
    <s v="P0154"/>
    <s v="Model_420"/>
    <x v="0"/>
    <x v="0"/>
    <n v="2023"/>
    <s v="Q2"/>
    <n v="3354"/>
    <n v="1653"/>
    <n v="2627"/>
    <n v="67297"/>
    <n v="6.05"/>
    <n v="3"/>
    <n v="4.78"/>
    <n v="17.93"/>
    <n v="65.19"/>
    <n v="4.3"/>
    <n v="15774"/>
    <n v="5552"/>
    <n v="12"/>
    <n v="-3334110.93"/>
    <n v="-60.137328779353851"/>
    <n v="5544162"/>
  </r>
  <r>
    <s v="P0155"/>
    <s v="Model_569"/>
    <x v="0"/>
    <x v="3"/>
    <n v="2024"/>
    <s v="Q1"/>
    <n v="3813"/>
    <n v="9117"/>
    <n v="7779"/>
    <n v="314155"/>
    <n v="11.07"/>
    <n v="19"/>
    <n v="7.68"/>
    <n v="16.61"/>
    <n v="58.2"/>
    <n v="3"/>
    <n v="19330"/>
    <n v="606"/>
    <n v="7"/>
    <n v="4787622.3899999997"/>
    <n v="13.772130500020408"/>
    <n v="34763121"/>
  </r>
  <r>
    <s v="P0156"/>
    <s v="Model_975"/>
    <x v="1"/>
    <x v="2"/>
    <n v="2024"/>
    <s v="Q3"/>
    <n v="1903"/>
    <n v="3024"/>
    <n v="10605"/>
    <n v="170234"/>
    <n v="10.57"/>
    <n v="19"/>
    <n v="6.29"/>
    <n v="8.58"/>
    <n v="18.579999999999998"/>
    <n v="1.5"/>
    <n v="17848"/>
    <n v="4989"/>
    <n v="3"/>
    <n v="-14596885.58"/>
    <n v="-253.65278125321478"/>
    <n v="5754672"/>
  </r>
  <r>
    <s v="P0157"/>
    <s v="Model_539"/>
    <x v="0"/>
    <x v="0"/>
    <n v="2024"/>
    <s v="Q4"/>
    <n v="4709"/>
    <n v="3620"/>
    <n v="10632"/>
    <n v="94014"/>
    <n v="6.34"/>
    <n v="14"/>
    <n v="6.33"/>
    <n v="0.48"/>
    <n v="50.65"/>
    <n v="3.3"/>
    <n v="3403"/>
    <n v="7737"/>
    <n v="9"/>
    <n v="-33113522.48"/>
    <n v="-194.25317265985319"/>
    <n v="17046580"/>
  </r>
  <r>
    <s v="P0158"/>
    <s v="Model_957"/>
    <x v="1"/>
    <x v="3"/>
    <n v="2024"/>
    <s v="Q3"/>
    <n v="1341"/>
    <n v="16548"/>
    <n v="11208"/>
    <n v="293166"/>
    <n v="5.2"/>
    <n v="3"/>
    <n v="4.5"/>
    <n v="17.239999999999998"/>
    <n v="68.84"/>
    <n v="2.6"/>
    <n v="16051"/>
    <n v="8312"/>
    <n v="9"/>
    <n v="6867756.7599999998"/>
    <n v="30.948571998175105"/>
    <n v="22190868"/>
  </r>
  <r>
    <s v="P0159"/>
    <s v="Model_147"/>
    <x v="1"/>
    <x v="2"/>
    <n v="2024"/>
    <s v="Q4"/>
    <n v="3631"/>
    <n v="3843"/>
    <n v="13304"/>
    <n v="454954"/>
    <n v="5.96"/>
    <n v="8"/>
    <n v="5.31"/>
    <n v="23.64"/>
    <n v="89.37"/>
    <n v="3.6"/>
    <n v="16641"/>
    <n v="1499"/>
    <n v="12"/>
    <n v="-34807868.640000001"/>
    <n v="-249.448443245356"/>
    <n v="13953933"/>
  </r>
  <r>
    <s v="P0160"/>
    <s v="Model_693"/>
    <x v="0"/>
    <x v="2"/>
    <n v="2024"/>
    <s v="Q3"/>
    <n v="3507"/>
    <n v="6636"/>
    <n v="9369"/>
    <n v="406477"/>
    <n v="3.96"/>
    <n v="6"/>
    <n v="7.46"/>
    <n v="15.8"/>
    <n v="60.33"/>
    <n v="4.5"/>
    <n v="3877"/>
    <n v="3301"/>
    <n v="8"/>
    <n v="-9991123.8000000007"/>
    <n v="-42.931117872753596"/>
    <n v="23272452"/>
  </r>
  <r>
    <s v="P0161"/>
    <s v="Model_271"/>
    <x v="1"/>
    <x v="3"/>
    <n v="2023"/>
    <s v="Q3"/>
    <n v="1686"/>
    <n v="2740"/>
    <n v="13206"/>
    <n v="228570"/>
    <n v="3.08"/>
    <n v="18"/>
    <n v="8.26"/>
    <n v="10.88"/>
    <n v="39.619999999999997"/>
    <n v="2.6"/>
    <n v="2347"/>
    <n v="7954"/>
    <n v="12"/>
    <n v="-17874256.879999999"/>
    <n v="-386.91882657523092"/>
    <n v="4619640"/>
  </r>
  <r>
    <s v="P0162"/>
    <s v="Model_354"/>
    <x v="2"/>
    <x v="0"/>
    <n v="2024"/>
    <s v="Q1"/>
    <n v="3746"/>
    <n v="1560"/>
    <n v="5085"/>
    <n v="308864"/>
    <n v="7.25"/>
    <n v="18"/>
    <n v="6.97"/>
    <n v="13.13"/>
    <n v="28.09"/>
    <n v="2.2000000000000002"/>
    <n v="15880"/>
    <n v="6863"/>
    <n v="10"/>
    <n v="-13513527.130000001"/>
    <n v="-231.24712736320453"/>
    <n v="5843760"/>
  </r>
  <r>
    <s v="P0163"/>
    <s v="Model_831"/>
    <x v="2"/>
    <x v="2"/>
    <n v="2023"/>
    <s v="Q2"/>
    <n v="3049"/>
    <n v="10630"/>
    <n v="7710"/>
    <n v="323264"/>
    <n v="4.03"/>
    <n v="5"/>
    <n v="9.24"/>
    <n v="4.99"/>
    <n v="79.83"/>
    <n v="1.1000000000000001"/>
    <n v="19123"/>
    <n v="8062"/>
    <n v="9"/>
    <n v="8579811.0099999998"/>
    <n v="26.472016980722824"/>
    <n v="32410870"/>
  </r>
  <r>
    <s v="P0164"/>
    <s v="Model_838"/>
    <x v="1"/>
    <x v="0"/>
    <n v="2024"/>
    <s v="Q4"/>
    <n v="3202"/>
    <n v="19523"/>
    <n v="9361"/>
    <n v="451983"/>
    <n v="4.3099999999999996"/>
    <n v="5"/>
    <n v="8.1999999999999993"/>
    <n v="18.760000000000002"/>
    <n v="75.17"/>
    <n v="3.3"/>
    <n v="11024"/>
    <n v="5290"/>
    <n v="10"/>
    <n v="32086722.239999998"/>
    <n v="51.328370006926271"/>
    <n v="62512646"/>
  </r>
  <r>
    <s v="P0165"/>
    <s v="Model_597"/>
    <x v="1"/>
    <x v="3"/>
    <n v="2023"/>
    <s v="Q3"/>
    <n v="748"/>
    <n v="13812"/>
    <n v="14889"/>
    <n v="334996"/>
    <n v="9.85"/>
    <n v="19"/>
    <n v="5.62"/>
    <n v="18.66"/>
    <n v="28.71"/>
    <n v="2.6"/>
    <n v="16731"/>
    <n v="5781"/>
    <n v="10"/>
    <n v="-1140610.6599999999"/>
    <n v="-11.040258916140502"/>
    <n v="10331376"/>
  </r>
  <r>
    <s v="P0166"/>
    <s v="Model_348"/>
    <x v="1"/>
    <x v="3"/>
    <n v="2024"/>
    <s v="Q1"/>
    <n v="2210"/>
    <n v="14850"/>
    <n v="2996"/>
    <n v="391383"/>
    <n v="14.53"/>
    <n v="14"/>
    <n v="6.71"/>
    <n v="3.64"/>
    <n v="26.05"/>
    <n v="2.5"/>
    <n v="13198"/>
    <n v="3778"/>
    <n v="7"/>
    <n v="25805953.359999999"/>
    <n v="78.632336517512996"/>
    <n v="32818500"/>
  </r>
  <r>
    <s v="P0167"/>
    <s v="Model_892"/>
    <x v="2"/>
    <x v="3"/>
    <n v="2024"/>
    <s v="Q2"/>
    <n v="4147"/>
    <n v="13918"/>
    <n v="4547"/>
    <n v="444145"/>
    <n v="9.0500000000000007"/>
    <n v="14"/>
    <n v="9.26"/>
    <n v="21.95"/>
    <n v="67.209999999999994"/>
    <n v="1.7"/>
    <n v="12071"/>
    <n v="436"/>
    <n v="3"/>
    <n v="38417370.049999997"/>
    <n v="66.560528765178162"/>
    <n v="57717946"/>
  </r>
  <r>
    <s v="P0168"/>
    <s v="Model_439"/>
    <x v="0"/>
    <x v="2"/>
    <n v="2024"/>
    <s v="Q3"/>
    <n v="4787"/>
    <n v="2752"/>
    <n v="9643"/>
    <n v="258559"/>
    <n v="1.1499999999999999"/>
    <n v="19"/>
    <n v="6.19"/>
    <n v="6.73"/>
    <n v="35.200000000000003"/>
    <n v="2.7"/>
    <n v="13814"/>
    <n v="1767"/>
    <n v="13"/>
    <n v="-33245782.73"/>
    <n v="-252.36243273023837"/>
    <n v="13173824"/>
  </r>
  <r>
    <s v="P0169"/>
    <s v="Model_831"/>
    <x v="2"/>
    <x v="2"/>
    <n v="2024"/>
    <s v="Q3"/>
    <n v="904"/>
    <n v="9863"/>
    <n v="6778"/>
    <n v="141575"/>
    <n v="1.1299999999999999"/>
    <n v="8"/>
    <n v="8.25"/>
    <n v="24.56"/>
    <n v="34.51"/>
    <n v="4.9000000000000004"/>
    <n v="12929"/>
    <n v="1009"/>
    <n v="8"/>
    <n v="2647240.44"/>
    <n v="29.690391550076761"/>
    <n v="8916152"/>
  </r>
  <r>
    <s v="P0170"/>
    <s v="Model_431"/>
    <x v="1"/>
    <x v="0"/>
    <n v="2024"/>
    <s v="Q3"/>
    <n v="3524"/>
    <n v="11150"/>
    <n v="6407"/>
    <n v="145040"/>
    <n v="14.27"/>
    <n v="3"/>
    <n v="6.89"/>
    <n v="9.57"/>
    <n v="22.18"/>
    <n v="2.2000000000000002"/>
    <n v="3865"/>
    <n v="8567"/>
    <n v="4"/>
    <n v="16569282.43"/>
    <n v="42.168964207000812"/>
    <n v="39292600"/>
  </r>
  <r>
    <s v="P0171"/>
    <s v="Model_244"/>
    <x v="0"/>
    <x v="3"/>
    <n v="2023"/>
    <s v="Q1"/>
    <n v="1757"/>
    <n v="17814"/>
    <n v="1569"/>
    <n v="198510"/>
    <n v="4.46"/>
    <n v="17"/>
    <n v="5.52"/>
    <n v="4.45"/>
    <n v="31.12"/>
    <n v="3.4"/>
    <n v="12104"/>
    <n v="9183"/>
    <n v="14"/>
    <n v="28343950.550000001"/>
    <n v="90.558072925702447"/>
    <n v="31299198"/>
  </r>
  <r>
    <s v="P0172"/>
    <s v="Model_650"/>
    <x v="1"/>
    <x v="2"/>
    <n v="2023"/>
    <s v="Q4"/>
    <n v="2827"/>
    <n v="5590"/>
    <n v="11413"/>
    <n v="229587"/>
    <n v="1.38"/>
    <n v="17"/>
    <n v="2.42"/>
    <n v="8.7899999999999991"/>
    <n v="44.2"/>
    <n v="4.0999999999999996"/>
    <n v="12866"/>
    <n v="8304"/>
    <n v="8"/>
    <n v="-16691216.789999999"/>
    <n v="-105.62102591101777"/>
    <n v="15802930"/>
  </r>
  <r>
    <s v="P0173"/>
    <s v="Model_420"/>
    <x v="0"/>
    <x v="1"/>
    <n v="2024"/>
    <s v="Q2"/>
    <n v="1783"/>
    <n v="8460"/>
    <n v="1580"/>
    <n v="55744"/>
    <n v="8.99"/>
    <n v="4"/>
    <n v="4.26"/>
    <n v="11"/>
    <n v="68.63"/>
    <n v="4"/>
    <n v="6555"/>
    <n v="5222"/>
    <n v="10"/>
    <n v="12211285"/>
    <n v="80.954251407766293"/>
    <n v="15084180"/>
  </r>
  <r>
    <s v="P0174"/>
    <s v="Model_777"/>
    <x v="2"/>
    <x v="0"/>
    <n v="2023"/>
    <s v="Q2"/>
    <n v="4981"/>
    <n v="4504"/>
    <n v="10708"/>
    <n v="264892"/>
    <n v="9.35"/>
    <n v="19"/>
    <n v="9.68"/>
    <n v="1.73"/>
    <n v="36.9"/>
    <n v="2.2999999999999998"/>
    <n v="7122"/>
    <n v="8253"/>
    <n v="11"/>
    <n v="-31167017.73"/>
    <n v="-138.92497409338435"/>
    <n v="22434424"/>
  </r>
  <r>
    <s v="P0175"/>
    <s v="Model_666"/>
    <x v="1"/>
    <x v="3"/>
    <n v="2024"/>
    <s v="Q2"/>
    <n v="3560"/>
    <n v="18213"/>
    <n v="7103"/>
    <n v="485633"/>
    <n v="9.73"/>
    <n v="10"/>
    <n v="6.58"/>
    <n v="14.46"/>
    <n v="36.29"/>
    <n v="3.4"/>
    <n v="18256"/>
    <n v="1073"/>
    <n v="11"/>
    <n v="39065952.539999999"/>
    <n v="60.251370856845675"/>
    <n v="64838280"/>
  </r>
  <r>
    <s v="P0176"/>
    <s v="Model_725"/>
    <x v="1"/>
    <x v="0"/>
    <n v="2023"/>
    <s v="Q1"/>
    <n v="252"/>
    <n v="5140"/>
    <n v="4783"/>
    <n v="450285"/>
    <n v="4.01"/>
    <n v="4"/>
    <n v="5.64"/>
    <n v="14.94"/>
    <n v="32.79"/>
    <n v="4.5"/>
    <n v="9283"/>
    <n v="4370"/>
    <n v="3"/>
    <n v="-360335.94"/>
    <n v="-27.819154159718362"/>
    <n v="1295280"/>
  </r>
  <r>
    <s v="P0177"/>
    <s v="Model_637"/>
    <x v="2"/>
    <x v="0"/>
    <n v="2024"/>
    <s v="Q4"/>
    <n v="3305"/>
    <n v="2841"/>
    <n v="10303"/>
    <n v="354503"/>
    <n v="0.23"/>
    <n v="3"/>
    <n v="9.33"/>
    <n v="18.47"/>
    <n v="48.26"/>
    <n v="1.1000000000000001"/>
    <n v="3449"/>
    <n v="1508"/>
    <n v="14"/>
    <n v="-25016431.469999999"/>
    <n v="-266.42971562398657"/>
    <n v="9389505"/>
  </r>
  <r>
    <s v="P0178"/>
    <s v="Model_703"/>
    <x v="0"/>
    <x v="3"/>
    <n v="2023"/>
    <s v="Q4"/>
    <n v="4268"/>
    <n v="13355"/>
    <n v="12351"/>
    <n v="200871"/>
    <n v="14.48"/>
    <n v="11"/>
    <n v="5.87"/>
    <n v="0.73"/>
    <n v="24.45"/>
    <n v="2.7"/>
    <n v="18128"/>
    <n v="2388"/>
    <n v="7"/>
    <n v="4084200.27"/>
    <n v="7.1653717406964388"/>
    <n v="56999140"/>
  </r>
  <r>
    <s v="P0179"/>
    <s v="Model_543"/>
    <x v="1"/>
    <x v="1"/>
    <n v="2023"/>
    <s v="Q2"/>
    <n v="4546"/>
    <n v="1838"/>
    <n v="14337"/>
    <n v="410890"/>
    <n v="3.76"/>
    <n v="1"/>
    <n v="5.26"/>
    <n v="13.53"/>
    <n v="48.85"/>
    <n v="1.9"/>
    <n v="11532"/>
    <n v="8838"/>
    <n v="14"/>
    <n v="-57231357.530000001"/>
    <n v="-684.95037704289416"/>
    <n v="8355548"/>
  </r>
  <r>
    <s v="P0180"/>
    <s v="Model_295"/>
    <x v="1"/>
    <x v="3"/>
    <n v="2024"/>
    <s v="Q3"/>
    <n v="816"/>
    <n v="7395"/>
    <n v="9514"/>
    <n v="274834"/>
    <n v="10.14"/>
    <n v="12"/>
    <n v="7.59"/>
    <n v="1.32"/>
    <n v="66.33"/>
    <n v="2.6"/>
    <n v="13119"/>
    <n v="1318"/>
    <n v="7"/>
    <n v="-2003939.32"/>
    <n v="-33.209032997918577"/>
    <n v="6034320"/>
  </r>
  <r>
    <s v="P0181"/>
    <s v="Model_109"/>
    <x v="1"/>
    <x v="2"/>
    <n v="2024"/>
    <s v="Q4"/>
    <n v="4439"/>
    <n v="13754"/>
    <n v="1321"/>
    <n v="170906"/>
    <n v="10.6"/>
    <n v="9"/>
    <n v="7.13"/>
    <n v="17.53"/>
    <n v="12.38"/>
    <n v="2.7"/>
    <n v="18008"/>
    <n v="1520"/>
    <n v="10"/>
    <n v="55019163.469999999"/>
    <n v="90.115566650941787"/>
    <n v="61054006"/>
  </r>
  <r>
    <s v="P0182"/>
    <s v="Model_523"/>
    <x v="0"/>
    <x v="0"/>
    <n v="2023"/>
    <s v="Q2"/>
    <n v="2377"/>
    <n v="12844"/>
    <n v="13870"/>
    <n v="251260"/>
    <n v="9.15"/>
    <n v="8"/>
    <n v="1.93"/>
    <n v="1.39"/>
    <n v="10.78"/>
    <n v="4"/>
    <n v="14324"/>
    <n v="9746"/>
    <n v="14"/>
    <n v="-2690063.39"/>
    <n v="-8.8111589420936429"/>
    <n v="30530188"/>
  </r>
  <r>
    <s v="P0183"/>
    <s v="Model_353"/>
    <x v="2"/>
    <x v="2"/>
    <n v="2023"/>
    <s v="Q1"/>
    <n v="2981"/>
    <n v="3250"/>
    <n v="11312"/>
    <n v="270931"/>
    <n v="4.6900000000000004"/>
    <n v="9"/>
    <n v="4.71"/>
    <n v="22.79"/>
    <n v="16.010000000000002"/>
    <n v="1.4"/>
    <n v="12445"/>
    <n v="3477"/>
    <n v="10"/>
    <n v="-24303775.789999999"/>
    <n v="-250.85826428921632"/>
    <n v="9688250"/>
  </r>
  <r>
    <s v="P0184"/>
    <s v="Model_382"/>
    <x v="2"/>
    <x v="2"/>
    <n v="2023"/>
    <s v="Q4"/>
    <n v="247"/>
    <n v="3921"/>
    <n v="9927"/>
    <n v="303593"/>
    <n v="4.07"/>
    <n v="6"/>
    <n v="4.7300000000000004"/>
    <n v="17.55"/>
    <n v="52.85"/>
    <n v="3.1"/>
    <n v="3419"/>
    <n v="7601"/>
    <n v="14"/>
    <n v="-1787092.55"/>
    <n v="-184.5241650120239"/>
    <n v="968487"/>
  </r>
  <r>
    <s v="P0185"/>
    <s v="Model_961"/>
    <x v="1"/>
    <x v="1"/>
    <n v="2023"/>
    <s v="Q3"/>
    <n v="1980"/>
    <n v="8619"/>
    <n v="8369"/>
    <n v="288746"/>
    <n v="8.9700000000000006"/>
    <n v="3"/>
    <n v="3.78"/>
    <n v="12.68"/>
    <n v="78.36"/>
    <n v="3.3"/>
    <n v="11327"/>
    <n v="4198"/>
    <n v="6"/>
    <n v="206241.32"/>
    <n v="1.2085193506007987"/>
    <n v="17065620"/>
  </r>
  <r>
    <s v="P0186"/>
    <s v="Model_105"/>
    <x v="2"/>
    <x v="2"/>
    <n v="2024"/>
    <s v="Q4"/>
    <n v="3632"/>
    <n v="6819"/>
    <n v="11222"/>
    <n v="57597"/>
    <n v="12.99"/>
    <n v="18"/>
    <n v="5.17"/>
    <n v="11.04"/>
    <n v="10.39"/>
    <n v="3"/>
    <n v="11117"/>
    <n v="2838"/>
    <n v="6"/>
    <n v="-16049304.039999999"/>
    <n v="-64.802188656597622"/>
    <n v="24766608"/>
  </r>
  <r>
    <s v="P0187"/>
    <s v="Model_695"/>
    <x v="2"/>
    <x v="0"/>
    <n v="2024"/>
    <s v="Q2"/>
    <n v="658"/>
    <n v="17396"/>
    <n v="13032"/>
    <n v="359237"/>
    <n v="14.2"/>
    <n v="9"/>
    <n v="4.13"/>
    <n v="3.27"/>
    <n v="84.93"/>
    <n v="3.9"/>
    <n v="11232"/>
    <n v="7719"/>
    <n v="10"/>
    <n v="2512271.73"/>
    <n v="21.947816410997603"/>
    <n v="11446568"/>
  </r>
  <r>
    <s v="P0188"/>
    <s v="Model_602"/>
    <x v="0"/>
    <x v="0"/>
    <n v="2024"/>
    <s v="Q4"/>
    <n v="3322"/>
    <n v="13418"/>
    <n v="6584"/>
    <n v="480442"/>
    <n v="1.59"/>
    <n v="2"/>
    <n v="1.99"/>
    <n v="7.27"/>
    <n v="18.5"/>
    <n v="2.5"/>
    <n v="2030"/>
    <n v="1942"/>
    <n v="9"/>
    <n v="22222098.73"/>
    <n v="49.85372998108609"/>
    <n v="44574596"/>
  </r>
  <r>
    <s v="P0189"/>
    <s v="Model_772"/>
    <x v="2"/>
    <x v="3"/>
    <n v="2024"/>
    <s v="Q3"/>
    <n v="1197"/>
    <n v="15349"/>
    <n v="5383"/>
    <n v="253199"/>
    <n v="2.3199999999999998"/>
    <n v="18"/>
    <n v="4.12"/>
    <n v="21.72"/>
    <n v="77.36"/>
    <n v="4.8"/>
    <n v="9349"/>
    <n v="9038"/>
    <n v="8"/>
    <n v="11676081.279999999"/>
    <n v="63.551070871088285"/>
    <n v="18372753"/>
  </r>
  <r>
    <s v="P0190"/>
    <s v="Model_869"/>
    <x v="1"/>
    <x v="0"/>
    <n v="2024"/>
    <s v="Q4"/>
    <n v="4332"/>
    <n v="6373"/>
    <n v="6746"/>
    <n v="426794"/>
    <n v="14.17"/>
    <n v="1"/>
    <n v="0.72"/>
    <n v="22.61"/>
    <n v="48.63"/>
    <n v="2.9"/>
    <n v="8429"/>
    <n v="2916"/>
    <n v="9"/>
    <n v="-2042652.61"/>
    <n v="-7.3988146336424201"/>
    <n v="27607836"/>
  </r>
  <r>
    <s v="P0191"/>
    <s v="Model_762"/>
    <x v="0"/>
    <x v="2"/>
    <n v="2024"/>
    <s v="Q4"/>
    <n v="3447"/>
    <n v="6306"/>
    <n v="5741"/>
    <n v="258434"/>
    <n v="11.05"/>
    <n v="19"/>
    <n v="5.76"/>
    <n v="0.02"/>
    <n v="62.75"/>
    <n v="3.3"/>
    <n v="5849"/>
    <n v="9163"/>
    <n v="7"/>
    <n v="1689120.98"/>
    <n v="7.7707959715472148"/>
    <n v="21736782"/>
  </r>
  <r>
    <s v="P0192"/>
    <s v="Model_545"/>
    <x v="1"/>
    <x v="0"/>
    <n v="2024"/>
    <s v="Q2"/>
    <n v="2561"/>
    <n v="10092"/>
    <n v="7067"/>
    <n v="207489"/>
    <n v="13.24"/>
    <n v="9"/>
    <n v="8.5399999999999991"/>
    <n v="14.85"/>
    <n v="50.85"/>
    <n v="4.3"/>
    <n v="15956"/>
    <n v="594"/>
    <n v="4"/>
    <n v="7539521.1500000004"/>
    <n v="29.171377911267882"/>
    <n v="25845612"/>
  </r>
  <r>
    <s v="P0193"/>
    <s v="Model_143"/>
    <x v="1"/>
    <x v="2"/>
    <n v="2023"/>
    <s v="Q1"/>
    <n v="1844"/>
    <n v="13682"/>
    <n v="7928"/>
    <n v="461909"/>
    <n v="3.04"/>
    <n v="1"/>
    <n v="7.25"/>
    <n v="17.98"/>
    <n v="48.16"/>
    <n v="2.1"/>
    <n v="12795"/>
    <n v="6660"/>
    <n v="8"/>
    <n v="10148449.02"/>
    <n v="40.224362661520544"/>
    <n v="25229608"/>
  </r>
  <r>
    <s v="P0194"/>
    <s v="Model_453"/>
    <x v="0"/>
    <x v="0"/>
    <n v="2023"/>
    <s v="Q1"/>
    <n v="709"/>
    <n v="18274"/>
    <n v="12689"/>
    <n v="433100"/>
    <n v="8.81"/>
    <n v="1"/>
    <n v="3.6"/>
    <n v="15.47"/>
    <n v="76.790000000000006"/>
    <n v="1.3"/>
    <n v="19685"/>
    <n v="5610"/>
    <n v="9"/>
    <n v="3526649.53"/>
    <n v="27.219644379020931"/>
    <n v="12956266"/>
  </r>
  <r>
    <s v="P0195"/>
    <s v="Model_572"/>
    <x v="2"/>
    <x v="3"/>
    <n v="2023"/>
    <s v="Q4"/>
    <n v="2861"/>
    <n v="13545"/>
    <n v="11829"/>
    <n v="165598"/>
    <n v="10.52"/>
    <n v="16"/>
    <n v="0.87"/>
    <n v="2.04"/>
    <n v="70.47"/>
    <n v="3.8"/>
    <n v="6656"/>
    <n v="3544"/>
    <n v="9"/>
    <n v="4743875.96"/>
    <n v="12.241551321736328"/>
    <n v="38752245"/>
  </r>
  <r>
    <s v="P0196"/>
    <s v="Model_774"/>
    <x v="2"/>
    <x v="3"/>
    <n v="2023"/>
    <s v="Q4"/>
    <n v="1419"/>
    <n v="5930"/>
    <n v="13075"/>
    <n v="300100"/>
    <n v="10.199999999999999"/>
    <n v="15"/>
    <n v="2.02"/>
    <n v="5.44"/>
    <n v="48.67"/>
    <n v="2.9"/>
    <n v="10728"/>
    <n v="9367"/>
    <n v="2"/>
    <n v="-10438860.439999999"/>
    <n v="-124.0554940360109"/>
    <n v="8414670"/>
  </r>
  <r>
    <s v="P0197"/>
    <s v="Model_348"/>
    <x v="2"/>
    <x v="3"/>
    <n v="2023"/>
    <s v="Q3"/>
    <n v="2036"/>
    <n v="10320"/>
    <n v="3261"/>
    <n v="308589"/>
    <n v="6.12"/>
    <n v="15"/>
    <n v="5.45"/>
    <n v="6.26"/>
    <n v="18.93"/>
    <n v="4.5999999999999996"/>
    <n v="13420"/>
    <n v="7643"/>
    <n v="8"/>
    <n v="14063528.74"/>
    <n v="66.932467237020461"/>
    <n v="21011520"/>
  </r>
  <r>
    <s v="P0198"/>
    <s v="Model_958"/>
    <x v="0"/>
    <x v="2"/>
    <n v="2024"/>
    <s v="Q2"/>
    <n v="196"/>
    <n v="5732"/>
    <n v="14836"/>
    <n v="234233"/>
    <n v="0.23"/>
    <n v="13"/>
    <n v="2.0699999999999998"/>
    <n v="20.79"/>
    <n v="19.23"/>
    <n v="4.9000000000000004"/>
    <n v="8932"/>
    <n v="7662"/>
    <n v="4"/>
    <n v="-2018637.79"/>
    <n v="-179.67851357221184"/>
    <n v="1123472"/>
  </r>
  <r>
    <s v="P0199"/>
    <s v="Model_230"/>
    <x v="0"/>
    <x v="1"/>
    <n v="2024"/>
    <s v="Q2"/>
    <n v="3269"/>
    <n v="12622"/>
    <n v="12235"/>
    <n v="302388"/>
    <n v="8.74"/>
    <n v="6"/>
    <n v="5.44"/>
    <n v="11.58"/>
    <n v="74.12"/>
    <n v="2.6"/>
    <n v="13703"/>
    <n v="4094"/>
    <n v="3"/>
    <n v="962703.42"/>
    <n v="2.3331863029678308"/>
    <n v="41261318"/>
  </r>
  <r>
    <s v="P0200"/>
    <s v="Model_371"/>
    <x v="2"/>
    <x v="2"/>
    <n v="2024"/>
    <s v="Q3"/>
    <n v="2961"/>
    <n v="16523"/>
    <n v="12351"/>
    <n v="183241"/>
    <n v="3.8"/>
    <n v="10"/>
    <n v="2.3199999999999998"/>
    <n v="12.17"/>
    <n v="52.35"/>
    <n v="2.7"/>
    <n v="7689"/>
    <n v="7353"/>
    <n v="3"/>
    <n v="12170038.83"/>
    <n v="24.87508959449298"/>
    <n v="48924603"/>
  </r>
  <r>
    <s v="P0201"/>
    <s v="Model_799"/>
    <x v="2"/>
    <x v="3"/>
    <n v="2024"/>
    <s v="Q2"/>
    <n v="1784"/>
    <n v="9507"/>
    <n v="1485"/>
    <n v="265164"/>
    <n v="6.75"/>
    <n v="0"/>
    <n v="8.49"/>
    <n v="23.37"/>
    <n v="48.53"/>
    <n v="2.6"/>
    <n v="2642"/>
    <n v="145"/>
    <n v="9"/>
    <n v="14046060.630000001"/>
    <n v="82.81637079074612"/>
    <n v="16960488"/>
  </r>
  <r>
    <s v="P0202"/>
    <s v="Model_269"/>
    <x v="1"/>
    <x v="2"/>
    <n v="2023"/>
    <s v="Q4"/>
    <n v="1893"/>
    <n v="19405"/>
    <n v="2960"/>
    <n v="203124"/>
    <n v="14.36"/>
    <n v="10"/>
    <n v="3.97"/>
    <n v="15.93"/>
    <n v="64.45"/>
    <n v="2.2999999999999998"/>
    <n v="9114"/>
    <n v="2157"/>
    <n v="10"/>
    <n v="30927245.07"/>
    <n v="84.19319191265015"/>
    <n v="36733665"/>
  </r>
  <r>
    <s v="P0203"/>
    <s v="Model_337"/>
    <x v="2"/>
    <x v="2"/>
    <n v="2023"/>
    <s v="Q3"/>
    <n v="538"/>
    <n v="10518"/>
    <n v="7831"/>
    <n v="254923"/>
    <n v="5.99"/>
    <n v="3"/>
    <n v="2.46"/>
    <n v="22.47"/>
    <n v="78.709999999999994"/>
    <n v="4.0999999999999996"/>
    <n v="15753"/>
    <n v="763"/>
    <n v="4"/>
    <n v="1190660.53"/>
    <n v="21.041297411200201"/>
    <n v="5658684"/>
  </r>
  <r>
    <s v="P0204"/>
    <s v="Model_421"/>
    <x v="0"/>
    <x v="3"/>
    <n v="2024"/>
    <s v="Q2"/>
    <n v="3026"/>
    <n v="3000"/>
    <n v="12980"/>
    <n v="58036"/>
    <n v="12.6"/>
    <n v="6"/>
    <n v="8.1199999999999992"/>
    <n v="11.41"/>
    <n v="60.31"/>
    <n v="4"/>
    <n v="19513"/>
    <n v="4768"/>
    <n v="4"/>
    <n v="-30257527.41"/>
    <n v="-333.30609616655653"/>
    <n v="9078000"/>
  </r>
  <r>
    <s v="P0205"/>
    <s v="Model_955"/>
    <x v="0"/>
    <x v="1"/>
    <n v="2024"/>
    <s v="Q1"/>
    <n v="2009"/>
    <n v="8237"/>
    <n v="13058"/>
    <n v="81778"/>
    <n v="2.83"/>
    <n v="14"/>
    <n v="3.43"/>
    <n v="3.74"/>
    <n v="71.03"/>
    <n v="2.9"/>
    <n v="18646"/>
    <n v="2129"/>
    <n v="7"/>
    <n v="-9767170.7400000002"/>
    <n v="-59.022795743785714"/>
    <n v="16548133"/>
  </r>
  <r>
    <s v="P0206"/>
    <s v="Model_216"/>
    <x v="0"/>
    <x v="2"/>
    <n v="2023"/>
    <s v="Q3"/>
    <n v="2435"/>
    <n v="4794"/>
    <n v="10559"/>
    <n v="470950"/>
    <n v="10.09"/>
    <n v="17"/>
    <n v="1.1100000000000001"/>
    <n v="23.25"/>
    <n v="71.22"/>
    <n v="1.2"/>
    <n v="8405"/>
    <n v="5817"/>
    <n v="12"/>
    <n v="-14508748.25"/>
    <n v="-124.28907326834792"/>
    <n v="11673390"/>
  </r>
  <r>
    <s v="P0207"/>
    <s v="Model_216"/>
    <x v="2"/>
    <x v="1"/>
    <n v="2023"/>
    <s v="Q1"/>
    <n v="2969"/>
    <n v="5997"/>
    <n v="6141"/>
    <n v="204245"/>
    <n v="14.66"/>
    <n v="11"/>
    <n v="5.7"/>
    <n v="11.47"/>
    <n v="38.5"/>
    <n v="2.2000000000000002"/>
    <n v="6389"/>
    <n v="2796"/>
    <n v="11"/>
    <n v="-631792.47"/>
    <n v="-3.5483806234541988"/>
    <n v="17805093"/>
  </r>
  <r>
    <s v="P0208"/>
    <s v="Model_832"/>
    <x v="1"/>
    <x v="1"/>
    <n v="2023"/>
    <s v="Q1"/>
    <n v="4786"/>
    <n v="19350"/>
    <n v="838"/>
    <n v="211475"/>
    <n v="1.53"/>
    <n v="16"/>
    <n v="5.82"/>
    <n v="4.54"/>
    <n v="31.93"/>
    <n v="2.2000000000000002"/>
    <n v="6339"/>
    <n v="8931"/>
    <n v="2"/>
    <n v="88386952.459999993"/>
    <n v="95.44089345431496"/>
    <n v="92609100"/>
  </r>
  <r>
    <s v="P0209"/>
    <s v="Model_927"/>
    <x v="1"/>
    <x v="1"/>
    <n v="2024"/>
    <s v="Q1"/>
    <n v="1852"/>
    <n v="2114"/>
    <n v="11536"/>
    <n v="252747"/>
    <n v="0.12"/>
    <n v="0"/>
    <n v="7.15"/>
    <n v="7.56"/>
    <n v="74.09"/>
    <n v="4.2"/>
    <n v="5457"/>
    <n v="2763"/>
    <n v="7"/>
    <n v="-17702298.559999999"/>
    <n v="-452.15120833852677"/>
    <n v="3915128"/>
  </r>
  <r>
    <s v="P0210"/>
    <s v="Model_943"/>
    <x v="2"/>
    <x v="0"/>
    <n v="2023"/>
    <s v="Q1"/>
    <n v="4111"/>
    <n v="10874"/>
    <n v="5675"/>
    <n v="449560"/>
    <n v="6.5"/>
    <n v="10"/>
    <n v="2.4"/>
    <n v="1.27"/>
    <n v="40.17"/>
    <n v="1.4"/>
    <n v="2057"/>
    <n v="2845"/>
    <n v="13"/>
    <n v="20923527.73"/>
    <n v="46.805630891017778"/>
    <n v="44703014"/>
  </r>
  <r>
    <s v="P0211"/>
    <s v="Model_938"/>
    <x v="2"/>
    <x v="3"/>
    <n v="2024"/>
    <s v="Q4"/>
    <n v="3419"/>
    <n v="4167"/>
    <n v="2056"/>
    <n v="68800"/>
    <n v="1.39"/>
    <n v="0"/>
    <n v="4.4400000000000004"/>
    <n v="11.71"/>
    <n v="82.27"/>
    <n v="4.2"/>
    <n v="6121"/>
    <n v="5104"/>
    <n v="4"/>
    <n v="7148697.29"/>
    <n v="50.176955413616632"/>
    <n v="14246973"/>
  </r>
  <r>
    <s v="P0212"/>
    <s v="Model_973"/>
    <x v="1"/>
    <x v="3"/>
    <n v="2023"/>
    <s v="Q4"/>
    <n v="312"/>
    <n v="14909"/>
    <n v="11982"/>
    <n v="337516"/>
    <n v="11.23"/>
    <n v="14"/>
    <n v="2.82"/>
    <n v="21.33"/>
    <n v="15.58"/>
    <n v="3.7"/>
    <n v="16432"/>
    <n v="6421"/>
    <n v="12"/>
    <n v="575686.67000000004"/>
    <n v="12.376078766740449"/>
    <n v="4651608"/>
  </r>
  <r>
    <s v="P0213"/>
    <s v="Model_475"/>
    <x v="2"/>
    <x v="2"/>
    <n v="2023"/>
    <s v="Q1"/>
    <n v="673"/>
    <n v="18014"/>
    <n v="8497"/>
    <n v="373660"/>
    <n v="13.72"/>
    <n v="9"/>
    <n v="0.81"/>
    <n v="23.34"/>
    <n v="14.66"/>
    <n v="3.9"/>
    <n v="2339"/>
    <n v="5225"/>
    <n v="5"/>
    <n v="6031257.6600000001"/>
    <n v="49.748805741481242"/>
    <n v="12123422"/>
  </r>
  <r>
    <s v="P0214"/>
    <s v="Model_466"/>
    <x v="1"/>
    <x v="1"/>
    <n v="2023"/>
    <s v="Q4"/>
    <n v="1066"/>
    <n v="4483"/>
    <n v="2996"/>
    <n v="332682"/>
    <n v="6.51"/>
    <n v="6"/>
    <n v="8.77"/>
    <n v="23.32"/>
    <n v="84.16"/>
    <n v="2.7"/>
    <n v="10743"/>
    <n v="5048"/>
    <n v="10"/>
    <n v="1252436.68"/>
    <n v="26.207755879099654"/>
    <n v="4778878"/>
  </r>
  <r>
    <s v="P0215"/>
    <s v="Model_414"/>
    <x v="0"/>
    <x v="3"/>
    <n v="2024"/>
    <s v="Q3"/>
    <n v="3693"/>
    <n v="14151"/>
    <n v="12460"/>
    <n v="376062"/>
    <n v="3.88"/>
    <n v="1"/>
    <n v="7.29"/>
    <n v="3.13"/>
    <n v="61.88"/>
    <n v="3.7"/>
    <n v="11096"/>
    <n v="4502"/>
    <n v="4"/>
    <n v="5868797.8700000001"/>
    <n v="11.230076466461894"/>
    <n v="52259643"/>
  </r>
  <r>
    <s v="P0216"/>
    <s v="Model_174"/>
    <x v="1"/>
    <x v="2"/>
    <n v="2024"/>
    <s v="Q1"/>
    <n v="2099"/>
    <n v="9730"/>
    <n v="7965"/>
    <n v="458189"/>
    <n v="6.52"/>
    <n v="9"/>
    <n v="3.01"/>
    <n v="9.5500000000000007"/>
    <n v="40.369999999999997"/>
    <n v="3.4"/>
    <n v="8498"/>
    <n v="3527"/>
    <n v="2"/>
    <n v="3246536.45"/>
    <n v="15.896261715190565"/>
    <n v="20423270"/>
  </r>
  <r>
    <s v="P0217"/>
    <s v="Model_911"/>
    <x v="0"/>
    <x v="1"/>
    <n v="2024"/>
    <s v="Q3"/>
    <n v="3773"/>
    <n v="8140"/>
    <n v="11700"/>
    <n v="383299"/>
    <n v="10.85"/>
    <n v="3"/>
    <n v="5.99"/>
    <n v="0.71"/>
    <n v="70.400000000000006"/>
    <n v="4.0999999999999996"/>
    <n v="11629"/>
    <n v="6012"/>
    <n v="4"/>
    <n v="-13815179.710000001"/>
    <n v="-44.982680216539215"/>
    <n v="30712220"/>
  </r>
  <r>
    <s v="P0218"/>
    <s v="Model_566"/>
    <x v="0"/>
    <x v="3"/>
    <n v="2024"/>
    <s v="Q4"/>
    <n v="4598"/>
    <n v="13279"/>
    <n v="1101"/>
    <n v="281312"/>
    <n v="0.14000000000000001"/>
    <n v="11"/>
    <n v="2.0099999999999998"/>
    <n v="21.38"/>
    <n v="63.79"/>
    <n v="2.8"/>
    <n v="2010"/>
    <n v="494"/>
    <n v="8"/>
    <n v="55713110.619999997"/>
    <n v="91.247940108006233"/>
    <n v="61056842"/>
  </r>
  <r>
    <s v="P0219"/>
    <s v="Model_998"/>
    <x v="1"/>
    <x v="1"/>
    <n v="2024"/>
    <s v="Q2"/>
    <n v="3158"/>
    <n v="16817"/>
    <n v="8327"/>
    <n v="109500"/>
    <n v="8.84"/>
    <n v="18"/>
    <n v="8.9"/>
    <n v="8.9700000000000006"/>
    <n v="52.5"/>
    <n v="2.9"/>
    <n v="13096"/>
    <n v="3697"/>
    <n v="14"/>
    <n v="26701911.030000001"/>
    <n v="50.278428467559536"/>
    <n v="53108086"/>
  </r>
  <r>
    <s v="P0220"/>
    <s v="Model_814"/>
    <x v="2"/>
    <x v="0"/>
    <n v="2024"/>
    <s v="Q4"/>
    <n v="4140"/>
    <n v="18804"/>
    <n v="7181"/>
    <n v="217647"/>
    <n v="9.1999999999999993"/>
    <n v="10"/>
    <n v="1.1499999999999999"/>
    <n v="15.78"/>
    <n v="17.91"/>
    <n v="3.6"/>
    <n v="14474"/>
    <n v="429"/>
    <n v="8"/>
    <n v="47901557.219999999"/>
    <n v="61.531719045284838"/>
    <n v="77848560"/>
  </r>
  <r>
    <s v="P0221"/>
    <s v="Model_639"/>
    <x v="0"/>
    <x v="2"/>
    <n v="2023"/>
    <s v="Q1"/>
    <n v="2106"/>
    <n v="9064"/>
    <n v="1446"/>
    <n v="286527"/>
    <n v="9.57"/>
    <n v="7"/>
    <n v="0.04"/>
    <n v="17.87"/>
    <n v="74.97"/>
    <n v="1.4"/>
    <n v="2637"/>
    <n v="872"/>
    <n v="12"/>
    <n v="15756963.130000001"/>
    <n v="82.545662049505097"/>
    <n v="19088784"/>
  </r>
  <r>
    <s v="P0222"/>
    <s v="Model_108"/>
    <x v="0"/>
    <x v="2"/>
    <n v="2023"/>
    <s v="Q3"/>
    <n v="3220"/>
    <n v="17020"/>
    <n v="13750"/>
    <n v="485477"/>
    <n v="3.63"/>
    <n v="17"/>
    <n v="5.0199999999999996"/>
    <n v="10.75"/>
    <n v="79.28"/>
    <n v="2.7"/>
    <n v="15200"/>
    <n v="8235"/>
    <n v="6"/>
    <n v="10043912.25"/>
    <n v="18.326835527804334"/>
    <n v="54804400"/>
  </r>
  <r>
    <s v="P0223"/>
    <s v="Model_849"/>
    <x v="0"/>
    <x v="3"/>
    <n v="2023"/>
    <s v="Q3"/>
    <n v="1732"/>
    <n v="15237"/>
    <n v="10751"/>
    <n v="160659"/>
    <n v="10.71"/>
    <n v="10"/>
    <n v="5.83"/>
    <n v="7.66"/>
    <n v="23.77"/>
    <n v="4.9000000000000004"/>
    <n v="6166"/>
    <n v="1745"/>
    <n v="2"/>
    <n v="7609085.3399999999"/>
    <n v="28.832685827209538"/>
    <n v="26390484"/>
  </r>
  <r>
    <s v="P0224"/>
    <s v="Model_934"/>
    <x v="2"/>
    <x v="1"/>
    <n v="2023"/>
    <s v="Q4"/>
    <n v="2305"/>
    <n v="10823"/>
    <n v="13343"/>
    <n v="77716"/>
    <n v="1.37"/>
    <n v="10"/>
    <n v="5.79"/>
    <n v="24.06"/>
    <n v="78.040000000000006"/>
    <n v="1.2"/>
    <n v="10406"/>
    <n v="1887"/>
    <n v="12"/>
    <n v="-5886340.0599999996"/>
    <n v="-23.595368263497654"/>
    <n v="24947015"/>
  </r>
  <r>
    <s v="P0225"/>
    <s v="Model_388"/>
    <x v="0"/>
    <x v="2"/>
    <n v="2023"/>
    <s v="Q1"/>
    <n v="1204"/>
    <n v="16729"/>
    <n v="9589"/>
    <n v="446452"/>
    <n v="2.99"/>
    <n v="12"/>
    <n v="0.55000000000000004"/>
    <n v="24.11"/>
    <n v="80.23"/>
    <n v="2.2999999999999998"/>
    <n v="11978"/>
    <n v="9915"/>
    <n v="9"/>
    <n v="8150083.8899999997"/>
    <n v="40.463701752124791"/>
    <n v="20141716"/>
  </r>
  <r>
    <s v="P0226"/>
    <s v="Model_893"/>
    <x v="2"/>
    <x v="1"/>
    <n v="2023"/>
    <s v="Q3"/>
    <n v="4549"/>
    <n v="13213"/>
    <n v="9653"/>
    <n v="459064"/>
    <n v="13.16"/>
    <n v="2"/>
    <n v="3.14"/>
    <n v="7.24"/>
    <n v="53.95"/>
    <n v="2.2999999999999998"/>
    <n v="4154"/>
    <n v="1099"/>
    <n v="11"/>
    <n v="15735368.76"/>
    <n v="26.179391829462702"/>
    <n v="60105937"/>
  </r>
  <r>
    <s v="P0227"/>
    <s v="Model_347"/>
    <x v="2"/>
    <x v="1"/>
    <n v="2024"/>
    <s v="Q1"/>
    <n v="3241"/>
    <n v="10002"/>
    <n v="5130"/>
    <n v="52352"/>
    <n v="11.08"/>
    <n v="11"/>
    <n v="4.99"/>
    <n v="11.99"/>
    <n v="62.49"/>
    <n v="3.5"/>
    <n v="2490"/>
    <n v="1948"/>
    <n v="9"/>
    <n v="15737788.01"/>
    <n v="48.548722868817165"/>
    <n v="32416482"/>
  </r>
  <r>
    <s v="P0228"/>
    <s v="Model_941"/>
    <x v="0"/>
    <x v="2"/>
    <n v="2023"/>
    <s v="Q4"/>
    <n v="1746"/>
    <n v="2045"/>
    <n v="10360"/>
    <n v="183004"/>
    <n v="0.21"/>
    <n v="2"/>
    <n v="2.17"/>
    <n v="24.32"/>
    <n v="40.58"/>
    <n v="1.4"/>
    <n v="3660"/>
    <n v="1661"/>
    <n v="11"/>
    <n v="-14701018.32"/>
    <n v="-411.72749224913667"/>
    <n v="3570570"/>
  </r>
  <r>
    <s v="P0229"/>
    <s v="Model_529"/>
    <x v="0"/>
    <x v="0"/>
    <n v="2024"/>
    <s v="Q1"/>
    <n v="4041"/>
    <n v="5846"/>
    <n v="11573"/>
    <n v="388593"/>
    <n v="3.73"/>
    <n v="9"/>
    <n v="8.73"/>
    <n v="0.12"/>
    <n v="32.54"/>
    <n v="3.5"/>
    <n v="16636"/>
    <n v="873"/>
    <n v="13"/>
    <n v="-23531400.120000001"/>
    <n v="-99.609350208938608"/>
    <n v="23623686"/>
  </r>
  <r>
    <s v="P0230"/>
    <s v="Model_992"/>
    <x v="1"/>
    <x v="1"/>
    <n v="2023"/>
    <s v="Q3"/>
    <n v="4773"/>
    <n v="11496"/>
    <n v="7803"/>
    <n v="58556"/>
    <n v="3.22"/>
    <n v="16"/>
    <n v="0.87"/>
    <n v="10.32"/>
    <n v="67.760000000000005"/>
    <n v="1.4"/>
    <n v="11836"/>
    <n v="7411"/>
    <n v="11"/>
    <n v="17568122.68"/>
    <n v="32.017481408193646"/>
    <n v="54870408"/>
  </r>
  <r>
    <s v="P0231"/>
    <s v="Model_796"/>
    <x v="2"/>
    <x v="2"/>
    <n v="2023"/>
    <s v="Q4"/>
    <n v="4732"/>
    <n v="17275"/>
    <n v="12860"/>
    <n v="311973"/>
    <n v="4.0599999999999996"/>
    <n v="1"/>
    <n v="4.87"/>
    <n v="2.5099999999999998"/>
    <n v="78.95"/>
    <n v="1.4"/>
    <n v="15769"/>
    <n v="5279"/>
    <n v="14"/>
    <n v="20579804.489999998"/>
    <n v="25.175520170578615"/>
    <n v="81745300"/>
  </r>
  <r>
    <s v="P0232"/>
    <s v="Model_316"/>
    <x v="0"/>
    <x v="3"/>
    <n v="2023"/>
    <s v="Q1"/>
    <n v="1698"/>
    <n v="15419"/>
    <n v="4337"/>
    <n v="398980"/>
    <n v="3.71"/>
    <n v="16"/>
    <n v="6.91"/>
    <n v="12.73"/>
    <n v="62.33"/>
    <n v="3.9"/>
    <n v="17706"/>
    <n v="1903"/>
    <n v="11"/>
    <n v="18418243.27"/>
    <n v="70.3484139655761"/>
    <n v="26181462"/>
  </r>
  <r>
    <s v="P0233"/>
    <s v="Model_366"/>
    <x v="2"/>
    <x v="1"/>
    <n v="2024"/>
    <s v="Q4"/>
    <n v="1495"/>
    <n v="5310"/>
    <n v="13857"/>
    <n v="186570"/>
    <n v="0.94"/>
    <n v="15"/>
    <n v="2.62"/>
    <n v="0.62"/>
    <n v="50.93"/>
    <n v="2.2999999999999998"/>
    <n v="3563"/>
    <n v="9390"/>
    <n v="3"/>
    <n v="-12964335.619999999"/>
    <n v="-163.31066669186049"/>
    <n v="7938450"/>
  </r>
  <r>
    <s v="P0234"/>
    <s v="Model_917"/>
    <x v="2"/>
    <x v="2"/>
    <n v="2023"/>
    <s v="Q3"/>
    <n v="4249"/>
    <n v="8706"/>
    <n v="13300"/>
    <n v="257190"/>
    <n v="6.88"/>
    <n v="1"/>
    <n v="6.24"/>
    <n v="10.17"/>
    <n v="22.71"/>
    <n v="4.9000000000000004"/>
    <n v="12295"/>
    <n v="2150"/>
    <n v="11"/>
    <n v="-19777106.170000002"/>
    <n v="-53.463495633653245"/>
    <n v="36991794"/>
  </r>
  <r>
    <s v="P0235"/>
    <s v="Model_325"/>
    <x v="2"/>
    <x v="3"/>
    <n v="2024"/>
    <s v="Q4"/>
    <n v="3973"/>
    <n v="10505"/>
    <n v="5358"/>
    <n v="100098"/>
    <n v="10.99"/>
    <n v="19"/>
    <n v="8.2899999999999991"/>
    <n v="5.52"/>
    <n v="14.28"/>
    <n v="1.1000000000000001"/>
    <n v="19861"/>
    <n v="9890"/>
    <n v="4"/>
    <n v="20348927.48"/>
    <n v="48.75586908443033"/>
    <n v="41736365"/>
  </r>
  <r>
    <s v="P0236"/>
    <s v="Model_601"/>
    <x v="1"/>
    <x v="3"/>
    <n v="2023"/>
    <s v="Q3"/>
    <n v="303"/>
    <n v="17871"/>
    <n v="7379"/>
    <n v="424313"/>
    <n v="9.1"/>
    <n v="5"/>
    <n v="1.9"/>
    <n v="13.33"/>
    <n v="45.66"/>
    <n v="2.8"/>
    <n v="10067"/>
    <n v="847"/>
    <n v="5"/>
    <n v="2754749.67"/>
    <n v="50.873387439465787"/>
    <n v="5414913"/>
  </r>
  <r>
    <s v="P0237"/>
    <s v="Model_485"/>
    <x v="1"/>
    <x v="0"/>
    <n v="2023"/>
    <s v="Q4"/>
    <n v="3233"/>
    <n v="13816"/>
    <n v="9274"/>
    <n v="190641"/>
    <n v="10.09"/>
    <n v="9"/>
    <n v="9.17"/>
    <n v="24.9"/>
    <n v="13.95"/>
    <n v="1.5"/>
    <n v="10433"/>
    <n v="8225"/>
    <n v="2"/>
    <n v="14493620.1"/>
    <n v="32.448068073684972"/>
    <n v="44667128"/>
  </r>
  <r>
    <s v="P0238"/>
    <s v="Model_818"/>
    <x v="0"/>
    <x v="1"/>
    <n v="2023"/>
    <s v="Q3"/>
    <n v="2607"/>
    <n v="19916"/>
    <n v="12670"/>
    <n v="297199"/>
    <n v="1.22"/>
    <n v="9"/>
    <n v="5.54"/>
    <n v="20.010000000000002"/>
    <n v="55.55"/>
    <n v="2.4"/>
    <n v="20551"/>
    <n v="5960"/>
    <n v="5"/>
    <n v="18593102.989999998"/>
    <n v="35.810363230208218"/>
    <n v="51921012"/>
  </r>
  <r>
    <s v="P0239"/>
    <s v="Model_135"/>
    <x v="1"/>
    <x v="3"/>
    <n v="2023"/>
    <s v="Q4"/>
    <n v="148"/>
    <n v="9936"/>
    <n v="10478"/>
    <n v="176060"/>
    <n v="14.27"/>
    <n v="7"/>
    <n v="2.99"/>
    <n v="21.14"/>
    <n v="40.619999999999997"/>
    <n v="5"/>
    <n v="17119"/>
    <n v="4073"/>
    <n v="6"/>
    <n v="-256297.14"/>
    <n v="-17.428919408538977"/>
    <n v="1470528"/>
  </r>
  <r>
    <s v="P0240"/>
    <s v="Model_215"/>
    <x v="2"/>
    <x v="2"/>
    <n v="2024"/>
    <s v="Q4"/>
    <n v="2250"/>
    <n v="14484"/>
    <n v="4882"/>
    <n v="237954"/>
    <n v="12.58"/>
    <n v="0"/>
    <n v="4.3099999999999996"/>
    <n v="15.88"/>
    <n v="70.58"/>
    <n v="4.5999999999999996"/>
    <n v="6419"/>
    <n v="9845"/>
    <n v="4"/>
    <n v="21366530.120000001"/>
    <n v="65.56362613151677"/>
    <n v="32589000"/>
  </r>
  <r>
    <s v="P0241"/>
    <s v="Model_732"/>
    <x v="1"/>
    <x v="1"/>
    <n v="2024"/>
    <s v="Q1"/>
    <n v="3011"/>
    <n v="1771"/>
    <n v="14518"/>
    <n v="251465"/>
    <n v="12.08"/>
    <n v="12"/>
    <n v="3.12"/>
    <n v="1.04"/>
    <n v="34.450000000000003"/>
    <n v="1.2"/>
    <n v="13241"/>
    <n v="1715"/>
    <n v="12"/>
    <n v="-38632683.039999999"/>
    <n v="-724.47858773430221"/>
    <n v="5332481"/>
  </r>
  <r>
    <s v="P0242"/>
    <s v="Model_903"/>
    <x v="0"/>
    <x v="2"/>
    <n v="2023"/>
    <s v="Q4"/>
    <n v="4483"/>
    <n v="19655"/>
    <n v="4983"/>
    <n v="180544"/>
    <n v="12.34"/>
    <n v="8"/>
    <n v="7.25"/>
    <n v="5.17"/>
    <n v="57.44"/>
    <n v="3.3"/>
    <n v="10298"/>
    <n v="3854"/>
    <n v="11"/>
    <n v="65594026.829999998"/>
    <n v="74.442766803878158"/>
    <n v="88113365"/>
  </r>
  <r>
    <s v="P0243"/>
    <s v="Model_952"/>
    <x v="2"/>
    <x v="2"/>
    <n v="2024"/>
    <s v="Q1"/>
    <n v="3827"/>
    <n v="12116"/>
    <n v="14155"/>
    <n v="50340"/>
    <n v="13.99"/>
    <n v="9"/>
    <n v="7.96"/>
    <n v="23.13"/>
    <n v="53.01"/>
    <n v="3.6"/>
    <n v="18427"/>
    <n v="5606"/>
    <n v="3"/>
    <n v="-7853616.1299999999"/>
    <n v="-16.937602759596871"/>
    <n v="46367932"/>
  </r>
  <r>
    <s v="P0244"/>
    <s v="Model_393"/>
    <x v="0"/>
    <x v="3"/>
    <n v="2024"/>
    <s v="Q4"/>
    <n v="2919"/>
    <n v="5861"/>
    <n v="9452"/>
    <n v="225021"/>
    <n v="8.16"/>
    <n v="14"/>
    <n v="8.33"/>
    <n v="9.15"/>
    <n v="10.38"/>
    <n v="1.8"/>
    <n v="16066"/>
    <n v="4321"/>
    <n v="14"/>
    <n v="-10707159.15"/>
    <n v="-62.584738458775966"/>
    <n v="17108259"/>
  </r>
  <r>
    <s v="P0245"/>
    <s v="Model_727"/>
    <x v="2"/>
    <x v="2"/>
    <n v="2024"/>
    <s v="Q2"/>
    <n v="3284"/>
    <n v="8569"/>
    <n v="11317"/>
    <n v="132302"/>
    <n v="3"/>
    <n v="4"/>
    <n v="9.86"/>
    <n v="2.59"/>
    <n v="15.79"/>
    <n v="1.6"/>
    <n v="2383"/>
    <n v="5391"/>
    <n v="7"/>
    <n v="-9156736.5899999999"/>
    <n v="-32.539241848324743"/>
    <n v="28140596"/>
  </r>
  <r>
    <s v="P0246"/>
    <s v="Model_331"/>
    <x v="1"/>
    <x v="0"/>
    <n v="2023"/>
    <s v="Q4"/>
    <n v="3841"/>
    <n v="18804"/>
    <n v="4554"/>
    <n v="272740"/>
    <n v="9.25"/>
    <n v="15"/>
    <n v="7.91"/>
    <n v="17.559999999999999"/>
    <n v="33.229999999999997"/>
    <n v="4.5999999999999996"/>
    <n v="10915"/>
    <n v="5954"/>
    <n v="9"/>
    <n v="54461492.439999998"/>
    <n v="75.404104861501438"/>
    <n v="72226164"/>
  </r>
  <r>
    <s v="P0247"/>
    <s v="Model_317"/>
    <x v="1"/>
    <x v="0"/>
    <n v="2023"/>
    <s v="Q2"/>
    <n v="1006"/>
    <n v="4930"/>
    <n v="11460"/>
    <n v="50138"/>
    <n v="11.14"/>
    <n v="12"/>
    <n v="6.01"/>
    <n v="7.49"/>
    <n v="80.58"/>
    <n v="4.9000000000000004"/>
    <n v="12585"/>
    <n v="316"/>
    <n v="8"/>
    <n v="-6619325.4900000002"/>
    <n v="-133.46544445295771"/>
    <n v="4959580"/>
  </r>
  <r>
    <s v="P0248"/>
    <s v="Model_884"/>
    <x v="1"/>
    <x v="0"/>
    <n v="2024"/>
    <s v="Q2"/>
    <n v="4117"/>
    <n v="14176"/>
    <n v="2524"/>
    <n v="443574"/>
    <n v="11.07"/>
    <n v="19"/>
    <n v="3.39"/>
    <n v="6.72"/>
    <n v="21.76"/>
    <n v="5"/>
    <n v="16508"/>
    <n v="1459"/>
    <n v="12"/>
    <n v="47527703.280000001"/>
    <n v="81.435216722382719"/>
    <n v="58362592"/>
  </r>
  <r>
    <s v="P0249"/>
    <s v="Model_189"/>
    <x v="2"/>
    <x v="3"/>
    <n v="2023"/>
    <s v="Q3"/>
    <n v="210"/>
    <n v="12316"/>
    <n v="2176"/>
    <n v="169619"/>
    <n v="7.82"/>
    <n v="17"/>
    <n v="5.45"/>
    <n v="24.95"/>
    <n v="66.87"/>
    <n v="4.2"/>
    <n v="19952"/>
    <n v="3874"/>
    <n v="2"/>
    <n v="1959756.05"/>
    <n v="75.772748186640683"/>
    <n v="2586360"/>
  </r>
  <r>
    <s v="P0250"/>
    <s v="Model_281"/>
    <x v="0"/>
    <x v="3"/>
    <n v="2023"/>
    <s v="Q1"/>
    <n v="4543"/>
    <n v="3550"/>
    <n v="11735"/>
    <n v="397520"/>
    <n v="1.03"/>
    <n v="10"/>
    <n v="0.41"/>
    <n v="21.45"/>
    <n v="87.87"/>
    <n v="3.7"/>
    <n v="9620"/>
    <n v="5517"/>
    <n v="5"/>
    <n v="-37581996.450000003"/>
    <n v="-233.02834851946815"/>
    <n v="16127650"/>
  </r>
  <r>
    <s v="P0251"/>
    <s v="Model_115"/>
    <x v="1"/>
    <x v="0"/>
    <n v="2024"/>
    <s v="Q4"/>
    <n v="1350"/>
    <n v="13192"/>
    <n v="9506"/>
    <n v="149931"/>
    <n v="5.57"/>
    <n v="8"/>
    <n v="7.45"/>
    <n v="10.199999999999999"/>
    <n v="73.25"/>
    <n v="2.4"/>
    <n v="9320"/>
    <n v="5027"/>
    <n v="4"/>
    <n v="4826158.8"/>
    <n v="27.099245333872378"/>
    <n v="17809200"/>
  </r>
  <r>
    <s v="P0252"/>
    <s v="Model_162"/>
    <x v="0"/>
    <x v="3"/>
    <n v="2024"/>
    <s v="Q1"/>
    <n v="4961"/>
    <n v="2665"/>
    <n v="9694"/>
    <n v="473870"/>
    <n v="13.81"/>
    <n v="15"/>
    <n v="4.46"/>
    <n v="24.51"/>
    <n v="29.44"/>
    <n v="1.7"/>
    <n v="13401"/>
    <n v="4529"/>
    <n v="7"/>
    <n v="-35344763.509999998"/>
    <n v="-267.33673505122317"/>
    <n v="13221065"/>
  </r>
  <r>
    <s v="P0253"/>
    <s v="Model_383"/>
    <x v="1"/>
    <x v="1"/>
    <n v="2024"/>
    <s v="Q4"/>
    <n v="4037"/>
    <n v="3533"/>
    <n v="2453"/>
    <n v="206951"/>
    <n v="8.77"/>
    <n v="1"/>
    <n v="0.2"/>
    <n v="16.25"/>
    <n v="82.67"/>
    <n v="1.3"/>
    <n v="19670"/>
    <n v="4706"/>
    <n v="10"/>
    <n v="4152992.75"/>
    <n v="29.117815247174782"/>
    <n v="14262721"/>
  </r>
  <r>
    <s v="P0254"/>
    <s v="Model_456"/>
    <x v="2"/>
    <x v="0"/>
    <n v="2024"/>
    <s v="Q2"/>
    <n v="1577"/>
    <n v="1645"/>
    <n v="2866"/>
    <n v="393676"/>
    <n v="8.07"/>
    <n v="1"/>
    <n v="0.63"/>
    <n v="18.55"/>
    <n v="17.45"/>
    <n v="3.8"/>
    <n v="17759"/>
    <n v="4578"/>
    <n v="10"/>
    <n v="-2319211.5499999998"/>
    <n v="-89.401080887298988"/>
    <n v="2594165"/>
  </r>
  <r>
    <s v="P0255"/>
    <s v="Model_223"/>
    <x v="2"/>
    <x v="3"/>
    <n v="2023"/>
    <s v="Q2"/>
    <n v="1268"/>
    <n v="15769"/>
    <n v="822"/>
    <n v="367922"/>
    <n v="4.03"/>
    <n v="11"/>
    <n v="3.87"/>
    <n v="0.79"/>
    <n v="47.45"/>
    <n v="4.0999999999999996"/>
    <n v="11149"/>
    <n v="1996"/>
    <n v="8"/>
    <n v="18584873.210000001"/>
    <n v="92.94717528681538"/>
    <n v="19995092"/>
  </r>
  <r>
    <s v="P0256"/>
    <s v="Model_160"/>
    <x v="2"/>
    <x v="0"/>
    <n v="2024"/>
    <s v="Q3"/>
    <n v="4546"/>
    <n v="9332"/>
    <n v="3260"/>
    <n v="87772"/>
    <n v="5.53"/>
    <n v="7"/>
    <n v="5.83"/>
    <n v="3.04"/>
    <n v="81"/>
    <n v="4.3"/>
    <n v="9769"/>
    <n v="7466"/>
    <n v="13"/>
    <n v="27515536.960000001"/>
    <n v="64.859535021249656"/>
    <n v="42423272"/>
  </r>
  <r>
    <s v="P0257"/>
    <s v="Model_139"/>
    <x v="0"/>
    <x v="1"/>
    <n v="2024"/>
    <s v="Q1"/>
    <n v="4785"/>
    <n v="15786"/>
    <n v="14141"/>
    <n v="108478"/>
    <n v="13.43"/>
    <n v="8"/>
    <n v="4.6399999999999997"/>
    <n v="15.83"/>
    <n v="61.3"/>
    <n v="4.7"/>
    <n v="13305"/>
    <n v="4527"/>
    <n v="10"/>
    <n v="7762831.1699999999"/>
    <n v="10.276993939711669"/>
    <n v="75536010"/>
  </r>
  <r>
    <s v="P0258"/>
    <s v="Model_157"/>
    <x v="0"/>
    <x v="0"/>
    <n v="2023"/>
    <s v="Q2"/>
    <n v="3154"/>
    <n v="4132"/>
    <n v="6726"/>
    <n v="76762"/>
    <n v="10"/>
    <n v="11"/>
    <n v="6.19"/>
    <n v="22.48"/>
    <n v="43.09"/>
    <n v="4.5"/>
    <n v="19192"/>
    <n v="5461"/>
    <n v="9"/>
    <n v="-8258260.4800000004"/>
    <n v="-63.367500265493625"/>
    <n v="13032328"/>
  </r>
  <r>
    <s v="P0259"/>
    <s v="Model_221"/>
    <x v="1"/>
    <x v="0"/>
    <n v="2023"/>
    <s v="Q1"/>
    <n v="2785"/>
    <n v="5994"/>
    <n v="7051"/>
    <n v="194355"/>
    <n v="11.81"/>
    <n v="8"/>
    <n v="4.8"/>
    <n v="15.59"/>
    <n v="33.43"/>
    <n v="5"/>
    <n v="11879"/>
    <n v="9191"/>
    <n v="6"/>
    <n v="-3138115.59"/>
    <n v="-18.798664553242649"/>
    <n v="16693290"/>
  </r>
  <r>
    <s v="P0260"/>
    <s v="Model_546"/>
    <x v="2"/>
    <x v="2"/>
    <n v="2023"/>
    <s v="Q1"/>
    <n v="4605"/>
    <n v="16652"/>
    <n v="10296"/>
    <n v="244994"/>
    <n v="6.82"/>
    <n v="9"/>
    <n v="6.62"/>
    <n v="3.35"/>
    <n v="40.01"/>
    <n v="2"/>
    <n v="10244"/>
    <n v="741"/>
    <n v="10"/>
    <n v="29024382.649999999"/>
    <n v="37.850093293824948"/>
    <n v="76682460"/>
  </r>
  <r>
    <s v="P0261"/>
    <s v="Model_874"/>
    <x v="0"/>
    <x v="2"/>
    <n v="2024"/>
    <s v="Q4"/>
    <n v="1004"/>
    <n v="10655"/>
    <n v="8095"/>
    <n v="220492"/>
    <n v="9.4499999999999993"/>
    <n v="1"/>
    <n v="2.19"/>
    <n v="2.89"/>
    <n v="50.72"/>
    <n v="4.0999999999999996"/>
    <n v="14785"/>
    <n v="5446"/>
    <n v="8"/>
    <n v="2349745.11"/>
    <n v="21.965120372568851"/>
    <n v="10697620"/>
  </r>
  <r>
    <s v="P0262"/>
    <s v="Model_788"/>
    <x v="2"/>
    <x v="1"/>
    <n v="2024"/>
    <s v="Q4"/>
    <n v="4615"/>
    <n v="11926"/>
    <n v="4100"/>
    <n v="367712"/>
    <n v="3.73"/>
    <n v="15"/>
    <n v="1.1299999999999999"/>
    <n v="21.1"/>
    <n v="35.520000000000003"/>
    <n v="3.3"/>
    <n v="9973"/>
    <n v="4829"/>
    <n v="6"/>
    <n v="35749256.899999999"/>
    <n v="64.953193483324128"/>
    <n v="55038490"/>
  </r>
  <r>
    <s v="P0263"/>
    <s v="Model_553"/>
    <x v="2"/>
    <x v="3"/>
    <n v="2024"/>
    <s v="Q2"/>
    <n v="3496"/>
    <n v="11733"/>
    <n v="14222"/>
    <n v="397234"/>
    <n v="10.58"/>
    <n v="19"/>
    <n v="5.96"/>
    <n v="3.48"/>
    <n v="87.52"/>
    <n v="2"/>
    <n v="12179"/>
    <n v="3727"/>
    <n v="9"/>
    <n v="-9098781.4800000004"/>
    <n v="-22.182104163168251"/>
    <n v="41018568"/>
  </r>
  <r>
    <s v="P0264"/>
    <s v="Model_144"/>
    <x v="0"/>
    <x v="2"/>
    <n v="2023"/>
    <s v="Q3"/>
    <n v="1095"/>
    <n v="3328"/>
    <n v="7079"/>
    <n v="332363"/>
    <n v="6.41"/>
    <n v="6"/>
    <n v="4.8499999999999996"/>
    <n v="13.01"/>
    <n v="84.65"/>
    <n v="4.9000000000000004"/>
    <n v="16105"/>
    <n v="6694"/>
    <n v="8"/>
    <n v="-4439721.01"/>
    <n v="-121.83112184975413"/>
    <n v="3644160"/>
  </r>
  <r>
    <s v="P0265"/>
    <s v="Model_656"/>
    <x v="1"/>
    <x v="0"/>
    <n v="2024"/>
    <s v="Q4"/>
    <n v="1743"/>
    <n v="13760"/>
    <n v="9353"/>
    <n v="369313"/>
    <n v="6.64"/>
    <n v="1"/>
    <n v="0.27"/>
    <n v="0.93"/>
    <n v="79.650000000000006"/>
    <n v="4.5999999999999996"/>
    <n v="12485"/>
    <n v="8487"/>
    <n v="10"/>
    <n v="7312087.0700000003"/>
    <n v="30.48776113590575"/>
    <n v="23983680"/>
  </r>
  <r>
    <s v="P0266"/>
    <s v="Model_654"/>
    <x v="2"/>
    <x v="2"/>
    <n v="2024"/>
    <s v="Q3"/>
    <n v="3486"/>
    <n v="10630"/>
    <n v="8153"/>
    <n v="124965"/>
    <n v="9.74"/>
    <n v="0"/>
    <n v="3.8"/>
    <n v="2.02"/>
    <n v="43.75"/>
    <n v="1.5"/>
    <n v="13891"/>
    <n v="3375"/>
    <n v="11"/>
    <n v="8509854.9800000004"/>
    <n v="22.964738891056768"/>
    <n v="37056180"/>
  </r>
  <r>
    <s v="P0267"/>
    <s v="Model_386"/>
    <x v="1"/>
    <x v="1"/>
    <n v="2024"/>
    <s v="Q3"/>
    <n v="612"/>
    <n v="6305"/>
    <n v="4527"/>
    <n v="227912"/>
    <n v="14.04"/>
    <n v="18"/>
    <n v="1.06"/>
    <n v="16.809999999999999"/>
    <n v="65.3"/>
    <n v="1.1000000000000001"/>
    <n v="6361"/>
    <n v="4150"/>
    <n v="2"/>
    <n v="860207.19"/>
    <n v="22.292899348478485"/>
    <n v="3858660"/>
  </r>
  <r>
    <s v="P0268"/>
    <s v="Model_815"/>
    <x v="0"/>
    <x v="3"/>
    <n v="2023"/>
    <s v="Q3"/>
    <n v="2535"/>
    <n v="2306"/>
    <n v="7072"/>
    <n v="225767"/>
    <n v="0.96"/>
    <n v="3"/>
    <n v="5.31"/>
    <n v="17.23"/>
    <n v="82.23"/>
    <n v="3.8"/>
    <n v="20660"/>
    <n v="4653"/>
    <n v="14"/>
    <n v="-12307594.23"/>
    <n v="-210.54062261042711"/>
    <n v="5845710"/>
  </r>
  <r>
    <s v="P0269"/>
    <s v="Model_698"/>
    <x v="1"/>
    <x v="1"/>
    <n v="2023"/>
    <s v="Q1"/>
    <n v="3404"/>
    <n v="9702"/>
    <n v="6795"/>
    <n v="286281"/>
    <n v="12.37"/>
    <n v="1"/>
    <n v="3.96"/>
    <n v="8.5399999999999991"/>
    <n v="78.03"/>
    <n v="3.4"/>
    <n v="3096"/>
    <n v="5025"/>
    <n v="10"/>
    <n v="9609138.4600000009"/>
    <n v="29.096022880184375"/>
    <n v="33025608"/>
  </r>
  <r>
    <s v="P0270"/>
    <s v="Model_599"/>
    <x v="1"/>
    <x v="1"/>
    <n v="2024"/>
    <s v="Q4"/>
    <n v="275"/>
    <n v="3368"/>
    <n v="10276"/>
    <n v="134754"/>
    <n v="4.3899999999999997"/>
    <n v="13"/>
    <n v="6.13"/>
    <n v="5.39"/>
    <n v="43.15"/>
    <n v="4.7"/>
    <n v="18363"/>
    <n v="2404"/>
    <n v="8"/>
    <n v="-2034459.39"/>
    <n v="-219.65659576765276"/>
    <n v="926200"/>
  </r>
  <r>
    <s v="P0271"/>
    <s v="Model_313"/>
    <x v="1"/>
    <x v="1"/>
    <n v="2024"/>
    <s v="Q3"/>
    <n v="4943"/>
    <n v="16061"/>
    <n v="1314"/>
    <n v="127988"/>
    <n v="6.66"/>
    <n v="1"/>
    <n v="8.06"/>
    <n v="20.34"/>
    <n v="18.989999999999998"/>
    <n v="1.9"/>
    <n v="11655"/>
    <n v="3443"/>
    <n v="2"/>
    <n v="72766412.659999996"/>
    <n v="91.657450391785318"/>
    <n v="79389523"/>
  </r>
  <r>
    <s v="P0272"/>
    <s v="Model_509"/>
    <x v="1"/>
    <x v="0"/>
    <n v="2024"/>
    <s v="Q1"/>
    <n v="1009"/>
    <n v="17012"/>
    <n v="1248"/>
    <n v="200023"/>
    <n v="0.33"/>
    <n v="14"/>
    <n v="3"/>
    <n v="5.43"/>
    <n v="16.05"/>
    <n v="1.3"/>
    <n v="9419"/>
    <n v="2156"/>
    <n v="2"/>
    <n v="15705847.57"/>
    <n v="91.498681919158329"/>
    <n v="17165108"/>
  </r>
  <r>
    <s v="P0273"/>
    <s v="Model_502"/>
    <x v="0"/>
    <x v="0"/>
    <n v="2023"/>
    <s v="Q3"/>
    <n v="4598"/>
    <n v="16399"/>
    <n v="6819"/>
    <n v="182379"/>
    <n v="4.5199999999999996"/>
    <n v="11"/>
    <n v="9.6199999999999992"/>
    <n v="13.55"/>
    <n v="56.17"/>
    <n v="2"/>
    <n v="11834"/>
    <n v="2908"/>
    <n v="6"/>
    <n v="43866447.450000003"/>
    <n v="58.176304645295929"/>
    <n v="75402602"/>
  </r>
  <r>
    <s v="P0274"/>
    <s v="Model_317"/>
    <x v="1"/>
    <x v="2"/>
    <n v="2023"/>
    <s v="Q2"/>
    <n v="3117"/>
    <n v="17720"/>
    <n v="14594"/>
    <n v="130388"/>
    <n v="7.54"/>
    <n v="4"/>
    <n v="5.36"/>
    <n v="24.21"/>
    <n v="61.41"/>
    <n v="1.1000000000000001"/>
    <n v="16128"/>
    <n v="7192"/>
    <n v="9"/>
    <n v="9613329.7899999991"/>
    <n v="17.404971698202022"/>
    <n v="55233240"/>
  </r>
  <r>
    <s v="P0275"/>
    <s v="Model_992"/>
    <x v="2"/>
    <x v="0"/>
    <n v="2023"/>
    <s v="Q3"/>
    <n v="865"/>
    <n v="17434"/>
    <n v="6143"/>
    <n v="402912"/>
    <n v="0.84"/>
    <n v="19"/>
    <n v="6.18"/>
    <n v="3.7"/>
    <n v="77.989999999999995"/>
    <n v="1.1000000000000001"/>
    <n v="3572"/>
    <n v="9516"/>
    <n v="10"/>
    <n v="9363799.3000000007"/>
    <n v="62.092471623782117"/>
    <n v="15080410"/>
  </r>
  <r>
    <s v="P0276"/>
    <s v="Model_872"/>
    <x v="1"/>
    <x v="1"/>
    <n v="2024"/>
    <s v="Q4"/>
    <n v="4804"/>
    <n v="6929"/>
    <n v="10847"/>
    <n v="347572"/>
    <n v="7.37"/>
    <n v="6"/>
    <n v="6.81"/>
    <n v="23.52"/>
    <n v="33.4"/>
    <n v="4.7"/>
    <n v="10987"/>
    <n v="7326"/>
    <n v="13"/>
    <n v="-19169667.52"/>
    <n v="-57.589196668144325"/>
    <n v="33286916"/>
  </r>
  <r>
    <s v="P0277"/>
    <s v="Model_197"/>
    <x v="2"/>
    <x v="3"/>
    <n v="2023"/>
    <s v="Q4"/>
    <n v="4692"/>
    <n v="10576"/>
    <n v="13961"/>
    <n v="289779"/>
    <n v="13.91"/>
    <n v="9"/>
    <n v="6.67"/>
    <n v="4.57"/>
    <n v="23.4"/>
    <n v="2.4"/>
    <n v="7124"/>
    <n v="986"/>
    <n v="7"/>
    <n v="-16172203.57"/>
    <n v="-32.590404729361985"/>
    <n v="49622592"/>
  </r>
  <r>
    <s v="P0278"/>
    <s v="Model_864"/>
    <x v="2"/>
    <x v="0"/>
    <n v="2023"/>
    <s v="Q1"/>
    <n v="3170"/>
    <n v="5064"/>
    <n v="8833"/>
    <n v="404165"/>
    <n v="1.58"/>
    <n v="13"/>
    <n v="5.1100000000000003"/>
    <n v="14.19"/>
    <n v="40.32"/>
    <n v="2.6"/>
    <n v="2438"/>
    <n v="8684"/>
    <n v="13"/>
    <n v="-12351909.189999999"/>
    <n v="-76.945128786859428"/>
    <n v="16052880"/>
  </r>
  <r>
    <s v="P0279"/>
    <s v="Model_699"/>
    <x v="0"/>
    <x v="1"/>
    <n v="2024"/>
    <s v="Q1"/>
    <n v="66"/>
    <n v="2889"/>
    <n v="12554"/>
    <n v="430562"/>
    <n v="11.47"/>
    <n v="13"/>
    <n v="4.29"/>
    <n v="9.43"/>
    <n v="38.29"/>
    <n v="1.1000000000000001"/>
    <n v="9676"/>
    <n v="9967"/>
    <n v="14"/>
    <n v="-1068461.43"/>
    <n v="-560.36031656125112"/>
    <n v="190674"/>
  </r>
  <r>
    <s v="P0280"/>
    <s v="Model_596"/>
    <x v="1"/>
    <x v="1"/>
    <n v="2023"/>
    <s v="Q2"/>
    <n v="1293"/>
    <n v="13093"/>
    <n v="3320"/>
    <n v="256846"/>
    <n v="6.15"/>
    <n v="4"/>
    <n v="0.54"/>
    <n v="24.12"/>
    <n v="20.6"/>
    <n v="2.1"/>
    <n v="2261"/>
    <n v="7820"/>
    <n v="11"/>
    <n v="12379618.880000001"/>
    <n v="73.12562346977117"/>
    <n v="16929249"/>
  </r>
  <r>
    <s v="P0281"/>
    <s v="Model_135"/>
    <x v="0"/>
    <x v="0"/>
    <n v="2024"/>
    <s v="Q4"/>
    <n v="2255"/>
    <n v="8774"/>
    <n v="3881"/>
    <n v="220047"/>
    <n v="9.83"/>
    <n v="17"/>
    <n v="0.22"/>
    <n v="6.84"/>
    <n v="63.78"/>
    <n v="4.2"/>
    <n v="14441"/>
    <n v="2546"/>
    <n v="13"/>
    <n v="10813661.16"/>
    <n v="54.65483415270981"/>
    <n v="19785370"/>
  </r>
  <r>
    <s v="P0282"/>
    <s v="Model_358"/>
    <x v="2"/>
    <x v="2"/>
    <n v="2023"/>
    <s v="Q3"/>
    <n v="2574"/>
    <n v="18708"/>
    <n v="2228"/>
    <n v="182212"/>
    <n v="3.9"/>
    <n v="13"/>
    <n v="3.58"/>
    <n v="9.99"/>
    <n v="50.7"/>
    <n v="3.5"/>
    <n v="3169"/>
    <n v="4005"/>
    <n v="9"/>
    <n v="42237298.009999998"/>
    <n v="87.712244419989759"/>
    <n v="48154392"/>
  </r>
  <r>
    <s v="P0283"/>
    <s v="Model_710"/>
    <x v="2"/>
    <x v="0"/>
    <n v="2024"/>
    <s v="Q2"/>
    <n v="1119"/>
    <n v="18820"/>
    <n v="4767"/>
    <n v="468058"/>
    <n v="2.39"/>
    <n v="1"/>
    <n v="3.34"/>
    <n v="24.57"/>
    <n v="67.69"/>
    <n v="4"/>
    <n v="8628"/>
    <n v="6574"/>
    <n v="7"/>
    <n v="15257224.43"/>
    <n v="72.447904611582942"/>
    <n v="21059580"/>
  </r>
  <r>
    <s v="P0284"/>
    <s v="Model_468"/>
    <x v="1"/>
    <x v="3"/>
    <n v="2023"/>
    <s v="Q2"/>
    <n v="3494"/>
    <n v="12245"/>
    <n v="7245"/>
    <n v="338565"/>
    <n v="2.41"/>
    <n v="11"/>
    <n v="3.88"/>
    <n v="13.41"/>
    <n v="38.22"/>
    <n v="2.8"/>
    <n v="20569"/>
    <n v="3691"/>
    <n v="12"/>
    <n v="17131421.59"/>
    <n v="40.041626723803255"/>
    <n v="42784030"/>
  </r>
  <r>
    <s v="P0285"/>
    <s v="Model_250"/>
    <x v="2"/>
    <x v="1"/>
    <n v="2023"/>
    <s v="Q3"/>
    <n v="2615"/>
    <n v="15699"/>
    <n v="14842"/>
    <n v="313852"/>
    <n v="1.06"/>
    <n v="5"/>
    <n v="1.38"/>
    <n v="12.57"/>
    <n v="36.06"/>
    <n v="2.2000000000000002"/>
    <n v="13591"/>
    <n v="2281"/>
    <n v="7"/>
    <n v="1927190.43"/>
    <n v="4.694409247973681"/>
    <n v="41052885"/>
  </r>
  <r>
    <s v="P0286"/>
    <s v="Model_426"/>
    <x v="2"/>
    <x v="1"/>
    <n v="2024"/>
    <s v="Q1"/>
    <n v="1110"/>
    <n v="17376"/>
    <n v="9914"/>
    <n v="446846"/>
    <n v="2.78"/>
    <n v="3"/>
    <n v="7.38"/>
    <n v="6.44"/>
    <n v="47.81"/>
    <n v="2.9"/>
    <n v="19815"/>
    <n v="5111"/>
    <n v="5"/>
    <n v="7835967.5599999996"/>
    <n v="40.627476025749502"/>
    <n v="19287360"/>
  </r>
  <r>
    <s v="P0287"/>
    <s v="Model_128"/>
    <x v="1"/>
    <x v="0"/>
    <n v="2023"/>
    <s v="Q4"/>
    <n v="2377"/>
    <n v="19680"/>
    <n v="12129"/>
    <n v="462811"/>
    <n v="9.9600000000000009"/>
    <n v="12"/>
    <n v="8.57"/>
    <n v="17.53"/>
    <n v="80.19"/>
    <n v="2.2999999999999998"/>
    <n v="8808"/>
    <n v="5130"/>
    <n v="12"/>
    <n v="17485898.469999999"/>
    <n v="37.379516243916115"/>
    <n v="46779360"/>
  </r>
  <r>
    <s v="P0288"/>
    <s v="Model_114"/>
    <x v="1"/>
    <x v="1"/>
    <n v="2023"/>
    <s v="Q2"/>
    <n v="3470"/>
    <n v="9745"/>
    <n v="2959"/>
    <n v="126021"/>
    <n v="13.23"/>
    <n v="3"/>
    <n v="9.39"/>
    <n v="0.36"/>
    <n v="13.22"/>
    <n v="4.4000000000000004"/>
    <n v="2626"/>
    <n v="454"/>
    <n v="6"/>
    <n v="23421398.640000001"/>
    <n v="69.263033403666697"/>
    <n v="33815150"/>
  </r>
  <r>
    <s v="P0289"/>
    <s v="Model_125"/>
    <x v="1"/>
    <x v="0"/>
    <n v="2024"/>
    <s v="Q3"/>
    <n v="351"/>
    <n v="8714"/>
    <n v="5932"/>
    <n v="209380"/>
    <n v="12.21"/>
    <n v="13"/>
    <n v="4.92"/>
    <n v="1.24"/>
    <n v="74.39"/>
    <n v="2.2000000000000002"/>
    <n v="7521"/>
    <n v="2731"/>
    <n v="3"/>
    <n v="767100.76"/>
    <n v="25.080012057749034"/>
    <n v="3058614"/>
  </r>
  <r>
    <s v="P0290"/>
    <s v="Model_520"/>
    <x v="2"/>
    <x v="1"/>
    <n v="2024"/>
    <s v="Q3"/>
    <n v="4326"/>
    <n v="2226"/>
    <n v="14504"/>
    <n v="94789"/>
    <n v="10.28"/>
    <n v="15"/>
    <n v="7.01"/>
    <n v="14.98"/>
    <n v="39.520000000000003"/>
    <n v="3.6"/>
    <n v="7937"/>
    <n v="1621"/>
    <n v="4"/>
    <n v="-53209431.979999997"/>
    <n v="-552.55682517251876"/>
    <n v="9629676"/>
  </r>
  <r>
    <s v="P0291"/>
    <s v="Model_927"/>
    <x v="1"/>
    <x v="0"/>
    <n v="2024"/>
    <s v="Q4"/>
    <n v="656"/>
    <n v="15332"/>
    <n v="3347"/>
    <n v="498906"/>
    <n v="1.66"/>
    <n v="3"/>
    <n v="8.56"/>
    <n v="8.5399999999999991"/>
    <n v="78.37"/>
    <n v="1.5"/>
    <n v="8539"/>
    <n v="2772"/>
    <n v="4"/>
    <n v="7363245.46"/>
    <n v="73.209363049066837"/>
    <n v="10057792"/>
  </r>
  <r>
    <s v="P0292"/>
    <s v="Model_641"/>
    <x v="1"/>
    <x v="0"/>
    <n v="2023"/>
    <s v="Q1"/>
    <n v="3220"/>
    <n v="12862"/>
    <n v="3779"/>
    <n v="76086"/>
    <n v="4.34"/>
    <n v="0"/>
    <n v="4.18"/>
    <n v="23.83"/>
    <n v="74.180000000000007"/>
    <n v="3.7"/>
    <n v="19087"/>
    <n v="2437"/>
    <n v="13"/>
    <n v="29171150.170000002"/>
    <n v="70.435106568436467"/>
    <n v="41415640"/>
  </r>
  <r>
    <s v="P0293"/>
    <s v="Model_998"/>
    <x v="0"/>
    <x v="0"/>
    <n v="2023"/>
    <s v="Q3"/>
    <n v="749"/>
    <n v="19797"/>
    <n v="11273"/>
    <n v="329003"/>
    <n v="4.6500000000000004"/>
    <n v="12"/>
    <n v="3.09"/>
    <n v="22.58"/>
    <n v="37.9"/>
    <n v="4.7"/>
    <n v="5635"/>
    <n v="7068"/>
    <n v="12"/>
    <n v="6055450.4199999999"/>
    <n v="40.838074007922735"/>
    <n v="14827953"/>
  </r>
  <r>
    <s v="P0294"/>
    <s v="Model_590"/>
    <x v="0"/>
    <x v="0"/>
    <n v="2023"/>
    <s v="Q3"/>
    <n v="1189"/>
    <n v="11606"/>
    <n v="3449"/>
    <n v="57684"/>
    <n v="3.75"/>
    <n v="3"/>
    <n v="9.3699999999999992"/>
    <n v="17.84"/>
    <n v="65.510000000000005"/>
    <n v="3.4"/>
    <n v="16611"/>
    <n v="728"/>
    <n v="6"/>
    <n v="9640971.1600000001"/>
    <n v="69.864469046563457"/>
    <n v="13799534"/>
  </r>
  <r>
    <s v="P0295"/>
    <s v="Model_749"/>
    <x v="2"/>
    <x v="0"/>
    <n v="2024"/>
    <s v="Q1"/>
    <n v="240"/>
    <n v="9157"/>
    <n v="9305"/>
    <n v="141088"/>
    <n v="7.73"/>
    <n v="19"/>
    <n v="5.16"/>
    <n v="20.45"/>
    <n v="22.77"/>
    <n v="3.2"/>
    <n v="13464"/>
    <n v="7262"/>
    <n v="6"/>
    <n v="-176628.45"/>
    <n v="-8.0370413344981984"/>
    <n v="2197680"/>
  </r>
  <r>
    <s v="P0296"/>
    <s v="Model_669"/>
    <x v="2"/>
    <x v="2"/>
    <n v="2023"/>
    <s v="Q1"/>
    <n v="2350"/>
    <n v="16051"/>
    <n v="11605"/>
    <n v="444423"/>
    <n v="8.0299999999999994"/>
    <n v="17"/>
    <n v="4.97"/>
    <n v="16.68"/>
    <n v="81.7"/>
    <n v="4.8"/>
    <n v="10211"/>
    <n v="2779"/>
    <n v="7"/>
    <n v="10003660.32"/>
    <n v="26.520944065260071"/>
    <n v="37719850"/>
  </r>
  <r>
    <s v="P0297"/>
    <s v="Model_221"/>
    <x v="2"/>
    <x v="1"/>
    <n v="2024"/>
    <s v="Q3"/>
    <n v="1030"/>
    <n v="9406"/>
    <n v="3883"/>
    <n v="96099"/>
    <n v="5.35"/>
    <n v="5"/>
    <n v="1.78"/>
    <n v="3.14"/>
    <n v="42.36"/>
    <n v="3.5"/>
    <n v="9404"/>
    <n v="5366"/>
    <n v="6"/>
    <n v="5592587.8600000003"/>
    <n v="57.725887215142578"/>
    <n v="9688180"/>
  </r>
  <r>
    <s v="P0298"/>
    <s v="Model_555"/>
    <x v="2"/>
    <x v="3"/>
    <n v="2023"/>
    <s v="Q2"/>
    <n v="3025"/>
    <n v="8787"/>
    <n v="11248"/>
    <n v="116093"/>
    <n v="5.31"/>
    <n v="2"/>
    <n v="1.08"/>
    <n v="19.14"/>
    <n v="46.45"/>
    <n v="2"/>
    <n v="3783"/>
    <n v="4522"/>
    <n v="13"/>
    <n v="-7560637.1399999997"/>
    <n v="-28.444112649509464"/>
    <n v="26580675"/>
  </r>
  <r>
    <s v="P0299"/>
    <s v="Model_589"/>
    <x v="1"/>
    <x v="3"/>
    <n v="2023"/>
    <s v="Q3"/>
    <n v="1234"/>
    <n v="2392"/>
    <n v="1837"/>
    <n v="210761"/>
    <n v="12.43"/>
    <n v="12"/>
    <n v="8.42"/>
    <n v="5.25"/>
    <n v="66.459999999999994"/>
    <n v="2.2000000000000002"/>
    <n v="3977"/>
    <n v="9730"/>
    <n v="7"/>
    <n v="474103.75"/>
    <n v="16.061905094236327"/>
    <n v="2951728"/>
  </r>
  <r>
    <s v="P0300"/>
    <s v="Model_205"/>
    <x v="2"/>
    <x v="1"/>
    <n v="2024"/>
    <s v="Q2"/>
    <n v="3377"/>
    <n v="11722"/>
    <n v="14744"/>
    <n v="360795"/>
    <n v="11.84"/>
    <n v="15"/>
    <n v="6.14"/>
    <n v="8.09"/>
    <n v="75.67"/>
    <n v="3.8"/>
    <n v="4593"/>
    <n v="7563"/>
    <n v="9"/>
    <n v="-10566097.09"/>
    <n v="-26.692043216966422"/>
    <n v="39585194"/>
  </r>
  <r>
    <s v="P0301"/>
    <s v="Model_841"/>
    <x v="2"/>
    <x v="0"/>
    <n v="2024"/>
    <s v="Q4"/>
    <n v="3444"/>
    <n v="6175"/>
    <n v="4289"/>
    <n v="63893"/>
    <n v="4.62"/>
    <n v="4"/>
    <n v="3.26"/>
    <n v="20.48"/>
    <n v="28.91"/>
    <n v="3.9"/>
    <n v="8707"/>
    <n v="9713"/>
    <n v="3"/>
    <n v="6431470.5199999996"/>
    <n v="30.241976987496884"/>
    <n v="21266700"/>
  </r>
  <r>
    <s v="P0302"/>
    <s v="Model_883"/>
    <x v="1"/>
    <x v="3"/>
    <n v="2024"/>
    <s v="Q2"/>
    <n v="177"/>
    <n v="3433"/>
    <n v="8404"/>
    <n v="116418"/>
    <n v="13.71"/>
    <n v="3"/>
    <n v="1.92"/>
    <n v="13.41"/>
    <n v="62.91"/>
    <n v="2.2000000000000002"/>
    <n v="10894"/>
    <n v="1226"/>
    <n v="5"/>
    <n v="-996298.41"/>
    <n v="-163.96168296741004"/>
    <n v="607641"/>
  </r>
  <r>
    <s v="P0303"/>
    <s v="Model_988"/>
    <x v="2"/>
    <x v="2"/>
    <n v="2024"/>
    <s v="Q3"/>
    <n v="2115"/>
    <n v="19264"/>
    <n v="8344"/>
    <n v="175074"/>
    <n v="14.29"/>
    <n v="7"/>
    <n v="5.55"/>
    <n v="21.5"/>
    <n v="41.36"/>
    <n v="2.4"/>
    <n v="16341"/>
    <n v="1880"/>
    <n v="14"/>
    <n v="22920704.5"/>
    <n v="56.256294277153387"/>
    <n v="40743360"/>
  </r>
  <r>
    <s v="P0304"/>
    <s v="Model_572"/>
    <x v="1"/>
    <x v="1"/>
    <n v="2023"/>
    <s v="Q4"/>
    <n v="1866"/>
    <n v="13373"/>
    <n v="3434"/>
    <n v="415209"/>
    <n v="4.9000000000000004"/>
    <n v="18"/>
    <n v="5.84"/>
    <n v="5.33"/>
    <n v="39.5"/>
    <n v="5"/>
    <n v="7727"/>
    <n v="9823"/>
    <n v="7"/>
    <n v="18130959.670000002"/>
    <n v="72.657476122682937"/>
    <n v="24954018"/>
  </r>
  <r>
    <s v="P0305"/>
    <s v="Model_751"/>
    <x v="1"/>
    <x v="0"/>
    <n v="2023"/>
    <s v="Q1"/>
    <n v="619"/>
    <n v="19174"/>
    <n v="4783"/>
    <n v="180351"/>
    <n v="5.32"/>
    <n v="13"/>
    <n v="2.0699999999999998"/>
    <n v="15.19"/>
    <n v="65.2"/>
    <n v="1.4"/>
    <n v="14780"/>
    <n v="9524"/>
    <n v="13"/>
    <n v="8727662.8100000005"/>
    <n v="73.535083015789596"/>
    <n v="11868706"/>
  </r>
  <r>
    <s v="P0306"/>
    <s v="Model_209"/>
    <x v="1"/>
    <x v="1"/>
    <n v="2024"/>
    <s v="Q4"/>
    <n v="1945"/>
    <n v="19524"/>
    <n v="2578"/>
    <n v="241083"/>
    <n v="7.58"/>
    <n v="6"/>
    <n v="8.51"/>
    <n v="2.09"/>
    <n v="40.97"/>
    <n v="2.6"/>
    <n v="5035"/>
    <n v="6671"/>
    <n v="6"/>
    <n v="32718884.91"/>
    <n v="86.160872756172751"/>
    <n v="37974180"/>
  </r>
  <r>
    <s v="P0307"/>
    <s v="Model_268"/>
    <x v="0"/>
    <x v="2"/>
    <n v="2023"/>
    <s v="Q1"/>
    <n v="2783"/>
    <n v="14739"/>
    <n v="8702"/>
    <n v="88635"/>
    <n v="14.12"/>
    <n v="13"/>
    <n v="0.84"/>
    <n v="16.079999999999998"/>
    <n v="37.69"/>
    <n v="1.2"/>
    <n v="12082"/>
    <n v="8684"/>
    <n v="2"/>
    <n v="16712319.92"/>
    <n v="40.743235617507231"/>
    <n v="41018637"/>
  </r>
  <r>
    <s v="P0308"/>
    <s v="Model_449"/>
    <x v="0"/>
    <x v="3"/>
    <n v="2023"/>
    <s v="Q4"/>
    <n v="3913"/>
    <n v="12374"/>
    <n v="5910"/>
    <n v="499331"/>
    <n v="13.14"/>
    <n v="5"/>
    <n v="3.56"/>
    <n v="19.059999999999999"/>
    <n v="76.87"/>
    <n v="4.3"/>
    <n v="4413"/>
    <n v="925"/>
    <n v="10"/>
    <n v="24794281.940000001"/>
    <n v="51.207264426027699"/>
    <n v="48419462"/>
  </r>
  <r>
    <s v="P0309"/>
    <s v="Model_652"/>
    <x v="1"/>
    <x v="3"/>
    <n v="2024"/>
    <s v="Q1"/>
    <n v="4771"/>
    <n v="19102"/>
    <n v="5989"/>
    <n v="145071"/>
    <n v="1.54"/>
    <n v="11"/>
    <n v="6.8"/>
    <n v="14.62"/>
    <n v="18.100000000000001"/>
    <n v="1.4"/>
    <n v="3840"/>
    <n v="7376"/>
    <n v="4"/>
    <n v="62417037.380000003"/>
    <n v="68.488064614720116"/>
    <n v="91135642"/>
  </r>
  <r>
    <s v="P0310"/>
    <s v="Model_682"/>
    <x v="2"/>
    <x v="3"/>
    <n v="2024"/>
    <s v="Q3"/>
    <n v="4064"/>
    <n v="6516"/>
    <n v="12887"/>
    <n v="390662"/>
    <n v="5.89"/>
    <n v="15"/>
    <n v="2.74"/>
    <n v="6.66"/>
    <n v="64.069999999999993"/>
    <n v="3.7"/>
    <n v="6789"/>
    <n v="2495"/>
    <n v="3"/>
    <n v="-26282412.66"/>
    <n v="-99.249986178782208"/>
    <n v="26481024"/>
  </r>
  <r>
    <s v="P0311"/>
    <s v="Model_689"/>
    <x v="0"/>
    <x v="1"/>
    <n v="2024"/>
    <s v="Q3"/>
    <n v="2951"/>
    <n v="15274"/>
    <n v="8178"/>
    <n v="418377"/>
    <n v="8.3000000000000007"/>
    <n v="16"/>
    <n v="8.2799999999999994"/>
    <n v="0.78"/>
    <n v="29.9"/>
    <n v="1.2"/>
    <n v="2097"/>
    <n v="4245"/>
    <n v="10"/>
    <n v="20521918.219999999"/>
    <n v="45.529822463157679"/>
    <n v="45073574"/>
  </r>
  <r>
    <s v="P0312"/>
    <s v="Model_273"/>
    <x v="1"/>
    <x v="0"/>
    <n v="2024"/>
    <s v="Q1"/>
    <n v="1736"/>
    <n v="11252"/>
    <n v="1924"/>
    <n v="415795"/>
    <n v="7.55"/>
    <n v="12"/>
    <n v="7.4"/>
    <n v="2.99"/>
    <n v="11.24"/>
    <n v="3.7"/>
    <n v="16525"/>
    <n v="7159"/>
    <n v="8"/>
    <n v="15777610.01"/>
    <n v="80.772174091733405"/>
    <n v="19533472"/>
  </r>
  <r>
    <s v="P0313"/>
    <s v="Model_722"/>
    <x v="1"/>
    <x v="3"/>
    <n v="2023"/>
    <s v="Q3"/>
    <n v="3059"/>
    <n v="18838"/>
    <n v="1497"/>
    <n v="122805"/>
    <n v="2.91"/>
    <n v="13"/>
    <n v="7.89"/>
    <n v="15.56"/>
    <n v="23.34"/>
    <n v="4.4000000000000004"/>
    <n v="8645"/>
    <n v="5592"/>
    <n v="6"/>
    <n v="52923298.439999998"/>
    <n v="91.840160531870623"/>
    <n v="57625442"/>
  </r>
  <r>
    <s v="P0314"/>
    <s v="Model_722"/>
    <x v="1"/>
    <x v="3"/>
    <n v="2023"/>
    <s v="Q3"/>
    <n v="204"/>
    <n v="17085"/>
    <n v="2979"/>
    <n v="471280"/>
    <n v="12.88"/>
    <n v="6"/>
    <n v="1.19"/>
    <n v="23.36"/>
    <n v="58.53"/>
    <n v="2.6"/>
    <n v="4402"/>
    <n v="7211"/>
    <n v="13"/>
    <n v="2406320.64"/>
    <n v="69.041202293033109"/>
    <n v="3485340"/>
  </r>
  <r>
    <s v="P0315"/>
    <s v="Model_287"/>
    <x v="1"/>
    <x v="1"/>
    <n v="2024"/>
    <s v="Q4"/>
    <n v="2587"/>
    <n v="8791"/>
    <n v="10396"/>
    <n v="434957"/>
    <n v="10.15"/>
    <n v="13"/>
    <n v="1.41"/>
    <n v="5.16"/>
    <n v="66.73"/>
    <n v="3.1"/>
    <n v="10455"/>
    <n v="6892"/>
    <n v="7"/>
    <n v="-4587097.16"/>
    <n v="-20.169876094858761"/>
    <n v="22742317"/>
  </r>
  <r>
    <s v="P0316"/>
    <s v="Model_643"/>
    <x v="0"/>
    <x v="1"/>
    <n v="2023"/>
    <s v="Q1"/>
    <n v="1459"/>
    <n v="2474"/>
    <n v="6051"/>
    <n v="391207"/>
    <n v="12.57"/>
    <n v="14"/>
    <n v="2.86"/>
    <n v="18.38"/>
    <n v="11.68"/>
    <n v="2.6"/>
    <n v="9194"/>
    <n v="9655"/>
    <n v="13"/>
    <n v="-5610068.3799999999"/>
    <n v="-155.42224134425024"/>
    <n v="3609566"/>
  </r>
  <r>
    <s v="P0317"/>
    <s v="Model_257"/>
    <x v="0"/>
    <x v="0"/>
    <n v="2023"/>
    <s v="Q1"/>
    <n v="4107"/>
    <n v="5633"/>
    <n v="10035"/>
    <n v="314598"/>
    <n v="12.88"/>
    <n v="11"/>
    <n v="5.18"/>
    <n v="21.66"/>
    <n v="12.91"/>
    <n v="2.2000000000000002"/>
    <n v="6330"/>
    <n v="3651"/>
    <n v="12"/>
    <n v="-18393633.66"/>
    <n v="-79.506581079330459"/>
    <n v="23134731"/>
  </r>
  <r>
    <s v="P0318"/>
    <s v="Model_144"/>
    <x v="2"/>
    <x v="3"/>
    <n v="2024"/>
    <s v="Q1"/>
    <n v="834"/>
    <n v="16163"/>
    <n v="2729"/>
    <n v="333022"/>
    <n v="11.23"/>
    <n v="16"/>
    <n v="7.48"/>
    <n v="13.02"/>
    <n v="82.2"/>
    <n v="4.2"/>
    <n v="11334"/>
    <n v="7811"/>
    <n v="5"/>
    <n v="10870920.98"/>
    <n v="80.645161381258163"/>
    <n v="13479942"/>
  </r>
  <r>
    <s v="P0319"/>
    <s v="Model_323"/>
    <x v="2"/>
    <x v="0"/>
    <n v="2024"/>
    <s v="Q4"/>
    <n v="3225"/>
    <n v="5472"/>
    <n v="1813"/>
    <n v="232170"/>
    <n v="6.59"/>
    <n v="8"/>
    <n v="8.3699999999999992"/>
    <n v="16.73"/>
    <n v="15.86"/>
    <n v="2.1"/>
    <n v="11989"/>
    <n v="3728"/>
    <n v="2"/>
    <n v="11568088.27"/>
    <n v="65.551975780860417"/>
    <n v="17647200"/>
  </r>
  <r>
    <s v="P0320"/>
    <s v="Model_331"/>
    <x v="1"/>
    <x v="0"/>
    <n v="2024"/>
    <s v="Q1"/>
    <n v="4391"/>
    <n v="6795"/>
    <n v="1026"/>
    <n v="243226"/>
    <n v="9.16"/>
    <n v="14"/>
    <n v="7.04"/>
    <n v="20.38"/>
    <n v="81.53"/>
    <n v="3.9"/>
    <n v="17268"/>
    <n v="1665"/>
    <n v="5"/>
    <n v="25088432.620000001"/>
    <n v="84.085407220502034"/>
    <n v="29836845"/>
  </r>
  <r>
    <s v="P0321"/>
    <s v="Model_194"/>
    <x v="0"/>
    <x v="1"/>
    <n v="2024"/>
    <s v="Q4"/>
    <n v="2856"/>
    <n v="15413"/>
    <n v="8121"/>
    <n v="194063"/>
    <n v="2.41"/>
    <n v="11"/>
    <n v="9.2899999999999991"/>
    <n v="6.52"/>
    <n v="28.25"/>
    <n v="1.8"/>
    <n v="11864"/>
    <n v="3767"/>
    <n v="10"/>
    <n v="20631882.48"/>
    <n v="46.869840312690314"/>
    <n v="44019528"/>
  </r>
  <r>
    <s v="P0322"/>
    <s v="Model_947"/>
    <x v="2"/>
    <x v="0"/>
    <n v="2023"/>
    <s v="Q4"/>
    <n v="587"/>
    <n v="10605"/>
    <n v="2628"/>
    <n v="118344"/>
    <n v="10.1"/>
    <n v="1"/>
    <n v="7.39"/>
    <n v="7.42"/>
    <n v="69.2"/>
    <n v="2"/>
    <n v="3660"/>
    <n v="6559"/>
    <n v="2"/>
    <n v="4564147.58"/>
    <n v="73.318049809361568"/>
    <n v="6225135"/>
  </r>
  <r>
    <s v="P0323"/>
    <s v="Model_321"/>
    <x v="1"/>
    <x v="0"/>
    <n v="2024"/>
    <s v="Q3"/>
    <n v="1891"/>
    <n v="9728"/>
    <n v="8709"/>
    <n v="417090"/>
    <n v="2.69"/>
    <n v="4"/>
    <n v="3.06"/>
    <n v="0.02"/>
    <n v="34.78"/>
    <n v="2.2999999999999998"/>
    <n v="14768"/>
    <n v="4196"/>
    <n v="11"/>
    <n v="1509838.98"/>
    <n v="8.2075879033997605"/>
    <n v="18395648"/>
  </r>
  <r>
    <s v="P0324"/>
    <s v="Model_504"/>
    <x v="0"/>
    <x v="1"/>
    <n v="2024"/>
    <s v="Q3"/>
    <n v="2505"/>
    <n v="11403"/>
    <n v="6388"/>
    <n v="86593"/>
    <n v="10.41"/>
    <n v="12"/>
    <n v="2.65"/>
    <n v="24.08"/>
    <n v="78.7"/>
    <n v="3.4"/>
    <n v="15985"/>
    <n v="1119"/>
    <n v="4"/>
    <n v="12475957.92"/>
    <n v="43.6764213220494"/>
    <n v="28564515"/>
  </r>
  <r>
    <s v="P0325"/>
    <s v="Model_282"/>
    <x v="1"/>
    <x v="0"/>
    <n v="2023"/>
    <s v="Q3"/>
    <n v="574"/>
    <n v="4520"/>
    <n v="13909"/>
    <n v="86304"/>
    <n v="3.44"/>
    <n v="19"/>
    <n v="6.96"/>
    <n v="22.94"/>
    <n v="66.040000000000006"/>
    <n v="2.8"/>
    <n v="4422"/>
    <n v="8028"/>
    <n v="6"/>
    <n v="-5475612.9400000004"/>
    <n v="-211.04857004101015"/>
    <n v="2594480"/>
  </r>
  <r>
    <s v="P0326"/>
    <s v="Model_258"/>
    <x v="0"/>
    <x v="2"/>
    <n v="2023"/>
    <s v="Q3"/>
    <n v="3000"/>
    <n v="10487"/>
    <n v="2823"/>
    <n v="473602"/>
    <n v="1.76"/>
    <n v="7"/>
    <n v="1.93"/>
    <n v="19.11"/>
    <n v="42.15"/>
    <n v="4"/>
    <n v="5304"/>
    <n v="9576"/>
    <n v="8"/>
    <n v="22518378.890000001"/>
    <n v="71.575534439464732"/>
    <n v="31461000"/>
  </r>
  <r>
    <s v="P0327"/>
    <s v="Model_783"/>
    <x v="0"/>
    <x v="1"/>
    <n v="2023"/>
    <s v="Q2"/>
    <n v="4181"/>
    <n v="14380"/>
    <n v="5766"/>
    <n v="236292"/>
    <n v="2.48"/>
    <n v="13"/>
    <n v="0.93"/>
    <n v="1.98"/>
    <n v="16.100000000000001"/>
    <n v="1.9"/>
    <n v="3868"/>
    <n v="8354"/>
    <n v="10"/>
    <n v="35778840.020000003"/>
    <n v="59.509623507096656"/>
    <n v="60122780"/>
  </r>
  <r>
    <s v="P0328"/>
    <s v="Model_381"/>
    <x v="2"/>
    <x v="0"/>
    <n v="2023"/>
    <s v="Q2"/>
    <n v="4830"/>
    <n v="6733"/>
    <n v="11444"/>
    <n v="163613"/>
    <n v="0.03"/>
    <n v="14"/>
    <n v="5.32"/>
    <n v="11.19"/>
    <n v="68.62"/>
    <n v="1"/>
    <n v="16657"/>
    <n v="6065"/>
    <n v="7"/>
    <n v="-22917754.190000001"/>
    <n v="-70.471953718882219"/>
    <n v="32520390"/>
  </r>
  <r>
    <s v="P0329"/>
    <s v="Model_124"/>
    <x v="0"/>
    <x v="1"/>
    <n v="2024"/>
    <s v="Q2"/>
    <n v="4165"/>
    <n v="11016"/>
    <n v="11077"/>
    <n v="250410"/>
    <n v="10.78"/>
    <n v="10"/>
    <n v="8.2200000000000006"/>
    <n v="2.5499999999999998"/>
    <n v="59.35"/>
    <n v="4.0999999999999996"/>
    <n v="9593"/>
    <n v="2369"/>
    <n v="4"/>
    <n v="-504477.55"/>
    <n v="-1.0995194374045913"/>
    <n v="45881640"/>
  </r>
  <r>
    <s v="P0330"/>
    <s v="Model_166"/>
    <x v="1"/>
    <x v="0"/>
    <n v="2023"/>
    <s v="Q1"/>
    <n v="2418"/>
    <n v="16059"/>
    <n v="6691"/>
    <n v="464299"/>
    <n v="10.99"/>
    <n v="0"/>
    <n v="1.01"/>
    <n v="0.4"/>
    <n v="10.23"/>
    <n v="4.3"/>
    <n v="5432"/>
    <n v="8935"/>
    <n v="14"/>
    <n v="22187524.600000001"/>
    <n v="57.139187068198837"/>
    <n v="38830662"/>
  </r>
  <r>
    <s v="P0331"/>
    <s v="Model_821"/>
    <x v="1"/>
    <x v="1"/>
    <n v="2023"/>
    <s v="Q1"/>
    <n v="3897"/>
    <n v="18201"/>
    <n v="13275"/>
    <n v="68354"/>
    <n v="7.72"/>
    <n v="2"/>
    <n v="7.92"/>
    <n v="15.4"/>
    <n v="10.75"/>
    <n v="1.2"/>
    <n v="13052"/>
    <n v="4821"/>
    <n v="8"/>
    <n v="19128252.600000001"/>
    <n v="26.968056091124097"/>
    <n v="70929297"/>
  </r>
  <r>
    <s v="P0332"/>
    <s v="Model_125"/>
    <x v="0"/>
    <x v="0"/>
    <n v="2024"/>
    <s v="Q2"/>
    <n v="4545"/>
    <n v="3896"/>
    <n v="1880"/>
    <n v="334334"/>
    <n v="2.42"/>
    <n v="16"/>
    <n v="8.1199999999999992"/>
    <n v="24.02"/>
    <n v="74.7"/>
    <n v="3.4"/>
    <n v="7108"/>
    <n v="8508"/>
    <n v="5"/>
    <n v="8828361.9800000004"/>
    <n v="49.857132417553871"/>
    <n v="17707320"/>
  </r>
  <r>
    <s v="P0333"/>
    <s v="Model_427"/>
    <x v="0"/>
    <x v="2"/>
    <n v="2024"/>
    <s v="Q1"/>
    <n v="2751"/>
    <n v="3091"/>
    <n v="5836"/>
    <n v="56142"/>
    <n v="1.25"/>
    <n v="18"/>
    <n v="4.82"/>
    <n v="22.57"/>
    <n v="30.75"/>
    <n v="2.5"/>
    <n v="14399"/>
    <n v="295"/>
    <n v="4"/>
    <n v="-7607659.5700000003"/>
    <n v="-89.466711613705712"/>
    <n v="8503341"/>
  </r>
  <r>
    <s v="P0334"/>
    <s v="Model_759"/>
    <x v="0"/>
    <x v="3"/>
    <n v="2023"/>
    <s v="Q4"/>
    <n v="1021"/>
    <n v="12803"/>
    <n v="11312"/>
    <n v="471614"/>
    <n v="0.28999999999999998"/>
    <n v="13"/>
    <n v="0.56999999999999995"/>
    <n v="17.420000000000002"/>
    <n v="60.89"/>
    <n v="4.2"/>
    <n v="10792"/>
    <n v="3373"/>
    <n v="8"/>
    <n v="1050679.58"/>
    <n v="8.0377187245612962"/>
    <n v="13071863"/>
  </r>
  <r>
    <s v="P0335"/>
    <s v="Model_692"/>
    <x v="0"/>
    <x v="3"/>
    <n v="2024"/>
    <s v="Q1"/>
    <n v="1216"/>
    <n v="7683"/>
    <n v="12182"/>
    <n v="233043"/>
    <n v="2.4900000000000002"/>
    <n v="7"/>
    <n v="1.75"/>
    <n v="2.42"/>
    <n v="46.34"/>
    <n v="4.5"/>
    <n v="11362"/>
    <n v="5210"/>
    <n v="12"/>
    <n v="-5703829.4199999999"/>
    <n v="-61.052312821540376"/>
    <n v="9342528"/>
  </r>
  <r>
    <s v="P0336"/>
    <s v="Model_934"/>
    <x v="2"/>
    <x v="2"/>
    <n v="2024"/>
    <s v="Q1"/>
    <n v="4979"/>
    <n v="2812"/>
    <n v="11622"/>
    <n v="354006"/>
    <n v="13.36"/>
    <n v="12"/>
    <n v="7.07"/>
    <n v="6.85"/>
    <n v="79.069999999999993"/>
    <n v="4.4000000000000004"/>
    <n v="7031"/>
    <n v="7501"/>
    <n v="12"/>
    <n v="-44219002.850000001"/>
    <n v="-315.82863424676674"/>
    <n v="14000948"/>
  </r>
  <r>
    <s v="P0337"/>
    <s v="Model_892"/>
    <x v="1"/>
    <x v="2"/>
    <n v="2024"/>
    <s v="Q3"/>
    <n v="2824"/>
    <n v="8814"/>
    <n v="3363"/>
    <n v="234482"/>
    <n v="3.62"/>
    <n v="19"/>
    <n v="7.12"/>
    <n v="8"/>
    <n v="83.36"/>
    <n v="4.0999999999999996"/>
    <n v="11912"/>
    <n v="3312"/>
    <n v="8"/>
    <n v="15159134"/>
    <n v="60.902714969939019"/>
    <n v="24890736"/>
  </r>
  <r>
    <s v="P0338"/>
    <s v="Model_559"/>
    <x v="1"/>
    <x v="1"/>
    <n v="2023"/>
    <s v="Q4"/>
    <n v="2032"/>
    <n v="3639"/>
    <n v="4092"/>
    <n v="200575"/>
    <n v="5.31"/>
    <n v="2"/>
    <n v="8.98"/>
    <n v="19.079999999999998"/>
    <n v="89.74"/>
    <n v="2.1"/>
    <n v="7844"/>
    <n v="2855"/>
    <n v="5"/>
    <n v="-1121090.08"/>
    <n v="-15.161240974309376"/>
    <n v="7394448"/>
  </r>
  <r>
    <s v="P0339"/>
    <s v="Model_595"/>
    <x v="0"/>
    <x v="2"/>
    <n v="2024"/>
    <s v="Q2"/>
    <n v="903"/>
    <n v="16188"/>
    <n v="13613"/>
    <n v="175438"/>
    <n v="1.58"/>
    <n v="4"/>
    <n v="5.83"/>
    <n v="20.059999999999999"/>
    <n v="22.29"/>
    <n v="4.2"/>
    <n v="18259"/>
    <n v="1621"/>
    <n v="13"/>
    <n v="2149766.94"/>
    <n v="14.706537470436654"/>
    <n v="14617764"/>
  </r>
  <r>
    <s v="P0340"/>
    <s v="Model_912"/>
    <x v="0"/>
    <x v="3"/>
    <n v="2024"/>
    <s v="Q4"/>
    <n v="4196"/>
    <n v="19588"/>
    <n v="4386"/>
    <n v="98456"/>
    <n v="3.34"/>
    <n v="8"/>
    <n v="1.24"/>
    <n v="9.6300000000000008"/>
    <n v="79.040000000000006"/>
    <n v="3.1"/>
    <n v="9387"/>
    <n v="5774"/>
    <n v="8"/>
    <n v="63689126.369999997"/>
    <n v="77.488939418464597"/>
    <n v="82191248"/>
  </r>
  <r>
    <s v="P0341"/>
    <s v="Model_676"/>
    <x v="2"/>
    <x v="2"/>
    <n v="2024"/>
    <s v="Q4"/>
    <n v="3786"/>
    <n v="8424"/>
    <n v="5231"/>
    <n v="150167"/>
    <n v="7.79"/>
    <n v="5"/>
    <n v="1.21"/>
    <n v="10.45"/>
    <n v="31.28"/>
    <n v="1.2"/>
    <n v="19493"/>
    <n v="1180"/>
    <n v="12"/>
    <n v="11938520.550000001"/>
    <n v="37.4327336016784"/>
    <n v="31893264"/>
  </r>
  <r>
    <s v="P0342"/>
    <s v="Model_131"/>
    <x v="0"/>
    <x v="2"/>
    <n v="2024"/>
    <s v="Q4"/>
    <n v="3819"/>
    <n v="1862"/>
    <n v="7641"/>
    <n v="394179"/>
    <n v="9.1199999999999992"/>
    <n v="1"/>
    <n v="7.21"/>
    <n v="1.1100000000000001"/>
    <n v="57.27"/>
    <n v="2.8"/>
    <n v="17658"/>
    <n v="5723"/>
    <n v="3"/>
    <n v="-22464181.109999999"/>
    <n v="-315.9084602708657"/>
    <n v="7110978"/>
  </r>
  <r>
    <s v="P0343"/>
    <s v="Model_397"/>
    <x v="0"/>
    <x v="2"/>
    <n v="2024"/>
    <s v="Q1"/>
    <n v="624"/>
    <n v="14981"/>
    <n v="14166"/>
    <n v="320160"/>
    <n v="3.68"/>
    <n v="12"/>
    <n v="1.84"/>
    <n v="7.23"/>
    <n v="50.46"/>
    <n v="4.8"/>
    <n v="20823"/>
    <n v="821"/>
    <n v="2"/>
    <n v="188392.77"/>
    <n v="2.0152959774688965"/>
    <n v="9348144"/>
  </r>
  <r>
    <s v="P0344"/>
    <s v="Model_708"/>
    <x v="2"/>
    <x v="3"/>
    <n v="2023"/>
    <s v="Q2"/>
    <n v="3311"/>
    <n v="5238"/>
    <n v="7443"/>
    <n v="314528"/>
    <n v="0.87"/>
    <n v="4"/>
    <n v="3.28"/>
    <n v="11.28"/>
    <n v="11.44"/>
    <n v="4.5999999999999996"/>
    <n v="19497"/>
    <n v="1662"/>
    <n v="13"/>
    <n v="-7615294.2800000003"/>
    <n v="-43.909856289141835"/>
    <n v="17343018"/>
  </r>
  <r>
    <s v="P0345"/>
    <s v="Model_166"/>
    <x v="2"/>
    <x v="2"/>
    <n v="2023"/>
    <s v="Q3"/>
    <n v="1198"/>
    <n v="3969"/>
    <n v="11939"/>
    <n v="243392"/>
    <n v="5.87"/>
    <n v="7"/>
    <n v="4.87"/>
    <n v="2.92"/>
    <n v="84.62"/>
    <n v="1.4"/>
    <n v="5179"/>
    <n v="739"/>
    <n v="3"/>
    <n v="-9791454.9199999999"/>
    <n v="-205.92511244280067"/>
    <n v="4754862"/>
  </r>
  <r>
    <s v="P0346"/>
    <s v="Model_114"/>
    <x v="1"/>
    <x v="1"/>
    <n v="2023"/>
    <s v="Q2"/>
    <n v="1765"/>
    <n v="17606"/>
    <n v="4759"/>
    <n v="458288"/>
    <n v="3.51"/>
    <n v="0"/>
    <n v="0.25"/>
    <n v="11.33"/>
    <n v="16.27"/>
    <n v="4"/>
    <n v="9040"/>
    <n v="4360"/>
    <n v="5"/>
    <n v="22216655.670000002"/>
    <n v="71.494605946530598"/>
    <n v="31074590"/>
  </r>
  <r>
    <s v="P0347"/>
    <s v="Model_978"/>
    <x v="1"/>
    <x v="3"/>
    <n v="2024"/>
    <s v="Q2"/>
    <n v="4827"/>
    <n v="18440"/>
    <n v="11805"/>
    <n v="152239"/>
    <n v="3.29"/>
    <n v="19"/>
    <n v="2.4900000000000002"/>
    <n v="21.33"/>
    <n v="65.06"/>
    <n v="4.2"/>
    <n v="10988"/>
    <n v="5290"/>
    <n v="9"/>
    <n v="31874884.670000002"/>
    <n v="35.810501789239581"/>
    <n v="89009880"/>
  </r>
  <r>
    <s v="P0348"/>
    <s v="Model_103"/>
    <x v="0"/>
    <x v="0"/>
    <n v="2023"/>
    <s v="Q2"/>
    <n v="4983"/>
    <n v="10517"/>
    <n v="11575"/>
    <n v="161431"/>
    <n v="14.4"/>
    <n v="11"/>
    <n v="4.08"/>
    <n v="14.53"/>
    <n v="72.8"/>
    <n v="2.1"/>
    <n v="8574"/>
    <n v="3836"/>
    <n v="4"/>
    <n v="-5433459.5300000003"/>
    <n v="-10.367968655471008"/>
    <n v="52406211"/>
  </r>
  <r>
    <s v="P0349"/>
    <s v="Model_558"/>
    <x v="1"/>
    <x v="3"/>
    <n v="2023"/>
    <s v="Q4"/>
    <n v="3904"/>
    <n v="4308"/>
    <n v="961"/>
    <n v="392162"/>
    <n v="9.24"/>
    <n v="10"/>
    <n v="2.8"/>
    <n v="1.97"/>
    <n v="73.62"/>
    <n v="2.9"/>
    <n v="5496"/>
    <n v="7846"/>
    <n v="11"/>
    <n v="12674524.029999999"/>
    <n v="75.360913728461725"/>
    <n v="16818432"/>
  </r>
  <r>
    <s v="P0350"/>
    <s v="Model_425"/>
    <x v="2"/>
    <x v="1"/>
    <n v="2023"/>
    <s v="Q3"/>
    <n v="2541"/>
    <n v="17870"/>
    <n v="1393"/>
    <n v="90510"/>
    <n v="8.35"/>
    <n v="6"/>
    <n v="1.36"/>
    <n v="4.79"/>
    <n v="20.84"/>
    <n v="3.8"/>
    <n v="7195"/>
    <n v="189"/>
    <n v="7"/>
    <n v="41777542.210000001"/>
    <n v="92.00547442755817"/>
    <n v="45407670"/>
  </r>
  <r>
    <s v="P0351"/>
    <s v="Model_755"/>
    <x v="2"/>
    <x v="3"/>
    <n v="2023"/>
    <s v="Q2"/>
    <n v="2710"/>
    <n v="16370"/>
    <n v="12251"/>
    <n v="230005"/>
    <n v="6.24"/>
    <n v="14"/>
    <n v="7.28"/>
    <n v="11.86"/>
    <n v="45.81"/>
    <n v="2.8"/>
    <n v="15735"/>
    <n v="1351"/>
    <n v="7"/>
    <n v="10932473.140000001"/>
    <n v="24.643389919910199"/>
    <n v="44362700"/>
  </r>
  <r>
    <s v="P0352"/>
    <s v="Model_108"/>
    <x v="2"/>
    <x v="3"/>
    <n v="2023"/>
    <s v="Q2"/>
    <n v="3174"/>
    <n v="14213"/>
    <n v="13147"/>
    <n v="333970"/>
    <n v="6.43"/>
    <n v="10"/>
    <n v="8.1300000000000008"/>
    <n v="9.0399999999999991"/>
    <n v="76.349999999999994"/>
    <n v="1.5"/>
    <n v="3866"/>
    <n v="9394"/>
    <n v="14"/>
    <n v="3049504.96"/>
    <n v="6.7598438750150676"/>
    <n v="45112062"/>
  </r>
  <r>
    <s v="P0353"/>
    <s v="Model_243"/>
    <x v="0"/>
    <x v="0"/>
    <n v="2024"/>
    <s v="Q2"/>
    <n v="3101"/>
    <n v="9061"/>
    <n v="11954"/>
    <n v="380170"/>
    <n v="8.11"/>
    <n v="15"/>
    <n v="2.57"/>
    <n v="8.9700000000000006"/>
    <n v="34.21"/>
    <n v="3.8"/>
    <n v="15664"/>
    <n v="4803"/>
    <n v="10"/>
    <n v="-9351371.9700000007"/>
    <n v="-33.281081882903301"/>
    <n v="28098161"/>
  </r>
  <r>
    <s v="P0354"/>
    <s v="Model_334"/>
    <x v="1"/>
    <x v="3"/>
    <n v="2024"/>
    <s v="Q1"/>
    <n v="54"/>
    <n v="4219"/>
    <n v="12880"/>
    <n v="171668"/>
    <n v="10.45"/>
    <n v="2"/>
    <n v="7.74"/>
    <n v="13.23"/>
    <n v="47.42"/>
    <n v="4.5999999999999996"/>
    <n v="8264"/>
    <n v="448"/>
    <n v="10"/>
    <n v="-639375.23"/>
    <n v="-280.64190654271243"/>
    <n v="227826"/>
  </r>
  <r>
    <s v="P0355"/>
    <s v="Model_879"/>
    <x v="1"/>
    <x v="0"/>
    <n v="2024"/>
    <s v="Q4"/>
    <n v="4919"/>
    <n v="13200"/>
    <n v="4190"/>
    <n v="292700"/>
    <n v="10.53"/>
    <n v="19"/>
    <n v="3.86"/>
    <n v="14.61"/>
    <n v="31.82"/>
    <n v="3.6"/>
    <n v="17027"/>
    <n v="4152"/>
    <n v="5"/>
    <n v="44027475.390000001"/>
    <n v="67.806765648967826"/>
    <n v="64930800"/>
  </r>
  <r>
    <s v="P0356"/>
    <s v="Model_539"/>
    <x v="0"/>
    <x v="2"/>
    <n v="2023"/>
    <s v="Q4"/>
    <n v="926"/>
    <n v="5241"/>
    <n v="6797"/>
    <n v="468734"/>
    <n v="2.58"/>
    <n v="13"/>
    <n v="5.07"/>
    <n v="19.920000000000002"/>
    <n v="47.08"/>
    <n v="4.0999999999999996"/>
    <n v="17792"/>
    <n v="3041"/>
    <n v="10"/>
    <n v="-1909609.92"/>
    <n v="-39.347714873136418"/>
    <n v="4853166"/>
  </r>
  <r>
    <s v="P0357"/>
    <s v="Model_774"/>
    <x v="0"/>
    <x v="1"/>
    <n v="2023"/>
    <s v="Q2"/>
    <n v="1041"/>
    <n v="11266"/>
    <n v="7154"/>
    <n v="74045"/>
    <n v="7.5"/>
    <n v="2"/>
    <n v="8.56"/>
    <n v="8.52"/>
    <n v="81.03"/>
    <n v="2.4"/>
    <n v="3114"/>
    <n v="8537"/>
    <n v="14"/>
    <n v="4206538.4800000004"/>
    <n v="35.867771109352347"/>
    <n v="11727906"/>
  </r>
  <r>
    <s v="P0358"/>
    <s v="Model_306"/>
    <x v="0"/>
    <x v="3"/>
    <n v="2023"/>
    <s v="Q3"/>
    <n v="4192"/>
    <n v="5498"/>
    <n v="13493"/>
    <n v="231948"/>
    <n v="6.18"/>
    <n v="0"/>
    <n v="7.5"/>
    <n v="20.14"/>
    <n v="46.41"/>
    <n v="1.7"/>
    <n v="15896"/>
    <n v="371"/>
    <n v="7"/>
    <n v="-33747008.140000001"/>
    <n v="-146.42298856419686"/>
    <n v="23047616"/>
  </r>
  <r>
    <s v="P0359"/>
    <s v="Model_363"/>
    <x v="0"/>
    <x v="3"/>
    <n v="2023"/>
    <s v="Q2"/>
    <n v="4414"/>
    <n v="17577"/>
    <n v="1463"/>
    <n v="140102"/>
    <n v="13.06"/>
    <n v="14"/>
    <n v="8.0500000000000007"/>
    <n v="8.4700000000000006"/>
    <n v="54.47"/>
    <n v="3.6"/>
    <n v="20300"/>
    <n v="2130"/>
    <n v="3"/>
    <n v="70987085.530000001"/>
    <n v="91.496032938274382"/>
    <n v="77584878"/>
  </r>
  <r>
    <s v="P0360"/>
    <s v="Model_506"/>
    <x v="0"/>
    <x v="0"/>
    <n v="2023"/>
    <s v="Q3"/>
    <n v="4515"/>
    <n v="1794"/>
    <n v="10124"/>
    <n v="364063"/>
    <n v="9.4700000000000006"/>
    <n v="0"/>
    <n v="1.37"/>
    <n v="1.39"/>
    <n v="42.32"/>
    <n v="2.2999999999999998"/>
    <n v="18380"/>
    <n v="7936"/>
    <n v="11"/>
    <n v="-37974014.390000001"/>
    <n v="-468.82020158248673"/>
    <n v="8099910"/>
  </r>
  <r>
    <s v="P0361"/>
    <s v="Model_476"/>
    <x v="2"/>
    <x v="3"/>
    <n v="2024"/>
    <s v="Q2"/>
    <n v="685"/>
    <n v="11677"/>
    <n v="14187"/>
    <n v="149441"/>
    <n v="7.99"/>
    <n v="16"/>
    <n v="0.7"/>
    <n v="13.85"/>
    <n v="46.81"/>
    <n v="4.4000000000000004"/>
    <n v="18388"/>
    <n v="9757"/>
    <n v="12"/>
    <n v="-1868804.85"/>
    <n v="-23.363725809486365"/>
    <n v="7998745"/>
  </r>
  <r>
    <s v="P0362"/>
    <s v="Model_714"/>
    <x v="1"/>
    <x v="1"/>
    <n v="2024"/>
    <s v="Q1"/>
    <n v="1743"/>
    <n v="11382"/>
    <n v="1341"/>
    <n v="208175"/>
    <n v="1.73"/>
    <n v="1"/>
    <n v="8.93"/>
    <n v="14.7"/>
    <n v="11.21"/>
    <n v="1.5"/>
    <n v="7233"/>
    <n v="9487"/>
    <n v="7"/>
    <n v="17293273.300000001"/>
    <n v="87.168833982414085"/>
    <n v="19838826"/>
  </r>
  <r>
    <s v="P0363"/>
    <s v="Model_562"/>
    <x v="0"/>
    <x v="0"/>
    <n v="2024"/>
    <s v="Q1"/>
    <n v="1732"/>
    <n v="2636"/>
    <n v="6233"/>
    <n v="299877"/>
    <n v="9.08"/>
    <n v="19"/>
    <n v="3.88"/>
    <n v="23.36"/>
    <n v="32.700000000000003"/>
    <n v="2.7"/>
    <n v="4716"/>
    <n v="7141"/>
    <n v="3"/>
    <n v="-6529904.3600000003"/>
    <n v="-143.02551717733147"/>
    <n v="4565552"/>
  </r>
  <r>
    <s v="P0364"/>
    <s v="Model_502"/>
    <x v="1"/>
    <x v="1"/>
    <n v="2023"/>
    <s v="Q3"/>
    <n v="4802"/>
    <n v="3564"/>
    <n v="5893"/>
    <n v="479404"/>
    <n v="1.76"/>
    <n v="5"/>
    <n v="2.88"/>
    <n v="18.149999999999999"/>
    <n v="44.93"/>
    <n v="2.6"/>
    <n v="5864"/>
    <n v="5275"/>
    <n v="9"/>
    <n v="-11663280.15"/>
    <n v="-68.14921479826728"/>
    <n v="17114328"/>
  </r>
  <r>
    <s v="P0365"/>
    <s v="Model_701"/>
    <x v="2"/>
    <x v="1"/>
    <n v="2023"/>
    <s v="Q2"/>
    <n v="169"/>
    <n v="8509"/>
    <n v="14228"/>
    <n v="186917"/>
    <n v="5.0599999999999996"/>
    <n v="7"/>
    <n v="7.25"/>
    <n v="22.94"/>
    <n v="60.7"/>
    <n v="4.8"/>
    <n v="13769"/>
    <n v="9906"/>
    <n v="5"/>
    <n v="-1153450.94"/>
    <n v="-80.210994137081443"/>
    <n v="1438021"/>
  </r>
  <r>
    <s v="P0366"/>
    <s v="Model_214"/>
    <x v="2"/>
    <x v="0"/>
    <n v="2023"/>
    <s v="Q3"/>
    <n v="880"/>
    <n v="14487"/>
    <n v="11966"/>
    <n v="267770"/>
    <n v="2.14"/>
    <n v="15"/>
    <n v="8.36"/>
    <n v="22.71"/>
    <n v="46"/>
    <n v="1.6"/>
    <n v="19361"/>
    <n v="1226"/>
    <n v="6"/>
    <n v="1950687.29"/>
    <n v="15.301236296491524"/>
    <n v="12748560"/>
  </r>
  <r>
    <s v="P0367"/>
    <s v="Model_113"/>
    <x v="0"/>
    <x v="0"/>
    <n v="2023"/>
    <s v="Q1"/>
    <n v="3725"/>
    <n v="6043"/>
    <n v="1667"/>
    <n v="479890"/>
    <n v="10.38"/>
    <n v="18"/>
    <n v="8.6199999999999992"/>
    <n v="15.11"/>
    <n v="37.03"/>
    <n v="1"/>
    <n v="15329"/>
    <n v="4479"/>
    <n v="9"/>
    <n v="15820694.890000001"/>
    <n v="70.282416240655621"/>
    <n v="22510175"/>
  </r>
  <r>
    <s v="P0368"/>
    <s v="Model_640"/>
    <x v="0"/>
    <x v="0"/>
    <n v="2024"/>
    <s v="Q4"/>
    <n v="1419"/>
    <n v="2507"/>
    <n v="11058"/>
    <n v="168325"/>
    <n v="3.09"/>
    <n v="0"/>
    <n v="3.16"/>
    <n v="13.19"/>
    <n v="41.05"/>
    <n v="2"/>
    <n v="6460"/>
    <n v="8808"/>
    <n v="12"/>
    <n v="-12302207.189999999"/>
    <n v="-345.81697504914354"/>
    <n v="3557433"/>
  </r>
  <r>
    <s v="P0369"/>
    <s v="Model_553"/>
    <x v="0"/>
    <x v="3"/>
    <n v="2024"/>
    <s v="Q4"/>
    <n v="790"/>
    <n v="6945"/>
    <n v="9423"/>
    <n v="69337"/>
    <n v="5.88"/>
    <n v="2"/>
    <n v="8.52"/>
    <n v="13.94"/>
    <n v="29.38"/>
    <n v="4.3"/>
    <n v="20281"/>
    <n v="9593"/>
    <n v="9"/>
    <n v="-2026970.94"/>
    <n v="-36.94436285097192"/>
    <n v="5486550"/>
  </r>
  <r>
    <s v="P0370"/>
    <s v="Model_616"/>
    <x v="1"/>
    <x v="2"/>
    <n v="2023"/>
    <s v="Q1"/>
    <n v="166"/>
    <n v="12206"/>
    <n v="13827"/>
    <n v="203385"/>
    <n v="13.44"/>
    <n v="2"/>
    <n v="0.41"/>
    <n v="24.46"/>
    <n v="83.96"/>
    <n v="1.8"/>
    <n v="9801"/>
    <n v="8152"/>
    <n v="13"/>
    <n v="-472495.46"/>
    <n v="-23.319336332714112"/>
    <n v="2026196"/>
  </r>
  <r>
    <s v="P0371"/>
    <s v="Model_669"/>
    <x v="1"/>
    <x v="0"/>
    <n v="2024"/>
    <s v="Q4"/>
    <n v="2888"/>
    <n v="16249"/>
    <n v="6269"/>
    <n v="470159"/>
    <n v="3.06"/>
    <n v="4"/>
    <n v="0.5"/>
    <n v="19.329999999999998"/>
    <n v="51.74"/>
    <n v="2"/>
    <n v="10341"/>
    <n v="711"/>
    <n v="13"/>
    <n v="28352061.670000002"/>
    <n v="60.41723102414656"/>
    <n v="46927112"/>
  </r>
  <r>
    <s v="P0372"/>
    <s v="Model_891"/>
    <x v="2"/>
    <x v="3"/>
    <n v="2024"/>
    <s v="Q2"/>
    <n v="1200"/>
    <n v="13218"/>
    <n v="13270"/>
    <n v="390093"/>
    <n v="7.62"/>
    <n v="11"/>
    <n v="6.24"/>
    <n v="2.66"/>
    <n v="11.07"/>
    <n v="1.5"/>
    <n v="9230"/>
    <n v="849"/>
    <n v="7"/>
    <n v="-452495.66"/>
    <n v="-2.8527743733292983"/>
    <n v="15861600"/>
  </r>
  <r>
    <s v="P0373"/>
    <s v="Model_595"/>
    <x v="1"/>
    <x v="1"/>
    <n v="2023"/>
    <s v="Q3"/>
    <n v="1981"/>
    <n v="10939"/>
    <n v="7056"/>
    <n v="312420"/>
    <n v="6.29"/>
    <n v="11"/>
    <n v="0.63"/>
    <n v="19.46"/>
    <n v="11.56"/>
    <n v="3.9"/>
    <n v="19383"/>
    <n v="1956"/>
    <n v="5"/>
    <n v="7379783.54"/>
    <n v="34.055050265205715"/>
    <n v="21670159"/>
  </r>
  <r>
    <s v="P0374"/>
    <s v="Model_851"/>
    <x v="2"/>
    <x v="3"/>
    <n v="2024"/>
    <s v="Q2"/>
    <n v="1062"/>
    <n v="14781"/>
    <n v="10198"/>
    <n v="363295"/>
    <n v="0.27"/>
    <n v="19"/>
    <n v="3.25"/>
    <n v="4.26"/>
    <n v="87.84"/>
    <n v="1.3"/>
    <n v="18479"/>
    <n v="8691"/>
    <n v="2"/>
    <n v="4503846.74"/>
    <n v="28.691633186646825"/>
    <n v="15697422"/>
  </r>
  <r>
    <s v="P0375"/>
    <s v="Model_787"/>
    <x v="2"/>
    <x v="1"/>
    <n v="2024"/>
    <s v="Q1"/>
    <n v="1714"/>
    <n v="2935"/>
    <n v="11520"/>
    <n v="460827"/>
    <n v="11.89"/>
    <n v="12"/>
    <n v="6.73"/>
    <n v="11.18"/>
    <n v="27.72"/>
    <n v="2.2999999999999998"/>
    <n v="2478"/>
    <n v="1626"/>
    <n v="13"/>
    <n v="-15175528.18"/>
    <n v="-301.66497726906783"/>
    <n v="5030590"/>
  </r>
  <r>
    <s v="P0376"/>
    <s v="Model_215"/>
    <x v="1"/>
    <x v="1"/>
    <n v="2023"/>
    <s v="Q4"/>
    <n v="1131"/>
    <n v="2071"/>
    <n v="1969"/>
    <n v="193016"/>
    <n v="1.04"/>
    <n v="19"/>
    <n v="3.37"/>
    <n v="5.26"/>
    <n v="74.45"/>
    <n v="2.1"/>
    <n v="2230"/>
    <n v="6329"/>
    <n v="8"/>
    <n v="-77659.259999999995"/>
    <n v="-3.3155115418556367"/>
    <n v="2342301"/>
  </r>
  <r>
    <s v="P0377"/>
    <s v="Model_211"/>
    <x v="2"/>
    <x v="3"/>
    <n v="2023"/>
    <s v="Q1"/>
    <n v="4779"/>
    <n v="3882"/>
    <n v="1630"/>
    <n v="365031"/>
    <n v="7.11"/>
    <n v="8"/>
    <n v="1.8"/>
    <n v="17.239999999999998"/>
    <n v="14.66"/>
    <n v="3.2"/>
    <n v="1556"/>
    <n v="8611"/>
    <n v="9"/>
    <n v="10397259.76"/>
    <n v="56.043639747525852"/>
    <n v="18552078"/>
  </r>
  <r>
    <s v="P0378"/>
    <s v="Model_893"/>
    <x v="1"/>
    <x v="0"/>
    <n v="2024"/>
    <s v="Q2"/>
    <n v="562"/>
    <n v="6584"/>
    <n v="2451"/>
    <n v="131442"/>
    <n v="8.41"/>
    <n v="6"/>
    <n v="2.81"/>
    <n v="21.93"/>
    <n v="83.69"/>
    <n v="3.9"/>
    <n v="3743"/>
    <n v="8627"/>
    <n v="10"/>
    <n v="2191282.0699999998"/>
    <n v="59.220510576702715"/>
    <n v="3700208"/>
  </r>
  <r>
    <s v="P0379"/>
    <s v="Model_570"/>
    <x v="1"/>
    <x v="1"/>
    <n v="2023"/>
    <s v="Q1"/>
    <n v="2899"/>
    <n v="18161"/>
    <n v="1936"/>
    <n v="99847"/>
    <n v="9.43"/>
    <n v="3"/>
    <n v="4.58"/>
    <n v="7.26"/>
    <n v="79.95"/>
    <n v="3.1"/>
    <n v="3201"/>
    <n v="2198"/>
    <n v="3"/>
    <n v="46936420.740000002"/>
    <n v="89.150132807549298"/>
    <n v="52648739"/>
  </r>
  <r>
    <s v="P0380"/>
    <s v="Model_350"/>
    <x v="0"/>
    <x v="3"/>
    <n v="2024"/>
    <s v="Q1"/>
    <n v="609"/>
    <n v="15007"/>
    <n v="3610"/>
    <n v="108653"/>
    <n v="10.33"/>
    <n v="18"/>
    <n v="4.75"/>
    <n v="2.0499999999999998"/>
    <n v="55.69"/>
    <n v="4.7"/>
    <n v="19170"/>
    <n v="7965"/>
    <n v="2"/>
    <n v="6832117.9500000002"/>
    <n v="74.755677235680821"/>
    <n v="9139263"/>
  </r>
  <r>
    <s v="P0381"/>
    <s v="Model_406"/>
    <x v="0"/>
    <x v="3"/>
    <n v="2024"/>
    <s v="Q2"/>
    <n v="3722"/>
    <n v="8559"/>
    <n v="9467"/>
    <n v="267144"/>
    <n v="3.8"/>
    <n v="18"/>
    <n v="7.83"/>
    <n v="7.46"/>
    <n v="10.72"/>
    <n v="4.8"/>
    <n v="9803"/>
    <n v="273"/>
    <n v="5"/>
    <n v="-3646727.46"/>
    <n v="-11.447322341199145"/>
    <n v="31856598"/>
  </r>
  <r>
    <s v="P0382"/>
    <s v="Model_260"/>
    <x v="0"/>
    <x v="1"/>
    <n v="2023"/>
    <s v="Q2"/>
    <n v="4633"/>
    <n v="19771"/>
    <n v="11802"/>
    <n v="303661"/>
    <n v="0.15"/>
    <n v="5"/>
    <n v="7.5"/>
    <n v="16.809999999999999"/>
    <n v="30.62"/>
    <n v="2.4"/>
    <n v="16600"/>
    <n v="9933"/>
    <n v="14"/>
    <n v="36616699.189999998"/>
    <n v="39.974980077029841"/>
    <n v="91599043"/>
  </r>
  <r>
    <s v="P0383"/>
    <s v="Model_168"/>
    <x v="1"/>
    <x v="0"/>
    <n v="2024"/>
    <s v="Q2"/>
    <n v="3393"/>
    <n v="14271"/>
    <n v="10318"/>
    <n v="368766"/>
    <n v="10.85"/>
    <n v="12"/>
    <n v="4.57"/>
    <n v="8.2200000000000006"/>
    <n v="42.55"/>
    <n v="4.0999999999999996"/>
    <n v="14498"/>
    <n v="600"/>
    <n v="6"/>
    <n v="13043754.779999999"/>
    <n v="26.937938667455242"/>
    <n v="48421503"/>
  </r>
  <r>
    <s v="P0384"/>
    <s v="Model_135"/>
    <x v="2"/>
    <x v="0"/>
    <n v="2023"/>
    <s v="Q1"/>
    <n v="4120"/>
    <n v="19149"/>
    <n v="14058"/>
    <n v="339954"/>
    <n v="8.0299999999999994"/>
    <n v="10"/>
    <n v="8.4600000000000009"/>
    <n v="6.95"/>
    <n v="46.81"/>
    <n v="4"/>
    <n v="10893"/>
    <n v="3746"/>
    <n v="11"/>
    <n v="20634959.050000001"/>
    <n v="26.155335559615018"/>
    <n v="78893880"/>
  </r>
  <r>
    <s v="P0385"/>
    <s v="Model_236"/>
    <x v="0"/>
    <x v="3"/>
    <n v="2023"/>
    <s v="Q2"/>
    <n v="4849"/>
    <n v="8991"/>
    <n v="1819"/>
    <n v="127842"/>
    <n v="12.54"/>
    <n v="12"/>
    <n v="1.1399999999999999"/>
    <n v="4.6100000000000003"/>
    <n v="33.81"/>
    <n v="4.5999999999999996"/>
    <n v="2447"/>
    <n v="6319"/>
    <n v="13"/>
    <n v="34649181.390000001"/>
    <n v="79.475413613930144"/>
    <n v="43597359"/>
  </r>
  <r>
    <s v="P0386"/>
    <s v="Model_502"/>
    <x v="0"/>
    <x v="1"/>
    <n v="2024"/>
    <s v="Q4"/>
    <n v="1520"/>
    <n v="16027"/>
    <n v="6037"/>
    <n v="434369"/>
    <n v="12.32"/>
    <n v="12"/>
    <n v="2.5499999999999998"/>
    <n v="12.44"/>
    <n v="12.64"/>
    <n v="2.8"/>
    <n v="8053"/>
    <n v="2463"/>
    <n v="2"/>
    <n v="14750418.560000001"/>
    <n v="60.54921530443692"/>
    <n v="24361040"/>
  </r>
  <r>
    <s v="P0387"/>
    <s v="Model_736"/>
    <x v="0"/>
    <x v="1"/>
    <n v="2023"/>
    <s v="Q2"/>
    <n v="630"/>
    <n v="18924"/>
    <n v="10828"/>
    <n v="322647"/>
    <n v="12.65"/>
    <n v="19"/>
    <n v="8.2799999999999994"/>
    <n v="6.9"/>
    <n v="57.21"/>
    <n v="3.1"/>
    <n v="2257"/>
    <n v="7640"/>
    <n v="6"/>
    <n v="4777826.0999999996"/>
    <n v="40.07530623748125"/>
    <n v="11922120"/>
  </r>
  <r>
    <s v="P0388"/>
    <s v="Model_833"/>
    <x v="0"/>
    <x v="0"/>
    <n v="2023"/>
    <s v="Q2"/>
    <n v="2344"/>
    <n v="16359"/>
    <n v="13248"/>
    <n v="134761"/>
    <n v="7.28"/>
    <n v="14"/>
    <n v="3.78"/>
    <n v="18.28"/>
    <n v="51.93"/>
    <n v="2.7"/>
    <n v="16366"/>
    <n v="1996"/>
    <n v="7"/>
    <n v="7157404.7199999997"/>
    <n v="18.665568232576778"/>
    <n v="38345496"/>
  </r>
  <r>
    <s v="P0389"/>
    <s v="Model_533"/>
    <x v="2"/>
    <x v="3"/>
    <n v="2023"/>
    <s v="Q4"/>
    <n v="3197"/>
    <n v="9573"/>
    <n v="11440"/>
    <n v="480192"/>
    <n v="5"/>
    <n v="12"/>
    <n v="9.81"/>
    <n v="1.92"/>
    <n v="32.64"/>
    <n v="4.4000000000000004"/>
    <n v="13080"/>
    <n v="5859"/>
    <n v="4"/>
    <n v="-6448992.9199999999"/>
    <n v="-21.071779106084417"/>
    <n v="30604881"/>
  </r>
  <r>
    <s v="P0390"/>
    <s v="Model_918"/>
    <x v="0"/>
    <x v="3"/>
    <n v="2023"/>
    <s v="Q1"/>
    <n v="4299"/>
    <n v="10577"/>
    <n v="13285"/>
    <n v="438583"/>
    <n v="11.87"/>
    <n v="10"/>
    <n v="4.66"/>
    <n v="16.600000000000001"/>
    <n v="13.04"/>
    <n v="1.9"/>
    <n v="7151"/>
    <n v="1878"/>
    <n v="13"/>
    <n v="-12080291.6"/>
    <n v="-26.567302953607992"/>
    <n v="45470523"/>
  </r>
  <r>
    <s v="P0391"/>
    <s v="Model_978"/>
    <x v="2"/>
    <x v="0"/>
    <n v="2023"/>
    <s v="Q3"/>
    <n v="1729"/>
    <n v="12883"/>
    <n v="2083"/>
    <n v="323734"/>
    <n v="6.77"/>
    <n v="18"/>
    <n v="7.92"/>
    <n v="5.94"/>
    <n v="89.57"/>
    <n v="2"/>
    <n v="8773"/>
    <n v="3157"/>
    <n v="8"/>
    <n v="18349460.059999999"/>
    <n v="82.378008653492046"/>
    <n v="22274707"/>
  </r>
  <r>
    <s v="P0392"/>
    <s v="Model_835"/>
    <x v="2"/>
    <x v="2"/>
    <n v="2023"/>
    <s v="Q2"/>
    <n v="3556"/>
    <n v="17878"/>
    <n v="1459"/>
    <n v="191958"/>
    <n v="2.75"/>
    <n v="7"/>
    <n v="4.0199999999999996"/>
    <n v="12.23"/>
    <n v="48.56"/>
    <n v="2.5"/>
    <n v="11533"/>
    <n v="5290"/>
    <n v="7"/>
    <n v="58193993.770000003"/>
    <n v="91.537169263465628"/>
    <n v="63574168"/>
  </r>
  <r>
    <s v="P0393"/>
    <s v="Model_211"/>
    <x v="0"/>
    <x v="3"/>
    <n v="2023"/>
    <s v="Q2"/>
    <n v="2794"/>
    <n v="3853"/>
    <n v="14863"/>
    <n v="456082"/>
    <n v="12.82"/>
    <n v="19"/>
    <n v="4.25"/>
    <n v="7.15"/>
    <n v="70.48"/>
    <n v="1.9"/>
    <n v="5035"/>
    <n v="7097"/>
    <n v="5"/>
    <n v="-31218029.149999999"/>
    <n v="-289.98802957507286"/>
    <n v="10765282"/>
  </r>
  <r>
    <s v="P0394"/>
    <s v="Model_100"/>
    <x v="0"/>
    <x v="3"/>
    <n v="2024"/>
    <s v="Q3"/>
    <n v="3406"/>
    <n v="6299"/>
    <n v="14158"/>
    <n v="378768"/>
    <n v="13.24"/>
    <n v="7"/>
    <n v="3.83"/>
    <n v="18.07"/>
    <n v="46.19"/>
    <n v="3.2"/>
    <n v="20177"/>
    <n v="4847"/>
    <n v="4"/>
    <n v="-27146540.07"/>
    <n v="-126.53137660285347"/>
    <n v="21454394"/>
  </r>
  <r>
    <s v="P0395"/>
    <s v="Model_437"/>
    <x v="0"/>
    <x v="2"/>
    <n v="2023"/>
    <s v="Q4"/>
    <n v="4095"/>
    <n v="18570"/>
    <n v="2810"/>
    <n v="213864"/>
    <n v="6.99"/>
    <n v="9"/>
    <n v="7.19"/>
    <n v="23.63"/>
    <n v="13.45"/>
    <n v="1.5"/>
    <n v="18988"/>
    <n v="9386"/>
    <n v="6"/>
    <n v="64323312.369999997"/>
    <n v="84.58679907658906"/>
    <n v="76044150"/>
  </r>
  <r>
    <s v="P0396"/>
    <s v="Model_906"/>
    <x v="2"/>
    <x v="0"/>
    <n v="2023"/>
    <s v="Q4"/>
    <n v="1293"/>
    <n v="13439"/>
    <n v="9390"/>
    <n v="452980"/>
    <n v="1.1399999999999999"/>
    <n v="15"/>
    <n v="5.48"/>
    <n v="22.93"/>
    <n v="34.770000000000003"/>
    <n v="2.2999999999999998"/>
    <n v="10353"/>
    <n v="145"/>
    <n v="4"/>
    <n v="4782354.07"/>
    <n v="27.521762825432116"/>
    <n v="17376627"/>
  </r>
  <r>
    <s v="P0397"/>
    <s v="Model_220"/>
    <x v="2"/>
    <x v="0"/>
    <n v="2023"/>
    <s v="Q4"/>
    <n v="3168"/>
    <n v="3928"/>
    <n v="2533"/>
    <n v="306910"/>
    <n v="5.82"/>
    <n v="18"/>
    <n v="9.44"/>
    <n v="14.59"/>
    <n v="35.61"/>
    <n v="4.7"/>
    <n v="2408"/>
    <n v="7858"/>
    <n v="11"/>
    <n v="4112435.41"/>
    <n v="33.047791191574603"/>
    <n v="12443904"/>
  </r>
  <r>
    <s v="P0398"/>
    <s v="Model_593"/>
    <x v="1"/>
    <x v="1"/>
    <n v="2024"/>
    <s v="Q3"/>
    <n v="2191"/>
    <n v="12796"/>
    <n v="14670"/>
    <n v="170356"/>
    <n v="12.05"/>
    <n v="10"/>
    <n v="2.5099999999999998"/>
    <n v="11.57"/>
    <n v="77.069999999999993"/>
    <n v="2.6"/>
    <n v="6117"/>
    <n v="9737"/>
    <n v="10"/>
    <n v="-4276301.57"/>
    <n v="-15.252875156816037"/>
    <n v="28036036"/>
  </r>
  <r>
    <s v="P0399"/>
    <s v="Model_788"/>
    <x v="2"/>
    <x v="0"/>
    <n v="2024"/>
    <s v="Q3"/>
    <n v="3109"/>
    <n v="9313"/>
    <n v="2925"/>
    <n v="267228"/>
    <n v="13.53"/>
    <n v="12"/>
    <n v="1.01"/>
    <n v="20.46"/>
    <n v="62.34"/>
    <n v="4"/>
    <n v="11548"/>
    <n v="7153"/>
    <n v="10"/>
    <n v="19593043.539999999"/>
    <n v="67.66928357718524"/>
    <n v="28954117"/>
  </r>
  <r>
    <s v="P0400"/>
    <s v="Model_333"/>
    <x v="1"/>
    <x v="3"/>
    <n v="2023"/>
    <s v="Q1"/>
    <n v="4598"/>
    <n v="15914"/>
    <n v="2971"/>
    <n v="92727"/>
    <n v="3.05"/>
    <n v="8"/>
    <n v="3.93"/>
    <n v="17.079999999999998"/>
    <n v="32.03"/>
    <n v="1.5"/>
    <n v="3811"/>
    <n v="3301"/>
    <n v="7"/>
    <n v="59419169.920000002"/>
    <n v="81.204156551993279"/>
    <n v="73172572"/>
  </r>
  <r>
    <s v="P0401"/>
    <s v="Model_430"/>
    <x v="1"/>
    <x v="3"/>
    <n v="2024"/>
    <s v="Q2"/>
    <n v="3009"/>
    <n v="13301"/>
    <n v="9066"/>
    <n v="390615"/>
    <n v="1"/>
    <n v="19"/>
    <n v="6.17"/>
    <n v="4.59"/>
    <n v="87.42"/>
    <n v="2"/>
    <n v="17520"/>
    <n v="555"/>
    <n v="14"/>
    <n v="12352495.41"/>
    <n v="30.86371642159455"/>
    <n v="40022709"/>
  </r>
  <r>
    <s v="P0402"/>
    <s v="Model_575"/>
    <x v="1"/>
    <x v="3"/>
    <n v="2024"/>
    <s v="Q4"/>
    <n v="2315"/>
    <n v="13245"/>
    <n v="13689"/>
    <n v="58068"/>
    <n v="13.16"/>
    <n v="18"/>
    <n v="8.61"/>
    <n v="20.52"/>
    <n v="35.72"/>
    <n v="4.2"/>
    <n v="18673"/>
    <n v="9954"/>
    <n v="12"/>
    <n v="-1085948.52"/>
    <n v="-3.5416552152611485"/>
    <n v="30662175"/>
  </r>
  <r>
    <s v="P0403"/>
    <s v="Model_613"/>
    <x v="0"/>
    <x v="1"/>
    <n v="2023"/>
    <s v="Q1"/>
    <n v="2529"/>
    <n v="14525"/>
    <n v="4271"/>
    <n v="166923"/>
    <n v="5.84"/>
    <n v="15"/>
    <n v="3.46"/>
    <n v="10.72"/>
    <n v="89.86"/>
    <n v="4.0999999999999996"/>
    <n v="15085"/>
    <n v="3024"/>
    <n v="7"/>
    <n v="25765432.280000001"/>
    <n v="70.141082288823156"/>
    <n v="36733725"/>
  </r>
  <r>
    <s v="P0404"/>
    <s v="Model_202"/>
    <x v="2"/>
    <x v="2"/>
    <n v="2024"/>
    <s v="Q3"/>
    <n v="4696"/>
    <n v="4856"/>
    <n v="9828"/>
    <n v="450511"/>
    <n v="8.1300000000000008"/>
    <n v="6"/>
    <n v="6.54"/>
    <n v="4.72"/>
    <n v="89.69"/>
    <n v="2.5"/>
    <n v="15517"/>
    <n v="7898"/>
    <n v="13"/>
    <n v="-23799027.719999999"/>
    <n v="-104.3644163142104"/>
    <n v="22803776"/>
  </r>
  <r>
    <s v="P0405"/>
    <s v="Model_391"/>
    <x v="1"/>
    <x v="1"/>
    <n v="2024"/>
    <s v="Q4"/>
    <n v="1685"/>
    <n v="15788"/>
    <n v="6424"/>
    <n v="484376"/>
    <n v="14.52"/>
    <n v="18"/>
    <n v="3.5"/>
    <n v="7.04"/>
    <n v="25.3"/>
    <n v="4.8"/>
    <n v="18055"/>
    <n v="1065"/>
    <n v="5"/>
    <n v="15293956.960000001"/>
    <n v="57.490070436247642"/>
    <n v="26602780"/>
  </r>
  <r>
    <s v="P0406"/>
    <s v="Model_626"/>
    <x v="0"/>
    <x v="3"/>
    <n v="2024"/>
    <s v="Q4"/>
    <n v="1807"/>
    <n v="8040"/>
    <n v="9491"/>
    <n v="61390"/>
    <n v="1"/>
    <n v="11"/>
    <n v="6.17"/>
    <n v="6.69"/>
    <n v="35.020000000000003"/>
    <n v="4.5999999999999996"/>
    <n v="14052"/>
    <n v="5064"/>
    <n v="5"/>
    <n v="-2683353.69"/>
    <n v="-18.469864911744541"/>
    <n v="14528280"/>
  </r>
  <r>
    <s v="P0407"/>
    <s v="Model_521"/>
    <x v="0"/>
    <x v="3"/>
    <n v="2024"/>
    <s v="Q1"/>
    <n v="4502"/>
    <n v="17922"/>
    <n v="14684"/>
    <n v="156752"/>
    <n v="9.7200000000000006"/>
    <n v="14"/>
    <n v="8.85"/>
    <n v="12.98"/>
    <n v="48.88"/>
    <n v="4.8"/>
    <n v="14837"/>
    <n v="1628"/>
    <n v="3"/>
    <n v="14420711.02"/>
    <n v="17.872887031918903"/>
    <n v="80684844"/>
  </r>
  <r>
    <s v="P0408"/>
    <s v="Model_393"/>
    <x v="0"/>
    <x v="0"/>
    <n v="2024"/>
    <s v="Q2"/>
    <n v="2120"/>
    <n v="4842"/>
    <n v="9129"/>
    <n v="463347"/>
    <n v="1.1100000000000001"/>
    <n v="13"/>
    <n v="2.31"/>
    <n v="5.86"/>
    <n v="63.13"/>
    <n v="2.7"/>
    <n v="3385"/>
    <n v="3076"/>
    <n v="11"/>
    <n v="-9551792.8599999994"/>
    <n v="-93.051686695814141"/>
    <n v="10265040"/>
  </r>
  <r>
    <s v="P0409"/>
    <s v="Model_195"/>
    <x v="2"/>
    <x v="2"/>
    <n v="2024"/>
    <s v="Q1"/>
    <n v="2899"/>
    <n v="10578"/>
    <n v="2897"/>
    <n v="406898"/>
    <n v="5.63"/>
    <n v="10"/>
    <n v="4.04"/>
    <n v="3.09"/>
    <n v="52.24"/>
    <n v="1.8"/>
    <n v="2549"/>
    <n v="3171"/>
    <n v="5"/>
    <n v="21860317.91"/>
    <n v="71.286073734294391"/>
    <n v="30665622"/>
  </r>
  <r>
    <s v="P0410"/>
    <s v="Model_319"/>
    <x v="2"/>
    <x v="1"/>
    <n v="2023"/>
    <s v="Q3"/>
    <n v="3301"/>
    <n v="4344"/>
    <n v="14882"/>
    <n v="388113"/>
    <n v="12.06"/>
    <n v="9"/>
    <n v="9.93"/>
    <n v="3.09"/>
    <n v="87.56"/>
    <n v="3.5"/>
    <n v="12003"/>
    <n v="4969"/>
    <n v="9"/>
    <n v="-35174054.090000004"/>
    <n v="-245.29409087206679"/>
    <n v="14339544"/>
  </r>
  <r>
    <s v="P0411"/>
    <s v="Model_769"/>
    <x v="2"/>
    <x v="3"/>
    <n v="2023"/>
    <s v="Q3"/>
    <n v="3780"/>
    <n v="11896"/>
    <n v="5868"/>
    <n v="196110"/>
    <n v="6.5"/>
    <n v="10"/>
    <n v="8.69"/>
    <n v="14.58"/>
    <n v="67.92"/>
    <n v="3.7"/>
    <n v="2661"/>
    <n v="6487"/>
    <n v="14"/>
    <n v="22589715.420000002"/>
    <n v="50.236341547378871"/>
    <n v="44966880"/>
  </r>
  <r>
    <s v="P0412"/>
    <s v="Model_800"/>
    <x v="0"/>
    <x v="2"/>
    <n v="2023"/>
    <s v="Q3"/>
    <n v="2539"/>
    <n v="18982"/>
    <n v="14730"/>
    <n v="495543"/>
    <n v="14.96"/>
    <n v="5"/>
    <n v="5.65"/>
    <n v="18.37"/>
    <n v="26.96"/>
    <n v="1.5"/>
    <n v="2315"/>
    <n v="2621"/>
    <n v="11"/>
    <n v="10300266.630000001"/>
    <n v="21.371932652019293"/>
    <n v="48195298"/>
  </r>
  <r>
    <s v="P0413"/>
    <s v="Model_978"/>
    <x v="1"/>
    <x v="1"/>
    <n v="2023"/>
    <s v="Q2"/>
    <n v="1681"/>
    <n v="19707"/>
    <n v="12688"/>
    <n v="274790"/>
    <n v="8.39"/>
    <n v="1"/>
    <n v="5.17"/>
    <n v="8.0399999999999991"/>
    <n v="18.41"/>
    <n v="4.0999999999999996"/>
    <n v="5266"/>
    <n v="6625"/>
    <n v="3"/>
    <n v="11524140.960000001"/>
    <n v="34.787268703640997"/>
    <n v="33127467"/>
  </r>
  <r>
    <s v="P0414"/>
    <s v="Model_159"/>
    <x v="2"/>
    <x v="1"/>
    <n v="2023"/>
    <s v="Q2"/>
    <n v="2866"/>
    <n v="15498"/>
    <n v="10877"/>
    <n v="389208"/>
    <n v="4.82"/>
    <n v="10"/>
    <n v="2.85"/>
    <n v="0.87"/>
    <n v="65.069999999999993"/>
    <n v="1.1000000000000001"/>
    <n v="4739"/>
    <n v="1226"/>
    <n v="10"/>
    <n v="12854577.130000001"/>
    <n v="28.940494786847314"/>
    <n v="44417268"/>
  </r>
  <r>
    <s v="P0415"/>
    <s v="Model_158"/>
    <x v="1"/>
    <x v="0"/>
    <n v="2023"/>
    <s v="Q1"/>
    <n v="1065"/>
    <n v="14761"/>
    <n v="7197"/>
    <n v="71281"/>
    <n v="3.3"/>
    <n v="18"/>
    <n v="5.17"/>
    <n v="3.18"/>
    <n v="22.68"/>
    <n v="2.9"/>
    <n v="15442"/>
    <n v="6732"/>
    <n v="2"/>
    <n v="7984375.8200000003"/>
    <n v="50.789692416859175"/>
    <n v="15720465"/>
  </r>
  <r>
    <s v="P0416"/>
    <s v="Model_453"/>
    <x v="1"/>
    <x v="1"/>
    <n v="2023"/>
    <s v="Q4"/>
    <n v="1398"/>
    <n v="4593"/>
    <n v="3557"/>
    <n v="104189"/>
    <n v="5.26"/>
    <n v="5"/>
    <n v="8.48"/>
    <n v="22.87"/>
    <n v="73.010000000000005"/>
    <n v="2.2999999999999998"/>
    <n v="9772"/>
    <n v="5873"/>
    <n v="14"/>
    <n v="1344116.13"/>
    <n v="20.933082064608485"/>
    <n v="6421014"/>
  </r>
  <r>
    <s v="P0417"/>
    <s v="Model_287"/>
    <x v="2"/>
    <x v="3"/>
    <n v="2024"/>
    <s v="Q3"/>
    <n v="4661"/>
    <n v="13222"/>
    <n v="4720"/>
    <n v="312093"/>
    <n v="5.59"/>
    <n v="13"/>
    <n v="6.85"/>
    <n v="12.34"/>
    <n v="34.880000000000003"/>
    <n v="4"/>
    <n v="20688"/>
    <n v="7816"/>
    <n v="3"/>
    <n v="39315716.659999996"/>
    <n v="63.795484604968969"/>
    <n v="61627742"/>
  </r>
  <r>
    <s v="P0418"/>
    <s v="Model_364"/>
    <x v="1"/>
    <x v="1"/>
    <n v="2023"/>
    <s v="Q1"/>
    <n v="3137"/>
    <n v="13145"/>
    <n v="8986"/>
    <n v="360655"/>
    <n v="1.03"/>
    <n v="19"/>
    <n v="2.9"/>
    <n v="11.34"/>
    <n v="36.15"/>
    <n v="2.2999999999999998"/>
    <n v="2369"/>
    <n v="3504"/>
    <n v="3"/>
    <n v="12686116.66"/>
    <n v="30.764764265282174"/>
    <n v="41235865"/>
  </r>
  <r>
    <s v="P0419"/>
    <s v="Model_880"/>
    <x v="1"/>
    <x v="3"/>
    <n v="2024"/>
    <s v="Q3"/>
    <n v="2889"/>
    <n v="16583"/>
    <n v="2700"/>
    <n v="172115"/>
    <n v="5.54"/>
    <n v="5"/>
    <n v="2.0099999999999998"/>
    <n v="0.95"/>
    <n v="10.86"/>
    <n v="4.3"/>
    <n v="7026"/>
    <n v="4592"/>
    <n v="12"/>
    <n v="39935871.049999997"/>
    <n v="83.35900436181322"/>
    <n v="47908287"/>
  </r>
  <r>
    <s v="P0420"/>
    <s v="Model_581"/>
    <x v="1"/>
    <x v="2"/>
    <n v="2023"/>
    <s v="Q2"/>
    <n v="385"/>
    <n v="2488"/>
    <n v="3410"/>
    <n v="58605"/>
    <n v="6.96"/>
    <n v="16"/>
    <n v="2.65"/>
    <n v="18.22"/>
    <n v="66.08"/>
    <n v="3.4"/>
    <n v="9241"/>
    <n v="2443"/>
    <n v="14"/>
    <n v="-413593.22"/>
    <n v="-43.177978452415751"/>
    <n v="957880"/>
  </r>
  <r>
    <s v="P0421"/>
    <s v="Model_572"/>
    <x v="2"/>
    <x v="0"/>
    <n v="2023"/>
    <s v="Q2"/>
    <n v="4642"/>
    <n v="7946"/>
    <n v="7700"/>
    <n v="412462"/>
    <n v="10.84"/>
    <n v="9"/>
    <n v="1.7"/>
    <n v="13.2"/>
    <n v="19.059999999999999"/>
    <n v="4.2"/>
    <n v="6194"/>
    <n v="206"/>
    <n v="7"/>
    <n v="729456.8"/>
    <n v="1.977633819318747"/>
    <n v="36885332"/>
  </r>
  <r>
    <s v="P0422"/>
    <s v="Model_255"/>
    <x v="0"/>
    <x v="0"/>
    <n v="2024"/>
    <s v="Q2"/>
    <n v="945"/>
    <n v="17835"/>
    <n v="12978"/>
    <n v="444597"/>
    <n v="9.85"/>
    <n v="0"/>
    <n v="0.96"/>
    <n v="5.05"/>
    <n v="71.83"/>
    <n v="5"/>
    <n v="3434"/>
    <n v="3254"/>
    <n v="8"/>
    <n v="4145262.95"/>
    <n v="24.595019008756044"/>
    <n v="16854075"/>
  </r>
  <r>
    <s v="P0423"/>
    <s v="Model_154"/>
    <x v="2"/>
    <x v="0"/>
    <n v="2024"/>
    <s v="Q3"/>
    <n v="3596"/>
    <n v="17633"/>
    <n v="2249"/>
    <n v="331954"/>
    <n v="10.63"/>
    <n v="2"/>
    <n v="4.1900000000000004"/>
    <n v="2.75"/>
    <n v="49.35"/>
    <n v="3.7"/>
    <n v="18587"/>
    <n v="4153"/>
    <n v="14"/>
    <n v="54988907.25"/>
    <n v="86.721982770448804"/>
    <n v="63408268"/>
  </r>
  <r>
    <s v="P0424"/>
    <s v="Model_186"/>
    <x v="2"/>
    <x v="0"/>
    <n v="2024"/>
    <s v="Q3"/>
    <n v="901"/>
    <n v="3182"/>
    <n v="9538"/>
    <n v="299415"/>
    <n v="0.13"/>
    <n v="7"/>
    <n v="1.1299999999999999"/>
    <n v="9.58"/>
    <n v="72.739999999999995"/>
    <n v="4.9000000000000004"/>
    <n v="17818"/>
    <n v="4901"/>
    <n v="4"/>
    <n v="-6026180.5800000001"/>
    <n v="-210.19248045505691"/>
    <n v="2866982"/>
  </r>
  <r>
    <s v="P0425"/>
    <s v="Model_157"/>
    <x v="1"/>
    <x v="1"/>
    <n v="2023"/>
    <s v="Q2"/>
    <n v="1737"/>
    <n v="7126"/>
    <n v="5817"/>
    <n v="205394"/>
    <n v="3.27"/>
    <n v="7"/>
    <n v="1.72"/>
    <n v="20.93"/>
    <n v="56.71"/>
    <n v="1.1000000000000001"/>
    <n v="20407"/>
    <n v="6239"/>
    <n v="12"/>
    <n v="2068318.07"/>
    <n v="16.70981684882252"/>
    <n v="12377862"/>
  </r>
  <r>
    <s v="P0426"/>
    <s v="Model_297"/>
    <x v="2"/>
    <x v="2"/>
    <n v="2024"/>
    <s v="Q4"/>
    <n v="1981"/>
    <n v="8924"/>
    <n v="13668"/>
    <n v="91869"/>
    <n v="9.93"/>
    <n v="19"/>
    <n v="5.47"/>
    <n v="21.63"/>
    <n v="16.59"/>
    <n v="2.4"/>
    <n v="20523"/>
    <n v="5680"/>
    <n v="10"/>
    <n v="-9489754.6300000008"/>
    <n v="-53.679807057679966"/>
    <n v="17678444"/>
  </r>
  <r>
    <s v="P0427"/>
    <s v="Model_416"/>
    <x v="1"/>
    <x v="3"/>
    <n v="2023"/>
    <s v="Q2"/>
    <n v="3796"/>
    <n v="14357"/>
    <n v="14460"/>
    <n v="82955"/>
    <n v="7.26"/>
    <n v="14"/>
    <n v="1.65"/>
    <n v="15.07"/>
    <n v="71.25"/>
    <n v="1.4"/>
    <n v="7659"/>
    <n v="314"/>
    <n v="6"/>
    <n v="-473958.07"/>
    <n v="-0.86966104732747129"/>
    <n v="54499172"/>
  </r>
  <r>
    <s v="P0428"/>
    <s v="Model_814"/>
    <x v="1"/>
    <x v="3"/>
    <n v="2024"/>
    <s v="Q3"/>
    <n v="2477"/>
    <n v="13655"/>
    <n v="8799"/>
    <n v="111388"/>
    <n v="0.08"/>
    <n v="6"/>
    <n v="0.64"/>
    <n v="18.190000000000001"/>
    <n v="15.58"/>
    <n v="2"/>
    <n v="17219"/>
    <n v="5500"/>
    <n v="6"/>
    <n v="11916905.810000001"/>
    <n v="35.23268943559399"/>
    <n v="33823435"/>
  </r>
  <r>
    <s v="P0429"/>
    <s v="Model_288"/>
    <x v="0"/>
    <x v="2"/>
    <n v="2024"/>
    <s v="Q1"/>
    <n v="1618"/>
    <n v="18817"/>
    <n v="6852"/>
    <n v="291324"/>
    <n v="12.07"/>
    <n v="10"/>
    <n v="3.17"/>
    <n v="2.88"/>
    <n v="48.3"/>
    <n v="4.4000000000000004"/>
    <n v="14493"/>
    <n v="6975"/>
    <n v="12"/>
    <n v="19068043.120000001"/>
    <n v="62.629251762125257"/>
    <n v="30445906"/>
  </r>
  <r>
    <s v="P0430"/>
    <s v="Model_430"/>
    <x v="1"/>
    <x v="3"/>
    <n v="2023"/>
    <s v="Q1"/>
    <n v="4050"/>
    <n v="12925"/>
    <n v="10995"/>
    <n v="60207"/>
    <n v="11.59"/>
    <n v="6"/>
    <n v="2.2000000000000002"/>
    <n v="14.7"/>
    <n v="23.79"/>
    <n v="1.1000000000000001"/>
    <n v="15313"/>
    <n v="4389"/>
    <n v="13"/>
    <n v="7756278.2999999998"/>
    <n v="14.817256823554695"/>
    <n v="52346250"/>
  </r>
  <r>
    <s v="P0431"/>
    <s v="Model_641"/>
    <x v="2"/>
    <x v="3"/>
    <n v="2024"/>
    <s v="Q4"/>
    <n v="2788"/>
    <n v="3480"/>
    <n v="2896"/>
    <n v="268401"/>
    <n v="8.23"/>
    <n v="3"/>
    <n v="5.15"/>
    <n v="16.670000000000002"/>
    <n v="70.19"/>
    <n v="3.1"/>
    <n v="2664"/>
    <n v="4353"/>
    <n v="5"/>
    <n v="1359774.33"/>
    <n v="14.015055595408896"/>
    <n v="9702240"/>
  </r>
  <r>
    <s v="P0432"/>
    <s v="Model_488"/>
    <x v="1"/>
    <x v="0"/>
    <n v="2023"/>
    <s v="Q4"/>
    <n v="3548"/>
    <n v="17022"/>
    <n v="9695"/>
    <n v="209292"/>
    <n v="1"/>
    <n v="11"/>
    <n v="1.02"/>
    <n v="5.0199999999999996"/>
    <n v="82.93"/>
    <n v="3.3"/>
    <n v="2119"/>
    <n v="8756"/>
    <n v="10"/>
    <n v="25786898.98"/>
    <n v="42.697743267979881"/>
    <n v="60394056"/>
  </r>
  <r>
    <s v="P0433"/>
    <s v="Model_443"/>
    <x v="1"/>
    <x v="1"/>
    <n v="2024"/>
    <s v="Q3"/>
    <n v="3963"/>
    <n v="10484"/>
    <n v="7204"/>
    <n v="255157"/>
    <n v="11.5"/>
    <n v="5"/>
    <n v="7.52"/>
    <n v="22"/>
    <n v="54.33"/>
    <n v="3.2"/>
    <n v="9482"/>
    <n v="6347"/>
    <n v="9"/>
    <n v="12743461"/>
    <n v="30.671591369346153"/>
    <n v="41548092"/>
  </r>
  <r>
    <s v="P0434"/>
    <s v="Model_394"/>
    <x v="0"/>
    <x v="0"/>
    <n v="2023"/>
    <s v="Q1"/>
    <n v="1116"/>
    <n v="18675"/>
    <n v="11395"/>
    <n v="72031"/>
    <n v="8.76"/>
    <n v="13"/>
    <n v="9.06"/>
    <n v="4.87"/>
    <n v="52.17"/>
    <n v="2.9"/>
    <n v="4566"/>
    <n v="6277"/>
    <n v="13"/>
    <n v="8052444.1299999999"/>
    <n v="38.636957051623462"/>
    <n v="20841300"/>
  </r>
  <r>
    <s v="P0435"/>
    <s v="Model_865"/>
    <x v="0"/>
    <x v="3"/>
    <n v="2024"/>
    <s v="Q4"/>
    <n v="4430"/>
    <n v="17383"/>
    <n v="10617"/>
    <n v="392951"/>
    <n v="11.73"/>
    <n v="11"/>
    <n v="7.43"/>
    <n v="7.84"/>
    <n v="71.12"/>
    <n v="4.2"/>
    <n v="10138"/>
    <n v="7369"/>
    <n v="5"/>
    <n v="29580421.16"/>
    <n v="38.41279395335652"/>
    <n v="77006690"/>
  </r>
  <r>
    <s v="P0436"/>
    <s v="Model_305"/>
    <x v="2"/>
    <x v="1"/>
    <n v="2024"/>
    <s v="Q4"/>
    <n v="2494"/>
    <n v="6890"/>
    <n v="4131"/>
    <n v="121312"/>
    <n v="11.28"/>
    <n v="10"/>
    <n v="5.33"/>
    <n v="15.51"/>
    <n v="10.41"/>
    <n v="1.5"/>
    <n v="3837"/>
    <n v="2472"/>
    <n v="5"/>
    <n v="6759618.4900000002"/>
    <n v="39.337478104198993"/>
    <n v="17183660"/>
  </r>
  <r>
    <s v="P0437"/>
    <s v="Model_854"/>
    <x v="0"/>
    <x v="1"/>
    <n v="2023"/>
    <s v="Q1"/>
    <n v="4157"/>
    <n v="3107"/>
    <n v="13725"/>
    <n v="109766"/>
    <n v="12.05"/>
    <n v="18"/>
    <n v="8.61"/>
    <n v="15.96"/>
    <n v="83.42"/>
    <n v="2.2000000000000002"/>
    <n v="7094"/>
    <n v="6934"/>
    <n v="3"/>
    <n v="-44248807.960000001"/>
    <n v="-342.59442996906347"/>
    <n v="12915799"/>
  </r>
  <r>
    <s v="P0438"/>
    <s v="Model_986"/>
    <x v="1"/>
    <x v="0"/>
    <n v="2024"/>
    <s v="Q4"/>
    <n v="3423"/>
    <n v="8073"/>
    <n v="8262"/>
    <n v="193521"/>
    <n v="7.77"/>
    <n v="4"/>
    <n v="6.95"/>
    <n v="17.48"/>
    <n v="25.8"/>
    <n v="3.5"/>
    <n v="3960"/>
    <n v="8883"/>
    <n v="10"/>
    <n v="-840485.48"/>
    <n v="-3.0415038004617445"/>
    <n v="27633879"/>
  </r>
  <r>
    <s v="P0439"/>
    <s v="Model_397"/>
    <x v="0"/>
    <x v="3"/>
    <n v="2023"/>
    <s v="Q1"/>
    <n v="4019"/>
    <n v="18868"/>
    <n v="5905"/>
    <n v="401977"/>
    <n v="2.1"/>
    <n v="13"/>
    <n v="0.11"/>
    <n v="2.8"/>
    <n v="88.73"/>
    <n v="3.8"/>
    <n v="8320"/>
    <n v="6717"/>
    <n v="4"/>
    <n v="51696317.200000003"/>
    <n v="68.173522070778603"/>
    <n v="75830492"/>
  </r>
  <r>
    <s v="P0440"/>
    <s v="Model_323"/>
    <x v="1"/>
    <x v="0"/>
    <n v="2024"/>
    <s v="Q3"/>
    <n v="2596"/>
    <n v="7276"/>
    <n v="3778"/>
    <n v="237771"/>
    <n v="10.07"/>
    <n v="15"/>
    <n v="3.94"/>
    <n v="21.24"/>
    <n v="68.900000000000006"/>
    <n v="2.6"/>
    <n v="4942"/>
    <n v="5250"/>
    <n v="5"/>
    <n v="8843015.7599999998"/>
    <n v="46.81693958057857"/>
    <n v="18888496"/>
  </r>
  <r>
    <s v="P0441"/>
    <s v="Model_559"/>
    <x v="0"/>
    <x v="0"/>
    <n v="2023"/>
    <s v="Q2"/>
    <n v="803"/>
    <n v="5176"/>
    <n v="13728"/>
    <n v="287199"/>
    <n v="9.31"/>
    <n v="12"/>
    <n v="8.51"/>
    <n v="13.32"/>
    <n v="71.94"/>
    <n v="4.5"/>
    <n v="17691"/>
    <n v="9175"/>
    <n v="8"/>
    <n v="-7154468.3200000003"/>
    <n v="-172.13435320792777"/>
    <n v="4156328"/>
  </r>
  <r>
    <s v="P0442"/>
    <s v="Model_204"/>
    <x v="0"/>
    <x v="2"/>
    <n v="2023"/>
    <s v="Q3"/>
    <n v="2132"/>
    <n v="4880"/>
    <n v="3639"/>
    <n v="286731"/>
    <n v="11.13"/>
    <n v="19"/>
    <n v="3.46"/>
    <n v="11.78"/>
    <n v="62.5"/>
    <n v="2.7"/>
    <n v="20595"/>
    <n v="8202"/>
    <n v="11"/>
    <n v="2359069.2200000002"/>
    <n v="22.674288169347648"/>
    <n v="10404160"/>
  </r>
  <r>
    <s v="P0443"/>
    <s v="Model_826"/>
    <x v="2"/>
    <x v="2"/>
    <n v="2024"/>
    <s v="Q1"/>
    <n v="2824"/>
    <n v="10211"/>
    <n v="4184"/>
    <n v="285841"/>
    <n v="2.5499999999999998"/>
    <n v="3"/>
    <n v="0.35"/>
    <n v="24.53"/>
    <n v="47.73"/>
    <n v="2.6"/>
    <n v="17826"/>
    <n v="4258"/>
    <n v="9"/>
    <n v="16734382.470000001"/>
    <n v="58.033227199295986"/>
    <n v="28835864"/>
  </r>
  <r>
    <s v="P0444"/>
    <s v="Model_131"/>
    <x v="2"/>
    <x v="2"/>
    <n v="2023"/>
    <s v="Q1"/>
    <n v="2946"/>
    <n v="10282"/>
    <n v="11651"/>
    <n v="161041"/>
    <n v="2.92"/>
    <n v="10"/>
    <n v="7.46"/>
    <n v="18.510000000000002"/>
    <n v="55.73"/>
    <n v="1.1000000000000001"/>
    <n v="12029"/>
    <n v="7827"/>
    <n v="9"/>
    <n v="-4194133.51"/>
    <n v="-13.846241720085576"/>
    <n v="30290772"/>
  </r>
  <r>
    <s v="P0445"/>
    <s v="Model_497"/>
    <x v="1"/>
    <x v="1"/>
    <n v="2024"/>
    <s v="Q3"/>
    <n v="4235"/>
    <n v="18934"/>
    <n v="10853"/>
    <n v="166185"/>
    <n v="13.36"/>
    <n v="16"/>
    <n v="8.02"/>
    <n v="2.95"/>
    <n v="13.71"/>
    <n v="3.2"/>
    <n v="19175"/>
    <n v="5306"/>
    <n v="5"/>
    <n v="34056847.049999997"/>
    <n v="42.472580824785126"/>
    <n v="80185490"/>
  </r>
  <r>
    <s v="P0446"/>
    <s v="Model_746"/>
    <x v="2"/>
    <x v="3"/>
    <n v="2023"/>
    <s v="Q4"/>
    <n v="825"/>
    <n v="15497"/>
    <n v="11848"/>
    <n v="227164"/>
    <n v="11.25"/>
    <n v="6"/>
    <n v="1.61"/>
    <n v="18.91"/>
    <n v="59.92"/>
    <n v="3.8"/>
    <n v="11890"/>
    <n v="403"/>
    <n v="8"/>
    <n v="2783242.09"/>
    <n v="21.769547497951706"/>
    <n v="12785025"/>
  </r>
  <r>
    <s v="P0447"/>
    <s v="Model_103"/>
    <x v="0"/>
    <x v="3"/>
    <n v="2024"/>
    <s v="Q4"/>
    <n v="1675"/>
    <n v="7842"/>
    <n v="14293"/>
    <n v="60350"/>
    <n v="13.62"/>
    <n v="13"/>
    <n v="5.37"/>
    <n v="2.38"/>
    <n v="60.09"/>
    <n v="1.5"/>
    <n v="15530"/>
    <n v="433"/>
    <n v="11"/>
    <n v="-10865777.380000001"/>
    <n v="-82.721643351718839"/>
    <n v="13135350"/>
  </r>
  <r>
    <s v="P0448"/>
    <s v="Model_326"/>
    <x v="1"/>
    <x v="2"/>
    <n v="2024"/>
    <s v="Q4"/>
    <n v="3119"/>
    <n v="18843"/>
    <n v="1485"/>
    <n v="277230"/>
    <n v="11.38"/>
    <n v="10"/>
    <n v="1.92"/>
    <n v="0.69"/>
    <n v="81.3"/>
    <n v="2.2000000000000002"/>
    <n v="6874"/>
    <n v="4606"/>
    <n v="2"/>
    <n v="53862371.310000002"/>
    <n v="91.647378448231819"/>
    <n v="58771317"/>
  </r>
  <r>
    <s v="P0449"/>
    <s v="Model_445"/>
    <x v="1"/>
    <x v="3"/>
    <n v="2023"/>
    <s v="Q4"/>
    <n v="467"/>
    <n v="7559"/>
    <n v="14939"/>
    <n v="413003"/>
    <n v="8.9600000000000009"/>
    <n v="8"/>
    <n v="7.19"/>
    <n v="10.09"/>
    <n v="50.45"/>
    <n v="4.0999999999999996"/>
    <n v="14642"/>
    <n v="2431"/>
    <n v="7"/>
    <n v="-3859473.09"/>
    <n v="-109.33187377073375"/>
    <n v="3530053"/>
  </r>
  <r>
    <s v="P0450"/>
    <s v="Model_441"/>
    <x v="0"/>
    <x v="0"/>
    <n v="2024"/>
    <s v="Q1"/>
    <n v="164"/>
    <n v="10384"/>
    <n v="8331"/>
    <n v="311570"/>
    <n v="9.81"/>
    <n v="12"/>
    <n v="2.72"/>
    <n v="24.84"/>
    <n v="16.170000000000002"/>
    <n v="2.5"/>
    <n v="20539"/>
    <n v="4661"/>
    <n v="7"/>
    <n v="25097.16"/>
    <n v="1.4737236461347665"/>
    <n v="1702976"/>
  </r>
  <r>
    <s v="P0451"/>
    <s v="Model_763"/>
    <x v="0"/>
    <x v="0"/>
    <n v="2024"/>
    <s v="Q1"/>
    <n v="666"/>
    <n v="7155"/>
    <n v="5083"/>
    <n v="118487"/>
    <n v="13.34"/>
    <n v="17"/>
    <n v="3.16"/>
    <n v="4.37"/>
    <n v="34.5"/>
    <n v="2"/>
    <n v="13704"/>
    <n v="179"/>
    <n v="7"/>
    <n v="1261460.6299999999"/>
    <n v="26.47218770132816"/>
    <n v="4765230"/>
  </r>
  <r>
    <s v="P0452"/>
    <s v="Model_278"/>
    <x v="1"/>
    <x v="3"/>
    <n v="2024"/>
    <s v="Q3"/>
    <n v="4024"/>
    <n v="13591"/>
    <n v="8536"/>
    <n v="198694"/>
    <n v="8.68"/>
    <n v="10"/>
    <n v="8.4499999999999993"/>
    <n v="16.82"/>
    <n v="62.45"/>
    <n v="3.7"/>
    <n v="8894"/>
    <n v="3863"/>
    <n v="13"/>
    <n v="20142609.18"/>
    <n v="36.83039204987864"/>
    <n v="54690184"/>
  </r>
  <r>
    <s v="P0453"/>
    <s v="Model_963"/>
    <x v="1"/>
    <x v="2"/>
    <n v="2023"/>
    <s v="Q1"/>
    <n v="3317"/>
    <n v="16751"/>
    <n v="8510"/>
    <n v="173853"/>
    <n v="9.49"/>
    <n v="14"/>
    <n v="4.76"/>
    <n v="4.33"/>
    <n v="29.14"/>
    <n v="1.8"/>
    <n v="18588"/>
    <n v="5296"/>
    <n v="3"/>
    <n v="27161539.670000002"/>
    <n v="48.88416197399615"/>
    <n v="55563067"/>
  </r>
  <r>
    <s v="P0454"/>
    <s v="Model_810"/>
    <x v="2"/>
    <x v="0"/>
    <n v="2023"/>
    <s v="Q3"/>
    <n v="875"/>
    <n v="2026"/>
    <n v="2419"/>
    <n v="365261"/>
    <n v="2.35"/>
    <n v="18"/>
    <n v="6.7"/>
    <n v="18.12"/>
    <n v="32.44"/>
    <n v="4.5999999999999996"/>
    <n v="2325"/>
    <n v="832"/>
    <n v="9"/>
    <n v="-709154.12"/>
    <n v="-40.003052883937386"/>
    <n v="1772750"/>
  </r>
  <r>
    <s v="P0455"/>
    <s v="Model_303"/>
    <x v="2"/>
    <x v="3"/>
    <n v="2024"/>
    <s v="Q2"/>
    <n v="1566"/>
    <n v="4724"/>
    <n v="14775"/>
    <n v="285062"/>
    <n v="7.11"/>
    <n v="0"/>
    <n v="4.0199999999999996"/>
    <n v="12.63"/>
    <n v="75.64"/>
    <n v="1.4"/>
    <n v="10696"/>
    <n v="4076"/>
    <n v="6"/>
    <n v="-16024940.630000001"/>
    <n v="-216.61812010191159"/>
    <n v="7397784"/>
  </r>
  <r>
    <s v="P0456"/>
    <s v="Model_815"/>
    <x v="1"/>
    <x v="0"/>
    <n v="2024"/>
    <s v="Q3"/>
    <n v="3196"/>
    <n v="16569"/>
    <n v="14072"/>
    <n v="283077"/>
    <n v="10.75"/>
    <n v="3"/>
    <n v="2.98"/>
    <n v="17"/>
    <n v="56.75"/>
    <n v="3.8"/>
    <n v="13152"/>
    <n v="5759"/>
    <n v="6"/>
    <n v="7697318"/>
    <n v="14.535713700306324"/>
    <n v="52954524"/>
  </r>
  <r>
    <s v="P0457"/>
    <s v="Model_869"/>
    <x v="0"/>
    <x v="3"/>
    <n v="2023"/>
    <s v="Q1"/>
    <n v="462"/>
    <n v="13036"/>
    <n v="13635"/>
    <n v="413228"/>
    <n v="4.0599999999999996"/>
    <n v="13"/>
    <n v="6.25"/>
    <n v="5.07"/>
    <n v="50.68"/>
    <n v="3"/>
    <n v="18260"/>
    <n v="1484"/>
    <n v="3"/>
    <n v="-689971.07"/>
    <n v="-11.45630465218529"/>
    <n v="6022632"/>
  </r>
  <r>
    <s v="P0458"/>
    <s v="Model_839"/>
    <x v="1"/>
    <x v="0"/>
    <n v="2024"/>
    <s v="Q3"/>
    <n v="778"/>
    <n v="15047"/>
    <n v="7668"/>
    <n v="73782"/>
    <n v="3.03"/>
    <n v="13"/>
    <n v="1.55"/>
    <n v="18.64"/>
    <n v="35.479999999999997"/>
    <n v="4.5"/>
    <n v="2472"/>
    <n v="2224"/>
    <n v="5"/>
    <n v="5667061.3600000003"/>
    <n v="48.409254772065523"/>
    <n v="11706566"/>
  </r>
  <r>
    <s v="P0459"/>
    <s v="Model_105"/>
    <x v="0"/>
    <x v="2"/>
    <n v="2023"/>
    <s v="Q1"/>
    <n v="3398"/>
    <n v="19759"/>
    <n v="2231"/>
    <n v="340598"/>
    <n v="4.71"/>
    <n v="2"/>
    <n v="3.73"/>
    <n v="24.89"/>
    <n v="68.47"/>
    <n v="1.5"/>
    <n v="12768"/>
    <n v="6752"/>
    <n v="13"/>
    <n v="59219521.109999999"/>
    <n v="88.201618660241436"/>
    <n v="67141082"/>
  </r>
  <r>
    <s v="P0460"/>
    <s v="Model_447"/>
    <x v="2"/>
    <x v="3"/>
    <n v="2023"/>
    <s v="Q2"/>
    <n v="2858"/>
    <n v="3263"/>
    <n v="9867"/>
    <n v="380048"/>
    <n v="3.62"/>
    <n v="16"/>
    <n v="2.09"/>
    <n v="16.64"/>
    <n v="33.020000000000003"/>
    <n v="3.7"/>
    <n v="1943"/>
    <n v="5383"/>
    <n v="10"/>
    <n v="-19254296.640000001"/>
    <n v="-206.46591263197197"/>
    <n v="9325654"/>
  </r>
  <r>
    <s v="P0461"/>
    <s v="Model_660"/>
    <x v="2"/>
    <x v="1"/>
    <n v="2023"/>
    <s v="Q1"/>
    <n v="725"/>
    <n v="10212"/>
    <n v="5513"/>
    <n v="179936"/>
    <n v="3.22"/>
    <n v="2"/>
    <n v="6.96"/>
    <n v="12.34"/>
    <n v="68.97"/>
    <n v="3.3"/>
    <n v="2254"/>
    <n v="7276"/>
    <n v="10"/>
    <n v="3226826.66"/>
    <n v="43.583973688831264"/>
    <n v="7403700"/>
  </r>
  <r>
    <s v="P0462"/>
    <s v="Model_915"/>
    <x v="0"/>
    <x v="0"/>
    <n v="2023"/>
    <s v="Q4"/>
    <n v="3515"/>
    <n v="7297"/>
    <n v="11453"/>
    <n v="458808"/>
    <n v="6.37"/>
    <n v="15"/>
    <n v="9.44"/>
    <n v="23.08"/>
    <n v="15.61"/>
    <n v="2.9"/>
    <n v="17523"/>
    <n v="9490"/>
    <n v="7"/>
    <n v="-15067171.08"/>
    <n v="-58.743800985264315"/>
    <n v="25648955"/>
  </r>
  <r>
    <s v="P0463"/>
    <s v="Model_995"/>
    <x v="0"/>
    <x v="2"/>
    <n v="2024"/>
    <s v="Q1"/>
    <n v="2554"/>
    <n v="10708"/>
    <n v="10357"/>
    <n v="203245"/>
    <n v="13.62"/>
    <n v="13"/>
    <n v="9.9600000000000009"/>
    <n v="0.4"/>
    <n v="79.16"/>
    <n v="3"/>
    <n v="11863"/>
    <n v="6705"/>
    <n v="12"/>
    <n v="693208.6"/>
    <n v="2.5347474015870568"/>
    <n v="27348232"/>
  </r>
  <r>
    <s v="P0464"/>
    <s v="Model_399"/>
    <x v="1"/>
    <x v="1"/>
    <n v="2024"/>
    <s v="Q2"/>
    <n v="3017"/>
    <n v="6609"/>
    <n v="10235"/>
    <n v="476420"/>
    <n v="7.61"/>
    <n v="19"/>
    <n v="4.5"/>
    <n v="18.25"/>
    <n v="49.97"/>
    <n v="3.9"/>
    <n v="12397"/>
    <n v="5807"/>
    <n v="10"/>
    <n v="-11416080.25"/>
    <n v="-57.254015463791632"/>
    <n v="19939353"/>
  </r>
  <r>
    <s v="P0465"/>
    <s v="Model_227"/>
    <x v="2"/>
    <x v="3"/>
    <n v="2024"/>
    <s v="Q1"/>
    <n v="2836"/>
    <n v="18000"/>
    <n v="5798"/>
    <n v="478812"/>
    <n v="2.82"/>
    <n v="12"/>
    <n v="2.5299999999999998"/>
    <n v="22.22"/>
    <n v="45.08"/>
    <n v="4.8"/>
    <n v="6896"/>
    <n v="2392"/>
    <n v="5"/>
    <n v="34126037.780000001"/>
    <n v="66.850881092305286"/>
    <n v="51048000"/>
  </r>
  <r>
    <s v="P0466"/>
    <s v="Model_426"/>
    <x v="2"/>
    <x v="1"/>
    <n v="2023"/>
    <s v="Q3"/>
    <n v="1172"/>
    <n v="3933"/>
    <n v="962"/>
    <n v="477540"/>
    <n v="1.1499999999999999"/>
    <n v="14"/>
    <n v="4.43"/>
    <n v="1.54"/>
    <n v="58.88"/>
    <n v="1.4"/>
    <n v="4965"/>
    <n v="8476"/>
    <n v="12"/>
    <n v="3004470.46"/>
    <n v="65.180303791580656"/>
    <n v="4609476"/>
  </r>
  <r>
    <s v="P0467"/>
    <s v="Model_390"/>
    <x v="1"/>
    <x v="2"/>
    <n v="2024"/>
    <s v="Q4"/>
    <n v="4129"/>
    <n v="18467"/>
    <n v="2774"/>
    <n v="172258"/>
    <n v="10.44"/>
    <n v="13"/>
    <n v="8.4700000000000006"/>
    <n v="11.25"/>
    <n v="59.94"/>
    <n v="1.1000000000000001"/>
    <n v="4211"/>
    <n v="1097"/>
    <n v="2"/>
    <n v="64624127.75"/>
    <n v="84.75268432915027"/>
    <n v="76250243"/>
  </r>
  <r>
    <s v="P0468"/>
    <s v="Model_562"/>
    <x v="1"/>
    <x v="0"/>
    <n v="2024"/>
    <s v="Q2"/>
    <n v="1621"/>
    <n v="5667"/>
    <n v="4091"/>
    <n v="161668"/>
    <n v="5.74"/>
    <n v="18"/>
    <n v="2.06"/>
    <n v="5.12"/>
    <n v="20.56"/>
    <n v="4.2"/>
    <n v="20291"/>
    <n v="4764"/>
    <n v="3"/>
    <n v="2393022.88"/>
    <n v="26.050173700636179"/>
    <n v="9186207"/>
  </r>
  <r>
    <s v="P0469"/>
    <s v="Model_232"/>
    <x v="2"/>
    <x v="1"/>
    <n v="2024"/>
    <s v="Q3"/>
    <n v="2193"/>
    <n v="19273"/>
    <n v="9261"/>
    <n v="436328"/>
    <n v="12.33"/>
    <n v="5"/>
    <n v="9.52"/>
    <n v="14.16"/>
    <n v="70.5"/>
    <n v="1.4"/>
    <n v="7247"/>
    <n v="2457"/>
    <n v="14"/>
    <n v="21519973.84"/>
    <n v="50.915942338003759"/>
    <n v="42265689"/>
  </r>
  <r>
    <s v="P0470"/>
    <s v="Model_298"/>
    <x v="2"/>
    <x v="1"/>
    <n v="2024"/>
    <s v="Q1"/>
    <n v="1737"/>
    <n v="9857"/>
    <n v="1431"/>
    <n v="473966"/>
    <n v="9.89"/>
    <n v="9"/>
    <n v="3.42"/>
    <n v="16.239999999999998"/>
    <n v="32.07"/>
    <n v="4.9000000000000004"/>
    <n v="19607"/>
    <n v="5591"/>
    <n v="2"/>
    <n v="14161979.76"/>
    <n v="82.714070622685057"/>
    <n v="17121609"/>
  </r>
  <r>
    <s v="P0471"/>
    <s v="Model_765"/>
    <x v="2"/>
    <x v="2"/>
    <n v="2024"/>
    <s v="Q3"/>
    <n v="4182"/>
    <n v="7654"/>
    <n v="1705"/>
    <n v="328710"/>
    <n v="11.94"/>
    <n v="14"/>
    <n v="9.86"/>
    <n v="7.57"/>
    <n v="82.4"/>
    <n v="3.5"/>
    <n v="3419"/>
    <n v="1779"/>
    <n v="9"/>
    <n v="24550000.43"/>
    <n v="76.697113170696724"/>
    <n v="32009028"/>
  </r>
  <r>
    <s v="P0472"/>
    <s v="Model_693"/>
    <x v="2"/>
    <x v="2"/>
    <n v="2024"/>
    <s v="Q3"/>
    <n v="3901"/>
    <n v="10420"/>
    <n v="12463"/>
    <n v="188262"/>
    <n v="4.08"/>
    <n v="19"/>
    <n v="8.39"/>
    <n v="11.5"/>
    <n v="75.430000000000007"/>
    <n v="3.6"/>
    <n v="18802"/>
    <n v="5815"/>
    <n v="10"/>
    <n v="-8158016.5"/>
    <n v="-20.069701356165872"/>
    <n v="40648420"/>
  </r>
  <r>
    <s v="P0473"/>
    <s v="Model_202"/>
    <x v="1"/>
    <x v="1"/>
    <n v="2024"/>
    <s v="Q2"/>
    <n v="3490"/>
    <n v="19927"/>
    <n v="12245"/>
    <n v="88333"/>
    <n v="10.39"/>
    <n v="5"/>
    <n v="8.09"/>
    <n v="6.98"/>
    <n v="37.700000000000003"/>
    <n v="1.8"/>
    <n v="14973"/>
    <n v="4986"/>
    <n v="11"/>
    <n v="26721840.02"/>
    <n v="38.423684873858349"/>
    <n v="69545230"/>
  </r>
  <r>
    <s v="P0474"/>
    <s v="Model_592"/>
    <x v="0"/>
    <x v="3"/>
    <n v="2024"/>
    <s v="Q1"/>
    <n v="3816"/>
    <n v="18662"/>
    <n v="2814"/>
    <n v="434073"/>
    <n v="3.96"/>
    <n v="9"/>
    <n v="3.18"/>
    <n v="9.23"/>
    <n v="74.62"/>
    <n v="2"/>
    <n v="18465"/>
    <n v="7540"/>
    <n v="13"/>
    <n v="60041885.770000003"/>
    <n v="84.311685752188282"/>
    <n v="71214192"/>
  </r>
  <r>
    <s v="P0475"/>
    <s v="Model_824"/>
    <x v="0"/>
    <x v="3"/>
    <n v="2023"/>
    <s v="Q1"/>
    <n v="2376"/>
    <n v="1713"/>
    <n v="10633"/>
    <n v="261977"/>
    <n v="14.09"/>
    <n v="6"/>
    <n v="0.09"/>
    <n v="3.99"/>
    <n v="38.51"/>
    <n v="3.6"/>
    <n v="15735"/>
    <n v="6921"/>
    <n v="7"/>
    <n v="-21455900.989999998"/>
    <n v="-527.16061642893214"/>
    <n v="4070088"/>
  </r>
  <r>
    <s v="P0476"/>
    <s v="Model_780"/>
    <x v="0"/>
    <x v="1"/>
    <n v="2023"/>
    <s v="Q4"/>
    <n v="2964"/>
    <n v="5262"/>
    <n v="8696"/>
    <n v="139571"/>
    <n v="9.5500000000000007"/>
    <n v="16"/>
    <n v="3.82"/>
    <n v="22.14"/>
    <n v="18.079999999999998"/>
    <n v="4.5999999999999996"/>
    <n v="17210"/>
    <n v="3627"/>
    <n v="3"/>
    <n v="-10317969.140000001"/>
    <n v="-66.155382004553829"/>
    <n v="15596568"/>
  </r>
  <r>
    <s v="P0477"/>
    <s v="Model_125"/>
    <x v="2"/>
    <x v="3"/>
    <n v="2024"/>
    <s v="Q4"/>
    <n v="4002"/>
    <n v="14899"/>
    <n v="1004"/>
    <n v="170263"/>
    <n v="4.87"/>
    <n v="17"/>
    <n v="3.02"/>
    <n v="0.25"/>
    <n v="86.95"/>
    <n v="4.9000000000000004"/>
    <n v="15934"/>
    <n v="6913"/>
    <n v="7"/>
    <n v="55437526.75"/>
    <n v="92.975739712531819"/>
    <n v="59625798"/>
  </r>
  <r>
    <s v="P0478"/>
    <s v="Model_289"/>
    <x v="0"/>
    <x v="0"/>
    <n v="2024"/>
    <s v="Q3"/>
    <n v="645"/>
    <n v="11268"/>
    <n v="1381"/>
    <n v="444805"/>
    <n v="4.04"/>
    <n v="16"/>
    <n v="0.37"/>
    <n v="22.06"/>
    <n v="62.21"/>
    <n v="1.8"/>
    <n v="14978"/>
    <n v="2845"/>
    <n v="10"/>
    <n v="5932287.9400000004"/>
    <n v="81.623585759769739"/>
    <n v="7267860"/>
  </r>
  <r>
    <s v="P0479"/>
    <s v="Model_331"/>
    <x v="2"/>
    <x v="0"/>
    <n v="2024"/>
    <s v="Q1"/>
    <n v="778"/>
    <n v="12140"/>
    <n v="6475"/>
    <n v="75235"/>
    <n v="2.86"/>
    <n v="8"/>
    <n v="5.05"/>
    <n v="14.29"/>
    <n v="46.49"/>
    <n v="1.5"/>
    <n v="5381"/>
    <n v="4190"/>
    <n v="13"/>
    <n v="4332120.71"/>
    <n v="45.867203851382541"/>
    <n v="9444920"/>
  </r>
  <r>
    <s v="P0480"/>
    <s v="Model_834"/>
    <x v="2"/>
    <x v="3"/>
    <n v="2023"/>
    <s v="Q2"/>
    <n v="1415"/>
    <n v="8231"/>
    <n v="9832"/>
    <n v="50159"/>
    <n v="10.42"/>
    <n v="9"/>
    <n v="4.03"/>
    <n v="8.2899999999999991"/>
    <n v="41.82"/>
    <n v="1.2"/>
    <n v="3499"/>
    <n v="6258"/>
    <n v="4"/>
    <n v="-2315582.29"/>
    <n v="-19.881592943680555"/>
    <n v="11646865"/>
  </r>
  <r>
    <s v="P0481"/>
    <s v="Model_765"/>
    <x v="1"/>
    <x v="0"/>
    <n v="2023"/>
    <s v="Q2"/>
    <n v="4542"/>
    <n v="7291"/>
    <n v="14924"/>
    <n v="193217"/>
    <n v="3.28"/>
    <n v="9"/>
    <n v="6.35"/>
    <n v="18.079999999999998"/>
    <n v="35.979999999999997"/>
    <n v="4.5"/>
    <n v="16349"/>
    <n v="8661"/>
    <n v="10"/>
    <n v="-34862321.079999998"/>
    <n v="-105.27422920146509"/>
    <n v="33115722"/>
  </r>
  <r>
    <s v="P0482"/>
    <s v="Model_881"/>
    <x v="0"/>
    <x v="1"/>
    <n v="2023"/>
    <s v="Q1"/>
    <n v="748"/>
    <n v="17322"/>
    <n v="6147"/>
    <n v="212993"/>
    <n v="8.93"/>
    <n v="6"/>
    <n v="6.21"/>
    <n v="12.69"/>
    <n v="88.52"/>
    <n v="2.2000000000000002"/>
    <n v="12403"/>
    <n v="7571"/>
    <n v="3"/>
    <n v="8145894.3099999996"/>
    <n v="62.869374406877711"/>
    <n v="12956856"/>
  </r>
  <r>
    <s v="P0483"/>
    <s v="Model_677"/>
    <x v="1"/>
    <x v="3"/>
    <n v="2023"/>
    <s v="Q3"/>
    <n v="445"/>
    <n v="10283"/>
    <n v="10711"/>
    <n v="417003"/>
    <n v="3.97"/>
    <n v="15"/>
    <n v="1.21"/>
    <n v="12.48"/>
    <n v="20.78"/>
    <n v="1"/>
    <n v="18284"/>
    <n v="3843"/>
    <n v="12"/>
    <n v="-607475.48"/>
    <n v="-13.275439445708908"/>
    <n v="4575935"/>
  </r>
  <r>
    <s v="P0484"/>
    <s v="Model_550"/>
    <x v="1"/>
    <x v="1"/>
    <n v="2023"/>
    <s v="Q4"/>
    <n v="4221"/>
    <n v="15121"/>
    <n v="14730"/>
    <n v="197309"/>
    <n v="9.93"/>
    <n v="17"/>
    <n v="9.77"/>
    <n v="2.75"/>
    <n v="35.18"/>
    <n v="1.9"/>
    <n v="16200"/>
    <n v="9995"/>
    <n v="6"/>
    <n v="1453099.25"/>
    <n v="2.2766664784980719"/>
    <n v="63825741"/>
  </r>
  <r>
    <s v="P0485"/>
    <s v="Model_371"/>
    <x v="1"/>
    <x v="0"/>
    <n v="2024"/>
    <s v="Q4"/>
    <n v="4410"/>
    <n v="17519"/>
    <n v="3443"/>
    <n v="157507"/>
    <n v="12.22"/>
    <n v="5"/>
    <n v="1.87"/>
    <n v="9.74"/>
    <n v="48.84"/>
    <n v="2.4"/>
    <n v="6945"/>
    <n v="7108"/>
    <n v="12"/>
    <n v="61917643.259999998"/>
    <n v="80.143169806309416"/>
    <n v="77258790"/>
  </r>
  <r>
    <s v="P0486"/>
    <s v="Model_938"/>
    <x v="2"/>
    <x v="3"/>
    <n v="2023"/>
    <s v="Q2"/>
    <n v="2552"/>
    <n v="4220"/>
    <n v="8817"/>
    <n v="451460"/>
    <n v="11.67"/>
    <n v="19"/>
    <n v="4.45"/>
    <n v="6.03"/>
    <n v="48.24"/>
    <n v="5"/>
    <n v="4128"/>
    <n v="3424"/>
    <n v="3"/>
    <n v="-12183010.029999999"/>
    <n v="-113.12575240681038"/>
    <n v="10769440"/>
  </r>
  <r>
    <s v="P0487"/>
    <s v="Model_744"/>
    <x v="0"/>
    <x v="1"/>
    <n v="2023"/>
    <s v="Q4"/>
    <n v="1869"/>
    <n v="10405"/>
    <n v="3097"/>
    <n v="64743"/>
    <n v="11.41"/>
    <n v="0"/>
    <n v="4.88"/>
    <n v="0.39"/>
    <n v="47.71"/>
    <n v="3.1"/>
    <n v="19540"/>
    <n v="8732"/>
    <n v="8"/>
    <n v="13593908.609999999"/>
    <n v="69.902540527573862"/>
    <n v="19446945"/>
  </r>
  <r>
    <s v="P0488"/>
    <s v="Model_585"/>
    <x v="1"/>
    <x v="0"/>
    <n v="2024"/>
    <s v="Q1"/>
    <n v="767"/>
    <n v="10627"/>
    <n v="1674"/>
    <n v="278174"/>
    <n v="2.82"/>
    <n v="0"/>
    <n v="8.1300000000000008"/>
    <n v="9"/>
    <n v="24.06"/>
    <n v="1.8"/>
    <n v="18504"/>
    <n v="3357"/>
    <n v="12"/>
    <n v="6588768"/>
    <n v="80.834763337438815"/>
    <n v="8150909"/>
  </r>
  <r>
    <s v="P0489"/>
    <s v="Model_642"/>
    <x v="2"/>
    <x v="3"/>
    <n v="2024"/>
    <s v="Q1"/>
    <n v="2832"/>
    <n v="17885"/>
    <n v="6360"/>
    <n v="96101"/>
    <n v="1.33"/>
    <n v="11"/>
    <n v="0.99"/>
    <n v="2.25"/>
    <n v="21.59"/>
    <n v="2.2999999999999998"/>
    <n v="1746"/>
    <n v="326"/>
    <n v="11"/>
    <n v="32542696.75"/>
    <n v="64.249735737108864"/>
    <n v="50650320"/>
  </r>
  <r>
    <s v="P0490"/>
    <s v="Model_783"/>
    <x v="2"/>
    <x v="2"/>
    <n v="2024"/>
    <s v="Q2"/>
    <n v="4996"/>
    <n v="7868"/>
    <n v="1489"/>
    <n v="292717"/>
    <n v="10.48"/>
    <n v="1"/>
    <n v="4.29"/>
    <n v="6.42"/>
    <n v="30.38"/>
    <n v="2.2999999999999998"/>
    <n v="6712"/>
    <n v="2501"/>
    <n v="10"/>
    <n v="31576760.579999998"/>
    <n v="80.330559770643148"/>
    <n v="39308528"/>
  </r>
  <r>
    <s v="P0491"/>
    <s v="Model_418"/>
    <x v="0"/>
    <x v="1"/>
    <n v="2024"/>
    <s v="Q1"/>
    <n v="3627"/>
    <n v="15556"/>
    <n v="4800"/>
    <n v="171534"/>
    <n v="5.53"/>
    <n v="3"/>
    <n v="6.29"/>
    <n v="2.31"/>
    <n v="83.16"/>
    <n v="1.1000000000000001"/>
    <n v="4839"/>
    <n v="4818"/>
    <n v="8"/>
    <n v="38840475.689999998"/>
    <n v="68.839712856839313"/>
    <n v="56421612"/>
  </r>
  <r>
    <s v="P0492"/>
    <s v="Model_600"/>
    <x v="2"/>
    <x v="1"/>
    <n v="2024"/>
    <s v="Q1"/>
    <n v="193"/>
    <n v="13736"/>
    <n v="12133"/>
    <n v="396371"/>
    <n v="6.49"/>
    <n v="16"/>
    <n v="2.15"/>
    <n v="2.52"/>
    <n v="19.04"/>
    <n v="1.5"/>
    <n v="20894"/>
    <n v="1124"/>
    <n v="13"/>
    <n v="-86994.52"/>
    <n v="-3.2815143294274569"/>
    <n v="2651048"/>
  </r>
  <r>
    <s v="P0493"/>
    <s v="Model_931"/>
    <x v="2"/>
    <x v="1"/>
    <n v="2024"/>
    <s v="Q3"/>
    <n v="3190"/>
    <n v="19833"/>
    <n v="10414"/>
    <n v="280604"/>
    <n v="0.47"/>
    <n v="3"/>
    <n v="6.27"/>
    <n v="4.9800000000000004"/>
    <n v="70.59"/>
    <n v="3.8"/>
    <n v="3868"/>
    <n v="5772"/>
    <n v="6"/>
    <n v="29766001.02"/>
    <n v="47.048025021468447"/>
    <n v="63267270"/>
  </r>
  <r>
    <s v="P0494"/>
    <s v="Model_328"/>
    <x v="0"/>
    <x v="3"/>
    <n v="2023"/>
    <s v="Q2"/>
    <n v="4541"/>
    <n v="15951"/>
    <n v="1471"/>
    <n v="237450"/>
    <n v="3.89"/>
    <n v="10"/>
    <n v="9.24"/>
    <n v="25"/>
    <n v="70.599999999999994"/>
    <n v="1.5"/>
    <n v="13686"/>
    <n v="7827"/>
    <n v="5"/>
    <n v="65516205"/>
    <n v="90.450155163721163"/>
    <n v="72433491"/>
  </r>
  <r>
    <s v="P0495"/>
    <s v="Model_962"/>
    <x v="2"/>
    <x v="0"/>
    <n v="2024"/>
    <s v="Q1"/>
    <n v="2988"/>
    <n v="18801"/>
    <n v="8727"/>
    <n v="383270"/>
    <n v="0.51"/>
    <n v="3"/>
    <n v="9.98"/>
    <n v="0.05"/>
    <n v="74.78"/>
    <n v="1.9"/>
    <n v="3339"/>
    <n v="5380"/>
    <n v="13"/>
    <n v="29717841.949999999"/>
    <n v="52.900006582719726"/>
    <n v="56177388"/>
  </r>
  <r>
    <s v="P0496"/>
    <s v="Model_209"/>
    <x v="1"/>
    <x v="1"/>
    <n v="2024"/>
    <s v="Q1"/>
    <n v="3686"/>
    <n v="11933"/>
    <n v="1971"/>
    <n v="368215"/>
    <n v="13.19"/>
    <n v="0"/>
    <n v="0.32"/>
    <n v="15.97"/>
    <n v="80.930000000000007"/>
    <n v="2.4"/>
    <n v="20787"/>
    <n v="970"/>
    <n v="5"/>
    <n v="36351701.030000001"/>
    <n v="82.645605603432699"/>
    <n v="43985038"/>
  </r>
  <r>
    <s v="P0497"/>
    <s v="Model_728"/>
    <x v="1"/>
    <x v="2"/>
    <n v="2023"/>
    <s v="Q4"/>
    <n v="3272"/>
    <n v="17025"/>
    <n v="6391"/>
    <n v="252193"/>
    <n v="3.65"/>
    <n v="6"/>
    <n v="2.36"/>
    <n v="3.53"/>
    <n v="31.04"/>
    <n v="4"/>
    <n v="7705"/>
    <n v="3299"/>
    <n v="11"/>
    <n v="34542251.469999999"/>
    <n v="62.008357244667522"/>
    <n v="55705800"/>
  </r>
  <r>
    <s v="P0498"/>
    <s v="Model_193"/>
    <x v="1"/>
    <x v="0"/>
    <n v="2023"/>
    <s v="Q4"/>
    <n v="1217"/>
    <n v="1589"/>
    <n v="12718"/>
    <n v="386907"/>
    <n v="8.36"/>
    <n v="17"/>
    <n v="3.1"/>
    <n v="23.02"/>
    <n v="27.96"/>
    <n v="3.3"/>
    <n v="5895"/>
    <n v="1845"/>
    <n v="9"/>
    <n v="-13930923.02"/>
    <n v="-720.38625347952461"/>
    <n v="1933813"/>
  </r>
  <r>
    <s v="P0499"/>
    <s v="Model_139"/>
    <x v="1"/>
    <x v="0"/>
    <n v="2023"/>
    <s v="Q3"/>
    <n v="2666"/>
    <n v="19593"/>
    <n v="9935"/>
    <n v="285422"/>
    <n v="0.57999999999999996"/>
    <n v="8"/>
    <n v="3.99"/>
    <n v="2.34"/>
    <n v="47.24"/>
    <n v="3.8"/>
    <n v="16790"/>
    <n v="5370"/>
    <n v="11"/>
    <n v="25462803.66"/>
    <n v="48.746690691965597"/>
    <n v="52234938"/>
  </r>
  <r>
    <s v="P0500"/>
    <s v="Model_586"/>
    <x v="1"/>
    <x v="1"/>
    <n v="2024"/>
    <s v="Q2"/>
    <n v="1112"/>
    <n v="11861"/>
    <n v="7142"/>
    <n v="455453"/>
    <n v="10"/>
    <n v="2"/>
    <n v="2.42"/>
    <n v="23.88"/>
    <n v="31.21"/>
    <n v="3.3"/>
    <n v="5191"/>
    <n v="8735"/>
    <n v="14"/>
    <n v="4792051.12"/>
    <n v="36.332505599937889"/>
    <n v="13189432"/>
  </r>
  <r>
    <s v="P0501"/>
    <s v="Model_596"/>
    <x v="2"/>
    <x v="3"/>
    <n v="2023"/>
    <s v="Q3"/>
    <n v="2206"/>
    <n v="17869"/>
    <n v="2249"/>
    <n v="196721"/>
    <n v="4.8499999999999996"/>
    <n v="7"/>
    <n v="2.0299999999999998"/>
    <n v="15.27"/>
    <n v="68.739999999999995"/>
    <n v="3.7"/>
    <n v="8970"/>
    <n v="5986"/>
    <n v="11"/>
    <n v="34260983.729999997"/>
    <n v="86.914867353100206"/>
    <n v="39419014"/>
  </r>
  <r>
    <s v="P0502"/>
    <s v="Model_373"/>
    <x v="2"/>
    <x v="0"/>
    <n v="2024"/>
    <s v="Q4"/>
    <n v="3032"/>
    <n v="4541"/>
    <n v="12729"/>
    <n v="218785"/>
    <n v="13.47"/>
    <n v="18"/>
    <n v="9.5500000000000007"/>
    <n v="0.03"/>
    <n v="60.88"/>
    <n v="1"/>
    <n v="5341"/>
    <n v="5690"/>
    <n v="11"/>
    <n v="-25044801.030000001"/>
    <n v="-181.90175404218033"/>
    <n v="13768312"/>
  </r>
  <r>
    <s v="P0503"/>
    <s v="Model_909"/>
    <x v="1"/>
    <x v="0"/>
    <n v="2024"/>
    <s v="Q4"/>
    <n v="3344"/>
    <n v="1605"/>
    <n v="3339"/>
    <n v="254535"/>
    <n v="13.32"/>
    <n v="3"/>
    <n v="9.19"/>
    <n v="22.35"/>
    <n v="80"/>
    <n v="4.7"/>
    <n v="5848"/>
    <n v="7997"/>
    <n v="11"/>
    <n v="-6053053.3499999996"/>
    <n v="-112.78028719313151"/>
    <n v="5367120"/>
  </r>
  <r>
    <s v="P0504"/>
    <s v="Model_527"/>
    <x v="0"/>
    <x v="0"/>
    <n v="2024"/>
    <s v="Q3"/>
    <n v="4779"/>
    <n v="10578"/>
    <n v="4759"/>
    <n v="226481"/>
    <n v="4.88"/>
    <n v="17"/>
    <n v="0.47"/>
    <n v="13.04"/>
    <n v="16.62"/>
    <n v="1.4"/>
    <n v="19276"/>
    <n v="8764"/>
    <n v="11"/>
    <n v="27582506.960000001"/>
    <n v="54.56235956365316"/>
    <n v="50552262"/>
  </r>
  <r>
    <s v="P0505"/>
    <s v="Model_232"/>
    <x v="1"/>
    <x v="3"/>
    <n v="2024"/>
    <s v="Q2"/>
    <n v="1206"/>
    <n v="19779"/>
    <n v="13983"/>
    <n v="229838"/>
    <n v="13.51"/>
    <n v="19"/>
    <n v="3.39"/>
    <n v="6.57"/>
    <n v="83.21"/>
    <n v="2.6"/>
    <n v="7560"/>
    <n v="8371"/>
    <n v="2"/>
    <n v="6760131.4299999997"/>
    <n v="28.34023853297008"/>
    <n v="23853474"/>
  </r>
  <r>
    <s v="P0506"/>
    <s v="Model_508"/>
    <x v="2"/>
    <x v="2"/>
    <n v="2024"/>
    <s v="Q4"/>
    <n v="782"/>
    <n v="7590"/>
    <n v="7085"/>
    <n v="96154"/>
    <n v="14.94"/>
    <n v="10"/>
    <n v="4.05"/>
    <n v="19.18"/>
    <n v="33.47"/>
    <n v="4.0999999999999996"/>
    <n v="17025"/>
    <n v="5258"/>
    <n v="6"/>
    <n v="298736.82"/>
    <n v="5.0331540693266481"/>
    <n v="5935380"/>
  </r>
  <r>
    <s v="P0507"/>
    <s v="Model_134"/>
    <x v="2"/>
    <x v="0"/>
    <n v="2024"/>
    <s v="Q1"/>
    <n v="4380"/>
    <n v="7582"/>
    <n v="6232"/>
    <n v="319160"/>
    <n v="12.38"/>
    <n v="13"/>
    <n v="2.39"/>
    <n v="23.17"/>
    <n v="49.26"/>
    <n v="2.7"/>
    <n v="5800"/>
    <n v="8531"/>
    <n v="3"/>
    <n v="5593816.8300000001"/>
    <n v="16.844198498245667"/>
    <n v="33209160"/>
  </r>
  <r>
    <s v="P0508"/>
    <s v="Model_729"/>
    <x v="2"/>
    <x v="3"/>
    <n v="2023"/>
    <s v="Q1"/>
    <n v="4896"/>
    <n v="18518"/>
    <n v="5060"/>
    <n v="491904"/>
    <n v="12.67"/>
    <n v="17"/>
    <n v="6.29"/>
    <n v="12.09"/>
    <n v="45.09"/>
    <n v="4.8"/>
    <n v="4838"/>
    <n v="689"/>
    <n v="14"/>
    <n v="65398451.909999996"/>
    <n v="72.132665203596275"/>
    <n v="90664128"/>
  </r>
  <r>
    <s v="P0509"/>
    <s v="Model_186"/>
    <x v="0"/>
    <x v="1"/>
    <n v="2023"/>
    <s v="Q2"/>
    <n v="1003"/>
    <n v="3425"/>
    <n v="3161"/>
    <n v="401822"/>
    <n v="3.74"/>
    <n v="15"/>
    <n v="6.4"/>
    <n v="7.89"/>
    <n v="70.819999999999993"/>
    <n v="2.9"/>
    <n v="6987"/>
    <n v="9652"/>
    <n v="12"/>
    <n v="-137037.89000000001"/>
    <n v="-3.9891388607898932"/>
    <n v="3435275"/>
  </r>
  <r>
    <s v="P0510"/>
    <s v="Model_563"/>
    <x v="2"/>
    <x v="2"/>
    <n v="2024"/>
    <s v="Q4"/>
    <n v="2589"/>
    <n v="19940"/>
    <n v="6964"/>
    <n v="424200"/>
    <n v="8.65"/>
    <n v="2"/>
    <n v="8.51"/>
    <n v="19.72"/>
    <n v="43.63"/>
    <n v="4.5"/>
    <n v="5014"/>
    <n v="1984"/>
    <n v="10"/>
    <n v="33170644.280000001"/>
    <n v="64.253487151295531"/>
    <n v="51624660"/>
  </r>
  <r>
    <s v="P0511"/>
    <s v="Model_390"/>
    <x v="0"/>
    <x v="2"/>
    <n v="2023"/>
    <s v="Q4"/>
    <n v="3374"/>
    <n v="8417"/>
    <n v="14193"/>
    <n v="104238"/>
    <n v="1.01"/>
    <n v="14"/>
    <n v="7.41"/>
    <n v="17.04"/>
    <n v="85.48"/>
    <n v="4.2"/>
    <n v="18643"/>
    <n v="5499"/>
    <n v="8"/>
    <n v="-19592479.039999999"/>
    <n v="-68.990133511236579"/>
    <n v="28398958"/>
  </r>
  <r>
    <s v="P0512"/>
    <s v="Model_357"/>
    <x v="1"/>
    <x v="0"/>
    <n v="2023"/>
    <s v="Q2"/>
    <n v="3351"/>
    <n v="2052"/>
    <n v="12644"/>
    <n v="370752"/>
    <n v="1.42"/>
    <n v="3"/>
    <n v="5.43"/>
    <n v="22.22"/>
    <n v="82.2"/>
    <n v="4.9000000000000004"/>
    <n v="12780"/>
    <n v="8603"/>
    <n v="11"/>
    <n v="-35864566.219999999"/>
    <n v="-521.57143484561072"/>
    <n v="6876252"/>
  </r>
  <r>
    <s v="P0513"/>
    <s v="Model_363"/>
    <x v="2"/>
    <x v="3"/>
    <n v="2024"/>
    <s v="Q3"/>
    <n v="1592"/>
    <n v="5411"/>
    <n v="4470"/>
    <n v="139081"/>
    <n v="14.98"/>
    <n v="4"/>
    <n v="6.54"/>
    <n v="17.309999999999999"/>
    <n v="79.77"/>
    <n v="4.7"/>
    <n v="11807"/>
    <n v="1176"/>
    <n v="9"/>
    <n v="1358973.69"/>
    <n v="15.775765841775872"/>
    <n v="8614312"/>
  </r>
  <r>
    <s v="P0514"/>
    <s v="Model_127"/>
    <x v="2"/>
    <x v="2"/>
    <n v="2024"/>
    <s v="Q3"/>
    <n v="1241"/>
    <n v="4889"/>
    <n v="2553"/>
    <n v="297644"/>
    <n v="4.9000000000000004"/>
    <n v="16"/>
    <n v="2.74"/>
    <n v="6.09"/>
    <n v="15.7"/>
    <n v="4.5999999999999996"/>
    <n v="11415"/>
    <n v="7335"/>
    <n v="7"/>
    <n v="2601325.91"/>
    <n v="42.874882998868188"/>
    <n v="6067249"/>
  </r>
  <r>
    <s v="P0515"/>
    <s v="Model_822"/>
    <x v="2"/>
    <x v="2"/>
    <n v="2023"/>
    <s v="Q3"/>
    <n v="3043"/>
    <n v="15129"/>
    <n v="8900"/>
    <n v="475113"/>
    <n v="11.22"/>
    <n v="6"/>
    <n v="5.93"/>
    <n v="23.29"/>
    <n v="78.34"/>
    <n v="3.9"/>
    <n v="12658"/>
    <n v="6937"/>
    <n v="10"/>
    <n v="18479710.710000001"/>
    <n v="40.140519889124413"/>
    <n v="46037547"/>
  </r>
  <r>
    <s v="P0516"/>
    <s v="Model_647"/>
    <x v="0"/>
    <x v="3"/>
    <n v="2024"/>
    <s v="Q2"/>
    <n v="2731"/>
    <n v="3930"/>
    <n v="11344"/>
    <n v="363105"/>
    <n v="12.1"/>
    <n v="15"/>
    <n v="4.8899999999999997"/>
    <n v="2.62"/>
    <n v="72.53"/>
    <n v="2.5"/>
    <n v="10121"/>
    <n v="133"/>
    <n v="7"/>
    <n v="-20610741.620000001"/>
    <n v="-192.03454839031272"/>
    <n v="10732830"/>
  </r>
  <r>
    <s v="P0517"/>
    <s v="Model_655"/>
    <x v="1"/>
    <x v="0"/>
    <n v="2024"/>
    <s v="Q4"/>
    <n v="1267"/>
    <n v="1958"/>
    <n v="2738"/>
    <n v="249775"/>
    <n v="12.87"/>
    <n v="13"/>
    <n v="1.33"/>
    <n v="6.7"/>
    <n v="18.28"/>
    <n v="1.4"/>
    <n v="12047"/>
    <n v="1941"/>
    <n v="8"/>
    <n v="-1238041.7"/>
    <n v="-49.905219555415101"/>
    <n v="2480786"/>
  </r>
  <r>
    <s v="P0518"/>
    <s v="Model_437"/>
    <x v="1"/>
    <x v="0"/>
    <n v="2024"/>
    <s v="Q2"/>
    <n v="1590"/>
    <n v="14895"/>
    <n v="9362"/>
    <n v="487973"/>
    <n v="14.96"/>
    <n v="15"/>
    <n v="2.4300000000000002"/>
    <n v="13"/>
    <n v="18.59"/>
    <n v="3.8"/>
    <n v="14985"/>
    <n v="4581"/>
    <n v="8"/>
    <n v="8309484"/>
    <n v="35.086207224153981"/>
    <n v="23683050"/>
  </r>
  <r>
    <s v="P0519"/>
    <s v="Model_595"/>
    <x v="0"/>
    <x v="0"/>
    <n v="2024"/>
    <s v="Q4"/>
    <n v="3286"/>
    <n v="1707"/>
    <n v="6776"/>
    <n v="339061"/>
    <n v="3.62"/>
    <n v="6"/>
    <n v="2.92"/>
    <n v="14.14"/>
    <n v="18.09"/>
    <n v="4.9000000000000004"/>
    <n v="3959"/>
    <n v="8540"/>
    <n v="10"/>
    <n v="-16995809.140000001"/>
    <n v="-302.99869999333237"/>
    <n v="5609202"/>
  </r>
  <r>
    <s v="P0520"/>
    <s v="Model_748"/>
    <x v="0"/>
    <x v="2"/>
    <n v="2024"/>
    <s v="Q4"/>
    <n v="2436"/>
    <n v="2399"/>
    <n v="13940"/>
    <n v="465952"/>
    <n v="0.61"/>
    <n v="8"/>
    <n v="9.24"/>
    <n v="0.38"/>
    <n v="10.91"/>
    <n v="3.9"/>
    <n v="6773"/>
    <n v="1234"/>
    <n v="12"/>
    <n v="-28579828.379999999"/>
    <n v="-489.04867278443191"/>
    <n v="5843964"/>
  </r>
  <r>
    <s v="P0521"/>
    <s v="Model_224"/>
    <x v="2"/>
    <x v="3"/>
    <n v="2024"/>
    <s v="Q4"/>
    <n v="3769"/>
    <n v="13153"/>
    <n v="13471"/>
    <n v="340134"/>
    <n v="6.17"/>
    <n v="3"/>
    <n v="2.2999999999999998"/>
    <n v="19.510000000000002"/>
    <n v="53.89"/>
    <n v="4.7"/>
    <n v="19602"/>
    <n v="7361"/>
    <n v="9"/>
    <n v="-1538695.51"/>
    <n v="-3.1038571755963051"/>
    <n v="49573657"/>
  </r>
  <r>
    <s v="P0522"/>
    <s v="Model_287"/>
    <x v="1"/>
    <x v="2"/>
    <n v="2024"/>
    <s v="Q2"/>
    <n v="1438"/>
    <n v="17905"/>
    <n v="10923"/>
    <n v="112551"/>
    <n v="1.95"/>
    <n v="10"/>
    <n v="2.89"/>
    <n v="9.0399999999999991"/>
    <n v="87.87"/>
    <n v="4.2"/>
    <n v="10957"/>
    <n v="5398"/>
    <n v="14"/>
    <n v="9927555.9600000009"/>
    <n v="38.557523539279131"/>
    <n v="25747390"/>
  </r>
  <r>
    <s v="P0523"/>
    <s v="Model_278"/>
    <x v="1"/>
    <x v="1"/>
    <n v="2024"/>
    <s v="Q4"/>
    <n v="1906"/>
    <n v="10101"/>
    <n v="7388"/>
    <n v="260695"/>
    <n v="0.34"/>
    <n v="1"/>
    <n v="3.69"/>
    <n v="10.16"/>
    <n v="45.09"/>
    <n v="1.7"/>
    <n v="6923"/>
    <n v="7117"/>
    <n v="2"/>
    <n v="4910272.84"/>
    <n v="25.504590623163548"/>
    <n v="19252506"/>
  </r>
  <r>
    <s v="P0524"/>
    <s v="Model_748"/>
    <x v="1"/>
    <x v="1"/>
    <n v="2024"/>
    <s v="Q4"/>
    <n v="1415"/>
    <n v="2394"/>
    <n v="9416"/>
    <n v="203512"/>
    <n v="5.41"/>
    <n v="11"/>
    <n v="6.64"/>
    <n v="20.23"/>
    <n v="53.26"/>
    <n v="2"/>
    <n v="19192"/>
    <n v="7871"/>
    <n v="5"/>
    <n v="-10139662.23"/>
    <n v="-299.32493867176777"/>
    <n v="3387510"/>
  </r>
  <r>
    <s v="P0525"/>
    <s v="Model_652"/>
    <x v="2"/>
    <x v="2"/>
    <n v="2024"/>
    <s v="Q4"/>
    <n v="549"/>
    <n v="2014"/>
    <n v="7104"/>
    <n v="216277"/>
    <n v="11.76"/>
    <n v="11"/>
    <n v="1.18"/>
    <n v="9.48"/>
    <n v="87.44"/>
    <n v="2.4"/>
    <n v="18934"/>
    <n v="8667"/>
    <n v="8"/>
    <n v="-3010696.48"/>
    <n v="-272.29217698333883"/>
    <n v="1105686"/>
  </r>
  <r>
    <s v="P0526"/>
    <s v="Model_291"/>
    <x v="1"/>
    <x v="2"/>
    <n v="2024"/>
    <s v="Q2"/>
    <n v="1730"/>
    <n v="5609"/>
    <n v="8145"/>
    <n v="130811"/>
    <n v="8.49"/>
    <n v="3"/>
    <n v="9.5399999999999991"/>
    <n v="1.18"/>
    <n v="30.41"/>
    <n v="1.7"/>
    <n v="6979"/>
    <n v="9015"/>
    <n v="12"/>
    <n v="-4518092.18"/>
    <n v="-46.561133479739929"/>
    <n v="9703570"/>
  </r>
  <r>
    <s v="P0527"/>
    <s v="Model_390"/>
    <x v="1"/>
    <x v="2"/>
    <n v="2024"/>
    <s v="Q4"/>
    <n v="560"/>
    <n v="14758"/>
    <n v="13716"/>
    <n v="304840"/>
    <n v="4.6900000000000004"/>
    <n v="17"/>
    <n v="8.66"/>
    <n v="4.41"/>
    <n v="78.680000000000007"/>
    <n v="3.3"/>
    <n v="16919"/>
    <n v="2013"/>
    <n v="9"/>
    <n v="278675.59000000003"/>
    <n v="3.3719676253073398"/>
    <n v="8264480"/>
  </r>
  <r>
    <s v="P0528"/>
    <s v="Model_534"/>
    <x v="0"/>
    <x v="0"/>
    <n v="2023"/>
    <s v="Q2"/>
    <n v="4362"/>
    <n v="16813"/>
    <n v="8675"/>
    <n v="367247"/>
    <n v="9.82"/>
    <n v="6"/>
    <n v="5.77"/>
    <n v="23.9"/>
    <n v="53.71"/>
    <n v="4.9000000000000004"/>
    <n v="3749"/>
    <n v="4397"/>
    <n v="8"/>
    <n v="35130685.100000001"/>
    <n v="47.902231475049348"/>
    <n v="73338306"/>
  </r>
  <r>
    <s v="P0529"/>
    <s v="Model_680"/>
    <x v="0"/>
    <x v="3"/>
    <n v="2023"/>
    <s v="Q4"/>
    <n v="1374"/>
    <n v="16849"/>
    <n v="9886"/>
    <n v="484843"/>
    <n v="3.48"/>
    <n v="0"/>
    <n v="6.74"/>
    <n v="1.76"/>
    <n v="55.56"/>
    <n v="4"/>
    <n v="4309"/>
    <n v="2042"/>
    <n v="13"/>
    <n v="9082317.2400000002"/>
    <n v="39.231580483311696"/>
    <n v="23150526"/>
  </r>
  <r>
    <s v="P0530"/>
    <s v="Model_889"/>
    <x v="2"/>
    <x v="2"/>
    <n v="2024"/>
    <s v="Q1"/>
    <n v="1205"/>
    <n v="8679"/>
    <n v="7433"/>
    <n v="418266"/>
    <n v="0.22"/>
    <n v="12"/>
    <n v="0.17"/>
    <n v="8.8699999999999992"/>
    <n v="37.450000000000003"/>
    <n v="2.7"/>
    <n v="4421"/>
    <n v="4104"/>
    <n v="4"/>
    <n v="1083155.1299999999"/>
    <n v="10.356998793768904"/>
    <n v="10458195"/>
  </r>
  <r>
    <s v="P0531"/>
    <s v="Model_884"/>
    <x v="0"/>
    <x v="3"/>
    <n v="2023"/>
    <s v="Q1"/>
    <n v="1877"/>
    <n v="11826"/>
    <n v="1397"/>
    <n v="284104"/>
    <n v="11.47"/>
    <n v="5"/>
    <n v="3.39"/>
    <n v="12.58"/>
    <n v="54.93"/>
    <n v="1"/>
    <n v="6176"/>
    <n v="1431"/>
    <n v="5"/>
    <n v="19291116.420000002"/>
    <n v="86.907091289331973"/>
    <n v="22197402"/>
  </r>
  <r>
    <s v="P0532"/>
    <s v="Model_655"/>
    <x v="0"/>
    <x v="2"/>
    <n v="2023"/>
    <s v="Q2"/>
    <n v="3191"/>
    <n v="13287"/>
    <n v="3862"/>
    <n v="69008"/>
    <n v="9.36"/>
    <n v="5"/>
    <n v="7.96"/>
    <n v="12.33"/>
    <n v="15.85"/>
    <n v="2.2999999999999998"/>
    <n v="3917"/>
    <n v="7990"/>
    <n v="13"/>
    <n v="30006154.670000002"/>
    <n v="70.771207295712983"/>
    <n v="42398817"/>
  </r>
  <r>
    <s v="P0533"/>
    <s v="Model_892"/>
    <x v="0"/>
    <x v="3"/>
    <n v="2024"/>
    <s v="Q4"/>
    <n v="3536"/>
    <n v="3060"/>
    <n v="3136"/>
    <n v="252346"/>
    <n v="11.43"/>
    <n v="11"/>
    <n v="0.77"/>
    <n v="0.1"/>
    <n v="71.17"/>
    <n v="3.1"/>
    <n v="18416"/>
    <n v="4688"/>
    <n v="8"/>
    <n v="-521082.1"/>
    <n v="-4.8158446825185584"/>
    <n v="10820160"/>
  </r>
  <r>
    <s v="P0534"/>
    <s v="Model_695"/>
    <x v="1"/>
    <x v="0"/>
    <n v="2023"/>
    <s v="Q4"/>
    <n v="1860"/>
    <n v="15112"/>
    <n v="13680"/>
    <n v="82402"/>
    <n v="0.57999999999999996"/>
    <n v="7"/>
    <n v="2.82"/>
    <n v="12.53"/>
    <n v="32.78"/>
    <n v="2.2999999999999998"/>
    <n v="14963"/>
    <n v="437"/>
    <n v="9"/>
    <n v="2581105.4700000002"/>
    <n v="9.1827098524564974"/>
    <n v="28108320"/>
  </r>
  <r>
    <s v="P0535"/>
    <s v="Model_136"/>
    <x v="0"/>
    <x v="3"/>
    <n v="2024"/>
    <s v="Q4"/>
    <n v="2973"/>
    <n v="19150"/>
    <n v="10679"/>
    <n v="234456"/>
    <n v="12.56"/>
    <n v="18"/>
    <n v="5.85"/>
    <n v="9.59"/>
    <n v="81.010000000000005"/>
    <n v="1.4"/>
    <n v="9667"/>
    <n v="7166"/>
    <n v="8"/>
    <n v="24949817.41"/>
    <n v="43.823159365534373"/>
    <n v="56932950"/>
  </r>
  <r>
    <s v="P0536"/>
    <s v="Model_714"/>
    <x v="0"/>
    <x v="0"/>
    <n v="2023"/>
    <s v="Q4"/>
    <n v="2264"/>
    <n v="6280"/>
    <n v="1372"/>
    <n v="309994"/>
    <n v="9.2899999999999991"/>
    <n v="4"/>
    <n v="2.56"/>
    <n v="24.3"/>
    <n v="39.43"/>
    <n v="2.8"/>
    <n v="2969"/>
    <n v="7913"/>
    <n v="7"/>
    <n v="10801693.699999999"/>
    <n v="75.972390476244058"/>
    <n v="14217920"/>
  </r>
  <r>
    <s v="P0537"/>
    <s v="Model_761"/>
    <x v="0"/>
    <x v="2"/>
    <n v="2023"/>
    <s v="Q3"/>
    <n v="4236"/>
    <n v="19811"/>
    <n v="8321"/>
    <n v="449009"/>
    <n v="8.4499999999999993"/>
    <n v="17"/>
    <n v="9.34"/>
    <n v="3.98"/>
    <n v="21.43"/>
    <n v="2"/>
    <n v="8792"/>
    <n v="9083"/>
    <n v="10"/>
    <n v="48222627.020000003"/>
    <n v="57.463029190534222"/>
    <n v="83919396"/>
  </r>
  <r>
    <s v="P0538"/>
    <s v="Model_667"/>
    <x v="2"/>
    <x v="3"/>
    <n v="2023"/>
    <s v="Q2"/>
    <n v="763"/>
    <n v="13394"/>
    <n v="6971"/>
    <n v="186643"/>
    <n v="9.3699999999999992"/>
    <n v="4"/>
    <n v="1.31"/>
    <n v="8.85"/>
    <n v="65.67"/>
    <n v="4.5999999999999996"/>
    <n v="8431"/>
    <n v="3711"/>
    <n v="10"/>
    <n v="4714097.1500000004"/>
    <n v="46.127901305938721"/>
    <n v="10219622"/>
  </r>
  <r>
    <s v="P0539"/>
    <s v="Model_326"/>
    <x v="1"/>
    <x v="0"/>
    <n v="2024"/>
    <s v="Q2"/>
    <n v="3652"/>
    <n v="3856"/>
    <n v="7897"/>
    <n v="459425"/>
    <n v="12.97"/>
    <n v="9"/>
    <n v="7.97"/>
    <n v="10.49"/>
    <n v="23.17"/>
    <n v="1.4"/>
    <n v="2591"/>
    <n v="3800"/>
    <n v="12"/>
    <n v="-15217167.49"/>
    <n v="-108.06026461087654"/>
    <n v="14082112"/>
  </r>
  <r>
    <s v="P0540"/>
    <s v="Model_739"/>
    <x v="2"/>
    <x v="2"/>
    <n v="2023"/>
    <s v="Q3"/>
    <n v="4184"/>
    <n v="6290"/>
    <n v="2890"/>
    <n v="163550"/>
    <n v="8.8000000000000007"/>
    <n v="0"/>
    <n v="5.08"/>
    <n v="9.77"/>
    <n v="70.290000000000006"/>
    <n v="1.2"/>
    <n v="17863"/>
    <n v="9808"/>
    <n v="14"/>
    <n v="14062040.23"/>
    <n v="53.432564018579377"/>
    <n v="26317360"/>
  </r>
  <r>
    <s v="P0541"/>
    <s v="Model_948"/>
    <x v="2"/>
    <x v="2"/>
    <n v="2023"/>
    <s v="Q1"/>
    <n v="3572"/>
    <n v="18190"/>
    <n v="14792"/>
    <n v="486364"/>
    <n v="8.7100000000000009"/>
    <n v="9"/>
    <n v="7.5"/>
    <n v="16.649999999999999"/>
    <n v="87.45"/>
    <n v="1"/>
    <n v="1760"/>
    <n v="6218"/>
    <n v="8"/>
    <n v="11651275.35"/>
    <n v="17.932024213124251"/>
    <n v="64974680"/>
  </r>
  <r>
    <s v="P0542"/>
    <s v="Model_773"/>
    <x v="2"/>
    <x v="3"/>
    <n v="2023"/>
    <s v="Q1"/>
    <n v="4318"/>
    <n v="11681"/>
    <n v="7366"/>
    <n v="141218"/>
    <n v="14.86"/>
    <n v="4"/>
    <n v="3.11"/>
    <n v="5.39"/>
    <n v="72.36"/>
    <n v="2.2999999999999998"/>
    <n v="11956"/>
    <n v="7205"/>
    <n v="9"/>
    <n v="18490946.609999999"/>
    <n v="36.660339516446925"/>
    <n v="50438558"/>
  </r>
  <r>
    <s v="P0543"/>
    <s v="Model_171"/>
    <x v="2"/>
    <x v="0"/>
    <n v="2024"/>
    <s v="Q4"/>
    <n v="4798"/>
    <n v="8557"/>
    <n v="12661"/>
    <n v="183296"/>
    <n v="11.35"/>
    <n v="11"/>
    <n v="5.14"/>
    <n v="5.53"/>
    <n v="11.8"/>
    <n v="3.6"/>
    <n v="14935"/>
    <n v="2773"/>
    <n v="7"/>
    <n v="-19874293.530000001"/>
    <n v="-48.407195710806818"/>
    <n v="41056486"/>
  </r>
  <r>
    <s v="P0544"/>
    <s v="Model_295"/>
    <x v="0"/>
    <x v="0"/>
    <n v="2023"/>
    <s v="Q1"/>
    <n v="4899"/>
    <n v="17582"/>
    <n v="13264"/>
    <n v="229767"/>
    <n v="6.63"/>
    <n v="6"/>
    <n v="8.57"/>
    <n v="18.23"/>
    <n v="57.99"/>
    <n v="3.9"/>
    <n v="10877"/>
    <n v="2222"/>
    <n v="2"/>
    <n v="20924096.77"/>
    <n v="24.29243250342158"/>
    <n v="86134218"/>
  </r>
  <r>
    <s v="P0545"/>
    <s v="Model_508"/>
    <x v="2"/>
    <x v="3"/>
    <n v="2023"/>
    <s v="Q2"/>
    <n v="1293"/>
    <n v="2161"/>
    <n v="5424"/>
    <n v="432923"/>
    <n v="10.61"/>
    <n v="8"/>
    <n v="4.67"/>
    <n v="12.51"/>
    <n v="65.63"/>
    <n v="2.8"/>
    <n v="17313"/>
    <n v="7182"/>
    <n v="2"/>
    <n v="-4651994.51"/>
    <n v="-166.48913685730983"/>
    <n v="2794173"/>
  </r>
  <r>
    <s v="P0546"/>
    <s v="Model_743"/>
    <x v="0"/>
    <x v="2"/>
    <n v="2023"/>
    <s v="Q4"/>
    <n v="3759"/>
    <n v="6144"/>
    <n v="2433"/>
    <n v="441858"/>
    <n v="5.84"/>
    <n v="11"/>
    <n v="3.6"/>
    <n v="10.38"/>
    <n v="76.040000000000006"/>
    <n v="3.7"/>
    <n v="5801"/>
    <n v="8350"/>
    <n v="7"/>
    <n v="13507780.619999999"/>
    <n v="58.487150889947458"/>
    <n v="23095296"/>
  </r>
  <r>
    <s v="P0547"/>
    <s v="Model_414"/>
    <x v="1"/>
    <x v="0"/>
    <n v="2023"/>
    <s v="Q1"/>
    <n v="1131"/>
    <n v="17211"/>
    <n v="14053"/>
    <n v="291060"/>
    <n v="3.43"/>
    <n v="0"/>
    <n v="5.36"/>
    <n v="4.2300000000000004"/>
    <n v="14.48"/>
    <n v="2.4"/>
    <n v="8707"/>
    <n v="2162"/>
    <n v="3"/>
    <n v="3280633.77"/>
    <n v="16.853458717336871"/>
    <n v="19465641"/>
  </r>
  <r>
    <s v="P0548"/>
    <s v="Model_166"/>
    <x v="2"/>
    <x v="1"/>
    <n v="2023"/>
    <s v="Q1"/>
    <n v="505"/>
    <n v="4420"/>
    <n v="2317"/>
    <n v="290016"/>
    <n v="8.9499999999999993"/>
    <n v="10"/>
    <n v="7.17"/>
    <n v="4.6900000000000004"/>
    <n v="48.41"/>
    <n v="3.7"/>
    <n v="17976"/>
    <n v="1354"/>
    <n v="9"/>
    <n v="771994.31"/>
    <n v="34.586009139375477"/>
    <n v="2232100"/>
  </r>
  <r>
    <s v="P0549"/>
    <s v="Model_574"/>
    <x v="2"/>
    <x v="0"/>
    <n v="2023"/>
    <s v="Q1"/>
    <n v="4974"/>
    <n v="17502"/>
    <n v="13285"/>
    <n v="82441"/>
    <n v="13.92"/>
    <n v="14"/>
    <n v="4.4400000000000004"/>
    <n v="0.26"/>
    <n v="52.83"/>
    <n v="1.2"/>
    <n v="10056"/>
    <n v="3788"/>
    <n v="2"/>
    <n v="20892916.739999998"/>
    <n v="23.999688955072372"/>
    <n v="87054948"/>
  </r>
  <r>
    <s v="P0550"/>
    <s v="Model_190"/>
    <x v="2"/>
    <x v="1"/>
    <n v="2024"/>
    <s v="Q3"/>
    <n v="944"/>
    <n v="15525"/>
    <n v="11649"/>
    <n v="288038"/>
    <n v="13.94"/>
    <n v="1"/>
    <n v="9.39"/>
    <n v="2.29"/>
    <n v="23.53"/>
    <n v="2.6"/>
    <n v="15295"/>
    <n v="3848"/>
    <n v="14"/>
    <n v="3370903.71"/>
    <n v="23.000789527552605"/>
    <n v="14655600"/>
  </r>
  <r>
    <s v="P0551"/>
    <s v="Model_127"/>
    <x v="2"/>
    <x v="0"/>
    <n v="2023"/>
    <s v="Q1"/>
    <n v="1434"/>
    <n v="10446"/>
    <n v="4448"/>
    <n v="220201"/>
    <n v="5.13"/>
    <n v="19"/>
    <n v="2.95"/>
    <n v="13.92"/>
    <n v="35.799999999999997"/>
    <n v="4.2"/>
    <n v="7625"/>
    <n v="6442"/>
    <n v="3"/>
    <n v="8380917.0800000001"/>
    <n v="55.949005458369818"/>
    <n v="14979564"/>
  </r>
  <r>
    <s v="P0552"/>
    <s v="Model_731"/>
    <x v="0"/>
    <x v="1"/>
    <n v="2023"/>
    <s v="Q4"/>
    <n v="2008"/>
    <n v="14232"/>
    <n v="13940"/>
    <n v="281324"/>
    <n v="7.92"/>
    <n v="6"/>
    <n v="4.75"/>
    <n v="22.3"/>
    <n v="45.22"/>
    <n v="4.2"/>
    <n v="3424"/>
    <n v="4230"/>
    <n v="9"/>
    <n v="304989.7"/>
    <n v="1.0672238673188081"/>
    <n v="28577856"/>
  </r>
  <r>
    <s v="P0553"/>
    <s v="Model_590"/>
    <x v="1"/>
    <x v="3"/>
    <n v="2024"/>
    <s v="Q3"/>
    <n v="3122"/>
    <n v="7736"/>
    <n v="12580"/>
    <n v="374512"/>
    <n v="3.17"/>
    <n v="11"/>
    <n v="7.57"/>
    <n v="7.18"/>
    <n v="76.66"/>
    <n v="3.9"/>
    <n v="20979"/>
    <n v="4357"/>
    <n v="13"/>
    <n v="-15497487.18"/>
    <n v="-64.167028185734623"/>
    <n v="24151792"/>
  </r>
  <r>
    <s v="P0554"/>
    <s v="Model_802"/>
    <x v="0"/>
    <x v="1"/>
    <n v="2023"/>
    <s v="Q4"/>
    <n v="2046"/>
    <n v="17809"/>
    <n v="2337"/>
    <n v="142122"/>
    <n v="14.93"/>
    <n v="17"/>
    <n v="6.89"/>
    <n v="8.19"/>
    <n v="84.35"/>
    <n v="1.8"/>
    <n v="8183"/>
    <n v="3129"/>
    <n v="7"/>
    <n v="31513581.809999999"/>
    <n v="86.48735276522514"/>
    <n v="36437214"/>
  </r>
  <r>
    <s v="P0555"/>
    <s v="Model_564"/>
    <x v="0"/>
    <x v="3"/>
    <n v="2024"/>
    <s v="Q1"/>
    <n v="4335"/>
    <n v="15018"/>
    <n v="14168"/>
    <n v="94760"/>
    <n v="14.72"/>
    <n v="2"/>
    <n v="8.64"/>
    <n v="2.89"/>
    <n v="60.27"/>
    <n v="2"/>
    <n v="20422"/>
    <n v="2946"/>
    <n v="13"/>
    <n v="3589987.11"/>
    <n v="5.5143164765142263"/>
    <n v="65103030"/>
  </r>
  <r>
    <s v="P0556"/>
    <s v="Model_620"/>
    <x v="2"/>
    <x v="1"/>
    <n v="2024"/>
    <s v="Q2"/>
    <n v="554"/>
    <n v="1852"/>
    <n v="3937"/>
    <n v="335622"/>
    <n v="9.74"/>
    <n v="6"/>
    <n v="9.9700000000000006"/>
    <n v="9.7200000000000006"/>
    <n v="41.6"/>
    <n v="5"/>
    <n v="20160"/>
    <n v="8762"/>
    <n v="11"/>
    <n v="-1490721.72"/>
    <n v="-145.29338172801772"/>
    <n v="1026008"/>
  </r>
  <r>
    <s v="P0557"/>
    <s v="Model_249"/>
    <x v="0"/>
    <x v="0"/>
    <n v="2023"/>
    <s v="Q1"/>
    <n v="1264"/>
    <n v="8505"/>
    <n v="7785"/>
    <n v="440025"/>
    <n v="12.07"/>
    <n v="10"/>
    <n v="4.2699999999999996"/>
    <n v="0.93"/>
    <n v="30.32"/>
    <n v="1.4"/>
    <n v="14831"/>
    <n v="4135"/>
    <n v="3"/>
    <n v="470054.07"/>
    <n v="4.3724658428772347"/>
    <n v="10750320"/>
  </r>
  <r>
    <s v="P0558"/>
    <s v="Model_898"/>
    <x v="1"/>
    <x v="2"/>
    <n v="2023"/>
    <s v="Q2"/>
    <n v="1581"/>
    <n v="15536"/>
    <n v="897"/>
    <n v="383998"/>
    <n v="10.73"/>
    <n v="17"/>
    <n v="1.1100000000000001"/>
    <n v="22.94"/>
    <n v="88.57"/>
    <n v="1.7"/>
    <n v="11445"/>
    <n v="2999"/>
    <n v="3"/>
    <n v="22760238.059999999"/>
    <n v="92.662863702007158"/>
    <n v="24562416"/>
  </r>
  <r>
    <s v="P0559"/>
    <s v="Model_410"/>
    <x v="1"/>
    <x v="0"/>
    <n v="2023"/>
    <s v="Q1"/>
    <n v="3490"/>
    <n v="18042"/>
    <n v="12207"/>
    <n v="406374"/>
    <n v="8.9"/>
    <n v="11"/>
    <n v="0.3"/>
    <n v="16.829999999999998"/>
    <n v="88.64"/>
    <n v="1.5"/>
    <n v="18794"/>
    <n v="9738"/>
    <n v="12"/>
    <n v="19957759.170000002"/>
    <n v="31.695796674998071"/>
    <n v="62966580"/>
  </r>
  <r>
    <s v="P0560"/>
    <s v="Model_709"/>
    <x v="1"/>
    <x v="1"/>
    <n v="2023"/>
    <s v="Q3"/>
    <n v="873"/>
    <n v="2456"/>
    <n v="14991"/>
    <n v="397860"/>
    <n v="0.8"/>
    <n v="5"/>
    <n v="7.27"/>
    <n v="24.77"/>
    <n v="84"/>
    <n v="2.2999999999999998"/>
    <n v="1806"/>
    <n v="4543"/>
    <n v="8"/>
    <n v="-11340939.77"/>
    <n v="-528.94003277850527"/>
    <n v="2144088"/>
  </r>
  <r>
    <s v="P0561"/>
    <s v="Model_144"/>
    <x v="0"/>
    <x v="3"/>
    <n v="2023"/>
    <s v="Q3"/>
    <n v="978"/>
    <n v="3571"/>
    <n v="13522"/>
    <n v="193252"/>
    <n v="6.82"/>
    <n v="4"/>
    <n v="8.74"/>
    <n v="22.07"/>
    <n v="72.849999999999994"/>
    <n v="1.8"/>
    <n v="5731"/>
    <n v="4889"/>
    <n v="6"/>
    <n v="-9925352.0700000003"/>
    <n v="-284.19551241854543"/>
    <n v="3492438"/>
  </r>
  <r>
    <s v="P0562"/>
    <s v="Model_429"/>
    <x v="2"/>
    <x v="1"/>
    <n v="2024"/>
    <s v="Q4"/>
    <n v="183"/>
    <n v="10095"/>
    <n v="13724"/>
    <n v="148538"/>
    <n v="10.119999999999999"/>
    <n v="0"/>
    <n v="2.21"/>
    <n v="11.82"/>
    <n v="36.06"/>
    <n v="3"/>
    <n v="7528"/>
    <n v="1012"/>
    <n v="6"/>
    <n v="-812656.82"/>
    <n v="-43.989575535148326"/>
    <n v="1847385"/>
  </r>
  <r>
    <s v="P0563"/>
    <s v="Model_612"/>
    <x v="2"/>
    <x v="1"/>
    <n v="2024"/>
    <s v="Q4"/>
    <n v="2155"/>
    <n v="16640"/>
    <n v="4550"/>
    <n v="65372"/>
    <n v="10.16"/>
    <n v="11"/>
    <n v="1.58"/>
    <n v="12.99"/>
    <n v="75.36"/>
    <n v="2.9"/>
    <n v="13707"/>
    <n v="4342"/>
    <n v="9"/>
    <n v="25988565.010000002"/>
    <n v="72.473911883142961"/>
    <n v="35859200"/>
  </r>
  <r>
    <s v="P0564"/>
    <s v="Model_155"/>
    <x v="2"/>
    <x v="0"/>
    <n v="2024"/>
    <s v="Q2"/>
    <n v="3677"/>
    <n v="14303"/>
    <n v="12149"/>
    <n v="341940"/>
    <n v="5.6"/>
    <n v="10"/>
    <n v="0.62"/>
    <n v="4.76"/>
    <n v="42.7"/>
    <n v="4.5999999999999996"/>
    <n v="8158"/>
    <n v="7641"/>
    <n v="13"/>
    <n v="7578313.2400000002"/>
    <n v="14.409595306187537"/>
    <n v="52592131"/>
  </r>
  <r>
    <s v="P0565"/>
    <s v="Model_392"/>
    <x v="0"/>
    <x v="1"/>
    <n v="2024"/>
    <s v="Q2"/>
    <n v="4830"/>
    <n v="4953"/>
    <n v="13675"/>
    <n v="271035"/>
    <n v="14.13"/>
    <n v="3"/>
    <n v="8.23"/>
    <n v="11.55"/>
    <n v="36.14"/>
    <n v="1.1000000000000001"/>
    <n v="7836"/>
    <n v="1811"/>
    <n v="13"/>
    <n v="-42398306.549999997"/>
    <n v="-177.22829190665547"/>
    <n v="23922990"/>
  </r>
  <r>
    <s v="P0566"/>
    <s v="Model_392"/>
    <x v="2"/>
    <x v="2"/>
    <n v="2023"/>
    <s v="Q1"/>
    <n v="1902"/>
    <n v="8175"/>
    <n v="9335"/>
    <n v="410970"/>
    <n v="2.5099999999999998"/>
    <n v="17"/>
    <n v="3.11"/>
    <n v="22.58"/>
    <n v="69.59"/>
    <n v="2.2999999999999998"/>
    <n v="15396"/>
    <n v="8966"/>
    <n v="8"/>
    <n v="-2617312.58"/>
    <n v="-16.832837026532509"/>
    <n v="15548850"/>
  </r>
  <r>
    <s v="P0567"/>
    <s v="Model_643"/>
    <x v="0"/>
    <x v="2"/>
    <n v="2023"/>
    <s v="Q2"/>
    <n v="4960"/>
    <n v="2455"/>
    <n v="8974"/>
    <n v="432736"/>
    <n v="7.51"/>
    <n v="3"/>
    <n v="4.0199999999999996"/>
    <n v="1.27"/>
    <n v="16.37"/>
    <n v="3.4"/>
    <n v="11130"/>
    <n v="1539"/>
    <n v="13"/>
    <n v="-32766977.27"/>
    <n v="-269.09349968793117"/>
    <n v="12176800"/>
  </r>
  <r>
    <s v="P0568"/>
    <s v="Model_568"/>
    <x v="1"/>
    <x v="3"/>
    <n v="2023"/>
    <s v="Q1"/>
    <n v="4225"/>
    <n v="7795"/>
    <n v="8903"/>
    <n v="405779"/>
    <n v="10.36"/>
    <n v="16"/>
    <n v="5.03"/>
    <n v="21.59"/>
    <n v="13.89"/>
    <n v="3.4"/>
    <n v="18756"/>
    <n v="5713"/>
    <n v="10"/>
    <n v="-5087100.59"/>
    <n v="-15.446407657768788"/>
    <n v="32933875"/>
  </r>
  <r>
    <s v="P0569"/>
    <s v="Model_144"/>
    <x v="0"/>
    <x v="3"/>
    <n v="2024"/>
    <s v="Q4"/>
    <n v="2983"/>
    <n v="17421"/>
    <n v="6213"/>
    <n v="161022"/>
    <n v="10.46"/>
    <n v="1"/>
    <n v="8.39"/>
    <n v="8.52"/>
    <n v="45.84"/>
    <n v="2.9"/>
    <n v="2641"/>
    <n v="3730"/>
    <n v="5"/>
    <n v="33272433.48"/>
    <n v="64.026274368831679"/>
    <n v="51966843"/>
  </r>
  <r>
    <s v="P0570"/>
    <s v="Model_315"/>
    <x v="1"/>
    <x v="1"/>
    <n v="2024"/>
    <s v="Q2"/>
    <n v="3334"/>
    <n v="19596"/>
    <n v="5466"/>
    <n v="104040"/>
    <n v="9.73"/>
    <n v="1"/>
    <n v="6.51"/>
    <n v="22.49"/>
    <n v="45.65"/>
    <n v="4.3"/>
    <n v="18549"/>
    <n v="5475"/>
    <n v="11"/>
    <n v="47005357.509999998"/>
    <n v="71.947272379571842"/>
    <n v="65333064"/>
  </r>
  <r>
    <s v="P0571"/>
    <s v="Model_413"/>
    <x v="2"/>
    <x v="2"/>
    <n v="2023"/>
    <s v="Q3"/>
    <n v="4348"/>
    <n v="16782"/>
    <n v="1410"/>
    <n v="387501"/>
    <n v="4.13"/>
    <n v="11"/>
    <n v="6.15"/>
    <n v="23.52"/>
    <n v="81.650000000000006"/>
    <n v="1.3"/>
    <n v="9900"/>
    <n v="7203"/>
    <n v="5"/>
    <n v="66449931.479999997"/>
    <n v="91.067053542384585"/>
    <n v="72968136"/>
  </r>
  <r>
    <s v="P0572"/>
    <s v="Model_845"/>
    <x v="0"/>
    <x v="3"/>
    <n v="2023"/>
    <s v="Q4"/>
    <n v="2861"/>
    <n v="6203"/>
    <n v="2527"/>
    <n v="252440"/>
    <n v="2.34"/>
    <n v="5"/>
    <n v="1.76"/>
    <n v="16.77"/>
    <n v="20.09"/>
    <n v="4.3"/>
    <n v="2451"/>
    <n v="8977"/>
    <n v="3"/>
    <n v="10264579.23"/>
    <n v="57.839098105836982"/>
    <n v="17746783"/>
  </r>
  <r>
    <s v="P0573"/>
    <s v="Model_371"/>
    <x v="2"/>
    <x v="0"/>
    <n v="2023"/>
    <s v="Q3"/>
    <n v="1300"/>
    <n v="8063"/>
    <n v="11282"/>
    <n v="128356"/>
    <n v="9.5399999999999991"/>
    <n v="9"/>
    <n v="5.13"/>
    <n v="16.61"/>
    <n v="19.86"/>
    <n v="3"/>
    <n v="10749"/>
    <n v="9418"/>
    <n v="4"/>
    <n v="-4313072.6100000003"/>
    <n v="-41.147812991919409"/>
    <n v="10481900"/>
  </r>
  <r>
    <s v="P0574"/>
    <s v="Model_168"/>
    <x v="0"/>
    <x v="3"/>
    <n v="2023"/>
    <s v="Q2"/>
    <n v="3562"/>
    <n v="13503"/>
    <n v="2654"/>
    <n v="328355"/>
    <n v="8.99"/>
    <n v="15"/>
    <n v="7.15"/>
    <n v="11.32"/>
    <n v="21.8"/>
    <n v="1.5"/>
    <n v="14436"/>
    <n v="4316"/>
    <n v="2"/>
    <n v="38315771.68"/>
    <n v="79.662401388707138"/>
    <n v="48097686"/>
  </r>
  <r>
    <s v="P0575"/>
    <s v="Model_764"/>
    <x v="0"/>
    <x v="0"/>
    <n v="2024"/>
    <s v="Q4"/>
    <n v="1306"/>
    <n v="12317"/>
    <n v="11600"/>
    <n v="417570"/>
    <n v="2.69"/>
    <n v="13"/>
    <n v="9.73"/>
    <n v="20.89"/>
    <n v="12.38"/>
    <n v="4.5"/>
    <n v="15955"/>
    <n v="2566"/>
    <n v="2"/>
    <n v="518811.11"/>
    <n v="3.2252334047950511"/>
    <n v="16086002"/>
  </r>
  <r>
    <s v="P0576"/>
    <s v="Model_116"/>
    <x v="2"/>
    <x v="3"/>
    <n v="2024"/>
    <s v="Q2"/>
    <n v="3426"/>
    <n v="12671"/>
    <n v="5855"/>
    <n v="317986"/>
    <n v="10.58"/>
    <n v="6"/>
    <n v="2.0099999999999998"/>
    <n v="24.04"/>
    <n v="15.74"/>
    <n v="3.6"/>
    <n v="6222"/>
    <n v="7924"/>
    <n v="8"/>
    <n v="23033605.960000001"/>
    <n v="53.059564791711267"/>
    <n v="43410846"/>
  </r>
  <r>
    <s v="P0577"/>
    <s v="Model_106"/>
    <x v="0"/>
    <x v="2"/>
    <n v="2023"/>
    <s v="Q4"/>
    <n v="3536"/>
    <n v="14082"/>
    <n v="11071"/>
    <n v="378996"/>
    <n v="6.83"/>
    <n v="18"/>
    <n v="0.1"/>
    <n v="19.38"/>
    <n v="62.79"/>
    <n v="1.7"/>
    <n v="14312"/>
    <n v="4224"/>
    <n v="6"/>
    <n v="10267880.619999999"/>
    <n v="20.620738478440114"/>
    <n v="49793952"/>
  </r>
  <r>
    <s v="P0578"/>
    <s v="Model_403"/>
    <x v="0"/>
    <x v="2"/>
    <n v="2024"/>
    <s v="Q2"/>
    <n v="3634"/>
    <n v="13701"/>
    <n v="3124"/>
    <n v="437881"/>
    <n v="10.02"/>
    <n v="16"/>
    <n v="0.75"/>
    <n v="15.55"/>
    <n v="44.53"/>
    <n v="1.1000000000000001"/>
    <n v="5508"/>
    <n v="1065"/>
    <n v="4"/>
    <n v="37998921.450000003"/>
    <n v="76.319247674114962"/>
    <n v="49789434"/>
  </r>
  <r>
    <s v="P0579"/>
    <s v="Model_612"/>
    <x v="1"/>
    <x v="0"/>
    <n v="2023"/>
    <s v="Q3"/>
    <n v="1446"/>
    <n v="19278"/>
    <n v="13619"/>
    <n v="358112"/>
    <n v="12.56"/>
    <n v="8"/>
    <n v="3.76"/>
    <n v="15.17"/>
    <n v="71.09"/>
    <n v="1.6"/>
    <n v="11560"/>
    <n v="7028"/>
    <n v="8"/>
    <n v="7824786.8300000001"/>
    <n v="28.069989232309901"/>
    <n v="27875988"/>
  </r>
  <r>
    <s v="P0580"/>
    <s v="Model_798"/>
    <x v="1"/>
    <x v="1"/>
    <n v="2023"/>
    <s v="Q2"/>
    <n v="3687"/>
    <n v="13973"/>
    <n v="10169"/>
    <n v="329652"/>
    <n v="2.5499999999999998"/>
    <n v="12"/>
    <n v="8.2100000000000009"/>
    <n v="21.24"/>
    <n v="89.41"/>
    <n v="3.4"/>
    <n v="14556"/>
    <n v="6196"/>
    <n v="3"/>
    <n v="13695674.76"/>
    <n v="26.584018917804809"/>
    <n v="51518451"/>
  </r>
  <r>
    <s v="P0581"/>
    <s v="Model_385"/>
    <x v="0"/>
    <x v="3"/>
    <n v="2024"/>
    <s v="Q3"/>
    <n v="3380"/>
    <n v="10961"/>
    <n v="10083"/>
    <n v="203077"/>
    <n v="0.28999999999999998"/>
    <n v="4"/>
    <n v="7.0000000000000007E-2"/>
    <n v="13.53"/>
    <n v="62.72"/>
    <n v="1.7"/>
    <n v="8155"/>
    <n v="6257"/>
    <n v="4"/>
    <n v="2764549.47"/>
    <n v="7.4620385400848308"/>
    <n v="37048180"/>
  </r>
  <r>
    <s v="P0582"/>
    <s v="Model_477"/>
    <x v="1"/>
    <x v="3"/>
    <n v="2024"/>
    <s v="Q4"/>
    <n v="2753"/>
    <n v="17096"/>
    <n v="14989"/>
    <n v="104575"/>
    <n v="11.69"/>
    <n v="4"/>
    <n v="4.57"/>
    <n v="20.100000000000001"/>
    <n v="14.04"/>
    <n v="1.9"/>
    <n v="18655"/>
    <n v="9211"/>
    <n v="2"/>
    <n v="5695975.9000000004"/>
    <n v="12.10228629643146"/>
    <n v="47065288"/>
  </r>
  <r>
    <s v="P0583"/>
    <s v="Model_183"/>
    <x v="2"/>
    <x v="1"/>
    <n v="2023"/>
    <s v="Q4"/>
    <n v="520"/>
    <n v="2029"/>
    <n v="13971"/>
    <n v="200043"/>
    <n v="9.15"/>
    <n v="9"/>
    <n v="3.29"/>
    <n v="12.72"/>
    <n v="18.37"/>
    <n v="1.1000000000000001"/>
    <n v="14527"/>
    <n v="8220"/>
    <n v="9"/>
    <n v="-6409895.7199999997"/>
    <n v="-607.52698563142133"/>
    <n v="1055080"/>
  </r>
  <r>
    <s v="P0584"/>
    <s v="Model_884"/>
    <x v="1"/>
    <x v="0"/>
    <n v="2023"/>
    <s v="Q3"/>
    <n v="1403"/>
    <n v="14265"/>
    <n v="6574"/>
    <n v="468815"/>
    <n v="10.49"/>
    <n v="9"/>
    <n v="0.52"/>
    <n v="1.56"/>
    <n v="80.48"/>
    <n v="3.9"/>
    <n v="5530"/>
    <n v="1608"/>
    <n v="3"/>
    <n v="10321656.439999999"/>
    <n v="51.572709923330386"/>
    <n v="20013795"/>
  </r>
  <r>
    <s v="P0585"/>
    <s v="Model_281"/>
    <x v="0"/>
    <x v="2"/>
    <n v="2024"/>
    <s v="Q3"/>
    <n v="2833"/>
    <n v="15410"/>
    <n v="7319"/>
    <n v="116914"/>
    <n v="12.57"/>
    <n v="6"/>
    <n v="4.5"/>
    <n v="9.6"/>
    <n v="52.2"/>
    <n v="4.2"/>
    <n v="2021"/>
    <n v="9504"/>
    <n v="8"/>
    <n v="22804879.399999999"/>
    <n v="52.237040827569203"/>
    <n v="43656530"/>
  </r>
  <r>
    <s v="P0586"/>
    <s v="Model_796"/>
    <x v="2"/>
    <x v="3"/>
    <n v="2023"/>
    <s v="Q2"/>
    <n v="2881"/>
    <n v="13061"/>
    <n v="11783"/>
    <n v="299134"/>
    <n v="12.04"/>
    <n v="14"/>
    <n v="2.5499999999999998"/>
    <n v="11.11"/>
    <n v="75.989999999999995"/>
    <n v="4.2"/>
    <n v="2900"/>
    <n v="971"/>
    <n v="12"/>
    <n v="3382772.89"/>
    <n v="8.9898646622272054"/>
    <n v="37628741"/>
  </r>
  <r>
    <s v="P0587"/>
    <s v="Model_937"/>
    <x v="1"/>
    <x v="0"/>
    <n v="2024"/>
    <s v="Q3"/>
    <n v="407"/>
    <n v="10631"/>
    <n v="2549"/>
    <n v="117055"/>
    <n v="14.41"/>
    <n v="6"/>
    <n v="3.52"/>
    <n v="3.54"/>
    <n v="78.53"/>
    <n v="1.5"/>
    <n v="13430"/>
    <n v="963"/>
    <n v="10"/>
    <n v="3172315.46"/>
    <n v="73.317532495596652"/>
    <n v="4326817"/>
  </r>
  <r>
    <s v="P0588"/>
    <s v="Model_624"/>
    <x v="0"/>
    <x v="0"/>
    <n v="2024"/>
    <s v="Q4"/>
    <n v="3069"/>
    <n v="2025"/>
    <n v="11667"/>
    <n v="137697"/>
    <n v="8.0399999999999991"/>
    <n v="14"/>
    <n v="7.06"/>
    <n v="2.56"/>
    <n v="84.21"/>
    <n v="4.5999999999999996"/>
    <n v="5223"/>
    <n v="3155"/>
    <n v="7"/>
    <n v="-29728997.559999999"/>
    <n v="-478.36384650970069"/>
    <n v="6214725"/>
  </r>
  <r>
    <s v="P0589"/>
    <s v="Model_208"/>
    <x v="0"/>
    <x v="3"/>
    <n v="2024"/>
    <s v="Q4"/>
    <n v="717"/>
    <n v="17885"/>
    <n v="1581"/>
    <n v="156239"/>
    <n v="7.33"/>
    <n v="2"/>
    <n v="5.22"/>
    <n v="13.39"/>
    <n v="85.99"/>
    <n v="3.7"/>
    <n v="8079"/>
    <n v="5233"/>
    <n v="3"/>
    <n v="11533715.609999999"/>
    <n v="89.941709644252029"/>
    <n v="12823545"/>
  </r>
  <r>
    <s v="P0590"/>
    <s v="Model_213"/>
    <x v="2"/>
    <x v="3"/>
    <n v="2023"/>
    <s v="Q3"/>
    <n v="4518"/>
    <n v="1874"/>
    <n v="8348"/>
    <n v="285469"/>
    <n v="6.03"/>
    <n v="18"/>
    <n v="1.25"/>
    <n v="2.13"/>
    <n v="54.39"/>
    <n v="4.5999999999999996"/>
    <n v="19742"/>
    <n v="2782"/>
    <n v="3"/>
    <n v="-29535003.129999999"/>
    <n v="-348.83592784087176"/>
    <n v="8466732"/>
  </r>
  <r>
    <s v="P0591"/>
    <s v="Model_709"/>
    <x v="1"/>
    <x v="0"/>
    <n v="2023"/>
    <s v="Q2"/>
    <n v="1195"/>
    <n v="13697"/>
    <n v="12040"/>
    <n v="173106"/>
    <n v="2.31"/>
    <n v="9"/>
    <n v="9.61"/>
    <n v="7.57"/>
    <n v="37.28"/>
    <n v="2.8"/>
    <n v="6281"/>
    <n v="5378"/>
    <n v="10"/>
    <n v="1807001.43"/>
    <n v="11.039899889509446"/>
    <n v="16367915"/>
  </r>
  <r>
    <s v="P0592"/>
    <s v="Model_506"/>
    <x v="0"/>
    <x v="3"/>
    <n v="2024"/>
    <s v="Q4"/>
    <n v="4235"/>
    <n v="6148"/>
    <n v="7623"/>
    <n v="317499"/>
    <n v="8.59"/>
    <n v="14"/>
    <n v="6.36"/>
    <n v="18.61"/>
    <n v="86.95"/>
    <n v="2.7"/>
    <n v="14373"/>
    <n v="5548"/>
    <n v="11"/>
    <n v="-6564142.6100000003"/>
    <n v="-25.21103842333806"/>
    <n v="26036780"/>
  </r>
  <r>
    <s v="P0593"/>
    <s v="Model_178"/>
    <x v="2"/>
    <x v="2"/>
    <n v="2023"/>
    <s v="Q1"/>
    <n v="3769"/>
    <n v="3865"/>
    <n v="2905"/>
    <n v="366264"/>
    <n v="4.16"/>
    <n v="2"/>
    <n v="7.66"/>
    <n v="24.11"/>
    <n v="53.79"/>
    <n v="4.0999999999999996"/>
    <n v="20282"/>
    <n v="713"/>
    <n v="9"/>
    <n v="3251951.89"/>
    <n v="22.323818157042695"/>
    <n v="14567185"/>
  </r>
  <r>
    <s v="P0594"/>
    <s v="Model_643"/>
    <x v="0"/>
    <x v="0"/>
    <n v="2023"/>
    <s v="Q4"/>
    <n v="2795"/>
    <n v="19409"/>
    <n v="4667"/>
    <n v="350486"/>
    <n v="13.82"/>
    <n v="5"/>
    <n v="0.79"/>
    <n v="17.95"/>
    <n v="15.14"/>
    <n v="1.4"/>
    <n v="18026"/>
    <n v="1972"/>
    <n v="10"/>
    <n v="40853386.049999997"/>
    <n v="75.308341915038397"/>
    <n v="54248155"/>
  </r>
  <r>
    <s v="P0595"/>
    <s v="Model_203"/>
    <x v="2"/>
    <x v="3"/>
    <n v="2024"/>
    <s v="Q2"/>
    <n v="589"/>
    <n v="3146"/>
    <n v="7993"/>
    <n v="52257"/>
    <n v="8.75"/>
    <n v="11"/>
    <n v="0.47"/>
    <n v="24.82"/>
    <n v="61.42"/>
    <n v="3.1"/>
    <n v="12543"/>
    <n v="7823"/>
    <n v="5"/>
    <n v="-2907164.82"/>
    <n v="-156.890136719277"/>
    <n v="1852994"/>
  </r>
  <r>
    <s v="P0596"/>
    <s v="Model_598"/>
    <x v="1"/>
    <x v="3"/>
    <n v="2023"/>
    <s v="Q1"/>
    <n v="2829"/>
    <n v="1513"/>
    <n v="5776"/>
    <n v="339508"/>
    <n v="8.89"/>
    <n v="14"/>
    <n v="0.19"/>
    <n v="17.46"/>
    <n v="57.01"/>
    <n v="4.3"/>
    <n v="17875"/>
    <n v="7289"/>
    <n v="5"/>
    <n v="-12399552.460000001"/>
    <n v="-289.69042097041853"/>
    <n v="4280277"/>
  </r>
  <r>
    <s v="P0597"/>
    <s v="Model_909"/>
    <x v="2"/>
    <x v="2"/>
    <n v="2023"/>
    <s v="Q4"/>
    <n v="4186"/>
    <n v="6099"/>
    <n v="13534"/>
    <n v="206044"/>
    <n v="5.32"/>
    <n v="5"/>
    <n v="1.89"/>
    <n v="7.34"/>
    <n v="81.66"/>
    <n v="4.3"/>
    <n v="18601"/>
    <n v="5486"/>
    <n v="3"/>
    <n v="-31328961.34"/>
    <n v="-122.71231222494082"/>
    <n v="25530414"/>
  </r>
  <r>
    <s v="P0598"/>
    <s v="Model_866"/>
    <x v="2"/>
    <x v="2"/>
    <n v="2024"/>
    <s v="Q3"/>
    <n v="4885"/>
    <n v="3778"/>
    <n v="2913"/>
    <n v="161715"/>
    <n v="0.78"/>
    <n v="12"/>
    <n v="4.1399999999999997"/>
    <n v="16.8"/>
    <n v="62.25"/>
    <n v="4.8"/>
    <n v="2142"/>
    <n v="7042"/>
    <n v="11"/>
    <n v="4063793.2"/>
    <n v="22.019379557238398"/>
    <n v="18455530"/>
  </r>
  <r>
    <s v="P0599"/>
    <s v="Model_127"/>
    <x v="1"/>
    <x v="2"/>
    <n v="2024"/>
    <s v="Q4"/>
    <n v="3825"/>
    <n v="15796"/>
    <n v="6679"/>
    <n v="76654"/>
    <n v="0.48"/>
    <n v="18"/>
    <n v="9.36"/>
    <n v="17.55"/>
    <n v="37.92"/>
    <n v="3.8"/>
    <n v="20432"/>
    <n v="8859"/>
    <n v="2"/>
    <n v="34795853.450000003"/>
    <n v="57.59024531733855"/>
    <n v="60419700"/>
  </r>
  <r>
    <s v="P0600"/>
    <s v="Model_446"/>
    <x v="0"/>
    <x v="1"/>
    <n v="2023"/>
    <s v="Q1"/>
    <n v="2558"/>
    <n v="4655"/>
    <n v="14365"/>
    <n v="261841"/>
    <n v="6.35"/>
    <n v="2"/>
    <n v="4.57"/>
    <n v="9.2899999999999991"/>
    <n v="87.3"/>
    <n v="1.8"/>
    <n v="13385"/>
    <n v="344"/>
    <n v="11"/>
    <n v="-25100030.289999999"/>
    <n v="-210.79194935288629"/>
    <n v="11907490"/>
  </r>
  <r>
    <s v="P0601"/>
    <s v="Model_102"/>
    <x v="2"/>
    <x v="2"/>
    <n v="2024"/>
    <s v="Q4"/>
    <n v="2829"/>
    <n v="9821"/>
    <n v="4770"/>
    <n v="393567"/>
    <n v="1.27"/>
    <n v="7"/>
    <n v="2.9"/>
    <n v="0.44"/>
    <n v="74.13"/>
    <n v="1.1000000000000001"/>
    <n v="9049"/>
    <n v="120"/>
    <n v="14"/>
    <n v="13895711.560000001"/>
    <n v="50.014062463951312"/>
    <n v="27783609"/>
  </r>
  <r>
    <s v="P0602"/>
    <s v="Model_813"/>
    <x v="2"/>
    <x v="1"/>
    <n v="2023"/>
    <s v="Q1"/>
    <n v="974"/>
    <n v="5314"/>
    <n v="10983"/>
    <n v="341464"/>
    <n v="9.1"/>
    <n v="7"/>
    <n v="5.62"/>
    <n v="17.579999999999998"/>
    <n v="60.43"/>
    <n v="2.9"/>
    <n v="14897"/>
    <n v="8685"/>
    <n v="5"/>
    <n v="-5863087.5800000001"/>
    <n v="-113.27807874901754"/>
    <n v="5175836"/>
  </r>
  <r>
    <s v="P0603"/>
    <s v="Model_571"/>
    <x v="0"/>
    <x v="3"/>
    <n v="2024"/>
    <s v="Q4"/>
    <n v="3006"/>
    <n v="14625"/>
    <n v="10059"/>
    <n v="70808"/>
    <n v="13.21"/>
    <n v="19"/>
    <n v="1.1200000000000001"/>
    <n v="0.54"/>
    <n v="33.43"/>
    <n v="3.1"/>
    <n v="16574"/>
    <n v="5867"/>
    <n v="11"/>
    <n v="13654587.460000001"/>
    <n v="31.059447964469921"/>
    <n v="43962750"/>
  </r>
  <r>
    <s v="P0604"/>
    <s v="Model_553"/>
    <x v="2"/>
    <x v="0"/>
    <n v="2023"/>
    <s v="Q1"/>
    <n v="1631"/>
    <n v="4716"/>
    <n v="8064"/>
    <n v="102389"/>
    <n v="13.24"/>
    <n v="14"/>
    <n v="6.1"/>
    <n v="15.78"/>
    <n v="39.880000000000003"/>
    <n v="2"/>
    <n v="15271"/>
    <n v="3615"/>
    <n v="11"/>
    <n v="-5562992.7800000003"/>
    <n v="-72.323717113662397"/>
    <n v="7691796"/>
  </r>
  <r>
    <s v="P0605"/>
    <s v="Model_694"/>
    <x v="1"/>
    <x v="2"/>
    <n v="2024"/>
    <s v="Q1"/>
    <n v="3374"/>
    <n v="3613"/>
    <n v="2377"/>
    <n v="168581"/>
    <n v="9.89"/>
    <n v="3"/>
    <n v="5.68"/>
    <n v="4.09"/>
    <n v="63.6"/>
    <n v="1.5"/>
    <n v="2449"/>
    <n v="2010"/>
    <n v="12"/>
    <n v="4001678.91"/>
    <n v="32.826849086590592"/>
    <n v="12190262"/>
  </r>
  <r>
    <s v="P0606"/>
    <s v="Model_347"/>
    <x v="0"/>
    <x v="1"/>
    <n v="2023"/>
    <s v="Q4"/>
    <n v="4535"/>
    <n v="11738"/>
    <n v="10003"/>
    <n v="177927"/>
    <n v="3.17"/>
    <n v="18"/>
    <n v="7.92"/>
    <n v="14.14"/>
    <n v="15.76"/>
    <n v="3.3"/>
    <n v="18405"/>
    <n v="8581"/>
    <n v="9"/>
    <n v="7690283.8600000003"/>
    <n v="14.446777163212312"/>
    <n v="53231830"/>
  </r>
  <r>
    <s v="P0607"/>
    <s v="Model_812"/>
    <x v="2"/>
    <x v="3"/>
    <n v="2024"/>
    <s v="Q1"/>
    <n v="305"/>
    <n v="15260"/>
    <n v="3074"/>
    <n v="84773"/>
    <n v="12.94"/>
    <n v="2"/>
    <n v="9.8699999999999992"/>
    <n v="12.6"/>
    <n v="30.53"/>
    <n v="4.0999999999999996"/>
    <n v="16232"/>
    <n v="5982"/>
    <n v="3"/>
    <n v="3631944.4"/>
    <n v="78.034170551962703"/>
    <n v="4654300"/>
  </r>
  <r>
    <s v="P0608"/>
    <s v="Model_314"/>
    <x v="2"/>
    <x v="0"/>
    <n v="2024"/>
    <s v="Q4"/>
    <n v="4854"/>
    <n v="14088"/>
    <n v="5669"/>
    <n v="232240"/>
    <n v="13.29"/>
    <n v="12"/>
    <n v="2.5099999999999998"/>
    <n v="0.34"/>
    <n v="67.11"/>
    <n v="5"/>
    <n v="18238"/>
    <n v="8652"/>
    <n v="14"/>
    <n v="40633585.659999996"/>
    <n v="59.420463186604792"/>
    <n v="68383152"/>
  </r>
  <r>
    <s v="P0609"/>
    <s v="Model_310"/>
    <x v="2"/>
    <x v="0"/>
    <n v="2023"/>
    <s v="Q2"/>
    <n v="1888"/>
    <n v="4874"/>
    <n v="10806"/>
    <n v="470963"/>
    <n v="2.95"/>
    <n v="7"/>
    <n v="5.0999999999999996"/>
    <n v="9.07"/>
    <n v="48.4"/>
    <n v="4"/>
    <n v="19366"/>
    <n v="8176"/>
    <n v="13"/>
    <n v="-11670588.07"/>
    <n v="-126.82510351971375"/>
    <n v="9202112"/>
  </r>
  <r>
    <s v="P0610"/>
    <s v="Model_439"/>
    <x v="0"/>
    <x v="2"/>
    <n v="2024"/>
    <s v="Q2"/>
    <n v="1994"/>
    <n v="7930"/>
    <n v="7544"/>
    <n v="388540"/>
    <n v="11.06"/>
    <n v="15"/>
    <n v="9.09"/>
    <n v="15.03"/>
    <n v="42.19"/>
    <n v="4.2"/>
    <n v="11339"/>
    <n v="1722"/>
    <n v="12"/>
    <n v="381128.97"/>
    <n v="2.4103139810351606"/>
    <n v="15812420"/>
  </r>
  <r>
    <s v="P0611"/>
    <s v="Model_227"/>
    <x v="1"/>
    <x v="0"/>
    <n v="2023"/>
    <s v="Q1"/>
    <n v="59"/>
    <n v="13470"/>
    <n v="3226"/>
    <n v="419836"/>
    <n v="4.3"/>
    <n v="12"/>
    <n v="7.85"/>
    <n v="21.22"/>
    <n v="22.12"/>
    <n v="3.5"/>
    <n v="14323"/>
    <n v="4414"/>
    <n v="9"/>
    <n v="184538.78"/>
    <n v="23.220311300693318"/>
    <n v="794730"/>
  </r>
  <r>
    <s v="P0612"/>
    <s v="Model_435"/>
    <x v="1"/>
    <x v="0"/>
    <n v="2023"/>
    <s v="Q1"/>
    <n v="2921"/>
    <n v="2129"/>
    <n v="14289"/>
    <n v="264764"/>
    <n v="12.04"/>
    <n v="2"/>
    <n v="4.87"/>
    <n v="22.22"/>
    <n v="45.35"/>
    <n v="4.9000000000000004"/>
    <n v="20099"/>
    <n v="2553"/>
    <n v="2"/>
    <n v="-35784146.219999999"/>
    <n v="-575.41799756191256"/>
    <n v="6218809"/>
  </r>
  <r>
    <s v="P0613"/>
    <s v="Model_740"/>
    <x v="2"/>
    <x v="0"/>
    <n v="2024"/>
    <s v="Q4"/>
    <n v="847"/>
    <n v="18153"/>
    <n v="6346"/>
    <n v="107505"/>
    <n v="14.96"/>
    <n v="15"/>
    <n v="9.4499999999999993"/>
    <n v="12.1"/>
    <n v="71.66"/>
    <n v="3.6"/>
    <n v="20421"/>
    <n v="2115"/>
    <n v="2"/>
    <n v="9893011.9000000004"/>
    <n v="64.34231958953643"/>
    <n v="15375591"/>
  </r>
  <r>
    <s v="P0614"/>
    <s v="Model_652"/>
    <x v="1"/>
    <x v="0"/>
    <n v="2023"/>
    <s v="Q4"/>
    <n v="1065"/>
    <n v="12331"/>
    <n v="7652"/>
    <n v="398040"/>
    <n v="0.45"/>
    <n v="8"/>
    <n v="0.56999999999999995"/>
    <n v="18.21"/>
    <n v="31.12"/>
    <n v="4.4000000000000004"/>
    <n v="16190"/>
    <n v="2900"/>
    <n v="5"/>
    <n v="4585076.79"/>
    <n v="34.913927682549762"/>
    <n v="13132515"/>
  </r>
  <r>
    <s v="P0615"/>
    <s v="Model_411"/>
    <x v="2"/>
    <x v="0"/>
    <n v="2023"/>
    <s v="Q1"/>
    <n v="1874"/>
    <n v="7224"/>
    <n v="13394"/>
    <n v="68135"/>
    <n v="13.46"/>
    <n v="13"/>
    <n v="9.31"/>
    <n v="7.91"/>
    <n v="10.43"/>
    <n v="4.8"/>
    <n v="7839"/>
    <n v="9123"/>
    <n v="8"/>
    <n v="-11630722.91"/>
    <n v="-85.913099093972306"/>
    <n v="13537776"/>
  </r>
  <r>
    <s v="P0616"/>
    <s v="Model_586"/>
    <x v="1"/>
    <x v="2"/>
    <n v="2024"/>
    <s v="Q2"/>
    <n v="4519"/>
    <n v="12583"/>
    <n v="13866"/>
    <n v="140887"/>
    <n v="9.34"/>
    <n v="12"/>
    <n v="0.51"/>
    <n v="8.5500000000000007"/>
    <n v="63.48"/>
    <n v="4.7"/>
    <n v="12456"/>
    <n v="8872"/>
    <n v="10"/>
    <n v="-5938772.5499999998"/>
    <n v="-10.444079152445026"/>
    <n v="56862577"/>
  </r>
  <r>
    <s v="P0617"/>
    <s v="Model_301"/>
    <x v="2"/>
    <x v="2"/>
    <n v="2024"/>
    <s v="Q4"/>
    <n v="3186"/>
    <n v="14649"/>
    <n v="3351"/>
    <n v="172118"/>
    <n v="14.6"/>
    <n v="6"/>
    <n v="5.47"/>
    <n v="4.8600000000000003"/>
    <n v="87.81"/>
    <n v="2.5"/>
    <n v="5265"/>
    <n v="6852"/>
    <n v="6"/>
    <n v="35823305.140000001"/>
    <n v="76.755923598606216"/>
    <n v="46671714"/>
  </r>
  <r>
    <s v="P0618"/>
    <s v="Model_571"/>
    <x v="2"/>
    <x v="0"/>
    <n v="2024"/>
    <s v="Q4"/>
    <n v="2243"/>
    <n v="10972"/>
    <n v="7211"/>
    <n v="359521"/>
    <n v="6.98"/>
    <n v="14"/>
    <n v="8.9"/>
    <n v="14.05"/>
    <n v="58.55"/>
    <n v="1.3"/>
    <n v="4327"/>
    <n v="7553"/>
    <n v="3"/>
    <n v="8076387.9500000002"/>
    <n v="32.817243511591698"/>
    <n v="24610196"/>
  </r>
  <r>
    <s v="P0619"/>
    <s v="Model_905"/>
    <x v="2"/>
    <x v="2"/>
    <n v="2024"/>
    <s v="Q1"/>
    <n v="273"/>
    <n v="7776"/>
    <n v="12649"/>
    <n v="204626"/>
    <n v="12.71"/>
    <n v="6"/>
    <n v="2.63"/>
    <n v="7.86"/>
    <n v="19.59"/>
    <n v="1.7"/>
    <n v="3558"/>
    <n v="2953"/>
    <n v="13"/>
    <n v="-1534962.86"/>
    <n v="-72.306771846123709"/>
    <n v="2122848"/>
  </r>
  <r>
    <s v="P0620"/>
    <s v="Model_542"/>
    <x v="0"/>
    <x v="1"/>
    <n v="2023"/>
    <s v="Q3"/>
    <n v="4998"/>
    <n v="17135"/>
    <n v="807"/>
    <n v="374635"/>
    <n v="0.94"/>
    <n v="5"/>
    <n v="4.72"/>
    <n v="2.11"/>
    <n v="35.659999999999997"/>
    <n v="1.2"/>
    <n v="13019"/>
    <n v="2336"/>
    <n v="8"/>
    <n v="81232706.890000001"/>
    <n v="94.852889378686996"/>
    <n v="85640730"/>
  </r>
  <r>
    <s v="P0621"/>
    <s v="Model_632"/>
    <x v="0"/>
    <x v="3"/>
    <n v="2023"/>
    <s v="Q4"/>
    <n v="4208"/>
    <n v="7395"/>
    <n v="8887"/>
    <n v="498837"/>
    <n v="5.03"/>
    <n v="1"/>
    <n v="3.24"/>
    <n v="17.13"/>
    <n v="79.41"/>
    <n v="1.4"/>
    <n v="2230"/>
    <n v="4276"/>
    <n v="12"/>
    <n v="-6777190.1299999999"/>
    <n v="-21.778890943423391"/>
    <n v="31118160"/>
  </r>
  <r>
    <s v="P0622"/>
    <s v="Model_166"/>
    <x v="0"/>
    <x v="0"/>
    <n v="2023"/>
    <s v="Q3"/>
    <n v="3975"/>
    <n v="15494"/>
    <n v="3355"/>
    <n v="295739"/>
    <n v="1.01"/>
    <n v="8"/>
    <n v="9.52"/>
    <n v="17.690000000000001"/>
    <n v="28.61"/>
    <n v="1.7"/>
    <n v="3332"/>
    <n v="2255"/>
    <n v="3"/>
    <n v="47956768.310000002"/>
    <n v="77.8662437153599"/>
    <n v="61588650"/>
  </r>
  <r>
    <s v="P0623"/>
    <s v="Model_731"/>
    <x v="2"/>
    <x v="2"/>
    <n v="2024"/>
    <s v="Q3"/>
    <n v="4834"/>
    <n v="12052"/>
    <n v="1275"/>
    <n v="370427"/>
    <n v="14.63"/>
    <n v="16"/>
    <n v="8.24"/>
    <n v="9"/>
    <n v="58.62"/>
    <n v="2.4"/>
    <n v="10100"/>
    <n v="9636"/>
    <n v="10"/>
    <n v="51725582"/>
    <n v="88.785003640959516"/>
    <n v="58259368"/>
  </r>
  <r>
    <s v="P0624"/>
    <s v="Model_981"/>
    <x v="0"/>
    <x v="1"/>
    <n v="2024"/>
    <s v="Q4"/>
    <n v="4050"/>
    <n v="18459"/>
    <n v="6216"/>
    <n v="329067"/>
    <n v="12.25"/>
    <n v="4"/>
    <n v="7.09"/>
    <n v="1.92"/>
    <n v="42.21"/>
    <n v="3.2"/>
    <n v="17118"/>
    <n v="5798"/>
    <n v="10"/>
    <n v="49255081.079999998"/>
    <n v="65.885196461427014"/>
    <n v="74758950"/>
  </r>
  <r>
    <s v="P0625"/>
    <s v="Model_575"/>
    <x v="2"/>
    <x v="3"/>
    <n v="2024"/>
    <s v="Q2"/>
    <n v="1683"/>
    <n v="7599"/>
    <n v="11203"/>
    <n v="359735"/>
    <n v="12.79"/>
    <n v="11"/>
    <n v="5.88"/>
    <n v="10.66"/>
    <n v="26.63"/>
    <n v="3.8"/>
    <n v="8670"/>
    <n v="6929"/>
    <n v="4"/>
    <n v="-6425277.6600000001"/>
    <n v="-50.240197661808864"/>
    <n v="12789117"/>
  </r>
  <r>
    <s v="P0626"/>
    <s v="Model_648"/>
    <x v="1"/>
    <x v="1"/>
    <n v="2023"/>
    <s v="Q2"/>
    <n v="2202"/>
    <n v="10999"/>
    <n v="9476"/>
    <n v="112261"/>
    <n v="14.07"/>
    <n v="0"/>
    <n v="8.2100000000000009"/>
    <n v="11.06"/>
    <n v="75.069999999999993"/>
    <n v="1.8"/>
    <n v="5679"/>
    <n v="8637"/>
    <n v="14"/>
    <n v="3241373.94"/>
    <n v="13.383158439223978"/>
    <n v="24219798"/>
  </r>
  <r>
    <s v="P0627"/>
    <s v="Model_676"/>
    <x v="2"/>
    <x v="0"/>
    <n v="2024"/>
    <s v="Q3"/>
    <n v="560"/>
    <n v="4678"/>
    <n v="8039"/>
    <n v="366480"/>
    <n v="1.28"/>
    <n v="9"/>
    <n v="3.92"/>
    <n v="16.72"/>
    <n v="69.430000000000007"/>
    <n v="3.7"/>
    <n v="7799"/>
    <n v="1986"/>
    <n v="9"/>
    <n v="-2248656.7200000002"/>
    <n v="-85.837076284126312"/>
    <n v="2619680"/>
  </r>
  <r>
    <s v="P0628"/>
    <s v="Model_975"/>
    <x v="0"/>
    <x v="3"/>
    <n v="2024"/>
    <s v="Q2"/>
    <n v="434"/>
    <n v="7616"/>
    <n v="7510"/>
    <n v="386227"/>
    <n v="5.78"/>
    <n v="10"/>
    <n v="4.4800000000000004"/>
    <n v="7.89"/>
    <n v="62.93"/>
    <n v="3.8"/>
    <n v="9330"/>
    <n v="6571"/>
    <n v="12"/>
    <n v="-340230.89"/>
    <n v="-10.293357968187275"/>
    <n v="3305344"/>
  </r>
  <r>
    <s v="P0629"/>
    <s v="Model_768"/>
    <x v="2"/>
    <x v="3"/>
    <n v="2023"/>
    <s v="Q4"/>
    <n v="454"/>
    <n v="17063"/>
    <n v="5800"/>
    <n v="110948"/>
    <n v="1.07"/>
    <n v="15"/>
    <n v="7.3"/>
    <n v="17.059999999999999"/>
    <n v="28.91"/>
    <n v="3.2"/>
    <n v="12939"/>
    <n v="8846"/>
    <n v="5"/>
    <n v="5002436.9400000004"/>
    <n v="64.5758868210862"/>
    <n v="7746602"/>
  </r>
  <r>
    <s v="P0630"/>
    <s v="Model_145"/>
    <x v="1"/>
    <x v="3"/>
    <n v="2024"/>
    <s v="Q1"/>
    <n v="4663"/>
    <n v="5068"/>
    <n v="5454"/>
    <n v="290891"/>
    <n v="3.16"/>
    <n v="13"/>
    <n v="3.58"/>
    <n v="21.79"/>
    <n v="17.829999999999998"/>
    <n v="4.5999999999999996"/>
    <n v="6302"/>
    <n v="3870"/>
    <n v="4"/>
    <n v="-2090830.79"/>
    <n v="-8.8474245013685628"/>
    <n v="23632084"/>
  </r>
  <r>
    <s v="P0631"/>
    <s v="Model_807"/>
    <x v="1"/>
    <x v="3"/>
    <n v="2024"/>
    <s v="Q1"/>
    <n v="4621"/>
    <n v="11347"/>
    <n v="8878"/>
    <n v="214074"/>
    <n v="3.44"/>
    <n v="7"/>
    <n v="0.64"/>
    <n v="5.94"/>
    <n v="56.09"/>
    <n v="1.4"/>
    <n v="8115"/>
    <n v="8491"/>
    <n v="2"/>
    <n v="11195169.060000001"/>
    <n v="21.350774462616563"/>
    <n v="52434487"/>
  </r>
  <r>
    <s v="P0632"/>
    <s v="Model_107"/>
    <x v="0"/>
    <x v="1"/>
    <n v="2024"/>
    <s v="Q3"/>
    <n v="2050"/>
    <n v="15635"/>
    <n v="6863"/>
    <n v="338816"/>
    <n v="7.04"/>
    <n v="16"/>
    <n v="0.74"/>
    <n v="24.47"/>
    <n v="54.29"/>
    <n v="1.7"/>
    <n v="8262"/>
    <n v="3040"/>
    <n v="6"/>
    <n v="17643759.530000001"/>
    <n v="55.047726036799872"/>
    <n v="32051750"/>
  </r>
  <r>
    <s v="P0633"/>
    <s v="Model_499"/>
    <x v="1"/>
    <x v="3"/>
    <n v="2023"/>
    <s v="Q1"/>
    <n v="2806"/>
    <n v="19274"/>
    <n v="3085"/>
    <n v="316357"/>
    <n v="4.03"/>
    <n v="17"/>
    <n v="1.1499999999999999"/>
    <n v="9.66"/>
    <n v="25.07"/>
    <n v="2.7"/>
    <n v="7043"/>
    <n v="3590"/>
    <n v="14"/>
    <n v="45109967.340000004"/>
    <n v="83.409014770007289"/>
    <n v="54082844"/>
  </r>
  <r>
    <s v="P0634"/>
    <s v="Model_808"/>
    <x v="0"/>
    <x v="3"/>
    <n v="2023"/>
    <s v="Q1"/>
    <n v="1718"/>
    <n v="3242"/>
    <n v="6023"/>
    <n v="191365"/>
    <n v="1.51"/>
    <n v="11"/>
    <n v="8.6999999999999993"/>
    <n v="6.68"/>
    <n v="14.5"/>
    <n v="1.5"/>
    <n v="6383"/>
    <n v="7999"/>
    <n v="12"/>
    <n v="-4969129.68"/>
    <n v="-89.21629026478"/>
    <n v="5569756"/>
  </r>
  <r>
    <s v="P0635"/>
    <s v="Model_968"/>
    <x v="1"/>
    <x v="0"/>
    <n v="2023"/>
    <s v="Q4"/>
    <n v="1510"/>
    <n v="19809"/>
    <n v="14321"/>
    <n v="499076"/>
    <n v="2.5099999999999998"/>
    <n v="16"/>
    <n v="4.72"/>
    <n v="10.54"/>
    <n v="16.46"/>
    <n v="3.3"/>
    <n v="17239"/>
    <n v="406"/>
    <n v="5"/>
    <n v="7787793.46"/>
    <n v="26.036039742454349"/>
    <n v="29911590"/>
  </r>
  <r>
    <s v="P0636"/>
    <s v="Model_448"/>
    <x v="0"/>
    <x v="2"/>
    <n v="2023"/>
    <s v="Q3"/>
    <n v="3686"/>
    <n v="2119"/>
    <n v="7771"/>
    <n v="112507"/>
    <n v="2.21"/>
    <n v="13"/>
    <n v="7.13"/>
    <n v="2.36"/>
    <n v="89.42"/>
    <n v="2.6"/>
    <n v="2166"/>
    <n v="3175"/>
    <n v="2"/>
    <n v="-20945781.359999999"/>
    <n v="-268.17005328888797"/>
    <n v="7810634"/>
  </r>
  <r>
    <s v="P0637"/>
    <s v="Model_562"/>
    <x v="2"/>
    <x v="2"/>
    <n v="2024"/>
    <s v="Q3"/>
    <n v="2774"/>
    <n v="19158"/>
    <n v="13555"/>
    <n v="107134"/>
    <n v="14.6"/>
    <n v="15"/>
    <n v="3.93"/>
    <n v="3.14"/>
    <n v="72.69"/>
    <n v="2.1"/>
    <n v="1776"/>
    <n v="1756"/>
    <n v="11"/>
    <n v="15435584.859999999"/>
    <n v="29.044671175598687"/>
    <n v="53144292"/>
  </r>
  <r>
    <s v="P0638"/>
    <s v="Model_679"/>
    <x v="2"/>
    <x v="1"/>
    <n v="2023"/>
    <s v="Q3"/>
    <n v="4859"/>
    <n v="18840"/>
    <n v="4325"/>
    <n v="183172"/>
    <n v="11.39"/>
    <n v="13"/>
    <n v="2.59"/>
    <n v="10.36"/>
    <n v="83.76"/>
    <n v="1.7"/>
    <n v="15563"/>
    <n v="7344"/>
    <n v="9"/>
    <n v="70345202.640000001"/>
    <n v="76.843420378233048"/>
    <n v="91543560"/>
  </r>
  <r>
    <s v="P0639"/>
    <s v="Model_276"/>
    <x v="1"/>
    <x v="2"/>
    <n v="2023"/>
    <s v="Q2"/>
    <n v="4228"/>
    <n v="3439"/>
    <n v="12331"/>
    <n v="291225"/>
    <n v="14.52"/>
    <n v="8"/>
    <n v="3.47"/>
    <n v="19.059999999999999"/>
    <n v="25.6"/>
    <n v="2.2999999999999998"/>
    <n v="2381"/>
    <n v="6711"/>
    <n v="9"/>
    <n v="-37886620.060000002"/>
    <n v="-260.56657729538438"/>
    <n v="14540092"/>
  </r>
  <r>
    <s v="P0640"/>
    <s v="Model_101"/>
    <x v="1"/>
    <x v="3"/>
    <n v="2023"/>
    <s v="Q1"/>
    <n v="2098"/>
    <n v="17501"/>
    <n v="3622"/>
    <n v="243069"/>
    <n v="6.6"/>
    <n v="3"/>
    <n v="7.94"/>
    <n v="22.51"/>
    <n v="86.85"/>
    <n v="3.4"/>
    <n v="3560"/>
    <n v="6422"/>
    <n v="14"/>
    <n v="28875050.489999998"/>
    <n v="78.641973529607384"/>
    <n v="36717098"/>
  </r>
  <r>
    <s v="P0641"/>
    <s v="Model_664"/>
    <x v="0"/>
    <x v="2"/>
    <n v="2024"/>
    <s v="Q1"/>
    <n v="4196"/>
    <n v="2468"/>
    <n v="5743"/>
    <n v="340316"/>
    <n v="4.18"/>
    <n v="10"/>
    <n v="6.25"/>
    <n v="16.62"/>
    <n v="21.41"/>
    <n v="3.3"/>
    <n v="16177"/>
    <n v="2792"/>
    <n v="9"/>
    <n v="-14082232.619999999"/>
    <n v="-135.98496040065942"/>
    <n v="10355728"/>
  </r>
  <r>
    <s v="P0642"/>
    <s v="Model_316"/>
    <x v="0"/>
    <x v="2"/>
    <n v="2023"/>
    <s v="Q2"/>
    <n v="4830"/>
    <n v="16346"/>
    <n v="7330"/>
    <n v="332276"/>
    <n v="11.97"/>
    <n v="5"/>
    <n v="9.3800000000000008"/>
    <n v="2.63"/>
    <n v="50.73"/>
    <n v="1.7"/>
    <n v="19966"/>
    <n v="1864"/>
    <n v="4"/>
    <n v="43215001.369999997"/>
    <n v="54.736359063917725"/>
    <n v="78951180"/>
  </r>
  <r>
    <s v="P0643"/>
    <s v="Model_762"/>
    <x v="2"/>
    <x v="2"/>
    <n v="2023"/>
    <s v="Q2"/>
    <n v="766"/>
    <n v="1781"/>
    <n v="11916"/>
    <n v="298933"/>
    <n v="4.8899999999999997"/>
    <n v="14"/>
    <n v="6.8"/>
    <n v="16.8"/>
    <n v="76.38"/>
    <n v="1.5"/>
    <n v="8202"/>
    <n v="375"/>
    <n v="7"/>
    <n v="-8062359.7999999998"/>
    <n v="-590.97551321389255"/>
    <n v="1364246"/>
  </r>
  <r>
    <s v="P0644"/>
    <s v="Model_548"/>
    <x v="1"/>
    <x v="1"/>
    <n v="2024"/>
    <s v="Q4"/>
    <n v="4594"/>
    <n v="16860"/>
    <n v="1058"/>
    <n v="330343"/>
    <n v="4.49"/>
    <n v="4"/>
    <n v="5.7"/>
    <n v="15.89"/>
    <n v="37.979999999999997"/>
    <n v="1.1000000000000001"/>
    <n v="10929"/>
    <n v="5371"/>
    <n v="13"/>
    <n v="72264029.109999999"/>
    <n v="93.29827433637459"/>
    <n v="77454840"/>
  </r>
  <r>
    <s v="P0645"/>
    <s v="Model_807"/>
    <x v="2"/>
    <x v="1"/>
    <n v="2023"/>
    <s v="Q2"/>
    <n v="4633"/>
    <n v="7762"/>
    <n v="1082"/>
    <n v="86609"/>
    <n v="3.49"/>
    <n v="10"/>
    <n v="6.1"/>
    <n v="20.14"/>
    <n v="43.99"/>
    <n v="1"/>
    <n v="17353"/>
    <n v="7431"/>
    <n v="13"/>
    <n v="30861810.859999999"/>
    <n v="85.819398584246542"/>
    <n v="35961346"/>
  </r>
  <r>
    <s v="P0646"/>
    <s v="Model_935"/>
    <x v="1"/>
    <x v="3"/>
    <n v="2023"/>
    <s v="Q4"/>
    <n v="1873"/>
    <n v="2558"/>
    <n v="14737"/>
    <n v="224037"/>
    <n v="1.95"/>
    <n v="17"/>
    <n v="9.42"/>
    <n v="20.63"/>
    <n v="20.25"/>
    <n v="4.5"/>
    <n v="1658"/>
    <n v="9693"/>
    <n v="8"/>
    <n v="-23035324.629999999"/>
    <n v="-480.79065686745554"/>
    <n v="4791134"/>
  </r>
  <r>
    <s v="P0647"/>
    <s v="Model_369"/>
    <x v="2"/>
    <x v="3"/>
    <n v="2023"/>
    <s v="Q1"/>
    <n v="2131"/>
    <n v="12224"/>
    <n v="2698"/>
    <n v="189088"/>
    <n v="3.85"/>
    <n v="12"/>
    <n v="7.88"/>
    <n v="21.71"/>
    <n v="19.829999999999998"/>
    <n v="1.2"/>
    <n v="17496"/>
    <n v="5125"/>
    <n v="10"/>
    <n v="20110796.289999999"/>
    <n v="77.202697657184757"/>
    <n v="26049344"/>
  </r>
  <r>
    <s v="P0648"/>
    <s v="Model_134"/>
    <x v="2"/>
    <x v="0"/>
    <n v="2023"/>
    <s v="Q2"/>
    <n v="3469"/>
    <n v="6678"/>
    <n v="4935"/>
    <n v="482995"/>
    <n v="5.33"/>
    <n v="10"/>
    <n v="0.24"/>
    <n v="10.35"/>
    <n v="59.57"/>
    <n v="3.9"/>
    <n v="6729"/>
    <n v="4150"/>
    <n v="6"/>
    <n v="5563461.6500000004"/>
    <n v="24.015652131647172"/>
    <n v="23165982"/>
  </r>
  <r>
    <s v="P0649"/>
    <s v="Model_498"/>
    <x v="0"/>
    <x v="1"/>
    <n v="2023"/>
    <s v="Q1"/>
    <n v="1624"/>
    <n v="8480"/>
    <n v="7429"/>
    <n v="344025"/>
    <n v="10.11"/>
    <n v="13"/>
    <n v="5.34"/>
    <n v="17.45"/>
    <n v="64.040000000000006"/>
    <n v="4.5"/>
    <n v="9456"/>
    <n v="8180"/>
    <n v="10"/>
    <n v="1362781.55"/>
    <n v="9.8956509521098628"/>
    <n v="13771520"/>
  </r>
  <r>
    <s v="P0650"/>
    <s v="Model_687"/>
    <x v="0"/>
    <x v="2"/>
    <n v="2024"/>
    <s v="Q1"/>
    <n v="299"/>
    <n v="10700"/>
    <n v="11968"/>
    <n v="263666"/>
    <n v="0.94"/>
    <n v="17"/>
    <n v="6.88"/>
    <n v="6.71"/>
    <n v="72.19"/>
    <n v="1.4"/>
    <n v="14066"/>
    <n v="3560"/>
    <n v="7"/>
    <n v="-642804.71"/>
    <n v="-20.092042321757884"/>
    <n v="3199300"/>
  </r>
  <r>
    <s v="P0651"/>
    <s v="Model_245"/>
    <x v="0"/>
    <x v="0"/>
    <n v="2024"/>
    <s v="Q3"/>
    <n v="723"/>
    <n v="2729"/>
    <n v="11259"/>
    <n v="336616"/>
    <n v="3.16"/>
    <n v="18"/>
    <n v="7.49"/>
    <n v="24.98"/>
    <n v="54.53"/>
    <n v="2.7"/>
    <n v="4026"/>
    <n v="3935"/>
    <n v="11"/>
    <n v="-6503830.9800000004"/>
    <n v="-329.63051837570652"/>
    <n v="1973067"/>
  </r>
  <r>
    <s v="P0652"/>
    <s v="Model_354"/>
    <x v="1"/>
    <x v="2"/>
    <n v="2023"/>
    <s v="Q4"/>
    <n v="4583"/>
    <n v="9967"/>
    <n v="4000"/>
    <n v="232885"/>
    <n v="12.14"/>
    <n v="14"/>
    <n v="2.13"/>
    <n v="4.38"/>
    <n v="61.66"/>
    <n v="4.8"/>
    <n v="9303"/>
    <n v="4378"/>
    <n v="11"/>
    <n v="27113871.620000001"/>
    <n v="59.357721239418041"/>
    <n v="45678761"/>
  </r>
  <r>
    <s v="P0653"/>
    <s v="Model_994"/>
    <x v="2"/>
    <x v="0"/>
    <n v="2024"/>
    <s v="Q3"/>
    <n v="2215"/>
    <n v="3789"/>
    <n v="5910"/>
    <n v="281440"/>
    <n v="2.2000000000000002"/>
    <n v="8"/>
    <n v="8.67"/>
    <n v="0.25"/>
    <n v="11.08"/>
    <n v="4.3"/>
    <n v="8074"/>
    <n v="1944"/>
    <n v="11"/>
    <n v="-4979455.25"/>
    <n v="-59.331249959041465"/>
    <n v="8392635"/>
  </r>
  <r>
    <s v="P0654"/>
    <s v="Model_781"/>
    <x v="1"/>
    <x v="1"/>
    <n v="2023"/>
    <s v="Q3"/>
    <n v="820"/>
    <n v="2739"/>
    <n v="7967"/>
    <n v="307803"/>
    <n v="5.14"/>
    <n v="7"/>
    <n v="9.56"/>
    <n v="3.72"/>
    <n v="22.97"/>
    <n v="3"/>
    <n v="10233"/>
    <n v="171"/>
    <n v="5"/>
    <n v="-4594766.72"/>
    <n v="-204.57736578242015"/>
    <n v="2245980"/>
  </r>
  <r>
    <s v="P0655"/>
    <s v="Model_397"/>
    <x v="2"/>
    <x v="0"/>
    <n v="2023"/>
    <s v="Q2"/>
    <n v="4012"/>
    <n v="6870"/>
    <n v="1412"/>
    <n v="217093"/>
    <n v="12.97"/>
    <n v="19"/>
    <n v="2.37"/>
    <n v="19.399999999999999"/>
    <n v="88.79"/>
    <n v="4.0999999999999996"/>
    <n v="19022"/>
    <n v="7486"/>
    <n v="14"/>
    <n v="21680383.600000001"/>
    <n v="78.659159348736907"/>
    <n v="27562440"/>
  </r>
  <r>
    <s v="P0656"/>
    <s v="Model_434"/>
    <x v="1"/>
    <x v="2"/>
    <n v="2024"/>
    <s v="Q4"/>
    <n v="4413"/>
    <n v="17670"/>
    <n v="1487"/>
    <n v="366275"/>
    <n v="2.3199999999999998"/>
    <n v="0"/>
    <n v="8.83"/>
    <n v="11.17"/>
    <n v="16.079999999999998"/>
    <n v="4.3"/>
    <n v="8757"/>
    <n v="6962"/>
    <n v="2"/>
    <n v="71049292.829999998"/>
    <n v="91.114874789218618"/>
    <n v="77977710"/>
  </r>
  <r>
    <s v="P0657"/>
    <s v="Model_854"/>
    <x v="1"/>
    <x v="3"/>
    <n v="2024"/>
    <s v="Q3"/>
    <n v="2034"/>
    <n v="1625"/>
    <n v="4490"/>
    <n v="205159"/>
    <n v="1.24"/>
    <n v="3"/>
    <n v="0.97"/>
    <n v="11.19"/>
    <n v="64.3"/>
    <n v="2.4"/>
    <n v="4783"/>
    <n v="7440"/>
    <n v="2"/>
    <n v="-6032580.1900000004"/>
    <n v="-182.51509537856441"/>
    <n v="3305250"/>
  </r>
  <r>
    <s v="P0658"/>
    <s v="Model_612"/>
    <x v="1"/>
    <x v="0"/>
    <n v="2024"/>
    <s v="Q3"/>
    <n v="1127"/>
    <n v="14004"/>
    <n v="9604"/>
    <n v="62828"/>
    <n v="7.27"/>
    <n v="13"/>
    <n v="0.56000000000000005"/>
    <n v="23.88"/>
    <n v="24.09"/>
    <n v="4.5999999999999996"/>
    <n v="17409"/>
    <n v="9968"/>
    <n v="11"/>
    <n v="4895948.12"/>
    <n v="31.021356808436281"/>
    <n v="15782508"/>
  </r>
  <r>
    <s v="P0659"/>
    <s v="Model_863"/>
    <x v="2"/>
    <x v="3"/>
    <n v="2023"/>
    <s v="Q4"/>
    <n v="285"/>
    <n v="16898"/>
    <n v="3107"/>
    <n v="408808"/>
    <n v="4.54"/>
    <n v="1"/>
    <n v="1.29"/>
    <n v="22.99"/>
    <n v="67.34"/>
    <n v="2.9"/>
    <n v="13302"/>
    <n v="9587"/>
    <n v="6"/>
    <n v="3521604.01"/>
    <n v="73.124069702009791"/>
    <n v="4815930"/>
  </r>
  <r>
    <s v="P0660"/>
    <s v="Model_874"/>
    <x v="1"/>
    <x v="3"/>
    <n v="2024"/>
    <s v="Q3"/>
    <n v="438"/>
    <n v="8138"/>
    <n v="7933"/>
    <n v="182473"/>
    <n v="8.4499999999999993"/>
    <n v="15"/>
    <n v="0.57999999999999996"/>
    <n v="7.78"/>
    <n v="66.48"/>
    <n v="3.1"/>
    <n v="9396"/>
    <n v="7735"/>
    <n v="14"/>
    <n v="-92690.78"/>
    <n v="-2.6004274439435715"/>
    <n v="3564444"/>
  </r>
  <r>
    <s v="P0661"/>
    <s v="Model_254"/>
    <x v="1"/>
    <x v="3"/>
    <n v="2024"/>
    <s v="Q1"/>
    <n v="3087"/>
    <n v="8070"/>
    <n v="12005"/>
    <n v="327337"/>
    <n v="12.06"/>
    <n v="2"/>
    <n v="8.4499999999999993"/>
    <n v="5.23"/>
    <n v="28.74"/>
    <n v="5"/>
    <n v="20303"/>
    <n v="1143"/>
    <n v="4"/>
    <n v="-12474687.23"/>
    <n v="-50.074832059453868"/>
    <n v="24912090"/>
  </r>
  <r>
    <s v="P0662"/>
    <s v="Model_919"/>
    <x v="2"/>
    <x v="3"/>
    <n v="2024"/>
    <s v="Q2"/>
    <n v="4908"/>
    <n v="4749"/>
    <n v="7309"/>
    <n v="273461"/>
    <n v="2.06"/>
    <n v="7"/>
    <n v="0.59"/>
    <n v="21.21"/>
    <n v="31.57"/>
    <n v="4.4000000000000004"/>
    <n v="15026"/>
    <n v="3142"/>
    <n v="6"/>
    <n v="-12837962.210000001"/>
    <n v="-55.079421387216087"/>
    <n v="23308092"/>
  </r>
  <r>
    <s v="P0663"/>
    <s v="Model_753"/>
    <x v="2"/>
    <x v="3"/>
    <n v="2024"/>
    <s v="Q1"/>
    <n v="1898"/>
    <n v="10610"/>
    <n v="10773"/>
    <n v="488080"/>
    <n v="8.7100000000000009"/>
    <n v="5"/>
    <n v="2.72"/>
    <n v="22.65"/>
    <n v="62.38"/>
    <n v="2.4"/>
    <n v="19640"/>
    <n v="914"/>
    <n v="6"/>
    <n v="-797476.65"/>
    <n v="-3.9601021065877173"/>
    <n v="20137780"/>
  </r>
  <r>
    <s v="P0664"/>
    <s v="Model_895"/>
    <x v="1"/>
    <x v="0"/>
    <n v="2023"/>
    <s v="Q4"/>
    <n v="4769"/>
    <n v="9095"/>
    <n v="6706"/>
    <n v="463523"/>
    <n v="7.58"/>
    <n v="15"/>
    <n v="1.04"/>
    <n v="13.54"/>
    <n v="41.21"/>
    <n v="1"/>
    <n v="12778"/>
    <n v="5722"/>
    <n v="2"/>
    <n v="10929604.460000001"/>
    <n v="25.198484347382326"/>
    <n v="43374055"/>
  </r>
  <r>
    <s v="P0665"/>
    <s v="Model_157"/>
    <x v="1"/>
    <x v="0"/>
    <n v="2024"/>
    <s v="Q3"/>
    <n v="2864"/>
    <n v="15105"/>
    <n v="3391"/>
    <n v="414662"/>
    <n v="2.16"/>
    <n v="15"/>
    <n v="2.95"/>
    <n v="15.74"/>
    <n v="25.56"/>
    <n v="3.5"/>
    <n v="14742"/>
    <n v="7432"/>
    <n v="9"/>
    <n v="33134218.260000002"/>
    <n v="76.591925099720953"/>
    <n v="43260720"/>
  </r>
  <r>
    <s v="P0666"/>
    <s v="Model_967"/>
    <x v="2"/>
    <x v="3"/>
    <n v="2024"/>
    <s v="Q1"/>
    <n v="3424"/>
    <n v="13615"/>
    <n v="11688"/>
    <n v="331755"/>
    <n v="9.36"/>
    <n v="6"/>
    <n v="0.91"/>
    <n v="6.42"/>
    <n v="68.53"/>
    <n v="3.8"/>
    <n v="20190"/>
    <n v="409"/>
    <n v="6"/>
    <n v="6266286.5800000001"/>
    <n v="13.441844009664985"/>
    <n v="46617760"/>
  </r>
  <r>
    <s v="P0667"/>
    <s v="Model_509"/>
    <x v="2"/>
    <x v="1"/>
    <n v="2024"/>
    <s v="Q1"/>
    <n v="3328"/>
    <n v="7794"/>
    <n v="14635"/>
    <n v="224863"/>
    <n v="4.0999999999999996"/>
    <n v="12"/>
    <n v="6.68"/>
    <n v="20.02"/>
    <n v="22.33"/>
    <n v="3.6"/>
    <n v="4070"/>
    <n v="6761"/>
    <n v="6"/>
    <n v="-22991731.02"/>
    <n v="-88.639633344066439"/>
    <n v="25938432"/>
  </r>
  <r>
    <s v="P0668"/>
    <s v="Model_207"/>
    <x v="0"/>
    <x v="2"/>
    <n v="2023"/>
    <s v="Q1"/>
    <n v="1302"/>
    <n v="7257"/>
    <n v="12950"/>
    <n v="455166"/>
    <n v="7.32"/>
    <n v="12"/>
    <n v="1.33"/>
    <n v="15.8"/>
    <n v="78.45"/>
    <n v="4.9000000000000004"/>
    <n v="1824"/>
    <n v="4327"/>
    <n v="10"/>
    <n v="-7867467.7999999998"/>
    <n v="-83.265839836403515"/>
    <n v="9448614"/>
  </r>
  <r>
    <s v="P0669"/>
    <s v="Model_588"/>
    <x v="2"/>
    <x v="3"/>
    <n v="2024"/>
    <s v="Q4"/>
    <n v="4031"/>
    <n v="14095"/>
    <n v="7983"/>
    <n v="388384"/>
    <n v="1.23"/>
    <n v="4"/>
    <n v="8.52"/>
    <n v="12.59"/>
    <n v="51.17"/>
    <n v="4.5"/>
    <n v="11221"/>
    <n v="1977"/>
    <n v="9"/>
    <n v="24249075.41"/>
    <n v="42.679301764640812"/>
    <n v="56816945"/>
  </r>
  <r>
    <s v="P0670"/>
    <s v="Model_343"/>
    <x v="0"/>
    <x v="0"/>
    <n v="2023"/>
    <s v="Q1"/>
    <n v="4723"/>
    <n v="3469"/>
    <n v="6048"/>
    <n v="289719"/>
    <n v="6.89"/>
    <n v="19"/>
    <n v="8.17"/>
    <n v="1.5"/>
    <n v="18.46"/>
    <n v="2.8"/>
    <n v="7145"/>
    <n v="2586"/>
    <n v="14"/>
    <n v="-12470337.5"/>
    <n v="-76.112495618461978"/>
    <n v="16384087"/>
  </r>
  <r>
    <s v="P0671"/>
    <s v="Model_760"/>
    <x v="1"/>
    <x v="0"/>
    <n v="2023"/>
    <s v="Q3"/>
    <n v="2172"/>
    <n v="12485"/>
    <n v="9566"/>
    <n v="258475"/>
    <n v="4.5999999999999996"/>
    <n v="17"/>
    <n v="0.14000000000000001"/>
    <n v="22.9"/>
    <n v="65.53"/>
    <n v="1.3"/>
    <n v="19829"/>
    <n v="6986"/>
    <n v="2"/>
    <n v="6081570.0999999996"/>
    <n v="22.426802033526787"/>
    <n v="27117420"/>
  </r>
  <r>
    <s v="P0672"/>
    <s v="Model_245"/>
    <x v="0"/>
    <x v="0"/>
    <n v="2024"/>
    <s v="Q3"/>
    <n v="4580"/>
    <n v="18775"/>
    <n v="10902"/>
    <n v="314889"/>
    <n v="12.34"/>
    <n v="14"/>
    <n v="8.9600000000000009"/>
    <n v="15.39"/>
    <n v="51.53"/>
    <n v="2.9"/>
    <n v="15904"/>
    <n v="4935"/>
    <n v="4"/>
    <n v="35743435.609999999"/>
    <n v="41.567209496508298"/>
    <n v="85989500"/>
  </r>
  <r>
    <s v="P0673"/>
    <s v="Model_356"/>
    <x v="0"/>
    <x v="0"/>
    <n v="2023"/>
    <s v="Q1"/>
    <n v="2200"/>
    <n v="5970"/>
    <n v="5908"/>
    <n v="367387"/>
    <n v="0.85"/>
    <n v="17"/>
    <n v="0.28999999999999998"/>
    <n v="4.82"/>
    <n v="33.840000000000003"/>
    <n v="3.8"/>
    <n v="5986"/>
    <n v="894"/>
    <n v="13"/>
    <n v="-230991.82"/>
    <n v="-1.7587316887467643"/>
    <n v="13134000"/>
  </r>
  <r>
    <s v="P0674"/>
    <s v="Model_104"/>
    <x v="1"/>
    <x v="3"/>
    <n v="2024"/>
    <s v="Q2"/>
    <n v="4909"/>
    <n v="11725"/>
    <n v="4404"/>
    <n v="316010"/>
    <n v="6.28"/>
    <n v="1"/>
    <n v="2.4"/>
    <n v="15.16"/>
    <n v="43.8"/>
    <n v="3.4"/>
    <n v="3930"/>
    <n v="6886"/>
    <n v="8"/>
    <n v="35622763.840000004"/>
    <n v="61.890177503484537"/>
    <n v="57558025"/>
  </r>
  <r>
    <s v="P0675"/>
    <s v="Model_350"/>
    <x v="0"/>
    <x v="0"/>
    <n v="2023"/>
    <s v="Q1"/>
    <n v="1379"/>
    <n v="11056"/>
    <n v="1469"/>
    <n v="213317"/>
    <n v="6.88"/>
    <n v="9"/>
    <n v="0.32"/>
    <n v="16.940000000000001"/>
    <n v="33.869999999999997"/>
    <n v="3.2"/>
    <n v="18729"/>
    <n v="4114"/>
    <n v="2"/>
    <n v="13007139.060000001"/>
    <n v="85.313839413614815"/>
    <n v="15246224"/>
  </r>
  <r>
    <s v="P0676"/>
    <s v="Model_701"/>
    <x v="1"/>
    <x v="0"/>
    <n v="2023"/>
    <s v="Q4"/>
    <n v="1408"/>
    <n v="10706"/>
    <n v="5164"/>
    <n v="487940"/>
    <n v="10.88"/>
    <n v="12"/>
    <n v="3.36"/>
    <n v="13.14"/>
    <n v="31.04"/>
    <n v="2.9"/>
    <n v="14656"/>
    <n v="7492"/>
    <n v="2"/>
    <n v="7315182.8600000003"/>
    <n v="48.528324044078943"/>
    <n v="15074048"/>
  </r>
  <r>
    <s v="P0677"/>
    <s v="Model_190"/>
    <x v="2"/>
    <x v="2"/>
    <n v="2024"/>
    <s v="Q2"/>
    <n v="2532"/>
    <n v="11491"/>
    <n v="8129"/>
    <n v="440825"/>
    <n v="8.61"/>
    <n v="17"/>
    <n v="5.14"/>
    <n v="17.95"/>
    <n v="23.09"/>
    <n v="2.2000000000000002"/>
    <n v="2067"/>
    <n v="5453"/>
    <n v="6"/>
    <n v="8071741.0499999998"/>
    <n v="27.742506395897713"/>
    <n v="29095212"/>
  </r>
  <r>
    <s v="P0678"/>
    <s v="Model_799"/>
    <x v="2"/>
    <x v="2"/>
    <n v="2024"/>
    <s v="Q4"/>
    <n v="4592"/>
    <n v="9019"/>
    <n v="2083"/>
    <n v="121354"/>
    <n v="10.01"/>
    <n v="14"/>
    <n v="7.97"/>
    <n v="14.54"/>
    <n v="39.020000000000003"/>
    <n v="2.1"/>
    <n v="3679"/>
    <n v="3507"/>
    <n v="10"/>
    <n v="31728743.460000001"/>
    <n v="76.611260326148482"/>
    <n v="41415248"/>
  </r>
  <r>
    <s v="P0679"/>
    <s v="Model_700"/>
    <x v="2"/>
    <x v="2"/>
    <n v="2023"/>
    <s v="Q4"/>
    <n v="2067"/>
    <n v="15169"/>
    <n v="1723"/>
    <n v="101374"/>
    <n v="11.66"/>
    <n v="11"/>
    <n v="3.38"/>
    <n v="23.69"/>
    <n v="30.08"/>
    <n v="3"/>
    <n v="3519"/>
    <n v="1074"/>
    <n v="7"/>
    <n v="27691484.309999999"/>
    <n v="88.317914917187011"/>
    <n v="31354323"/>
  </r>
  <r>
    <s v="P0680"/>
    <s v="Model_130"/>
    <x v="2"/>
    <x v="1"/>
    <n v="2024"/>
    <s v="Q3"/>
    <n v="1381"/>
    <n v="6112"/>
    <n v="1925"/>
    <n v="164397"/>
    <n v="12.93"/>
    <n v="14"/>
    <n v="7.05"/>
    <n v="1.34"/>
    <n v="64.67"/>
    <n v="1.6"/>
    <n v="17419"/>
    <n v="9339"/>
    <n v="11"/>
    <n v="5617848.6600000001"/>
    <n v="66.556888598443351"/>
    <n v="8440672"/>
  </r>
  <r>
    <s v="P0681"/>
    <s v="Model_707"/>
    <x v="1"/>
    <x v="1"/>
    <n v="2024"/>
    <s v="Q4"/>
    <n v="4394"/>
    <n v="13873"/>
    <n v="2329"/>
    <n v="298552"/>
    <n v="4.71"/>
    <n v="12"/>
    <n v="1.88"/>
    <n v="2.66"/>
    <n v="64.709999999999994"/>
    <n v="2.4"/>
    <n v="20204"/>
    <n v="4337"/>
    <n v="3"/>
    <n v="50425781.340000004"/>
    <n v="82.72222312812886"/>
    <n v="60957962"/>
  </r>
  <r>
    <s v="P0682"/>
    <s v="Model_555"/>
    <x v="1"/>
    <x v="0"/>
    <n v="2023"/>
    <s v="Q1"/>
    <n v="4311"/>
    <n v="19082"/>
    <n v="14846"/>
    <n v="436721"/>
    <n v="8.07"/>
    <n v="17"/>
    <n v="7.51"/>
    <n v="4.34"/>
    <n v="50.15"/>
    <n v="2.2999999999999998"/>
    <n v="19530"/>
    <n v="7348"/>
    <n v="12"/>
    <n v="17824670.66"/>
    <n v="21.668038567560224"/>
    <n v="82262502"/>
  </r>
  <r>
    <s v="P0683"/>
    <s v="Model_356"/>
    <x v="1"/>
    <x v="1"/>
    <n v="2024"/>
    <s v="Q2"/>
    <n v="1408"/>
    <n v="17052"/>
    <n v="10586"/>
    <n v="473332"/>
    <n v="12.6"/>
    <n v="14"/>
    <n v="2.36"/>
    <n v="17.25"/>
    <n v="72.239999999999995"/>
    <n v="3.3"/>
    <n v="5409"/>
    <n v="4469"/>
    <n v="10"/>
    <n v="8630778.75"/>
    <n v="35.94777417971499"/>
    <n v="24009216"/>
  </r>
  <r>
    <s v="P0684"/>
    <s v="Model_366"/>
    <x v="1"/>
    <x v="1"/>
    <n v="2024"/>
    <s v="Q3"/>
    <n v="4687"/>
    <n v="16146"/>
    <n v="9238"/>
    <n v="393173"/>
    <n v="14.84"/>
    <n v="10"/>
    <n v="1.44"/>
    <n v="16.14"/>
    <n v="77.31"/>
    <n v="1.3"/>
    <n v="9515"/>
    <n v="8150"/>
    <n v="7"/>
    <n v="31984606.859999999"/>
    <n v="42.265023547265827"/>
    <n v="75676302"/>
  </r>
  <r>
    <s v="P0685"/>
    <s v="Model_284"/>
    <x v="0"/>
    <x v="3"/>
    <n v="2023"/>
    <s v="Q1"/>
    <n v="4904"/>
    <n v="6738"/>
    <n v="4511"/>
    <n v="405718"/>
    <n v="13.34"/>
    <n v="18"/>
    <n v="1.85"/>
    <n v="22.3"/>
    <n v="56.38"/>
    <n v="4.3"/>
    <n v="4920"/>
    <n v="564"/>
    <n v="6"/>
    <n v="10515467.699999999"/>
    <n v="31.823440148809045"/>
    <n v="33043152"/>
  </r>
  <r>
    <s v="P0686"/>
    <s v="Model_164"/>
    <x v="2"/>
    <x v="1"/>
    <n v="2023"/>
    <s v="Q1"/>
    <n v="3227"/>
    <n v="17077"/>
    <n v="8804"/>
    <n v="463663"/>
    <n v="5.57"/>
    <n v="2"/>
    <n v="1.82"/>
    <n v="18.32"/>
    <n v="59.51"/>
    <n v="3.2"/>
    <n v="16385"/>
    <n v="5427"/>
    <n v="6"/>
    <n v="26233289.68"/>
    <n v="47.603864586148099"/>
    <n v="55107479"/>
  </r>
  <r>
    <s v="P0687"/>
    <s v="Model_501"/>
    <x v="2"/>
    <x v="3"/>
    <n v="2024"/>
    <s v="Q2"/>
    <n v="2178"/>
    <n v="17004"/>
    <n v="10552"/>
    <n v="342575"/>
    <n v="2.93"/>
    <n v="6"/>
    <n v="5.13"/>
    <n v="12.71"/>
    <n v="32.630000000000003"/>
    <n v="3.7"/>
    <n v="18240"/>
    <n v="5515"/>
    <n v="13"/>
    <n v="13709868.289999999"/>
    <n v="37.018968285753104"/>
    <n v="37034712"/>
  </r>
  <r>
    <s v="P0688"/>
    <s v="Model_558"/>
    <x v="2"/>
    <x v="2"/>
    <n v="2023"/>
    <s v="Q3"/>
    <n v="2230"/>
    <n v="5219"/>
    <n v="7074"/>
    <n v="461124"/>
    <n v="7.34"/>
    <n v="13"/>
    <n v="8.4499999999999993"/>
    <n v="24.8"/>
    <n v="81.59"/>
    <n v="3.8"/>
    <n v="8985"/>
    <n v="8215"/>
    <n v="4"/>
    <n v="-4597798.8"/>
    <n v="-39.505521821354705"/>
    <n v="11638370"/>
  </r>
  <r>
    <s v="P0689"/>
    <s v="Model_348"/>
    <x v="2"/>
    <x v="0"/>
    <n v="2024"/>
    <s v="Q2"/>
    <n v="4942"/>
    <n v="1802"/>
    <n v="11392"/>
    <n v="79336"/>
    <n v="11.12"/>
    <n v="13"/>
    <n v="0.8"/>
    <n v="6.65"/>
    <n v="11.94"/>
    <n v="2.2000000000000002"/>
    <n v="20965"/>
    <n v="387"/>
    <n v="7"/>
    <n v="-47473122.649999999"/>
    <n v="-533.07740095878"/>
    <n v="8905484"/>
  </r>
  <r>
    <s v="P0690"/>
    <s v="Model_809"/>
    <x v="0"/>
    <x v="1"/>
    <n v="2024"/>
    <s v="Q3"/>
    <n v="187"/>
    <n v="13644"/>
    <n v="11235"/>
    <n v="353136"/>
    <n v="7.39"/>
    <n v="12"/>
    <n v="7.07"/>
    <n v="20.83"/>
    <n v="37.89"/>
    <n v="2.9"/>
    <n v="20164"/>
    <n v="3295"/>
    <n v="14"/>
    <n v="97326.17"/>
    <n v="3.8145763862433117"/>
    <n v="2551428"/>
  </r>
  <r>
    <s v="P0691"/>
    <s v="Model_894"/>
    <x v="0"/>
    <x v="0"/>
    <n v="2024"/>
    <s v="Q2"/>
    <n v="3522"/>
    <n v="18870"/>
    <n v="4664"/>
    <n v="105350"/>
    <n v="7.25"/>
    <n v="11"/>
    <n v="6.54"/>
    <n v="10.67"/>
    <n v="67.739999999999995"/>
    <n v="4.8"/>
    <n v="5631"/>
    <n v="9167"/>
    <n v="5"/>
    <n v="49928171.329999998"/>
    <n v="75.124986691270891"/>
    <n v="66460140"/>
  </r>
  <r>
    <s v="P0692"/>
    <s v="Model_230"/>
    <x v="2"/>
    <x v="0"/>
    <n v="2023"/>
    <s v="Q1"/>
    <n v="2882"/>
    <n v="11555"/>
    <n v="10931"/>
    <n v="119561"/>
    <n v="12.57"/>
    <n v="8"/>
    <n v="8.73"/>
    <n v="16.22"/>
    <n v="16.41"/>
    <n v="4.0999999999999996"/>
    <n v="12152"/>
    <n v="2092"/>
    <n v="14"/>
    <n v="1678790.78"/>
    <n v="5.0411851594717474"/>
    <n v="33301510"/>
  </r>
  <r>
    <s v="P0693"/>
    <s v="Model_891"/>
    <x v="1"/>
    <x v="3"/>
    <n v="2024"/>
    <s v="Q3"/>
    <n v="3629"/>
    <n v="5940"/>
    <n v="14017"/>
    <n v="364099"/>
    <n v="5.42"/>
    <n v="0"/>
    <n v="2.44"/>
    <n v="18.18"/>
    <n v="24.65"/>
    <n v="4.9000000000000004"/>
    <n v="15879"/>
    <n v="7550"/>
    <n v="13"/>
    <n v="-29675550.18"/>
    <n v="-137.66557918674204"/>
    <n v="21556260"/>
  </r>
  <r>
    <s v="P0694"/>
    <s v="Model_934"/>
    <x v="0"/>
    <x v="0"/>
    <n v="2024"/>
    <s v="Q4"/>
    <n v="3081"/>
    <n v="4572"/>
    <n v="8633"/>
    <n v="111240"/>
    <n v="12.9"/>
    <n v="18"/>
    <n v="4.5"/>
    <n v="15.84"/>
    <n v="57.14"/>
    <n v="4"/>
    <n v="16403"/>
    <n v="3025"/>
    <n v="11"/>
    <n v="-12623196.84"/>
    <n v="-89.613086217192659"/>
    <n v="14086332"/>
  </r>
  <r>
    <s v="P0695"/>
    <s v="Model_112"/>
    <x v="1"/>
    <x v="2"/>
    <n v="2024"/>
    <s v="Q1"/>
    <n v="4214"/>
    <n v="15098"/>
    <n v="12061"/>
    <n v="201165"/>
    <n v="6.1"/>
    <n v="10"/>
    <n v="9.26"/>
    <n v="3.51"/>
    <n v="54.8"/>
    <n v="1.7"/>
    <n v="17413"/>
    <n v="1220"/>
    <n v="3"/>
    <n v="12596749.49"/>
    <n v="19.799058569599673"/>
    <n v="63622972"/>
  </r>
  <r>
    <s v="P0696"/>
    <s v="Model_144"/>
    <x v="0"/>
    <x v="3"/>
    <n v="2024"/>
    <s v="Q4"/>
    <n v="2643"/>
    <n v="15787"/>
    <n v="7588"/>
    <n v="449371"/>
    <n v="4.92"/>
    <n v="18"/>
    <n v="6.6"/>
    <n v="11.07"/>
    <n v="69.11"/>
    <n v="1.3"/>
    <n v="20671"/>
    <n v="5410"/>
    <n v="14"/>
    <n v="21220574.93"/>
    <n v="50.858128407830684"/>
    <n v="41725041"/>
  </r>
  <r>
    <s v="P0697"/>
    <s v="Model_590"/>
    <x v="2"/>
    <x v="2"/>
    <n v="2024"/>
    <s v="Q1"/>
    <n v="4350"/>
    <n v="15465"/>
    <n v="1026"/>
    <n v="96607"/>
    <n v="6.81"/>
    <n v="17"/>
    <n v="3.89"/>
    <n v="14.04"/>
    <n v="75.010000000000005"/>
    <n v="3.3"/>
    <n v="10970"/>
    <n v="546"/>
    <n v="4"/>
    <n v="62713028.960000001"/>
    <n v="93.222038581743732"/>
    <n v="67272750"/>
  </r>
  <r>
    <s v="P0698"/>
    <s v="Model_750"/>
    <x v="0"/>
    <x v="1"/>
    <n v="2024"/>
    <s v="Q3"/>
    <n v="3868"/>
    <n v="11019"/>
    <n v="12539"/>
    <n v="476703"/>
    <n v="11.44"/>
    <n v="11"/>
    <n v="1.31"/>
    <n v="21.23"/>
    <n v="20.29"/>
    <n v="2.4"/>
    <n v="18349"/>
    <n v="6727"/>
    <n v="10"/>
    <n v="-6356084.2300000004"/>
    <n v="-14.912861872597047"/>
    <n v="42621492"/>
  </r>
  <r>
    <s v="P0699"/>
    <s v="Model_232"/>
    <x v="1"/>
    <x v="3"/>
    <n v="2023"/>
    <s v="Q3"/>
    <n v="4188"/>
    <n v="14880"/>
    <n v="1064"/>
    <n v="236740"/>
    <n v="1.89"/>
    <n v="0"/>
    <n v="2.62"/>
    <n v="11.09"/>
    <n v="11.47"/>
    <n v="2.1"/>
    <n v="13040"/>
    <n v="2996"/>
    <n v="12"/>
    <n v="57624656.909999996"/>
    <n v="92.469550915441971"/>
    <n v="62317440"/>
  </r>
  <r>
    <s v="P0700"/>
    <s v="Model_675"/>
    <x v="1"/>
    <x v="2"/>
    <n v="2024"/>
    <s v="Q3"/>
    <n v="3873"/>
    <n v="13365"/>
    <n v="10387"/>
    <n v="464179"/>
    <n v="2.95"/>
    <n v="18"/>
    <n v="5.81"/>
    <n v="22.97"/>
    <n v="65.17"/>
    <n v="4.2"/>
    <n v="19371"/>
    <n v="821"/>
    <n v="12"/>
    <n v="11069592.029999999"/>
    <n v="21.385290550743687"/>
    <n v="51762645"/>
  </r>
  <r>
    <s v="P0701"/>
    <s v="Model_243"/>
    <x v="0"/>
    <x v="2"/>
    <n v="2023"/>
    <s v="Q3"/>
    <n v="4092"/>
    <n v="9625"/>
    <n v="12549"/>
    <n v="231196"/>
    <n v="14.27"/>
    <n v="19"/>
    <n v="7.18"/>
    <n v="11.01"/>
    <n v="34.11"/>
    <n v="2.5"/>
    <n v="6097"/>
    <n v="2263"/>
    <n v="10"/>
    <n v="-12196215.01"/>
    <n v="-30.966256642673063"/>
    <n v="39385500"/>
  </r>
  <r>
    <s v="P0702"/>
    <s v="Model_126"/>
    <x v="0"/>
    <x v="3"/>
    <n v="2024"/>
    <s v="Q4"/>
    <n v="1956"/>
    <n v="4791"/>
    <n v="14545"/>
    <n v="365014"/>
    <n v="2.63"/>
    <n v="16"/>
    <n v="1.24"/>
    <n v="13.72"/>
    <n v="60.08"/>
    <n v="2.2999999999999998"/>
    <n v="6036"/>
    <n v="9643"/>
    <n v="7"/>
    <n v="-19443851.719999999"/>
    <n v="-207.48527423820821"/>
    <n v="9371196"/>
  </r>
  <r>
    <s v="P0703"/>
    <s v="Model_314"/>
    <x v="1"/>
    <x v="3"/>
    <n v="2024"/>
    <s v="Q1"/>
    <n v="810"/>
    <n v="5533"/>
    <n v="1445"/>
    <n v="499763"/>
    <n v="8.52"/>
    <n v="4"/>
    <n v="6"/>
    <n v="19.91"/>
    <n v="22.04"/>
    <n v="4.4000000000000004"/>
    <n v="18209"/>
    <n v="4080"/>
    <n v="11"/>
    <n v="2811497.09"/>
    <n v="62.732406682241006"/>
    <n v="4481730"/>
  </r>
  <r>
    <s v="P0704"/>
    <s v="Model_914"/>
    <x v="0"/>
    <x v="2"/>
    <n v="2024"/>
    <s v="Q3"/>
    <n v="3495"/>
    <n v="6605"/>
    <n v="8344"/>
    <n v="114110"/>
    <n v="8.69"/>
    <n v="2"/>
    <n v="5.5"/>
    <n v="14.58"/>
    <n v="47.52"/>
    <n v="4.4000000000000004"/>
    <n v="11457"/>
    <n v="4602"/>
    <n v="11"/>
    <n v="-6191929.5800000001"/>
    <n v="-26.822917047063015"/>
    <n v="23084475"/>
  </r>
  <r>
    <s v="P0705"/>
    <s v="Model_197"/>
    <x v="0"/>
    <x v="2"/>
    <n v="2024"/>
    <s v="Q3"/>
    <n v="949"/>
    <n v="18587"/>
    <n v="14506"/>
    <n v="234626"/>
    <n v="7.34"/>
    <n v="1"/>
    <n v="5.14"/>
    <n v="24.01"/>
    <n v="50.35"/>
    <n v="2.4"/>
    <n v="5662"/>
    <n v="1825"/>
    <n v="10"/>
    <n v="3638218.99"/>
    <n v="20.625919812180502"/>
    <n v="17639063"/>
  </r>
  <r>
    <s v="P0706"/>
    <s v="Model_776"/>
    <x v="0"/>
    <x v="2"/>
    <n v="2024"/>
    <s v="Q1"/>
    <n v="4505"/>
    <n v="9633"/>
    <n v="6369"/>
    <n v="202008"/>
    <n v="9.67"/>
    <n v="2"/>
    <n v="6.9"/>
    <n v="16.510000000000002"/>
    <n v="56.81"/>
    <n v="4.3"/>
    <n v="1803"/>
    <n v="8985"/>
    <n v="5"/>
    <n v="14502295.49"/>
    <n v="33.417995345955731"/>
    <n v="43396665"/>
  </r>
  <r>
    <s v="P0707"/>
    <s v="Model_616"/>
    <x v="1"/>
    <x v="0"/>
    <n v="2023"/>
    <s v="Q1"/>
    <n v="2997"/>
    <n v="18458"/>
    <n v="3790"/>
    <n v="429039"/>
    <n v="3.45"/>
    <n v="7"/>
    <n v="8.3699999999999992"/>
    <n v="13.07"/>
    <n v="51.05"/>
    <n v="4.4000000000000004"/>
    <n v="6567"/>
    <n v="3513"/>
    <n v="12"/>
    <n v="43530943.93"/>
    <n v="78.691296363723865"/>
    <n v="55318626"/>
  </r>
  <r>
    <s v="P0708"/>
    <s v="Model_546"/>
    <x v="1"/>
    <x v="1"/>
    <n v="2023"/>
    <s v="Q4"/>
    <n v="1769"/>
    <n v="7204"/>
    <n v="14475"/>
    <n v="54426"/>
    <n v="8.2899999999999991"/>
    <n v="15"/>
    <n v="3.23"/>
    <n v="0.59"/>
    <n v="49.66"/>
    <n v="2.7"/>
    <n v="6524"/>
    <n v="594"/>
    <n v="6"/>
    <n v="-12916825.59"/>
    <n v="-101.35711921553536"/>
    <n v="12743876"/>
  </r>
  <r>
    <s v="P0709"/>
    <s v="Model_422"/>
    <x v="1"/>
    <x v="0"/>
    <n v="2023"/>
    <s v="Q4"/>
    <n v="330"/>
    <n v="9348"/>
    <n v="10891"/>
    <n v="269911"/>
    <n v="5.58"/>
    <n v="5"/>
    <n v="8.89"/>
    <n v="10.34"/>
    <n v="36.619999999999997"/>
    <n v="1.3"/>
    <n v="9215"/>
    <n v="1047"/>
    <n v="11"/>
    <n v="-779111.34"/>
    <n v="-25.256134515890611"/>
    <n v="3084840"/>
  </r>
  <r>
    <s v="P0710"/>
    <s v="Model_777"/>
    <x v="1"/>
    <x v="2"/>
    <n v="2024"/>
    <s v="Q4"/>
    <n v="3316"/>
    <n v="14475"/>
    <n v="3304"/>
    <n v="339750"/>
    <n v="9.93"/>
    <n v="12"/>
    <n v="1.61"/>
    <n v="7.48"/>
    <n v="15.69"/>
    <n v="1"/>
    <n v="12726"/>
    <n v="122"/>
    <n v="7"/>
    <n v="36703278.520000003"/>
    <n v="76.466597332033317"/>
    <n v="47999100"/>
  </r>
  <r>
    <s v="P0711"/>
    <s v="Model_515"/>
    <x v="2"/>
    <x v="2"/>
    <n v="2023"/>
    <s v="Q3"/>
    <n v="1937"/>
    <n v="8424"/>
    <n v="11764"/>
    <n v="491048"/>
    <n v="2.12"/>
    <n v="15"/>
    <n v="1.73"/>
    <n v="18.7"/>
    <n v="17.16"/>
    <n v="3.1"/>
    <n v="4131"/>
    <n v="1228"/>
    <n v="14"/>
    <n v="-6960646.7000000002"/>
    <n v="-42.658110220276804"/>
    <n v="16317288"/>
  </r>
  <r>
    <s v="P0712"/>
    <s v="Model_905"/>
    <x v="1"/>
    <x v="0"/>
    <n v="2023"/>
    <s v="Q4"/>
    <n v="3316"/>
    <n v="1988"/>
    <n v="14337"/>
    <n v="78151"/>
    <n v="8.56"/>
    <n v="15"/>
    <n v="2.67"/>
    <n v="5.21"/>
    <n v="44.7"/>
    <n v="2.4"/>
    <n v="14912"/>
    <n v="657"/>
    <n v="10"/>
    <n v="-41027440.210000001"/>
    <n v="-622.36264708273768"/>
    <n v="6592208"/>
  </r>
  <r>
    <s v="P0713"/>
    <s v="Model_996"/>
    <x v="0"/>
    <x v="3"/>
    <n v="2024"/>
    <s v="Q3"/>
    <n v="716"/>
    <n v="8614"/>
    <n v="14069"/>
    <n v="323452"/>
    <n v="2.78"/>
    <n v="2"/>
    <n v="1.2"/>
    <n v="5.13"/>
    <n v="38.46"/>
    <n v="5"/>
    <n v="16537"/>
    <n v="9908"/>
    <n v="14"/>
    <n v="-4229237.13"/>
    <n v="-68.571578455495981"/>
    <n v="6167624"/>
  </r>
  <r>
    <s v="P0714"/>
    <s v="Model_183"/>
    <x v="2"/>
    <x v="2"/>
    <n v="2024"/>
    <s v="Q4"/>
    <n v="4238"/>
    <n v="17240"/>
    <n v="10146"/>
    <n v="290853"/>
    <n v="4.18"/>
    <n v="12"/>
    <n v="2.2999999999999998"/>
    <n v="4.74"/>
    <n v="51.29"/>
    <n v="4.0999999999999996"/>
    <n v="13147"/>
    <n v="3830"/>
    <n v="6"/>
    <n v="29773514.260000002"/>
    <n v="40.750400831500215"/>
    <n v="73063120"/>
  </r>
  <r>
    <s v="P0715"/>
    <s v="Model_911"/>
    <x v="0"/>
    <x v="2"/>
    <n v="2023"/>
    <s v="Q3"/>
    <n v="721"/>
    <n v="4673"/>
    <n v="1387"/>
    <n v="304595"/>
    <n v="3.28"/>
    <n v="13"/>
    <n v="1.06"/>
    <n v="3.14"/>
    <n v="34.39"/>
    <n v="4"/>
    <n v="14069"/>
    <n v="5441"/>
    <n v="9"/>
    <n v="2064607.86"/>
    <n v="61.278274907078256"/>
    <n v="3369233"/>
  </r>
  <r>
    <s v="P0716"/>
    <s v="Model_772"/>
    <x v="0"/>
    <x v="3"/>
    <n v="2024"/>
    <s v="Q4"/>
    <n v="2019"/>
    <n v="3167"/>
    <n v="13563"/>
    <n v="226743"/>
    <n v="2.74"/>
    <n v="7"/>
    <n v="8.2200000000000006"/>
    <n v="7.78"/>
    <n v="65.03"/>
    <n v="4.8"/>
    <n v="3869"/>
    <n v="7098"/>
    <n v="12"/>
    <n v="-21216274.780000001"/>
    <n v="-331.80639278918477"/>
    <n v="6394173"/>
  </r>
  <r>
    <s v="P0717"/>
    <s v="Model_554"/>
    <x v="0"/>
    <x v="0"/>
    <n v="2024"/>
    <s v="Q3"/>
    <n v="4206"/>
    <n v="5614"/>
    <n v="10813"/>
    <n v="140306"/>
    <n v="12.39"/>
    <n v="11"/>
    <n v="1.39"/>
    <n v="22.15"/>
    <n v="79.12"/>
    <n v="4.5999999999999996"/>
    <n v="13159"/>
    <n v="7282"/>
    <n v="2"/>
    <n v="-22007322.149999999"/>
    <n v="-93.202062730884222"/>
    <n v="23612484"/>
  </r>
  <r>
    <s v="P0718"/>
    <s v="Model_511"/>
    <x v="2"/>
    <x v="0"/>
    <n v="2024"/>
    <s v="Q4"/>
    <n v="3172"/>
    <n v="5053"/>
    <n v="9977"/>
    <n v="275180"/>
    <n v="4.29"/>
    <n v="7"/>
    <n v="7.47"/>
    <n v="19.37"/>
    <n v="33.909999999999997"/>
    <n v="2.2999999999999998"/>
    <n v="2028"/>
    <n v="7134"/>
    <n v="6"/>
    <n v="-15894127.369999999"/>
    <n v="-99.164040053116651"/>
    <n v="16028116"/>
  </r>
  <r>
    <s v="P0719"/>
    <s v="Model_757"/>
    <x v="0"/>
    <x v="0"/>
    <n v="2024"/>
    <s v="Q1"/>
    <n v="4749"/>
    <n v="9261"/>
    <n v="4879"/>
    <n v="419128"/>
    <n v="13.91"/>
    <n v="8"/>
    <n v="0.48"/>
    <n v="18.38"/>
    <n v="25.44"/>
    <n v="1.7"/>
    <n v="12002"/>
    <n v="1756"/>
    <n v="11"/>
    <n v="20390971.620000001"/>
    <n v="46.363676447526544"/>
    <n v="43980489"/>
  </r>
  <r>
    <s v="P0720"/>
    <s v="Model_758"/>
    <x v="1"/>
    <x v="0"/>
    <n v="2024"/>
    <s v="Q2"/>
    <n v="4827"/>
    <n v="2500"/>
    <n v="4148"/>
    <n v="52204"/>
    <n v="14.55"/>
    <n v="0"/>
    <n v="9.49"/>
    <n v="19.93"/>
    <n v="19.29"/>
    <n v="4"/>
    <n v="6175"/>
    <n v="4273"/>
    <n v="2"/>
    <n v="-8007119.9299999997"/>
    <n v="-66.352765112906567"/>
    <n v="12067500"/>
  </r>
  <r>
    <s v="P0721"/>
    <s v="Model_105"/>
    <x v="0"/>
    <x v="0"/>
    <n v="2024"/>
    <s v="Q1"/>
    <n v="3950"/>
    <n v="17138"/>
    <n v="7099"/>
    <n v="142769"/>
    <n v="8.57"/>
    <n v="5"/>
    <n v="7.11"/>
    <n v="6.74"/>
    <n v="59.3"/>
    <n v="2.5"/>
    <n v="19547"/>
    <n v="5541"/>
    <n v="11"/>
    <n v="39511274.259999998"/>
    <n v="58.366520265129971"/>
    <n v="67695100"/>
  </r>
  <r>
    <s v="P0722"/>
    <s v="Model_623"/>
    <x v="0"/>
    <x v="3"/>
    <n v="2024"/>
    <s v="Q4"/>
    <n v="573"/>
    <n v="19272"/>
    <n v="4631"/>
    <n v="137265"/>
    <n v="2.15"/>
    <n v="18"/>
    <n v="7.0000000000000007E-2"/>
    <n v="22.19"/>
    <n v="45.51"/>
    <n v="2.9"/>
    <n v="3841"/>
    <n v="9098"/>
    <n v="7"/>
    <n v="8252005.8099999996"/>
    <n v="74.727097863089043"/>
    <n v="11042856"/>
  </r>
  <r>
    <s v="P0723"/>
    <s v="Model_103"/>
    <x v="0"/>
    <x v="1"/>
    <n v="2023"/>
    <s v="Q2"/>
    <n v="2443"/>
    <n v="6950"/>
    <n v="10233"/>
    <n v="343275"/>
    <n v="5.62"/>
    <n v="10"/>
    <n v="7.64"/>
    <n v="3.43"/>
    <n v="25.04"/>
    <n v="3.5"/>
    <n v="15419"/>
    <n v="3412"/>
    <n v="8"/>
    <n v="-8363647.4299999997"/>
    <n v="-49.259210311652438"/>
    <n v="16978850"/>
  </r>
  <r>
    <s v="P0724"/>
    <s v="Model_660"/>
    <x v="1"/>
    <x v="0"/>
    <n v="2023"/>
    <s v="Q4"/>
    <n v="3167"/>
    <n v="5212"/>
    <n v="9181"/>
    <n v="102428"/>
    <n v="11.97"/>
    <n v="10"/>
    <n v="5.14"/>
    <n v="8.41"/>
    <n v="62.25"/>
    <n v="4.5999999999999996"/>
    <n v="16230"/>
    <n v="8745"/>
    <n v="13"/>
    <n v="-12672259.41"/>
    <n v="-76.771775427282648"/>
    <n v="16506404"/>
  </r>
  <r>
    <s v="P0725"/>
    <s v="Model_887"/>
    <x v="2"/>
    <x v="1"/>
    <n v="2023"/>
    <s v="Q2"/>
    <n v="2643"/>
    <n v="2867"/>
    <n v="14528"/>
    <n v="83870"/>
    <n v="5.51"/>
    <n v="12"/>
    <n v="7.79"/>
    <n v="14.67"/>
    <n v="21.88"/>
    <n v="2.7"/>
    <n v="16756"/>
    <n v="2424"/>
    <n v="6"/>
    <n v="-30903907.670000002"/>
    <n v="-407.8388011794421"/>
    <n v="7577481"/>
  </r>
  <r>
    <s v="P0726"/>
    <s v="Model_811"/>
    <x v="0"/>
    <x v="2"/>
    <n v="2024"/>
    <s v="Q2"/>
    <n v="2018"/>
    <n v="9689"/>
    <n v="9972"/>
    <n v="153547"/>
    <n v="1.31"/>
    <n v="10"/>
    <n v="5.22"/>
    <n v="2.57"/>
    <n v="54.34"/>
    <n v="4.0999999999999996"/>
    <n v="6405"/>
    <n v="9739"/>
    <n v="2"/>
    <n v="-724643.57"/>
    <n v="-3.7061613708637946"/>
    <n v="19552402"/>
  </r>
  <r>
    <s v="P0727"/>
    <s v="Model_395"/>
    <x v="2"/>
    <x v="1"/>
    <n v="2023"/>
    <s v="Q3"/>
    <n v="1803"/>
    <n v="10513"/>
    <n v="10690"/>
    <n v="285990"/>
    <n v="8.35"/>
    <n v="17"/>
    <n v="6.41"/>
    <n v="18.25"/>
    <n v="52.17"/>
    <n v="2.1"/>
    <n v="17039"/>
    <n v="5695"/>
    <n v="7"/>
    <n v="-605139.25"/>
    <n v="-3.1925148901824478"/>
    <n v="18954939"/>
  </r>
  <r>
    <s v="P0728"/>
    <s v="Model_242"/>
    <x v="0"/>
    <x v="2"/>
    <n v="2023"/>
    <s v="Q2"/>
    <n v="2346"/>
    <n v="18338"/>
    <n v="2515"/>
    <n v="99067"/>
    <n v="12.68"/>
    <n v="14"/>
    <n v="7.86"/>
    <n v="9.68"/>
    <n v="68.739999999999995"/>
    <n v="3.8"/>
    <n v="16755"/>
    <n v="6084"/>
    <n v="11"/>
    <n v="37021681.32"/>
    <n v="86.055010503255303"/>
    <n v="43020948"/>
  </r>
  <r>
    <s v="P0729"/>
    <s v="Model_826"/>
    <x v="1"/>
    <x v="2"/>
    <n v="2023"/>
    <s v="Q1"/>
    <n v="2311"/>
    <n v="5226"/>
    <n v="11585"/>
    <n v="288083"/>
    <n v="11.94"/>
    <n v="0"/>
    <n v="4.05"/>
    <n v="19.61"/>
    <n v="14.41"/>
    <n v="1"/>
    <n v="10384"/>
    <n v="2611"/>
    <n v="6"/>
    <n v="-14983751.609999999"/>
    <n v="-124.06555255874538"/>
    <n v="12077286"/>
  </r>
  <r>
    <s v="P0730"/>
    <s v="Model_458"/>
    <x v="1"/>
    <x v="3"/>
    <n v="2024"/>
    <s v="Q1"/>
    <n v="2336"/>
    <n v="6306"/>
    <n v="13128"/>
    <n v="162217"/>
    <n v="2.63"/>
    <n v="6"/>
    <n v="0.03"/>
    <n v="12.32"/>
    <n v="81.03"/>
    <n v="4.5"/>
    <n v="10643"/>
    <n v="462"/>
    <n v="7"/>
    <n v="-16098421.32"/>
    <n v="-109.28397530727423"/>
    <n v="14730816"/>
  </r>
  <r>
    <s v="P0731"/>
    <s v="Model_636"/>
    <x v="1"/>
    <x v="2"/>
    <n v="2023"/>
    <s v="Q1"/>
    <n v="4252"/>
    <n v="3690"/>
    <n v="7250"/>
    <n v="464823"/>
    <n v="10.09"/>
    <n v="12"/>
    <n v="8.5"/>
    <n v="4.5199999999999996"/>
    <n v="66.239999999999995"/>
    <n v="1.1000000000000001"/>
    <n v="7450"/>
    <n v="3554"/>
    <n v="12"/>
    <n v="-15601947.52"/>
    <n v="-99.439559257304708"/>
    <n v="15689880"/>
  </r>
  <r>
    <s v="P0732"/>
    <s v="Model_882"/>
    <x v="1"/>
    <x v="0"/>
    <n v="2023"/>
    <s v="Q3"/>
    <n v="2928"/>
    <n v="10608"/>
    <n v="14030"/>
    <n v="468184"/>
    <n v="3.31"/>
    <n v="11"/>
    <n v="3.81"/>
    <n v="18.37"/>
    <n v="27.29"/>
    <n v="3.9"/>
    <n v="2860"/>
    <n v="2898"/>
    <n v="11"/>
    <n v="-10487818.369999999"/>
    <n v="-33.766074481626404"/>
    <n v="31060224"/>
  </r>
  <r>
    <s v="P0733"/>
    <s v="Model_746"/>
    <x v="1"/>
    <x v="2"/>
    <n v="2023"/>
    <s v="Q3"/>
    <n v="4193"/>
    <n v="13678"/>
    <n v="13425"/>
    <n v="148934"/>
    <n v="3.27"/>
    <n v="17"/>
    <n v="4.96"/>
    <n v="6.3"/>
    <n v="24.67"/>
    <n v="1.2"/>
    <n v="6627"/>
    <n v="4720"/>
    <n v="8"/>
    <n v="911888.7"/>
    <n v="1.5899899243013136"/>
    <n v="57351854"/>
  </r>
  <r>
    <s v="P0734"/>
    <s v="Model_827"/>
    <x v="1"/>
    <x v="2"/>
    <n v="2024"/>
    <s v="Q4"/>
    <n v="3694"/>
    <n v="4375"/>
    <n v="6233"/>
    <n v="192980"/>
    <n v="13.11"/>
    <n v="18"/>
    <n v="0.08"/>
    <n v="12.27"/>
    <n v="44.53"/>
    <n v="2.1"/>
    <n v="15752"/>
    <n v="3355"/>
    <n v="8"/>
    <n v="-7056444.2699999996"/>
    <n v="-43.662738154536314"/>
    <n v="16161250"/>
  </r>
  <r>
    <s v="P0735"/>
    <s v="Model_743"/>
    <x v="2"/>
    <x v="2"/>
    <n v="2023"/>
    <s v="Q4"/>
    <n v="4482"/>
    <n v="7092"/>
    <n v="1898"/>
    <n v="469639"/>
    <n v="3.75"/>
    <n v="14"/>
    <n v="4.92"/>
    <n v="1.89"/>
    <n v="75.41"/>
    <n v="3"/>
    <n v="10230"/>
    <n v="1317"/>
    <n v="3"/>
    <n v="22809867.109999999"/>
    <n v="71.75995801844968"/>
    <n v="31786344"/>
  </r>
  <r>
    <s v="P0736"/>
    <s v="Model_831"/>
    <x v="2"/>
    <x v="0"/>
    <n v="2023"/>
    <s v="Q3"/>
    <n v="2105"/>
    <n v="19324"/>
    <n v="7896"/>
    <n v="386851"/>
    <n v="3.95"/>
    <n v="7"/>
    <n v="9.86"/>
    <n v="15.45"/>
    <n v="77.44"/>
    <n v="2.7"/>
    <n v="5425"/>
    <n v="1585"/>
    <n v="13"/>
    <n v="23669073.550000001"/>
    <n v="58.187825828932404"/>
    <n v="40677020"/>
  </r>
  <r>
    <s v="P0737"/>
    <s v="Model_629"/>
    <x v="0"/>
    <x v="0"/>
    <n v="2024"/>
    <s v="Q3"/>
    <n v="4770"/>
    <n v="14092"/>
    <n v="3126"/>
    <n v="259329"/>
    <n v="0.01"/>
    <n v="18"/>
    <n v="2.78"/>
    <n v="16.649999999999999"/>
    <n v="51.64"/>
    <n v="1.8"/>
    <n v="9963"/>
    <n v="5449"/>
    <n v="4"/>
    <n v="52048474.350000001"/>
    <n v="77.431378390344136"/>
    <n v="67218840"/>
  </r>
  <r>
    <s v="P0738"/>
    <s v="Model_154"/>
    <x v="0"/>
    <x v="1"/>
    <n v="2024"/>
    <s v="Q3"/>
    <n v="1326"/>
    <n v="10427"/>
    <n v="12239"/>
    <n v="307354"/>
    <n v="13.06"/>
    <n v="9"/>
    <n v="3.95"/>
    <n v="9.4700000000000006"/>
    <n v="78.86"/>
    <n v="2.2999999999999998"/>
    <n v="18912"/>
    <n v="7295"/>
    <n v="13"/>
    <n v="-2710075.47"/>
    <n v="-19.601011687808413"/>
    <n v="13826202"/>
  </r>
  <r>
    <s v="P0739"/>
    <s v="Model_883"/>
    <x v="0"/>
    <x v="1"/>
    <n v="2023"/>
    <s v="Q2"/>
    <n v="2816"/>
    <n v="15937"/>
    <n v="9887"/>
    <n v="111215"/>
    <n v="11.89"/>
    <n v="6"/>
    <n v="6.87"/>
    <n v="23.86"/>
    <n v="10.44"/>
    <n v="3.9"/>
    <n v="2742"/>
    <n v="7850"/>
    <n v="7"/>
    <n v="16925561.140000001"/>
    <n v="37.71410907900141"/>
    <n v="44878592"/>
  </r>
  <r>
    <s v="P0740"/>
    <s v="Model_796"/>
    <x v="1"/>
    <x v="2"/>
    <n v="2024"/>
    <s v="Q2"/>
    <n v="352"/>
    <n v="13030"/>
    <n v="7216"/>
    <n v="236907"/>
    <n v="9.41"/>
    <n v="17"/>
    <n v="8.15"/>
    <n v="21.85"/>
    <n v="12.81"/>
    <n v="3.7"/>
    <n v="10284"/>
    <n v="6179"/>
    <n v="4"/>
    <n v="1809599.15"/>
    <n v="39.454387384008925"/>
    <n v="4586560"/>
  </r>
  <r>
    <s v="P0741"/>
    <s v="Model_192"/>
    <x v="2"/>
    <x v="3"/>
    <n v="2023"/>
    <s v="Q2"/>
    <n v="688"/>
    <n v="8510"/>
    <n v="7780"/>
    <n v="361573"/>
    <n v="11.25"/>
    <n v="15"/>
    <n v="4.17"/>
    <n v="17.7"/>
    <n v="82.95"/>
    <n v="1.3"/>
    <n v="11297"/>
    <n v="9499"/>
    <n v="3"/>
    <n v="140649.29999999999"/>
    <n v="2.4022576039133168"/>
    <n v="5854880"/>
  </r>
  <r>
    <s v="P0742"/>
    <s v="Model_155"/>
    <x v="1"/>
    <x v="2"/>
    <n v="2024"/>
    <s v="Q1"/>
    <n v="105"/>
    <n v="12707"/>
    <n v="7563"/>
    <n v="394296"/>
    <n v="2.2799999999999998"/>
    <n v="19"/>
    <n v="3.1"/>
    <n v="17.84"/>
    <n v="72.03"/>
    <n v="4"/>
    <n v="7906"/>
    <n v="9740"/>
    <n v="5"/>
    <n v="145806.16"/>
    <n v="10.928071891383452"/>
    <n v="1334235"/>
  </r>
  <r>
    <s v="P0743"/>
    <s v="Model_309"/>
    <x v="0"/>
    <x v="1"/>
    <n v="2023"/>
    <s v="Q1"/>
    <n v="4871"/>
    <n v="4489"/>
    <n v="2474"/>
    <n v="158048"/>
    <n v="6.87"/>
    <n v="5"/>
    <n v="9.3800000000000008"/>
    <n v="6.31"/>
    <n v="46.06"/>
    <n v="1.2"/>
    <n v="15465"/>
    <n v="8135"/>
    <n v="6"/>
    <n v="9657010.6899999995"/>
    <n v="44.164668724877281"/>
    <n v="21865919"/>
  </r>
  <r>
    <s v="P0744"/>
    <s v="Model_163"/>
    <x v="2"/>
    <x v="0"/>
    <n v="2024"/>
    <s v="Q4"/>
    <n v="575"/>
    <n v="13540"/>
    <n v="11901"/>
    <n v="219530"/>
    <n v="5.27"/>
    <n v="8"/>
    <n v="6.77"/>
    <n v="16.420000000000002"/>
    <n v="70.290000000000006"/>
    <n v="3.2"/>
    <n v="15233"/>
    <n v="1607"/>
    <n v="12"/>
    <n v="722878.58"/>
    <n v="9.2849345578318676"/>
    <n v="7785500"/>
  </r>
  <r>
    <s v="P0745"/>
    <s v="Model_105"/>
    <x v="0"/>
    <x v="2"/>
    <n v="2024"/>
    <s v="Q3"/>
    <n v="4619"/>
    <n v="10718"/>
    <n v="8750"/>
    <n v="227241"/>
    <n v="1.41"/>
    <n v="12"/>
    <n v="1.19"/>
    <n v="4.96"/>
    <n v="86.45"/>
    <n v="2"/>
    <n v="19324"/>
    <n v="1103"/>
    <n v="11"/>
    <n v="8862946.0399999991"/>
    <n v="17.902611623755956"/>
    <n v="49506442"/>
  </r>
  <r>
    <s v="P0746"/>
    <s v="Model_704"/>
    <x v="2"/>
    <x v="0"/>
    <n v="2023"/>
    <s v="Q1"/>
    <n v="4173"/>
    <n v="7971"/>
    <n v="9922"/>
    <n v="188731"/>
    <n v="7.29"/>
    <n v="7"/>
    <n v="0.69"/>
    <n v="3.6"/>
    <n v="71.77"/>
    <n v="3.4"/>
    <n v="5126"/>
    <n v="6503"/>
    <n v="10"/>
    <n v="-8330257.5999999996"/>
    <n v="-25.043627626542094"/>
    <n v="33262983"/>
  </r>
  <r>
    <s v="P0747"/>
    <s v="Model_868"/>
    <x v="0"/>
    <x v="1"/>
    <n v="2023"/>
    <s v="Q1"/>
    <n v="2175"/>
    <n v="4363"/>
    <n v="13376"/>
    <n v="289977"/>
    <n v="13.81"/>
    <n v="15"/>
    <n v="4.84"/>
    <n v="24.99"/>
    <n v="77.39"/>
    <n v="2"/>
    <n v="11574"/>
    <n v="1025"/>
    <n v="4"/>
    <n v="-19893276.989999998"/>
    <n v="-209.63406482410866"/>
    <n v="9489525"/>
  </r>
  <r>
    <s v="P0748"/>
    <s v="Model_972"/>
    <x v="0"/>
    <x v="0"/>
    <n v="2024"/>
    <s v="Q1"/>
    <n v="3337"/>
    <n v="12193"/>
    <n v="9715"/>
    <n v="389384"/>
    <n v="0.6"/>
    <n v="12"/>
    <n v="2.2000000000000002"/>
    <n v="15.56"/>
    <n v="70.849999999999994"/>
    <n v="4.9000000000000004"/>
    <n v="18068"/>
    <n v="8375"/>
    <n v="4"/>
    <n v="7879686.4400000004"/>
    <n v="19.366099341081576"/>
    <n v="40688041"/>
  </r>
  <r>
    <s v="P0749"/>
    <s v="Model_597"/>
    <x v="2"/>
    <x v="3"/>
    <n v="2024"/>
    <s v="Q2"/>
    <n v="414"/>
    <n v="2677"/>
    <n v="11932"/>
    <n v="476009"/>
    <n v="4.37"/>
    <n v="12"/>
    <n v="2.54"/>
    <n v="10.77"/>
    <n v="23.46"/>
    <n v="2.2000000000000002"/>
    <n v="9531"/>
    <n v="6683"/>
    <n v="7"/>
    <n v="-4307589.7699999996"/>
    <n v="-388.67412057263607"/>
    <n v="1108278"/>
  </r>
  <r>
    <s v="P0750"/>
    <s v="Model_812"/>
    <x v="0"/>
    <x v="1"/>
    <n v="2023"/>
    <s v="Q4"/>
    <n v="4671"/>
    <n v="6260"/>
    <n v="6849"/>
    <n v="163688"/>
    <n v="3.11"/>
    <n v="16"/>
    <n v="8.7799999999999994"/>
    <n v="7.2"/>
    <n v="76.69"/>
    <n v="2"/>
    <n v="4688"/>
    <n v="4027"/>
    <n v="6"/>
    <n v="-2914914.2"/>
    <n v="-9.968769985150713"/>
    <n v="29240460"/>
  </r>
  <r>
    <s v="P0751"/>
    <s v="Model_940"/>
    <x v="0"/>
    <x v="1"/>
    <n v="2024"/>
    <s v="Q4"/>
    <n v="1696"/>
    <n v="1511"/>
    <n v="1889"/>
    <n v="358617"/>
    <n v="3.57"/>
    <n v="19"/>
    <n v="0.9"/>
    <n v="15.1"/>
    <n v="25.61"/>
    <n v="2.1"/>
    <n v="4445"/>
    <n v="9834"/>
    <n v="7"/>
    <n v="-999720.1"/>
    <n v="-39.01109239788719"/>
    <n v="2562656"/>
  </r>
  <r>
    <s v="P0752"/>
    <s v="Model_685"/>
    <x v="1"/>
    <x v="2"/>
    <n v="2023"/>
    <s v="Q1"/>
    <n v="968"/>
    <n v="17853"/>
    <n v="5378"/>
    <n v="408906"/>
    <n v="13.63"/>
    <n v="4"/>
    <n v="7.15"/>
    <n v="1.24"/>
    <n v="81.41"/>
    <n v="4.5999999999999996"/>
    <n v="8265"/>
    <n v="1085"/>
    <n v="8"/>
    <n v="11666892.76"/>
    <n v="67.510083264937307"/>
    <n v="17281704"/>
  </r>
  <r>
    <s v="P0753"/>
    <s v="Model_745"/>
    <x v="2"/>
    <x v="0"/>
    <n v="2023"/>
    <s v="Q2"/>
    <n v="2847"/>
    <n v="13056"/>
    <n v="9927"/>
    <n v="270460"/>
    <n v="7.02"/>
    <n v="16"/>
    <n v="2.71"/>
    <n v="2.37"/>
    <n v="46.69"/>
    <n v="3.5"/>
    <n v="20358"/>
    <n v="4331"/>
    <n v="12"/>
    <n v="8637800.6300000008"/>
    <n v="23.238364918653627"/>
    <n v="37170432"/>
  </r>
  <r>
    <s v="P0754"/>
    <s v="Model_974"/>
    <x v="2"/>
    <x v="2"/>
    <n v="2023"/>
    <s v="Q1"/>
    <n v="1581"/>
    <n v="13063"/>
    <n v="11287"/>
    <n v="419100"/>
    <n v="6.99"/>
    <n v="8"/>
    <n v="7.6"/>
    <n v="0.82"/>
    <n v="64.16"/>
    <n v="3.9"/>
    <n v="12307"/>
    <n v="5402"/>
    <n v="4"/>
    <n v="2388755.1800000002"/>
    <n v="11.566363716961007"/>
    <n v="20652603"/>
  </r>
  <r>
    <s v="P0755"/>
    <s v="Model_963"/>
    <x v="2"/>
    <x v="2"/>
    <n v="2024"/>
    <s v="Q1"/>
    <n v="3395"/>
    <n v="15551"/>
    <n v="955"/>
    <n v="430596"/>
    <n v="11.41"/>
    <n v="1"/>
    <n v="7.22"/>
    <n v="12.48"/>
    <n v="49.78"/>
    <n v="4.7"/>
    <n v="11704"/>
    <n v="5391"/>
    <n v="14"/>
    <n v="49122811.520000003"/>
    <n v="93.043302189034733"/>
    <n v="52795645"/>
  </r>
  <r>
    <s v="P0756"/>
    <s v="Model_751"/>
    <x v="1"/>
    <x v="2"/>
    <n v="2023"/>
    <s v="Q3"/>
    <n v="1956"/>
    <n v="12522"/>
    <n v="10062"/>
    <n v="236823"/>
    <n v="2.3199999999999998"/>
    <n v="17"/>
    <n v="7.0000000000000007E-2"/>
    <n v="15.02"/>
    <n v="17.52"/>
    <n v="4.5999999999999996"/>
    <n v="10852"/>
    <n v="1008"/>
    <n v="6"/>
    <n v="4574921.9800000004"/>
    <n v="18.678463246199982"/>
    <n v="24493032"/>
  </r>
  <r>
    <s v="P0757"/>
    <s v="Model_196"/>
    <x v="0"/>
    <x v="2"/>
    <n v="2024"/>
    <s v="Q3"/>
    <n v="3136"/>
    <n v="9734"/>
    <n v="2758"/>
    <n v="438455"/>
    <n v="7.31"/>
    <n v="8"/>
    <n v="5.09"/>
    <n v="1.56"/>
    <n v="33.26"/>
    <n v="4"/>
    <n v="6099"/>
    <n v="5151"/>
    <n v="9"/>
    <n v="21438279.440000001"/>
    <n v="70.22997787054004"/>
    <n v="30525824"/>
  </r>
  <r>
    <s v="P0758"/>
    <s v="Model_775"/>
    <x v="0"/>
    <x v="0"/>
    <n v="2024"/>
    <s v="Q1"/>
    <n v="4630"/>
    <n v="17673"/>
    <n v="11493"/>
    <n v="259987"/>
    <n v="6.45"/>
    <n v="5"/>
    <n v="1.39"/>
    <n v="18.03"/>
    <n v="88.7"/>
    <n v="1.8"/>
    <n v="5813"/>
    <n v="2686"/>
    <n v="5"/>
    <n v="28353394.969999999"/>
    <n v="34.650842562369242"/>
    <n v="81825990"/>
  </r>
  <r>
    <s v="P0759"/>
    <s v="Model_547"/>
    <x v="0"/>
    <x v="2"/>
    <n v="2023"/>
    <s v="Q2"/>
    <n v="2125"/>
    <n v="14678"/>
    <n v="7144"/>
    <n v="497470"/>
    <n v="8.9499999999999993"/>
    <n v="10"/>
    <n v="8.66"/>
    <n v="5.76"/>
    <n v="86.86"/>
    <n v="4.4000000000000004"/>
    <n v="3718"/>
    <n v="9435"/>
    <n v="11"/>
    <n v="15512274.24"/>
    <n v="49.733572421310804"/>
    <n v="31190750"/>
  </r>
  <r>
    <s v="P0760"/>
    <s v="Model_599"/>
    <x v="2"/>
    <x v="0"/>
    <n v="2024"/>
    <s v="Q3"/>
    <n v="763"/>
    <n v="8070"/>
    <n v="6579"/>
    <n v="319150"/>
    <n v="14.99"/>
    <n v="5"/>
    <n v="8.7200000000000006"/>
    <n v="17.13"/>
    <n v="35.64"/>
    <n v="1.8"/>
    <n v="15286"/>
    <n v="1431"/>
    <n v="3"/>
    <n v="818465.87"/>
    <n v="13.292372442309347"/>
    <n v="6157410"/>
  </r>
  <r>
    <s v="P0761"/>
    <s v="Model_195"/>
    <x v="0"/>
    <x v="2"/>
    <n v="2023"/>
    <s v="Q1"/>
    <n v="1112"/>
    <n v="1906"/>
    <n v="13211"/>
    <n v="299243"/>
    <n v="11.54"/>
    <n v="5"/>
    <n v="4.18"/>
    <n v="24.55"/>
    <n v="89.7"/>
    <n v="4"/>
    <n v="19036"/>
    <n v="6951"/>
    <n v="5"/>
    <n v="-12870427.550000001"/>
    <n v="-607.2468779960293"/>
    <n v="2119472"/>
  </r>
  <r>
    <s v="P0762"/>
    <s v="Model_227"/>
    <x v="0"/>
    <x v="1"/>
    <n v="2023"/>
    <s v="Q1"/>
    <n v="2026"/>
    <n v="10706"/>
    <n v="6944"/>
    <n v="124218"/>
    <n v="5.97"/>
    <n v="12"/>
    <n v="4.4400000000000004"/>
    <n v="17.28"/>
    <n v="77.64"/>
    <n v="3.7"/>
    <n v="1556"/>
    <n v="9845"/>
    <n v="3"/>
    <n v="7497576.7199999997"/>
    <n v="34.566406932186823"/>
    <n v="21690356"/>
  </r>
  <r>
    <s v="P0763"/>
    <s v="Model_922"/>
    <x v="2"/>
    <x v="1"/>
    <n v="2023"/>
    <s v="Q4"/>
    <n v="1346"/>
    <n v="5931"/>
    <n v="5863"/>
    <n v="246416"/>
    <n v="12.41"/>
    <n v="10"/>
    <n v="3.03"/>
    <n v="22.08"/>
    <n v="58.88"/>
    <n v="4"/>
    <n v="14033"/>
    <n v="1906"/>
    <n v="4"/>
    <n v="-154910.07999999999"/>
    <n v="-1.9404689340992487"/>
    <n v="7983126"/>
  </r>
  <r>
    <s v="P0764"/>
    <s v="Model_783"/>
    <x v="0"/>
    <x v="1"/>
    <n v="2023"/>
    <s v="Q1"/>
    <n v="175"/>
    <n v="8042"/>
    <n v="4630"/>
    <n v="477056"/>
    <n v="2.56"/>
    <n v="13"/>
    <n v="7.17"/>
    <n v="23.7"/>
    <n v="13.21"/>
    <n v="3.1"/>
    <n v="1643"/>
    <n v="905"/>
    <n v="5"/>
    <n v="120020.3"/>
    <n v="8.5281060148506054"/>
    <n v="1407350"/>
  </r>
  <r>
    <s v="P0765"/>
    <s v="Model_294"/>
    <x v="1"/>
    <x v="3"/>
    <n v="2023"/>
    <s v="Q3"/>
    <n v="4682"/>
    <n v="10406"/>
    <n v="9846"/>
    <n v="82430"/>
    <n v="0.46"/>
    <n v="1"/>
    <n v="3.59"/>
    <n v="12.17"/>
    <n v="82.12"/>
    <n v="3.6"/>
    <n v="8718"/>
    <n v="4247"/>
    <n v="5"/>
    <n v="2539477.83"/>
    <n v="5.2122974883136379"/>
    <n v="48720892"/>
  </r>
  <r>
    <s v="P0766"/>
    <s v="Model_436"/>
    <x v="1"/>
    <x v="2"/>
    <n v="2023"/>
    <s v="Q1"/>
    <n v="3646"/>
    <n v="5646"/>
    <n v="9631"/>
    <n v="73091"/>
    <n v="3.07"/>
    <n v="7"/>
    <n v="2.68"/>
    <n v="17.559999999999999"/>
    <n v="54.59"/>
    <n v="4.8"/>
    <n v="10059"/>
    <n v="171"/>
    <n v="11"/>
    <n v="-14602418.560000001"/>
    <n v="-70.936091338116938"/>
    <n v="20585316"/>
  </r>
  <r>
    <s v="P0767"/>
    <s v="Model_879"/>
    <x v="1"/>
    <x v="0"/>
    <n v="2023"/>
    <s v="Q1"/>
    <n v="3333"/>
    <n v="13546"/>
    <n v="11230"/>
    <n v="307125"/>
    <n v="5.1100000000000003"/>
    <n v="2"/>
    <n v="4.32"/>
    <n v="21.3"/>
    <n v="79.48"/>
    <n v="1.4"/>
    <n v="2115"/>
    <n v="127"/>
    <n v="10"/>
    <n v="7412081.7000000002"/>
    <n v="16.417000551376564"/>
    <n v="45148818"/>
  </r>
  <r>
    <s v="P0768"/>
    <s v="Model_455"/>
    <x v="1"/>
    <x v="1"/>
    <n v="2023"/>
    <s v="Q1"/>
    <n v="1653"/>
    <n v="14111"/>
    <n v="10594"/>
    <n v="476199"/>
    <n v="7.66"/>
    <n v="2"/>
    <n v="0.91"/>
    <n v="8.92"/>
    <n v="76.75"/>
    <n v="2.2000000000000002"/>
    <n v="9562"/>
    <n v="8760"/>
    <n v="11"/>
    <n v="5337393.08"/>
    <n v="22.882240337745632"/>
    <n v="23325483"/>
  </r>
  <r>
    <s v="P0769"/>
    <s v="Model_144"/>
    <x v="2"/>
    <x v="2"/>
    <n v="2023"/>
    <s v="Q4"/>
    <n v="116"/>
    <n v="14576"/>
    <n v="7459"/>
    <n v="73989"/>
    <n v="9.23"/>
    <n v="0"/>
    <n v="7.47"/>
    <n v="6.53"/>
    <n v="76.64"/>
    <n v="3.4"/>
    <n v="13020"/>
    <n v="4083"/>
    <n v="7"/>
    <n v="751576.47"/>
    <n v="44.450517974753019"/>
    <n v="1690816"/>
  </r>
  <r>
    <s v="P0770"/>
    <s v="Model_220"/>
    <x v="2"/>
    <x v="0"/>
    <n v="2023"/>
    <s v="Q1"/>
    <n v="282"/>
    <n v="18024"/>
    <n v="1241"/>
    <n v="125451"/>
    <n v="13.66"/>
    <n v="18"/>
    <n v="0.13"/>
    <n v="23.66"/>
    <n v="65.849999999999994"/>
    <n v="4.9000000000000004"/>
    <n v="7477"/>
    <n v="9055"/>
    <n v="10"/>
    <n v="4607331.34"/>
    <n v="90.646107396599646"/>
    <n v="5082768"/>
  </r>
  <r>
    <s v="P0771"/>
    <s v="Model_948"/>
    <x v="2"/>
    <x v="0"/>
    <n v="2024"/>
    <s v="Q2"/>
    <n v="2206"/>
    <n v="6382"/>
    <n v="6840"/>
    <n v="68990"/>
    <n v="7.65"/>
    <n v="17"/>
    <n v="6.44"/>
    <n v="18.16"/>
    <n v="33.31"/>
    <n v="1.4"/>
    <n v="12919"/>
    <n v="7155"/>
    <n v="5"/>
    <n v="-1079356.1599999999"/>
    <n v="-7.6665940273428808"/>
    <n v="14078692"/>
  </r>
  <r>
    <s v="P0772"/>
    <s v="Model_327"/>
    <x v="0"/>
    <x v="1"/>
    <n v="2024"/>
    <s v="Q1"/>
    <n v="1219"/>
    <n v="15613"/>
    <n v="14926"/>
    <n v="402414"/>
    <n v="7.52"/>
    <n v="16"/>
    <n v="1.83"/>
    <n v="5.49"/>
    <n v="36.89"/>
    <n v="1.1000000000000001"/>
    <n v="11280"/>
    <n v="6790"/>
    <n v="10"/>
    <n v="435033.51"/>
    <n v="2.2857706186768172"/>
    <n v="19032247"/>
  </r>
  <r>
    <s v="P0773"/>
    <s v="Model_262"/>
    <x v="2"/>
    <x v="1"/>
    <n v="2023"/>
    <s v="Q1"/>
    <n v="2208"/>
    <n v="15145"/>
    <n v="6725"/>
    <n v="392504"/>
    <n v="0.75"/>
    <n v="19"/>
    <n v="2.3199999999999998"/>
    <n v="11.23"/>
    <n v="34.68"/>
    <n v="1.2"/>
    <n v="12181"/>
    <n v="9716"/>
    <n v="12"/>
    <n v="18198844.77"/>
    <n v="54.42212229247707"/>
    <n v="33440160"/>
  </r>
  <r>
    <s v="P0774"/>
    <s v="Model_791"/>
    <x v="0"/>
    <x v="0"/>
    <n v="2023"/>
    <s v="Q3"/>
    <n v="4256"/>
    <n v="7512"/>
    <n v="8158"/>
    <n v="300541"/>
    <n v="0.52"/>
    <n v="12"/>
    <n v="6.36"/>
    <n v="19.91"/>
    <n v="11.6"/>
    <n v="1.2"/>
    <n v="8484"/>
    <n v="3932"/>
    <n v="14"/>
    <n v="-3049936.91"/>
    <n v="-9.5396767114971937"/>
    <n v="31971072"/>
  </r>
  <r>
    <s v="P0775"/>
    <s v="Model_662"/>
    <x v="2"/>
    <x v="2"/>
    <n v="2024"/>
    <s v="Q2"/>
    <n v="1543"/>
    <n v="18847"/>
    <n v="5428"/>
    <n v="348225"/>
    <n v="8.27"/>
    <n v="2"/>
    <n v="9.93"/>
    <n v="13.68"/>
    <n v="56.61"/>
    <n v="4.5999999999999996"/>
    <n v="6471"/>
    <n v="9967"/>
    <n v="10"/>
    <n v="20357278.32"/>
    <n v="70.00217881682633"/>
    <n v="29080921"/>
  </r>
  <r>
    <s v="P0776"/>
    <s v="Model_301"/>
    <x v="1"/>
    <x v="0"/>
    <n v="2024"/>
    <s v="Q4"/>
    <n v="4768"/>
    <n v="8651"/>
    <n v="7170"/>
    <n v="192105"/>
    <n v="6.57"/>
    <n v="0"/>
    <n v="7.78"/>
    <n v="16.25"/>
    <n v="65.91"/>
    <n v="3.9"/>
    <n v="2444"/>
    <n v="659"/>
    <n v="7"/>
    <n v="6869286.75"/>
    <n v="16.653636731874887"/>
    <n v="41247968"/>
  </r>
  <r>
    <s v="P0777"/>
    <s v="Model_421"/>
    <x v="1"/>
    <x v="1"/>
    <n v="2023"/>
    <s v="Q1"/>
    <n v="4057"/>
    <n v="5110"/>
    <n v="10328"/>
    <n v="420416"/>
    <n v="12.59"/>
    <n v="3"/>
    <n v="2.2599999999999998"/>
    <n v="18.84"/>
    <n v="78.31"/>
    <n v="3.7"/>
    <n v="10614"/>
    <n v="8057"/>
    <n v="6"/>
    <n v="-21589860.84"/>
    <n v="-104.14152553123857"/>
    <n v="20731270"/>
  </r>
  <r>
    <s v="P0778"/>
    <s v="Model_296"/>
    <x v="2"/>
    <x v="1"/>
    <n v="2024"/>
    <s v="Q3"/>
    <n v="2522"/>
    <n v="11384"/>
    <n v="12692"/>
    <n v="328385"/>
    <n v="2.41"/>
    <n v="12"/>
    <n v="1.76"/>
    <n v="15.55"/>
    <n v="21.21"/>
    <n v="3.1"/>
    <n v="8578"/>
    <n v="3931"/>
    <n v="4"/>
    <n v="-3627176.55"/>
    <n v="-12.633646643201107"/>
    <n v="28710448"/>
  </r>
  <r>
    <s v="P0779"/>
    <s v="Model_998"/>
    <x v="2"/>
    <x v="3"/>
    <n v="2024"/>
    <s v="Q2"/>
    <n v="2710"/>
    <n v="8394"/>
    <n v="1748"/>
    <n v="174932"/>
    <n v="0.37"/>
    <n v="16"/>
    <n v="8.66"/>
    <n v="13.5"/>
    <n v="53.53"/>
    <n v="4.0999999999999996"/>
    <n v="19630"/>
    <n v="7444"/>
    <n v="6"/>
    <n v="17835714.5"/>
    <n v="78.4065340117304"/>
    <n v="22747740"/>
  </r>
  <r>
    <s v="P0780"/>
    <s v="Model_789"/>
    <x v="1"/>
    <x v="3"/>
    <n v="2023"/>
    <s v="Q1"/>
    <n v="2789"/>
    <n v="14967"/>
    <n v="12365"/>
    <n v="318083"/>
    <n v="6.74"/>
    <n v="10"/>
    <n v="4.4400000000000004"/>
    <n v="18.739999999999998"/>
    <n v="10.64"/>
    <n v="1.6"/>
    <n v="13812"/>
    <n v="5271"/>
    <n v="4"/>
    <n v="6938876.2599999998"/>
    <n v="16.622864696978983"/>
    <n v="41742963"/>
  </r>
  <r>
    <s v="P0781"/>
    <s v="Model_731"/>
    <x v="2"/>
    <x v="3"/>
    <n v="2023"/>
    <s v="Q2"/>
    <n v="1811"/>
    <n v="17989"/>
    <n v="8979"/>
    <n v="163000"/>
    <n v="3.56"/>
    <n v="1"/>
    <n v="1.37"/>
    <n v="18.190000000000001"/>
    <n v="17.61"/>
    <n v="2.6"/>
    <n v="7283"/>
    <n v="178"/>
    <n v="6"/>
    <n v="16154091.810000001"/>
    <n v="49.585771493770395"/>
    <n v="32578079"/>
  </r>
  <r>
    <s v="P0782"/>
    <s v="Model_300"/>
    <x v="1"/>
    <x v="1"/>
    <n v="2023"/>
    <s v="Q3"/>
    <n v="3564"/>
    <n v="11373"/>
    <n v="6915"/>
    <n v="228634"/>
    <n v="0.74"/>
    <n v="15"/>
    <n v="8.6199999999999992"/>
    <n v="15.75"/>
    <n v="14.34"/>
    <n v="3"/>
    <n v="11251"/>
    <n v="5029"/>
    <n v="6"/>
    <n v="15659662.25"/>
    <n v="38.63399830144899"/>
    <n v="40533372"/>
  </r>
  <r>
    <s v="P0783"/>
    <s v="Model_691"/>
    <x v="2"/>
    <x v="1"/>
    <n v="2023"/>
    <s v="Q3"/>
    <n v="2025"/>
    <n v="13789"/>
    <n v="1259"/>
    <n v="85063"/>
    <n v="10.87"/>
    <n v="1"/>
    <n v="8.16"/>
    <n v="8.99"/>
    <n v="68.040000000000006"/>
    <n v="1.4"/>
    <n v="8407"/>
    <n v="3747"/>
    <n v="3"/>
    <n v="25288178.010000002"/>
    <n v="90.564864317504828"/>
    <n v="27922725"/>
  </r>
  <r>
    <s v="P0784"/>
    <s v="Model_194"/>
    <x v="0"/>
    <x v="3"/>
    <n v="2024"/>
    <s v="Q4"/>
    <n v="2412"/>
    <n v="13708"/>
    <n v="8368"/>
    <n v="257793"/>
    <n v="1.67"/>
    <n v="18"/>
    <n v="9.84"/>
    <n v="10.15"/>
    <n v="16.48"/>
    <n v="2.7"/>
    <n v="20810"/>
    <n v="1131"/>
    <n v="10"/>
    <n v="12622276.85"/>
    <n v="38.175637865772778"/>
    <n v="33063696"/>
  </r>
  <r>
    <s v="P0785"/>
    <s v="Model_739"/>
    <x v="0"/>
    <x v="0"/>
    <n v="2024"/>
    <s v="Q4"/>
    <n v="926"/>
    <n v="12328"/>
    <n v="5446"/>
    <n v="208117"/>
    <n v="9.1199999999999992"/>
    <n v="18"/>
    <n v="9.1"/>
    <n v="24.26"/>
    <n v="67.319999999999993"/>
    <n v="2.2999999999999998"/>
    <n v="18973"/>
    <n v="7481"/>
    <n v="8"/>
    <n v="6164590.7400000002"/>
    <n v="54.000855136001846"/>
    <n v="11415728"/>
  </r>
  <r>
    <s v="P0786"/>
    <s v="Model_681"/>
    <x v="2"/>
    <x v="0"/>
    <n v="2024"/>
    <s v="Q1"/>
    <n v="3862"/>
    <n v="3637"/>
    <n v="1192"/>
    <n v="487985"/>
    <n v="4.22"/>
    <n v="15"/>
    <n v="8.52"/>
    <n v="2.81"/>
    <n v="29.97"/>
    <n v="1.1000000000000001"/>
    <n v="4457"/>
    <n v="2172"/>
    <n v="7"/>
    <n v="8954602.1899999995"/>
    <n v="63.751546800128203"/>
    <n v="14046094"/>
  </r>
  <r>
    <s v="P0787"/>
    <s v="Model_756"/>
    <x v="1"/>
    <x v="3"/>
    <n v="2024"/>
    <s v="Q3"/>
    <n v="3498"/>
    <n v="2786"/>
    <n v="12930"/>
    <n v="359262"/>
    <n v="2.6"/>
    <n v="18"/>
    <n v="0.53"/>
    <n v="6.71"/>
    <n v="80.22"/>
    <n v="1.5"/>
    <n v="20496"/>
    <n v="7011"/>
    <n v="6"/>
    <n v="-35842980.710000001"/>
    <n v="-367.79278149712871"/>
    <n v="9745428"/>
  </r>
  <r>
    <s v="P0788"/>
    <s v="Model_208"/>
    <x v="0"/>
    <x v="0"/>
    <n v="2024"/>
    <s v="Q3"/>
    <n v="1362"/>
    <n v="17210"/>
    <n v="2587"/>
    <n v="134703"/>
    <n v="5.7"/>
    <n v="8"/>
    <n v="1.04"/>
    <n v="12.31"/>
    <n v="75.05"/>
    <n v="4.0999999999999996"/>
    <n v="7547"/>
    <n v="6188"/>
    <n v="5"/>
    <n v="19781810.690000001"/>
    <n v="84.393318307748885"/>
    <n v="23440020"/>
  </r>
  <r>
    <s v="P0789"/>
    <s v="Model_942"/>
    <x v="0"/>
    <x v="2"/>
    <n v="2024"/>
    <s v="Q3"/>
    <n v="1510"/>
    <n v="12871"/>
    <n v="13932"/>
    <n v="464841"/>
    <n v="12.02"/>
    <n v="0"/>
    <n v="5.69"/>
    <n v="20.92"/>
    <n v="86.63"/>
    <n v="1.1000000000000001"/>
    <n v="7749"/>
    <n v="1584"/>
    <n v="9"/>
    <n v="-2066971.92"/>
    <n v="-10.63519210752032"/>
    <n v="19435210"/>
  </r>
  <r>
    <s v="P0790"/>
    <s v="Model_629"/>
    <x v="0"/>
    <x v="1"/>
    <n v="2023"/>
    <s v="Q1"/>
    <n v="2759"/>
    <n v="17445"/>
    <n v="8174"/>
    <n v="285796"/>
    <n v="5.88"/>
    <n v="9"/>
    <n v="5.31"/>
    <n v="4.09"/>
    <n v="80.7"/>
    <n v="4.7"/>
    <n v="17847"/>
    <n v="5938"/>
    <n v="3"/>
    <n v="25292888.91"/>
    <n v="52.550368075464426"/>
    <n v="48130755"/>
  </r>
  <r>
    <s v="P0791"/>
    <s v="Model_923"/>
    <x v="2"/>
    <x v="3"/>
    <n v="2024"/>
    <s v="Q4"/>
    <n v="2374"/>
    <n v="8552"/>
    <n v="11249"/>
    <n v="178557"/>
    <n v="11.26"/>
    <n v="18"/>
    <n v="4.58"/>
    <n v="6.92"/>
    <n v="84.67"/>
    <n v="1.3"/>
    <n v="5259"/>
    <n v="1650"/>
    <n v="9"/>
    <n v="-6581241.9199999999"/>
    <n v="-32.416001853569583"/>
    <n v="20302448"/>
  </r>
  <r>
    <s v="P0792"/>
    <s v="Model_800"/>
    <x v="2"/>
    <x v="0"/>
    <n v="2024"/>
    <s v="Q3"/>
    <n v="1783"/>
    <n v="5154"/>
    <n v="1938"/>
    <n v="339220"/>
    <n v="1.88"/>
    <n v="0"/>
    <n v="3.97"/>
    <n v="1.64"/>
    <n v="78.7"/>
    <n v="4.2"/>
    <n v="5763"/>
    <n v="5597"/>
    <n v="2"/>
    <n v="5394906.3600000003"/>
    <n v="58.706765552557236"/>
    <n v="9189582"/>
  </r>
  <r>
    <s v="P0793"/>
    <s v="Model_846"/>
    <x v="1"/>
    <x v="1"/>
    <n v="2024"/>
    <s v="Q1"/>
    <n v="1655"/>
    <n v="17100"/>
    <n v="12800"/>
    <n v="303317"/>
    <n v="11.59"/>
    <n v="1"/>
    <n v="4.3099999999999996"/>
    <n v="17.649999999999999"/>
    <n v="65.47"/>
    <n v="4.5999999999999996"/>
    <n v="11781"/>
    <n v="4782"/>
    <n v="11"/>
    <n v="6813165.3499999996"/>
    <n v="24.074363880496811"/>
    <n v="28300500"/>
  </r>
  <r>
    <s v="P0794"/>
    <s v="Model_820"/>
    <x v="2"/>
    <x v="0"/>
    <n v="2024"/>
    <s v="Q4"/>
    <n v="2613"/>
    <n v="10136"/>
    <n v="5541"/>
    <n v="245877"/>
    <n v="3.55"/>
    <n v="15"/>
    <n v="5.69"/>
    <n v="5.96"/>
    <n v="23.62"/>
    <n v="4.8"/>
    <n v="3402"/>
    <n v="1929"/>
    <n v="2"/>
    <n v="11760852.039999999"/>
    <n v="44.405092049315684"/>
    <n v="26485368"/>
  </r>
  <r>
    <s v="P0795"/>
    <s v="Model_689"/>
    <x v="0"/>
    <x v="1"/>
    <n v="2023"/>
    <s v="Q2"/>
    <n v="3471"/>
    <n v="7941"/>
    <n v="8218"/>
    <n v="356749"/>
    <n v="10.16"/>
    <n v="11"/>
    <n v="0.02"/>
    <n v="9.7200000000000006"/>
    <n v="31.74"/>
    <n v="4.5"/>
    <n v="4067"/>
    <n v="3851"/>
    <n v="4"/>
    <n v="-1318225.72"/>
    <n v="-4.7825549788085286"/>
    <n v="27563211"/>
  </r>
  <r>
    <s v="P0796"/>
    <s v="Model_464"/>
    <x v="2"/>
    <x v="3"/>
    <n v="2024"/>
    <s v="Q4"/>
    <n v="3567"/>
    <n v="11167"/>
    <n v="7162"/>
    <n v="396709"/>
    <n v="8.49"/>
    <n v="7"/>
    <n v="2.61"/>
    <n v="11.09"/>
    <n v="27.02"/>
    <n v="2.2000000000000002"/>
    <n v="11690"/>
    <n v="6181"/>
    <n v="6"/>
    <n v="13889114.91"/>
    <n v="34.868634929467099"/>
    <n v="39832689"/>
  </r>
  <r>
    <s v="P0797"/>
    <s v="Model_480"/>
    <x v="2"/>
    <x v="2"/>
    <n v="2023"/>
    <s v="Q3"/>
    <n v="2447"/>
    <n v="13649"/>
    <n v="3254"/>
    <n v="351265"/>
    <n v="13.94"/>
    <n v="17"/>
    <n v="5.18"/>
    <n v="22.28"/>
    <n v="58.29"/>
    <n v="2.2999999999999998"/>
    <n v="9575"/>
    <n v="6701"/>
    <n v="7"/>
    <n v="25085277.719999999"/>
    <n v="75.107639028509226"/>
    <n v="33399103"/>
  </r>
  <r>
    <s v="P0798"/>
    <s v="Model_906"/>
    <x v="0"/>
    <x v="3"/>
    <n v="2024"/>
    <s v="Q3"/>
    <n v="3785"/>
    <n v="3298"/>
    <n v="10458"/>
    <n v="343577"/>
    <n v="5.81"/>
    <n v="1"/>
    <n v="7.22"/>
    <n v="10.28"/>
    <n v="50.29"/>
    <n v="2.7"/>
    <n v="4494"/>
    <n v="4559"/>
    <n v="5"/>
    <n v="-27444187.280000001"/>
    <n v="-219.85373049436311"/>
    <n v="12482930"/>
  </r>
  <r>
    <s v="P0799"/>
    <s v="Model_310"/>
    <x v="0"/>
    <x v="2"/>
    <n v="2023"/>
    <s v="Q2"/>
    <n v="2920"/>
    <n v="11100"/>
    <n v="4474"/>
    <n v="93309"/>
    <n v="0.99"/>
    <n v="12"/>
    <n v="1.74"/>
    <n v="3.63"/>
    <n v="79.37"/>
    <n v="1.6"/>
    <n v="6729"/>
    <n v="3956"/>
    <n v="8"/>
    <n v="19254607.370000001"/>
    <n v="59.405798377144272"/>
    <n v="32412000"/>
  </r>
  <r>
    <s v="P0800"/>
    <s v="Model_276"/>
    <x v="0"/>
    <x v="0"/>
    <n v="2023"/>
    <s v="Q3"/>
    <n v="1210"/>
    <n v="6995"/>
    <n v="2177"/>
    <n v="379612"/>
    <n v="0.28999999999999998"/>
    <n v="5"/>
    <n v="5.47"/>
    <n v="13.11"/>
    <n v="86.21"/>
    <n v="1.1000000000000001"/>
    <n v="3510"/>
    <n v="6282"/>
    <n v="8"/>
    <n v="5450154.8899999997"/>
    <n v="64.392569544952423"/>
    <n v="8463950"/>
  </r>
  <r>
    <s v="P0801"/>
    <s v="Model_392"/>
    <x v="0"/>
    <x v="2"/>
    <n v="2024"/>
    <s v="Q2"/>
    <n v="4904"/>
    <n v="11400"/>
    <n v="7501"/>
    <n v="487470"/>
    <n v="12.4"/>
    <n v="5"/>
    <n v="7.14"/>
    <n v="24.07"/>
    <n v="42.39"/>
    <n v="4.5"/>
    <n v="8877"/>
    <n v="6183"/>
    <n v="3"/>
    <n v="18633201.93"/>
    <n v="33.32975932643599"/>
    <n v="55905600"/>
  </r>
  <r>
    <s v="P0802"/>
    <s v="Model_547"/>
    <x v="1"/>
    <x v="2"/>
    <n v="2023"/>
    <s v="Q3"/>
    <n v="292"/>
    <n v="15173"/>
    <n v="3397"/>
    <n v="379437"/>
    <n v="7.87"/>
    <n v="8"/>
    <n v="4.45"/>
    <n v="15.19"/>
    <n v="50.51"/>
    <n v="3.2"/>
    <n v="14536"/>
    <n v="8070"/>
    <n v="3"/>
    <n v="3059139.81"/>
    <n v="69.047032219271969"/>
    <n v="4430516"/>
  </r>
  <r>
    <s v="P0803"/>
    <s v="Model_939"/>
    <x v="2"/>
    <x v="2"/>
    <n v="2023"/>
    <s v="Q4"/>
    <n v="2640"/>
    <n v="12630"/>
    <n v="941"/>
    <n v="408402"/>
    <n v="11.63"/>
    <n v="15"/>
    <n v="0.27"/>
    <n v="24.58"/>
    <n v="87.72"/>
    <n v="3.4"/>
    <n v="18714"/>
    <n v="2194"/>
    <n v="3"/>
    <n v="30450533.420000002"/>
    <n v="91.324568187816411"/>
    <n v="33343200"/>
  </r>
  <r>
    <s v="P0804"/>
    <s v="Model_176"/>
    <x v="1"/>
    <x v="2"/>
    <n v="2023"/>
    <s v="Q1"/>
    <n v="1113"/>
    <n v="16722"/>
    <n v="3459"/>
    <n v="481069"/>
    <n v="3.52"/>
    <n v="10"/>
    <n v="4.49"/>
    <n v="21.03"/>
    <n v="32.1"/>
    <n v="4.7"/>
    <n v="1548"/>
    <n v="6338"/>
    <n v="3"/>
    <n v="14280628.970000001"/>
    <n v="76.729779880124141"/>
    <n v="18611586"/>
  </r>
  <r>
    <s v="P0805"/>
    <s v="Model_761"/>
    <x v="1"/>
    <x v="0"/>
    <n v="2023"/>
    <s v="Q1"/>
    <n v="4374"/>
    <n v="2800"/>
    <n v="5396"/>
    <n v="350549"/>
    <n v="5.18"/>
    <n v="6"/>
    <n v="2.96"/>
    <n v="0.9"/>
    <n v="73.39"/>
    <n v="3.7"/>
    <n v="5710"/>
    <n v="3132"/>
    <n v="14"/>
    <n v="-11705453.9"/>
    <n v="-95.576571787837224"/>
    <n v="12247200"/>
  </r>
  <r>
    <s v="P0806"/>
    <s v="Model_784"/>
    <x v="0"/>
    <x v="0"/>
    <n v="2023"/>
    <s v="Q4"/>
    <n v="2645"/>
    <n v="10935"/>
    <n v="9831"/>
    <n v="93527"/>
    <n v="0.45"/>
    <n v="9"/>
    <n v="9.3000000000000007"/>
    <n v="16.46"/>
    <n v="28.02"/>
    <n v="3.8"/>
    <n v="19062"/>
    <n v="1648"/>
    <n v="10"/>
    <n v="2826536.54"/>
    <n v="9.7726003891356648"/>
    <n v="28923075"/>
  </r>
  <r>
    <s v="P0807"/>
    <s v="Model_871"/>
    <x v="1"/>
    <x v="2"/>
    <n v="2023"/>
    <s v="Q1"/>
    <n v="969"/>
    <n v="6116"/>
    <n v="12610"/>
    <n v="389371"/>
    <n v="14.42"/>
    <n v="9"/>
    <n v="1.25"/>
    <n v="7.17"/>
    <n v="64.52"/>
    <n v="4.0999999999999996"/>
    <n v="16338"/>
    <n v="8659"/>
    <n v="6"/>
    <n v="-6682064.1699999999"/>
    <n v="-112.75073670306648"/>
    <n v="5926404"/>
  </r>
  <r>
    <s v="P0808"/>
    <s v="Model_731"/>
    <x v="0"/>
    <x v="3"/>
    <n v="2023"/>
    <s v="Q4"/>
    <n v="55"/>
    <n v="17893"/>
    <n v="14770"/>
    <n v="443708"/>
    <n v="10.02"/>
    <n v="19"/>
    <n v="6.52"/>
    <n v="13.99"/>
    <n v="30.29"/>
    <n v="1.5"/>
    <n v="17538"/>
    <n v="164"/>
    <n v="12"/>
    <n v="-271956.99"/>
    <n v="-27.634675825487875"/>
    <n v="984115"/>
  </r>
  <r>
    <s v="P0809"/>
    <s v="Model_261"/>
    <x v="2"/>
    <x v="0"/>
    <n v="2023"/>
    <s v="Q1"/>
    <n v="517"/>
    <n v="12117"/>
    <n v="6461"/>
    <n v="274490"/>
    <n v="14"/>
    <n v="17"/>
    <n v="0.53"/>
    <n v="6.98"/>
    <n v="80.7"/>
    <n v="2.4"/>
    <n v="9378"/>
    <n v="3399"/>
    <n v="9"/>
    <n v="2649655.02"/>
    <n v="42.296427050953397"/>
    <n v="6264489"/>
  </r>
  <r>
    <s v="P0810"/>
    <s v="Model_953"/>
    <x v="0"/>
    <x v="1"/>
    <n v="2023"/>
    <s v="Q3"/>
    <n v="4220"/>
    <n v="7252"/>
    <n v="6942"/>
    <n v="189883"/>
    <n v="3.98"/>
    <n v="19"/>
    <n v="4.46"/>
    <n v="8.7200000000000006"/>
    <n v="54.92"/>
    <n v="4.9000000000000004"/>
    <n v="17954"/>
    <n v="4949"/>
    <n v="6"/>
    <n v="1118308.28"/>
    <n v="3.6541914242320472"/>
    <n v="30603440"/>
  </r>
  <r>
    <s v="P0811"/>
    <s v="Model_929"/>
    <x v="2"/>
    <x v="3"/>
    <n v="2023"/>
    <s v="Q4"/>
    <n v="53"/>
    <n v="11352"/>
    <n v="12909"/>
    <n v="143344"/>
    <n v="9.17"/>
    <n v="8"/>
    <n v="5.54"/>
    <n v="23.08"/>
    <n v="24.87"/>
    <n v="4.7"/>
    <n v="16847"/>
    <n v="5739"/>
    <n v="14"/>
    <n v="-225888.08"/>
    <n v="-37.544390814684803"/>
    <n v="601656"/>
  </r>
  <r>
    <s v="P0812"/>
    <s v="Model_610"/>
    <x v="0"/>
    <x v="0"/>
    <n v="2024"/>
    <s v="Q2"/>
    <n v="695"/>
    <n v="7795"/>
    <n v="6426"/>
    <n v="205344"/>
    <n v="10.18"/>
    <n v="14"/>
    <n v="2.98"/>
    <n v="5.17"/>
    <n v="27.95"/>
    <n v="4.5"/>
    <n v="9379"/>
    <n v="2135"/>
    <n v="12"/>
    <n v="746105.83"/>
    <n v="13.772079132075993"/>
    <n v="5417525"/>
  </r>
  <r>
    <s v="P0813"/>
    <s v="Model_516"/>
    <x v="2"/>
    <x v="1"/>
    <n v="2023"/>
    <s v="Q4"/>
    <n v="167"/>
    <n v="18956"/>
    <n v="9587"/>
    <n v="273564"/>
    <n v="4.76"/>
    <n v="3"/>
    <n v="4.55"/>
    <n v="21.85"/>
    <n v="49.51"/>
    <n v="2.8"/>
    <n v="19661"/>
    <n v="5774"/>
    <n v="6"/>
    <n v="1291037.1499999999"/>
    <n v="40.782661833960262"/>
    <n v="3165652"/>
  </r>
  <r>
    <s v="P0814"/>
    <s v="Model_975"/>
    <x v="0"/>
    <x v="2"/>
    <n v="2023"/>
    <s v="Q3"/>
    <n v="2978"/>
    <n v="4725"/>
    <n v="10896"/>
    <n v="97153"/>
    <n v="12.72"/>
    <n v="7"/>
    <n v="1.64"/>
    <n v="0.76"/>
    <n v="86.93"/>
    <n v="4.4000000000000004"/>
    <n v="14754"/>
    <n v="2328"/>
    <n v="2"/>
    <n v="-18474391.760000002"/>
    <n v="-131.29362599095307"/>
    <n v="14071050"/>
  </r>
  <r>
    <s v="P0815"/>
    <s v="Model_843"/>
    <x v="0"/>
    <x v="0"/>
    <n v="2024"/>
    <s v="Q2"/>
    <n v="2601"/>
    <n v="2816"/>
    <n v="9272"/>
    <n v="158042"/>
    <n v="14.21"/>
    <n v="8"/>
    <n v="3.04"/>
    <n v="2.27"/>
    <n v="71.569999999999993"/>
    <n v="1.2"/>
    <n v="8880"/>
    <n v="5720"/>
    <n v="7"/>
    <n v="-16950100.27"/>
    <n v="-231.41913662468107"/>
    <n v="7324416"/>
  </r>
  <r>
    <s v="P0816"/>
    <s v="Model_546"/>
    <x v="0"/>
    <x v="1"/>
    <n v="2023"/>
    <s v="Q2"/>
    <n v="4339"/>
    <n v="13837"/>
    <n v="1223"/>
    <n v="104110"/>
    <n v="13.27"/>
    <n v="12"/>
    <n v="6.21"/>
    <n v="21.37"/>
    <n v="49.06"/>
    <n v="1.6"/>
    <n v="3728"/>
    <n v="696"/>
    <n v="5"/>
    <n v="54628014.630000003"/>
    <n v="90.987938621566414"/>
    <n v="60038743"/>
  </r>
  <r>
    <s v="P0817"/>
    <s v="Model_906"/>
    <x v="1"/>
    <x v="0"/>
    <n v="2024"/>
    <s v="Q4"/>
    <n v="896"/>
    <n v="8307"/>
    <n v="7799"/>
    <n v="195051"/>
    <n v="11.09"/>
    <n v="8"/>
    <n v="3.02"/>
    <n v="15.76"/>
    <n v="37.020000000000003"/>
    <n v="2.7"/>
    <n v="11314"/>
    <n v="3706"/>
    <n v="4"/>
    <n v="260101.24"/>
    <n v="3.4945415011436136"/>
    <n v="7443072"/>
  </r>
  <r>
    <s v="P0818"/>
    <s v="Model_345"/>
    <x v="1"/>
    <x v="3"/>
    <n v="2024"/>
    <s v="Q1"/>
    <n v="2812"/>
    <n v="5183"/>
    <n v="13357"/>
    <n v="291131"/>
    <n v="4.16"/>
    <n v="3"/>
    <n v="9"/>
    <n v="18.68"/>
    <n v="53.94"/>
    <n v="2.9"/>
    <n v="10388"/>
    <n v="3989"/>
    <n v="7"/>
    <n v="-23276437.68"/>
    <n v="-159.70554298726358"/>
    <n v="14574596"/>
  </r>
  <r>
    <s v="P0819"/>
    <s v="Model_876"/>
    <x v="1"/>
    <x v="0"/>
    <n v="2023"/>
    <s v="Q2"/>
    <n v="1191"/>
    <n v="8727"/>
    <n v="5049"/>
    <n v="289173"/>
    <n v="4.22"/>
    <n v="16"/>
    <n v="6.28"/>
    <n v="5.24"/>
    <n v="69.87"/>
    <n v="2.1"/>
    <n v="7891"/>
    <n v="3606"/>
    <n v="3"/>
    <n v="4091319.76"/>
    <n v="39.362863660718055"/>
    <n v="10393857"/>
  </r>
  <r>
    <s v="P0820"/>
    <s v="Model_866"/>
    <x v="2"/>
    <x v="3"/>
    <n v="2023"/>
    <s v="Q2"/>
    <n v="1860"/>
    <n v="4773"/>
    <n v="2550"/>
    <n v="78328"/>
    <n v="14.45"/>
    <n v="15"/>
    <n v="4.3899999999999997"/>
    <n v="13.43"/>
    <n v="72.709999999999994"/>
    <n v="2.4"/>
    <n v="10929"/>
    <n v="1495"/>
    <n v="9"/>
    <n v="4056438.57"/>
    <n v="45.692037536411128"/>
    <n v="8877780"/>
  </r>
  <r>
    <s v="P0821"/>
    <s v="Model_986"/>
    <x v="0"/>
    <x v="2"/>
    <n v="2023"/>
    <s v="Q4"/>
    <n v="773"/>
    <n v="1645"/>
    <n v="5557"/>
    <n v="162911"/>
    <n v="0.15"/>
    <n v="14"/>
    <n v="0.39"/>
    <n v="18.43"/>
    <n v="35.97"/>
    <n v="1.7"/>
    <n v="20290"/>
    <n v="9878"/>
    <n v="2"/>
    <n v="-3186905.43"/>
    <n v="-250.62464797870376"/>
    <n v="1271585"/>
  </r>
  <r>
    <s v="P0822"/>
    <s v="Model_565"/>
    <x v="2"/>
    <x v="0"/>
    <n v="2023"/>
    <s v="Q1"/>
    <n v="274"/>
    <n v="6510"/>
    <n v="2767"/>
    <n v="325011"/>
    <n v="10.74"/>
    <n v="2"/>
    <n v="5"/>
    <n v="15.68"/>
    <n v="67.69"/>
    <n v="3"/>
    <n v="2137"/>
    <n v="7629"/>
    <n v="13"/>
    <n v="700555.32"/>
    <n v="39.274519829123079"/>
    <n v="1783740"/>
  </r>
  <r>
    <s v="P0823"/>
    <s v="Model_956"/>
    <x v="0"/>
    <x v="3"/>
    <n v="2024"/>
    <s v="Q3"/>
    <n v="4677"/>
    <n v="17535"/>
    <n v="4888"/>
    <n v="109234"/>
    <n v="10.59"/>
    <n v="19"/>
    <n v="7.65"/>
    <n v="11.79"/>
    <n v="62.62"/>
    <n v="4.2"/>
    <n v="18833"/>
    <n v="8403"/>
    <n v="10"/>
    <n v="59040773.210000001"/>
    <n v="71.991114396028493"/>
    <n v="82011195"/>
  </r>
  <r>
    <s v="P0824"/>
    <s v="Model_171"/>
    <x v="1"/>
    <x v="1"/>
    <n v="2024"/>
    <s v="Q1"/>
    <n v="4258"/>
    <n v="4540"/>
    <n v="4978"/>
    <n v="337995"/>
    <n v="9.34"/>
    <n v="4"/>
    <n v="2.66"/>
    <n v="23.99"/>
    <n v="86.73"/>
    <n v="3.6"/>
    <n v="11596"/>
    <n v="552"/>
    <n v="9"/>
    <n v="-2203022.9900000002"/>
    <n v="-11.396133269740504"/>
    <n v="19331320"/>
  </r>
  <r>
    <s v="P0825"/>
    <s v="Model_324"/>
    <x v="1"/>
    <x v="0"/>
    <n v="2024"/>
    <s v="Q2"/>
    <n v="4704"/>
    <n v="11154"/>
    <n v="8589"/>
    <n v="343423"/>
    <n v="14.85"/>
    <n v="4"/>
    <n v="8.07"/>
    <n v="16.899999999999999"/>
    <n v="84.49"/>
    <n v="1.4"/>
    <n v="5087"/>
    <n v="7436"/>
    <n v="2"/>
    <n v="11722320.1"/>
    <n v="22.341669510282149"/>
    <n v="52468416"/>
  </r>
  <r>
    <s v="P0826"/>
    <s v="Model_741"/>
    <x v="2"/>
    <x v="3"/>
    <n v="2023"/>
    <s v="Q4"/>
    <n v="2098"/>
    <n v="18366"/>
    <n v="3746"/>
    <n v="298503"/>
    <n v="4.68"/>
    <n v="19"/>
    <n v="2.52"/>
    <n v="22.69"/>
    <n v="73.150000000000006"/>
    <n v="3"/>
    <n v="2611"/>
    <n v="2731"/>
    <n v="11"/>
    <n v="30374234.309999999"/>
    <n v="78.828865265499189"/>
    <n v="38531868"/>
  </r>
  <r>
    <s v="P0827"/>
    <s v="Model_835"/>
    <x v="2"/>
    <x v="1"/>
    <n v="2023"/>
    <s v="Q3"/>
    <n v="4799"/>
    <n v="19133"/>
    <n v="10441"/>
    <n v="277135"/>
    <n v="5.0999999999999996"/>
    <n v="14"/>
    <n v="8.24"/>
    <n v="18.239999999999998"/>
    <n v="67.87"/>
    <n v="3.8"/>
    <n v="9867"/>
    <n v="2286"/>
    <n v="13"/>
    <n v="41435754.759999998"/>
    <n v="45.12751638498704"/>
    <n v="91819267"/>
  </r>
  <r>
    <s v="P0828"/>
    <s v="Model_575"/>
    <x v="1"/>
    <x v="2"/>
    <n v="2023"/>
    <s v="Q4"/>
    <n v="4465"/>
    <n v="18514"/>
    <n v="6194"/>
    <n v="123402"/>
    <n v="1.18"/>
    <n v="17"/>
    <n v="0.85"/>
    <n v="18.39"/>
    <n v="31.92"/>
    <n v="3.1"/>
    <n v="2222"/>
    <n v="6067"/>
    <n v="10"/>
    <n v="54885379.609999999"/>
    <n v="66.39493494284946"/>
    <n v="82665010"/>
  </r>
  <r>
    <s v="P0829"/>
    <s v="Model_337"/>
    <x v="1"/>
    <x v="2"/>
    <n v="2024"/>
    <s v="Q1"/>
    <n v="1623"/>
    <n v="16496"/>
    <n v="8680"/>
    <n v="327593"/>
    <n v="6.64"/>
    <n v="14"/>
    <n v="8.66"/>
    <n v="2"/>
    <n v="77.680000000000007"/>
    <n v="2.6"/>
    <n v="6366"/>
    <n v="6474"/>
    <n v="3"/>
    <n v="12357773"/>
    <n v="46.157581546309629"/>
    <n v="26773008"/>
  </r>
  <r>
    <s v="P0830"/>
    <s v="Model_577"/>
    <x v="1"/>
    <x v="2"/>
    <n v="2024"/>
    <s v="Q4"/>
    <n v="1878"/>
    <n v="17836"/>
    <n v="11323"/>
    <n v="388365"/>
    <n v="3.92"/>
    <n v="1"/>
    <n v="4.99"/>
    <n v="8.99"/>
    <n v="44.2"/>
    <n v="3.5"/>
    <n v="11639"/>
    <n v="5458"/>
    <n v="4"/>
    <n v="11843040.01"/>
    <n v="35.356571475621813"/>
    <n v="33496008"/>
  </r>
  <r>
    <s v="P0831"/>
    <s v="Model_708"/>
    <x v="0"/>
    <x v="1"/>
    <n v="2023"/>
    <s v="Q1"/>
    <n v="1967"/>
    <n v="10353"/>
    <n v="5875"/>
    <n v="401224"/>
    <n v="5.15"/>
    <n v="12"/>
    <n v="2.97"/>
    <n v="21.46"/>
    <n v="31.78"/>
    <n v="4.9000000000000004"/>
    <n v="18586"/>
    <n v="4448"/>
    <n v="3"/>
    <n v="8406980.5399999991"/>
    <n v="41.282830668161239"/>
    <n v="20364351"/>
  </r>
  <r>
    <s v="P0832"/>
    <s v="Model_395"/>
    <x v="1"/>
    <x v="2"/>
    <n v="2024"/>
    <s v="Q4"/>
    <n v="4284"/>
    <n v="13195"/>
    <n v="11212"/>
    <n v="55451"/>
    <n v="12.52"/>
    <n v="3"/>
    <n v="2.65"/>
    <n v="5.82"/>
    <n v="40.729999999999997"/>
    <n v="1.4"/>
    <n v="3628"/>
    <n v="1559"/>
    <n v="14"/>
    <n v="8439715.1799999997"/>
    <n v="14.930313734689276"/>
    <n v="56527380"/>
  </r>
  <r>
    <s v="P0833"/>
    <s v="Model_225"/>
    <x v="2"/>
    <x v="1"/>
    <n v="2024"/>
    <s v="Q4"/>
    <n v="2076"/>
    <n v="4352"/>
    <n v="12781"/>
    <n v="137178"/>
    <n v="14.03"/>
    <n v="9"/>
    <n v="4.32"/>
    <n v="2.89"/>
    <n v="76.87"/>
    <n v="2.6"/>
    <n v="10618"/>
    <n v="2042"/>
    <n v="9"/>
    <n v="-17635784.890000001"/>
    <n v="-195.19943535804859"/>
    <n v="9034752"/>
  </r>
  <r>
    <s v="P0834"/>
    <s v="Model_714"/>
    <x v="0"/>
    <x v="2"/>
    <n v="2024"/>
    <s v="Q1"/>
    <n v="3794"/>
    <n v="17514"/>
    <n v="8030"/>
    <n v="484532"/>
    <n v="2.79"/>
    <n v="12"/>
    <n v="9.99"/>
    <n v="8.15"/>
    <n v="21.89"/>
    <n v="2.6"/>
    <n v="4017"/>
    <n v="5522"/>
    <n v="3"/>
    <n v="35497755.850000001"/>
    <n v="53.421764207731634"/>
    <n v="66448116"/>
  </r>
  <r>
    <s v="P0835"/>
    <s v="Model_554"/>
    <x v="0"/>
    <x v="0"/>
    <n v="2024"/>
    <s v="Q2"/>
    <n v="951"/>
    <n v="2487"/>
    <n v="11802"/>
    <n v="375905"/>
    <n v="5.59"/>
    <n v="9"/>
    <n v="2.2000000000000002"/>
    <n v="5.51"/>
    <n v="46.49"/>
    <n v="3.3"/>
    <n v="19033"/>
    <n v="5296"/>
    <n v="11"/>
    <n v="-9234475.5099999998"/>
    <n v="-390.44146322179222"/>
    <n v="2365137"/>
  </r>
  <r>
    <s v="P0836"/>
    <s v="Model_571"/>
    <x v="2"/>
    <x v="1"/>
    <n v="2024"/>
    <s v="Q2"/>
    <n v="4835"/>
    <n v="9122"/>
    <n v="14747"/>
    <n v="286562"/>
    <n v="13.93"/>
    <n v="8"/>
    <n v="1.03"/>
    <n v="23.13"/>
    <n v="49.39"/>
    <n v="1.6"/>
    <n v="15728"/>
    <n v="161"/>
    <n v="3"/>
    <n v="-27483460.129999999"/>
    <n v="-62.313889894698704"/>
    <n v="44104870"/>
  </r>
  <r>
    <s v="P0837"/>
    <s v="Model_605"/>
    <x v="0"/>
    <x v="0"/>
    <n v="2024"/>
    <s v="Q4"/>
    <n v="2089"/>
    <n v="10660"/>
    <n v="14486"/>
    <n v="351014"/>
    <n v="0.93"/>
    <n v="7"/>
    <n v="5.85"/>
    <n v="21.7"/>
    <n v="12.93"/>
    <n v="1.7"/>
    <n v="15679"/>
    <n v="1594"/>
    <n v="2"/>
    <n v="-8343549.7000000002"/>
    <n v="-37.467542842567653"/>
    <n v="22268740"/>
  </r>
  <r>
    <s v="P0838"/>
    <s v="Model_355"/>
    <x v="2"/>
    <x v="2"/>
    <n v="2024"/>
    <s v="Q1"/>
    <n v="59"/>
    <n v="18984"/>
    <n v="13720"/>
    <n v="408710"/>
    <n v="1.39"/>
    <n v="2"/>
    <n v="4.8899999999999997"/>
    <n v="12.49"/>
    <n v="25.66"/>
    <n v="2.1"/>
    <n v="19762"/>
    <n v="1280"/>
    <n v="8"/>
    <n v="-98146.49"/>
    <n v="-8.7626413322191041"/>
    <n v="1120056"/>
  </r>
  <r>
    <s v="P0839"/>
    <s v="Model_215"/>
    <x v="0"/>
    <x v="1"/>
    <n v="2023"/>
    <s v="Q1"/>
    <n v="310"/>
    <n v="8152"/>
    <n v="2331"/>
    <n v="435893"/>
    <n v="2.44"/>
    <n v="15"/>
    <n v="5.24"/>
    <n v="1.53"/>
    <n v="76.14"/>
    <n v="4.8"/>
    <n v="11175"/>
    <n v="6368"/>
    <n v="13"/>
    <n v="1368615.47"/>
    <n v="54.157122336889415"/>
    <n v="2527120"/>
  </r>
  <r>
    <s v="P0840"/>
    <s v="Model_268"/>
    <x v="2"/>
    <x v="2"/>
    <n v="2023"/>
    <s v="Q4"/>
    <n v="1723"/>
    <n v="8921"/>
    <n v="13874"/>
    <n v="173765"/>
    <n v="8.93"/>
    <n v="13"/>
    <n v="6.67"/>
    <n v="17.86"/>
    <n v="76.459999999999994"/>
    <n v="3.9"/>
    <n v="1809"/>
    <n v="2888"/>
    <n v="3"/>
    <n v="-8707801.8599999994"/>
    <n v="-56.651279305164181"/>
    <n v="15370883"/>
  </r>
  <r>
    <s v="P0841"/>
    <s v="Model_904"/>
    <x v="0"/>
    <x v="1"/>
    <n v="2023"/>
    <s v="Q1"/>
    <n v="2269"/>
    <n v="2269"/>
    <n v="3790"/>
    <n v="437025"/>
    <n v="2.2599999999999998"/>
    <n v="8"/>
    <n v="2.67"/>
    <n v="15.59"/>
    <n v="33.39"/>
    <n v="3.6"/>
    <n v="5452"/>
    <n v="4736"/>
    <n v="11"/>
    <n v="-3888189.59"/>
    <n v="-75.522862324533961"/>
    <n v="5148361"/>
  </r>
  <r>
    <s v="P0842"/>
    <s v="Model_798"/>
    <x v="0"/>
    <x v="0"/>
    <n v="2023"/>
    <s v="Q1"/>
    <n v="2110"/>
    <n v="19227"/>
    <n v="7955"/>
    <n v="474089"/>
    <n v="14.52"/>
    <n v="10"/>
    <n v="9.11"/>
    <n v="24.26"/>
    <n v="79.989999999999995"/>
    <n v="4.3"/>
    <n v="20933"/>
    <n v="4821"/>
    <n v="6"/>
    <n v="23309806.739999998"/>
    <n v="57.457230834305129"/>
    <n v="40568970"/>
  </r>
  <r>
    <s v="P0843"/>
    <s v="Model_542"/>
    <x v="0"/>
    <x v="1"/>
    <n v="2024"/>
    <s v="Q4"/>
    <n v="3763"/>
    <n v="15614"/>
    <n v="5293"/>
    <n v="178389"/>
    <n v="6.7"/>
    <n v="2"/>
    <n v="4.3600000000000003"/>
    <n v="13.97"/>
    <n v="71.739999999999995"/>
    <n v="1.5"/>
    <n v="15371"/>
    <n v="5810"/>
    <n v="6"/>
    <n v="38659520.030000001"/>
    <n v="65.797298760990515"/>
    <n v="58755482"/>
  </r>
  <r>
    <s v="P0844"/>
    <s v="Model_277"/>
    <x v="2"/>
    <x v="3"/>
    <n v="2024"/>
    <s v="Q3"/>
    <n v="1669"/>
    <n v="5858"/>
    <n v="10135"/>
    <n v="239699"/>
    <n v="7.52"/>
    <n v="4"/>
    <n v="1.29"/>
    <n v="8.41"/>
    <n v="43.43"/>
    <n v="4.4000000000000004"/>
    <n v="11192"/>
    <n v="7802"/>
    <n v="4"/>
    <n v="-7378020.4100000001"/>
    <n v="-75.463014224605857"/>
    <n v="9777002"/>
  </r>
  <r>
    <s v="P0845"/>
    <s v="Model_244"/>
    <x v="1"/>
    <x v="1"/>
    <n v="2023"/>
    <s v="Q1"/>
    <n v="370"/>
    <n v="13043"/>
    <n v="1733"/>
    <n v="247227"/>
    <n v="3.7"/>
    <n v="9"/>
    <n v="7.42"/>
    <n v="12.98"/>
    <n v="69.87"/>
    <n v="3.4"/>
    <n v="1515"/>
    <n v="205"/>
    <n v="4"/>
    <n v="3937460.02"/>
    <n v="81.590001056795501"/>
    <n v="4825910"/>
  </r>
  <r>
    <s v="P0846"/>
    <s v="Model_401"/>
    <x v="2"/>
    <x v="2"/>
    <n v="2024"/>
    <s v="Q1"/>
    <n v="1392"/>
    <n v="7199"/>
    <n v="2260"/>
    <n v="337516"/>
    <n v="7.06"/>
    <n v="12"/>
    <n v="6.43"/>
    <n v="24.48"/>
    <n v="86.91"/>
    <n v="2.2999999999999998"/>
    <n v="18489"/>
    <n v="9446"/>
    <n v="14"/>
    <n v="6537547.5199999996"/>
    <n v="65.238422322385119"/>
    <n v="10021008"/>
  </r>
  <r>
    <s v="P0847"/>
    <s v="Model_679"/>
    <x v="0"/>
    <x v="3"/>
    <n v="2023"/>
    <s v="Q2"/>
    <n v="2426"/>
    <n v="19125"/>
    <n v="14940"/>
    <n v="315786"/>
    <n v="9.93"/>
    <n v="3"/>
    <n v="3.16"/>
    <n v="17.41"/>
    <n v="46.72"/>
    <n v="4.3"/>
    <n v="17505"/>
    <n v="4187"/>
    <n v="13"/>
    <n v="9837006.5899999999"/>
    <n v="21.201701803447403"/>
    <n v="46397250"/>
  </r>
  <r>
    <s v="P0848"/>
    <s v="Model_890"/>
    <x v="2"/>
    <x v="0"/>
    <n v="2024"/>
    <s v="Q3"/>
    <n v="2882"/>
    <n v="2625"/>
    <n v="3523"/>
    <n v="310220"/>
    <n v="11.27"/>
    <n v="12"/>
    <n v="6.22"/>
    <n v="16.8"/>
    <n v="29.07"/>
    <n v="4.2"/>
    <n v="15778"/>
    <n v="4025"/>
    <n v="4"/>
    <n v="-2898272.8"/>
    <n v="-38.310337397970983"/>
    <n v="7565250"/>
  </r>
  <r>
    <s v="P0849"/>
    <s v="Model_206"/>
    <x v="1"/>
    <x v="1"/>
    <n v="2024"/>
    <s v="Q2"/>
    <n v="2874"/>
    <n v="12293"/>
    <n v="11504"/>
    <n v="471217"/>
    <n v="11.31"/>
    <n v="11"/>
    <n v="2.2000000000000002"/>
    <n v="6.02"/>
    <n v="85.35"/>
    <n v="4.4000000000000004"/>
    <n v="16317"/>
    <n v="2008"/>
    <n v="7"/>
    <n v="1796362.98"/>
    <n v="5.0845140410373233"/>
    <n v="35330082"/>
  </r>
  <r>
    <s v="P0850"/>
    <s v="Model_740"/>
    <x v="2"/>
    <x v="1"/>
    <n v="2024"/>
    <s v="Q3"/>
    <n v="2044"/>
    <n v="8264"/>
    <n v="1085"/>
    <n v="346208"/>
    <n v="8.67"/>
    <n v="4"/>
    <n v="4.45"/>
    <n v="18.59"/>
    <n v="58.3"/>
    <n v="1.5"/>
    <n v="11259"/>
    <n v="2149"/>
    <n v="5"/>
    <n v="14327649.41"/>
    <n v="84.821069872770011"/>
    <n v="16891616"/>
  </r>
  <r>
    <s v="P0851"/>
    <s v="Model_563"/>
    <x v="2"/>
    <x v="3"/>
    <n v="2023"/>
    <s v="Q4"/>
    <n v="3008"/>
    <n v="13823"/>
    <n v="1064"/>
    <n v="275898"/>
    <n v="13.57"/>
    <n v="9"/>
    <n v="8.99"/>
    <n v="18.760000000000002"/>
    <n v="18.420000000000002"/>
    <n v="4.9000000000000004"/>
    <n v="17164"/>
    <n v="9566"/>
    <n v="14"/>
    <n v="38103155.240000002"/>
    <n v="91.639096822132714"/>
    <n v="41579584"/>
  </r>
  <r>
    <s v="P0852"/>
    <s v="Model_343"/>
    <x v="1"/>
    <x v="3"/>
    <n v="2023"/>
    <s v="Q4"/>
    <n v="2088"/>
    <n v="14531"/>
    <n v="11359"/>
    <n v="326266"/>
    <n v="12.26"/>
    <n v="8"/>
    <n v="1.34"/>
    <n v="7.93"/>
    <n v="55.81"/>
    <n v="4.8"/>
    <n v="7912"/>
    <n v="9237"/>
    <n v="4"/>
    <n v="6296862.0700000003"/>
    <n v="20.753826572651786"/>
    <n v="30340728"/>
  </r>
  <r>
    <s v="P0853"/>
    <s v="Model_840"/>
    <x v="0"/>
    <x v="1"/>
    <n v="2024"/>
    <s v="Q4"/>
    <n v="3540"/>
    <n v="15552"/>
    <n v="7616"/>
    <n v="468036"/>
    <n v="11.36"/>
    <n v="19"/>
    <n v="3.87"/>
    <n v="12.09"/>
    <n v="50.05"/>
    <n v="2.4"/>
    <n v="11696"/>
    <n v="8272"/>
    <n v="3"/>
    <n v="27625391.91"/>
    <n v="50.17864599680896"/>
    <n v="55054080"/>
  </r>
  <r>
    <s v="P0854"/>
    <s v="Model_897"/>
    <x v="1"/>
    <x v="2"/>
    <n v="2023"/>
    <s v="Q4"/>
    <n v="3727"/>
    <n v="14140"/>
    <n v="12439"/>
    <n v="118431"/>
    <n v="0.83"/>
    <n v="6"/>
    <n v="8.2100000000000009"/>
    <n v="7.37"/>
    <n v="78.45"/>
    <n v="1.3"/>
    <n v="10007"/>
    <n v="4004"/>
    <n v="14"/>
    <n v="6221188.6299999999"/>
    <n v="11.804961292058525"/>
    <n v="52699780"/>
  </r>
  <r>
    <s v="P0855"/>
    <s v="Model_602"/>
    <x v="1"/>
    <x v="3"/>
    <n v="2024"/>
    <s v="Q3"/>
    <n v="1168"/>
    <n v="9343"/>
    <n v="14765"/>
    <n v="105745"/>
    <n v="0.1"/>
    <n v="1"/>
    <n v="9.69"/>
    <n v="6.47"/>
    <n v="52.46"/>
    <n v="1.7"/>
    <n v="6320"/>
    <n v="3896"/>
    <n v="4"/>
    <n v="-6438647.4699999997"/>
    <n v="-59.001826416817806"/>
    <n v="10912624"/>
  </r>
  <r>
    <s v="P0856"/>
    <s v="Model_146"/>
    <x v="2"/>
    <x v="1"/>
    <n v="2023"/>
    <s v="Q2"/>
    <n v="1654"/>
    <n v="15710"/>
    <n v="14314"/>
    <n v="100081"/>
    <n v="3.19"/>
    <n v="6"/>
    <n v="4.54"/>
    <n v="0.65"/>
    <n v="30.42"/>
    <n v="5"/>
    <n v="9335"/>
    <n v="392"/>
    <n v="5"/>
    <n v="2208902.35"/>
    <n v="8.500898425744122"/>
    <n v="25984340"/>
  </r>
  <r>
    <s v="P0857"/>
    <s v="Model_721"/>
    <x v="0"/>
    <x v="0"/>
    <n v="2023"/>
    <s v="Q4"/>
    <n v="4077"/>
    <n v="17956"/>
    <n v="13908"/>
    <n v="451927"/>
    <n v="9.9499999999999993"/>
    <n v="7"/>
    <n v="5.07"/>
    <n v="7.13"/>
    <n v="64.05"/>
    <n v="3.3"/>
    <n v="3349"/>
    <n v="6366"/>
    <n v="7"/>
    <n v="16051761.869999999"/>
    <n v="21.926655846332569"/>
    <n v="73206612"/>
  </r>
  <r>
    <s v="P0858"/>
    <s v="Model_924"/>
    <x v="0"/>
    <x v="0"/>
    <n v="2023"/>
    <s v="Q2"/>
    <n v="285"/>
    <n v="11606"/>
    <n v="2562"/>
    <n v="266204"/>
    <n v="6.17"/>
    <n v="6"/>
    <n v="5.72"/>
    <n v="13.85"/>
    <n v="53.41"/>
    <n v="2.4"/>
    <n v="15087"/>
    <n v="6470"/>
    <n v="5"/>
    <n v="2311322.15"/>
    <n v="69.876807519401638"/>
    <n v="3307710"/>
  </r>
  <r>
    <s v="P0859"/>
    <s v="Model_803"/>
    <x v="1"/>
    <x v="1"/>
    <n v="2024"/>
    <s v="Q4"/>
    <n v="2019"/>
    <n v="6689"/>
    <n v="12040"/>
    <n v="462009"/>
    <n v="6.04"/>
    <n v="13"/>
    <n v="9.32"/>
    <n v="0.04"/>
    <n v="28.64"/>
    <n v="2.2000000000000002"/>
    <n v="3453"/>
    <n v="4960"/>
    <n v="9"/>
    <n v="-11265678.039999999"/>
    <n v="-83.418009104862747"/>
    <n v="13505091"/>
  </r>
  <r>
    <s v="P0860"/>
    <s v="Model_898"/>
    <x v="1"/>
    <x v="0"/>
    <n v="2023"/>
    <s v="Q4"/>
    <n v="4479"/>
    <n v="3972"/>
    <n v="11373"/>
    <n v="451415"/>
    <n v="13.27"/>
    <n v="18"/>
    <n v="8.58"/>
    <n v="7.08"/>
    <n v="55.89"/>
    <n v="2"/>
    <n v="20653"/>
    <n v="3829"/>
    <n v="4"/>
    <n v="-33600501.079999998"/>
    <n v="-188.86672593396011"/>
    <n v="17790588"/>
  </r>
  <r>
    <s v="P0861"/>
    <s v="Model_228"/>
    <x v="2"/>
    <x v="0"/>
    <n v="2024"/>
    <s v="Q2"/>
    <n v="1958"/>
    <n v="18591"/>
    <n v="11261"/>
    <n v="126253"/>
    <n v="13.43"/>
    <n v="4"/>
    <n v="1.71"/>
    <n v="22.04"/>
    <n v="75.72"/>
    <n v="3.7"/>
    <n v="14231"/>
    <n v="8062"/>
    <n v="13"/>
    <n v="14225864.960000001"/>
    <n v="39.080781836236184"/>
    <n v="36401178"/>
  </r>
  <r>
    <s v="P0862"/>
    <s v="Model_622"/>
    <x v="0"/>
    <x v="0"/>
    <n v="2024"/>
    <s v="Q2"/>
    <n v="425"/>
    <n v="19688"/>
    <n v="840"/>
    <n v="348335"/>
    <n v="13.64"/>
    <n v="17"/>
    <n v="4.37"/>
    <n v="14.84"/>
    <n v="12.29"/>
    <n v="2.7"/>
    <n v="20930"/>
    <n v="5610"/>
    <n v="4"/>
    <n v="7662050.1600000001"/>
    <n v="91.570262686139074"/>
    <n v="8367400"/>
  </r>
  <r>
    <s v="P0863"/>
    <s v="Model_268"/>
    <x v="1"/>
    <x v="3"/>
    <n v="2023"/>
    <s v="Q1"/>
    <n v="3580"/>
    <n v="8204"/>
    <n v="6627"/>
    <n v="322355"/>
    <n v="4.71"/>
    <n v="19"/>
    <n v="4.6399999999999997"/>
    <n v="15.2"/>
    <n v="60.47"/>
    <n v="4.9000000000000004"/>
    <n v="8340"/>
    <n v="8719"/>
    <n v="4"/>
    <n v="5323289.8"/>
    <n v="18.124725232820072"/>
    <n v="29370320"/>
  </r>
  <r>
    <s v="P0864"/>
    <s v="Model_693"/>
    <x v="1"/>
    <x v="2"/>
    <n v="2024"/>
    <s v="Q1"/>
    <n v="2685"/>
    <n v="5213"/>
    <n v="9059"/>
    <n v="161086"/>
    <n v="10.37"/>
    <n v="11"/>
    <n v="7.89"/>
    <n v="10.08"/>
    <n v="37.97"/>
    <n v="3.7"/>
    <n v="6566"/>
    <n v="6861"/>
    <n v="9"/>
    <n v="-10487606.08"/>
    <n v="-74.928036448057625"/>
    <n v="13996905"/>
  </r>
  <r>
    <s v="P0865"/>
    <s v="Model_228"/>
    <x v="1"/>
    <x v="1"/>
    <n v="2024"/>
    <s v="Q4"/>
    <n v="1620"/>
    <n v="6551"/>
    <n v="1787"/>
    <n v="499962"/>
    <n v="4.07"/>
    <n v="16"/>
    <n v="6.03"/>
    <n v="16.91"/>
    <n v="33.409999999999997"/>
    <n v="4.2"/>
    <n v="3915"/>
    <n v="6210"/>
    <n v="5"/>
    <n v="7217701.0899999999"/>
    <n v="68.01054866752979"/>
    <n v="10612620"/>
  </r>
  <r>
    <s v="P0866"/>
    <s v="Model_688"/>
    <x v="0"/>
    <x v="1"/>
    <n v="2023"/>
    <s v="Q2"/>
    <n v="2610"/>
    <n v="12256"/>
    <n v="14887"/>
    <n v="464758"/>
    <n v="2.86"/>
    <n v="12"/>
    <n v="6.54"/>
    <n v="4.75"/>
    <n v="41.41"/>
    <n v="2.2000000000000002"/>
    <n v="3889"/>
    <n v="7055"/>
    <n v="2"/>
    <n v="-7331672.75"/>
    <n v="-22.919957728109399"/>
    <n v="31988160"/>
  </r>
  <r>
    <s v="P0867"/>
    <s v="Model_708"/>
    <x v="0"/>
    <x v="1"/>
    <n v="2024"/>
    <s v="Q2"/>
    <n v="3441"/>
    <n v="3975"/>
    <n v="8604"/>
    <n v="474528"/>
    <n v="2.77"/>
    <n v="1"/>
    <n v="9.98"/>
    <n v="20.47"/>
    <n v="37.36"/>
    <n v="1.3"/>
    <n v="17711"/>
    <n v="206"/>
    <n v="3"/>
    <n v="-16402937.470000001"/>
    <n v="-119.9222653207072"/>
    <n v="13677975"/>
  </r>
  <r>
    <s v="P0868"/>
    <s v="Model_625"/>
    <x v="1"/>
    <x v="2"/>
    <n v="2024"/>
    <s v="Q3"/>
    <n v="3015"/>
    <n v="5110"/>
    <n v="8589"/>
    <n v="488458"/>
    <n v="5.13"/>
    <n v="12"/>
    <n v="0.75"/>
    <n v="2.92"/>
    <n v="76.58"/>
    <n v="3"/>
    <n v="2263"/>
    <n v="4854"/>
    <n v="14"/>
    <n v="-10977645.92"/>
    <n v="-71.252646876511122"/>
    <n v="15406650"/>
  </r>
  <r>
    <s v="P0869"/>
    <s v="Model_207"/>
    <x v="1"/>
    <x v="2"/>
    <n v="2024"/>
    <s v="Q3"/>
    <n v="3693"/>
    <n v="5755"/>
    <n v="6517"/>
    <n v="414115"/>
    <n v="6.45"/>
    <n v="6"/>
    <n v="2.23"/>
    <n v="16.399999999999999"/>
    <n v="31.98"/>
    <n v="2.2999999999999998"/>
    <n v="18699"/>
    <n v="5378"/>
    <n v="11"/>
    <n v="-3228197.4"/>
    <n v="-15.189219136963514"/>
    <n v="21253215"/>
  </r>
  <r>
    <s v="P0870"/>
    <s v="Model_873"/>
    <x v="0"/>
    <x v="1"/>
    <n v="2024"/>
    <s v="Q2"/>
    <n v="3900"/>
    <n v="15984"/>
    <n v="13000"/>
    <n v="143783"/>
    <n v="12.46"/>
    <n v="9"/>
    <n v="4.08"/>
    <n v="8.5299999999999994"/>
    <n v="68.650000000000006"/>
    <n v="1.8"/>
    <n v="7755"/>
    <n v="6508"/>
    <n v="14"/>
    <n v="11493808.470000001"/>
    <n v="18.438002858627861"/>
    <n v="62337600"/>
  </r>
  <r>
    <s v="P0871"/>
    <s v="Model_119"/>
    <x v="1"/>
    <x v="3"/>
    <n v="2024"/>
    <s v="Q3"/>
    <n v="922"/>
    <n v="3235"/>
    <n v="14743"/>
    <n v="175681"/>
    <n v="1.8"/>
    <n v="5"/>
    <n v="3.48"/>
    <n v="18.690000000000001"/>
    <n v="17.52"/>
    <n v="4.8"/>
    <n v="18761"/>
    <n v="7735"/>
    <n v="14"/>
    <n v="-10786075.689999999"/>
    <n v="-361.62484250688141"/>
    <n v="2982670"/>
  </r>
  <r>
    <s v="P0872"/>
    <s v="Model_354"/>
    <x v="2"/>
    <x v="2"/>
    <n v="2023"/>
    <s v="Q4"/>
    <n v="1302"/>
    <n v="9758"/>
    <n v="3998"/>
    <n v="137893"/>
    <n v="11.02"/>
    <n v="2"/>
    <n v="0.22"/>
    <n v="13.74"/>
    <n v="86.11"/>
    <n v="2.8"/>
    <n v="8673"/>
    <n v="1325"/>
    <n v="3"/>
    <n v="7361613.2599999998"/>
    <n v="57.943029768949273"/>
    <n v="12704916"/>
  </r>
  <r>
    <s v="P0873"/>
    <s v="Model_195"/>
    <x v="1"/>
    <x v="3"/>
    <n v="2024"/>
    <s v="Q3"/>
    <n v="1364"/>
    <n v="9479"/>
    <n v="6174"/>
    <n v="498604"/>
    <n v="7.97"/>
    <n v="2"/>
    <n v="0.92"/>
    <n v="11.31"/>
    <n v="59.79"/>
    <n v="1.7"/>
    <n v="12018"/>
    <n v="4350"/>
    <n v="4"/>
    <n v="4009404.69"/>
    <n v="31.010088128132601"/>
    <n v="12929356"/>
  </r>
  <r>
    <s v="P0874"/>
    <s v="Model_950"/>
    <x v="0"/>
    <x v="3"/>
    <n v="2024"/>
    <s v="Q1"/>
    <n v="4870"/>
    <n v="3928"/>
    <n v="5590"/>
    <n v="208763"/>
    <n v="4.32"/>
    <n v="17"/>
    <n v="6.81"/>
    <n v="4.24"/>
    <n v="66.540000000000006"/>
    <n v="1.8"/>
    <n v="11752"/>
    <n v="995"/>
    <n v="7"/>
    <n v="-8302707.2400000002"/>
    <n v="-43.402953575028121"/>
    <n v="19129360"/>
  </r>
  <r>
    <s v="P0875"/>
    <s v="Model_163"/>
    <x v="2"/>
    <x v="1"/>
    <n v="2024"/>
    <s v="Q2"/>
    <n v="2948"/>
    <n v="13845"/>
    <n v="7983"/>
    <n v="127960"/>
    <n v="7.39"/>
    <n v="10"/>
    <n v="8.7899999999999991"/>
    <n v="15.92"/>
    <n v="33.840000000000003"/>
    <n v="2.1"/>
    <n v="13947"/>
    <n v="1720"/>
    <n v="9"/>
    <n v="17153200.079999998"/>
    <n v="42.026644282772089"/>
    <n v="40815060"/>
  </r>
  <r>
    <s v="P0876"/>
    <s v="Model_273"/>
    <x v="2"/>
    <x v="1"/>
    <n v="2024"/>
    <s v="Q2"/>
    <n v="127"/>
    <n v="8926"/>
    <n v="3324"/>
    <n v="396532"/>
    <n v="4.5"/>
    <n v="19"/>
    <n v="5.14"/>
    <n v="24.37"/>
    <n v="42.97"/>
    <n v="5"/>
    <n v="16589"/>
    <n v="5188"/>
    <n v="13"/>
    <n v="314897.63"/>
    <n v="27.77849986150342"/>
    <n v="1133602"/>
  </r>
  <r>
    <s v="P0877"/>
    <s v="Model_607"/>
    <x v="2"/>
    <x v="3"/>
    <n v="2023"/>
    <s v="Q1"/>
    <n v="2671"/>
    <n v="10033"/>
    <n v="10077"/>
    <n v="72601"/>
    <n v="8.94"/>
    <n v="4"/>
    <n v="5.39"/>
    <n v="20.64"/>
    <n v="27.9"/>
    <n v="2.1"/>
    <n v="10895"/>
    <n v="5519"/>
    <n v="2"/>
    <n v="-190145.64"/>
    <n v="-0.70954782202632483"/>
    <n v="26798143"/>
  </r>
  <r>
    <s v="P0878"/>
    <s v="Model_894"/>
    <x v="1"/>
    <x v="0"/>
    <n v="2024"/>
    <s v="Q3"/>
    <n v="4277"/>
    <n v="6749"/>
    <n v="3279"/>
    <n v="461236"/>
    <n v="6.51"/>
    <n v="18"/>
    <n v="2.5499999999999998"/>
    <n v="1.5"/>
    <n v="84.6"/>
    <n v="2.2999999999999998"/>
    <n v="13567"/>
    <n v="1485"/>
    <n v="10"/>
    <n v="14379952.5"/>
    <n v="49.817137934999366"/>
    <n v="28865473"/>
  </r>
  <r>
    <s v="P0879"/>
    <s v="Model_128"/>
    <x v="1"/>
    <x v="2"/>
    <n v="2023"/>
    <s v="Q1"/>
    <n v="650"/>
    <n v="11186"/>
    <n v="10685"/>
    <n v="189227"/>
    <n v="2.4700000000000002"/>
    <n v="18"/>
    <n v="7.68"/>
    <n v="9.41"/>
    <n v="49.05"/>
    <n v="3.6"/>
    <n v="20707"/>
    <n v="2533"/>
    <n v="2"/>
    <n v="136413.59"/>
    <n v="1.8761582472596239"/>
    <n v="7270900"/>
  </r>
  <r>
    <s v="P0880"/>
    <s v="Model_935"/>
    <x v="2"/>
    <x v="1"/>
    <n v="2024"/>
    <s v="Q1"/>
    <n v="1115"/>
    <n v="15609"/>
    <n v="11307"/>
    <n v="250191"/>
    <n v="1.75"/>
    <n v="14"/>
    <n v="7.52"/>
    <n v="23.14"/>
    <n v="60.44"/>
    <n v="2.2000000000000002"/>
    <n v="6787"/>
    <n v="1401"/>
    <n v="11"/>
    <n v="4546515.8600000003"/>
    <n v="26.123343580956949"/>
    <n v="17404035"/>
  </r>
  <r>
    <s v="P0881"/>
    <s v="Model_326"/>
    <x v="1"/>
    <x v="0"/>
    <n v="2023"/>
    <s v="Q3"/>
    <n v="2186"/>
    <n v="2161"/>
    <n v="5954"/>
    <n v="217849"/>
    <n v="8.1999999999999993"/>
    <n v="15"/>
    <n v="5.88"/>
    <n v="12.58"/>
    <n v="68.739999999999995"/>
    <n v="1.9"/>
    <n v="14961"/>
    <n v="6958"/>
    <n v="3"/>
    <n v="-8509359.5800000001"/>
    <n v="-180.13244816939061"/>
    <n v="4723946"/>
  </r>
  <r>
    <s v="P0882"/>
    <s v="Model_613"/>
    <x v="1"/>
    <x v="0"/>
    <n v="2023"/>
    <s v="Q2"/>
    <n v="2499"/>
    <n v="13575"/>
    <n v="1578"/>
    <n v="331854"/>
    <n v="13.54"/>
    <n v="8"/>
    <n v="2.13"/>
    <n v="16.55"/>
    <n v="39.69"/>
    <n v="1.6"/>
    <n v="14902"/>
    <n v="9050"/>
    <n v="4"/>
    <n v="29648632.449999999"/>
    <n v="87.397411856086819"/>
    <n v="33923925"/>
  </r>
  <r>
    <s v="P0883"/>
    <s v="Model_364"/>
    <x v="2"/>
    <x v="2"/>
    <n v="2024"/>
    <s v="Q1"/>
    <n v="2393"/>
    <n v="16288"/>
    <n v="13581"/>
    <n v="420858"/>
    <n v="5.16"/>
    <n v="3"/>
    <n v="0.97"/>
    <n v="22.81"/>
    <n v="67.61"/>
    <n v="2.2999999999999998"/>
    <n v="8933"/>
    <n v="9038"/>
    <n v="8"/>
    <n v="6056970.1900000004"/>
    <n v="15.539783966948459"/>
    <n v="38977184"/>
  </r>
  <r>
    <s v="P0884"/>
    <s v="Model_153"/>
    <x v="1"/>
    <x v="3"/>
    <n v="2023"/>
    <s v="Q2"/>
    <n v="1913"/>
    <n v="11560"/>
    <n v="10577"/>
    <n v="205604"/>
    <n v="11"/>
    <n v="14"/>
    <n v="0.64"/>
    <n v="21.84"/>
    <n v="64.08"/>
    <n v="1.4"/>
    <n v="12784"/>
    <n v="8884"/>
    <n v="10"/>
    <n v="1674853.16"/>
    <n v="7.5736273575264486"/>
    <n v="22114280"/>
  </r>
  <r>
    <s v="P0885"/>
    <s v="Model_212"/>
    <x v="2"/>
    <x v="1"/>
    <n v="2024"/>
    <s v="Q4"/>
    <n v="1368"/>
    <n v="17336"/>
    <n v="2292"/>
    <n v="178727"/>
    <n v="9.8800000000000008"/>
    <n v="11"/>
    <n v="5.93"/>
    <n v="12.55"/>
    <n v="66.45"/>
    <n v="1.1000000000000001"/>
    <n v="6326"/>
    <n v="5744"/>
    <n v="4"/>
    <n v="20401452.449999999"/>
    <n v="86.025279385155315"/>
    <n v="23715648"/>
  </r>
  <r>
    <s v="P0886"/>
    <s v="Model_744"/>
    <x v="0"/>
    <x v="1"/>
    <n v="2023"/>
    <s v="Q1"/>
    <n v="4761"/>
    <n v="12026"/>
    <n v="14878"/>
    <n v="461817"/>
    <n v="13.97"/>
    <n v="2"/>
    <n v="8.25"/>
    <n v="10.94"/>
    <n v="49.14"/>
    <n v="4.2"/>
    <n v="5164"/>
    <n v="5188"/>
    <n v="9"/>
    <n v="-14040199.939999999"/>
    <n v="-24.521888390458912"/>
    <n v="57255786"/>
  </r>
  <r>
    <s v="P0887"/>
    <s v="Model_508"/>
    <x v="1"/>
    <x v="2"/>
    <n v="2023"/>
    <s v="Q2"/>
    <n v="3647"/>
    <n v="4874"/>
    <n v="1460"/>
    <n v="113227"/>
    <n v="12.31"/>
    <n v="13"/>
    <n v="8.58"/>
    <n v="8.49"/>
    <n v="40.630000000000003"/>
    <n v="1.6"/>
    <n v="12028"/>
    <n v="9360"/>
    <n v="10"/>
    <n v="12337622.51"/>
    <n v="69.408105424788019"/>
    <n v="17775478"/>
  </r>
  <r>
    <s v="P0888"/>
    <s v="Model_626"/>
    <x v="2"/>
    <x v="0"/>
    <n v="2023"/>
    <s v="Q3"/>
    <n v="3812"/>
    <n v="1707"/>
    <n v="2148"/>
    <n v="186039"/>
    <n v="8.5"/>
    <n v="16"/>
    <n v="4.6399999999999997"/>
    <n v="17.98"/>
    <n v="27.77"/>
    <n v="4.0999999999999996"/>
    <n v="1997"/>
    <n v="5540"/>
    <n v="11"/>
    <n v="-1867148.98"/>
    <n v="-28.694096772071791"/>
    <n v="6507084"/>
  </r>
  <r>
    <s v="P0889"/>
    <s v="Model_904"/>
    <x v="0"/>
    <x v="2"/>
    <n v="2024"/>
    <s v="Q1"/>
    <n v="4720"/>
    <n v="4165"/>
    <n v="14415"/>
    <n v="134289"/>
    <n v="9.86"/>
    <n v="18"/>
    <n v="7.84"/>
    <n v="7.17"/>
    <n v="75.97"/>
    <n v="4.2"/>
    <n v="9141"/>
    <n v="7593"/>
    <n v="8"/>
    <n v="-48514296.170000002"/>
    <n v="-246.78157451116039"/>
    <n v="19658800"/>
  </r>
  <r>
    <s v="P0890"/>
    <s v="Model_947"/>
    <x v="2"/>
    <x v="0"/>
    <n v="2024"/>
    <s v="Q2"/>
    <n v="2240"/>
    <n v="2132"/>
    <n v="10291"/>
    <n v="201094"/>
    <n v="13.48"/>
    <n v="5"/>
    <n v="9.4700000000000006"/>
    <n v="6.25"/>
    <n v="58.67"/>
    <n v="3.2"/>
    <n v="6143"/>
    <n v="6391"/>
    <n v="5"/>
    <n v="-18477260.25"/>
    <n v="-386.90323158168047"/>
    <n v="4775680"/>
  </r>
  <r>
    <s v="P0891"/>
    <s v="Model_930"/>
    <x v="0"/>
    <x v="1"/>
    <n v="2023"/>
    <s v="Q3"/>
    <n v="1042"/>
    <n v="4583"/>
    <n v="12932"/>
    <n v="486679"/>
    <n v="5.99"/>
    <n v="3"/>
    <n v="2.75"/>
    <n v="8.91"/>
    <n v="45.55"/>
    <n v="2.2000000000000002"/>
    <n v="6556"/>
    <n v="3407"/>
    <n v="5"/>
    <n v="-9186345.9100000001"/>
    <n v="-192.36462864722043"/>
    <n v="4775486"/>
  </r>
  <r>
    <s v="P0892"/>
    <s v="Model_295"/>
    <x v="2"/>
    <x v="3"/>
    <n v="2024"/>
    <s v="Q2"/>
    <n v="2762"/>
    <n v="15211"/>
    <n v="10978"/>
    <n v="255743"/>
    <n v="4.9000000000000004"/>
    <n v="6"/>
    <n v="3.98"/>
    <n v="4.43"/>
    <n v="85.52"/>
    <n v="1.6"/>
    <n v="1631"/>
    <n v="8994"/>
    <n v="5"/>
    <n v="11435798.57"/>
    <n v="27.219807938450728"/>
    <n v="42012782"/>
  </r>
  <r>
    <s v="P0893"/>
    <s v="Model_120"/>
    <x v="1"/>
    <x v="3"/>
    <n v="2023"/>
    <s v="Q2"/>
    <n v="2242"/>
    <n v="11623"/>
    <n v="8651"/>
    <n v="317866"/>
    <n v="0.16"/>
    <n v="18"/>
    <n v="9.31"/>
    <n v="17.38"/>
    <n v="13.83"/>
    <n v="3.9"/>
    <n v="6943"/>
    <n v="4808"/>
    <n v="7"/>
    <n v="6345340.6200000001"/>
    <n v="24.350119341798457"/>
    <n v="26058766"/>
  </r>
  <r>
    <s v="P0894"/>
    <s v="Model_269"/>
    <x v="0"/>
    <x v="1"/>
    <n v="2024"/>
    <s v="Q1"/>
    <n v="1298"/>
    <n v="8623"/>
    <n v="7956"/>
    <n v="208485"/>
    <n v="12.4"/>
    <n v="16"/>
    <n v="3.38"/>
    <n v="15.41"/>
    <n v="78.010000000000005"/>
    <n v="3.4"/>
    <n v="18741"/>
    <n v="204"/>
    <n v="5"/>
    <n v="657265.59"/>
    <n v="5.8722943637853895"/>
    <n v="11192654"/>
  </r>
  <r>
    <s v="P0895"/>
    <s v="Model_340"/>
    <x v="1"/>
    <x v="1"/>
    <n v="2024"/>
    <s v="Q2"/>
    <n v="3104"/>
    <n v="12254"/>
    <n v="2844"/>
    <n v="393194"/>
    <n v="12.01"/>
    <n v="15"/>
    <n v="9.14"/>
    <n v="12.07"/>
    <n v="89.81"/>
    <n v="3.6"/>
    <n v="14943"/>
    <n v="9789"/>
    <n v="6"/>
    <n v="28815433.93"/>
    <n v="75.757489690931976"/>
    <n v="38036416"/>
  </r>
  <r>
    <s v="P0896"/>
    <s v="Model_980"/>
    <x v="1"/>
    <x v="3"/>
    <n v="2024"/>
    <s v="Q1"/>
    <n v="4648"/>
    <n v="3179"/>
    <n v="8168"/>
    <n v="283820"/>
    <n v="1.57"/>
    <n v="14"/>
    <n v="9.81"/>
    <n v="9.76"/>
    <n v="80.959999999999994"/>
    <n v="1"/>
    <n v="10212"/>
    <n v="3933"/>
    <n v="10"/>
    <n v="-23472701.760000002"/>
    <n v="-158.85702807635522"/>
    <n v="14775992"/>
  </r>
  <r>
    <s v="P0897"/>
    <s v="Model_965"/>
    <x v="2"/>
    <x v="1"/>
    <n v="2024"/>
    <s v="Q3"/>
    <n v="4083"/>
    <n v="17401"/>
    <n v="4316"/>
    <n v="286994"/>
    <n v="8.65"/>
    <n v="7"/>
    <n v="6.62"/>
    <n v="22.73"/>
    <n v="74.83"/>
    <n v="4.7"/>
    <n v="9721"/>
    <n v="495"/>
    <n v="13"/>
    <n v="53139038.270000003"/>
    <n v="74.792853572548694"/>
    <n v="71048283"/>
  </r>
  <r>
    <s v="P0898"/>
    <s v="Model_997"/>
    <x v="2"/>
    <x v="3"/>
    <n v="2023"/>
    <s v="Q3"/>
    <n v="2047"/>
    <n v="1736"/>
    <n v="14435"/>
    <n v="395740"/>
    <n v="6.96"/>
    <n v="18"/>
    <n v="8.17"/>
    <n v="0.73"/>
    <n v="39.94"/>
    <n v="1.3"/>
    <n v="17160"/>
    <n v="3617"/>
    <n v="8"/>
    <n v="-26390593.73"/>
    <n v="-742.64557467486418"/>
    <n v="3553592"/>
  </r>
  <r>
    <s v="P0899"/>
    <s v="Model_818"/>
    <x v="1"/>
    <x v="3"/>
    <n v="2024"/>
    <s v="Q4"/>
    <n v="4966"/>
    <n v="8946"/>
    <n v="10050"/>
    <n v="378876"/>
    <n v="1.78"/>
    <n v="7"/>
    <n v="7.5"/>
    <n v="19.23"/>
    <n v="28.51"/>
    <n v="2.5"/>
    <n v="7647"/>
    <n v="3391"/>
    <n v="9"/>
    <n v="-5861359.2300000004"/>
    <n v="-13.193582288468358"/>
    <n v="44425836"/>
  </r>
  <r>
    <s v="P0900"/>
    <s v="Model_343"/>
    <x v="1"/>
    <x v="2"/>
    <n v="2023"/>
    <s v="Q3"/>
    <n v="3737"/>
    <n v="5943"/>
    <n v="9968"/>
    <n v="455513"/>
    <n v="14.71"/>
    <n v="17"/>
    <n v="7"/>
    <n v="22.55"/>
    <n v="68.790000000000006"/>
    <n v="2.6"/>
    <n v="13088"/>
    <n v="2110"/>
    <n v="6"/>
    <n v="-15496960.550000001"/>
    <n v="-69.77786856683403"/>
    <n v="22208991"/>
  </r>
  <r>
    <s v="P0901"/>
    <s v="Model_829"/>
    <x v="2"/>
    <x v="2"/>
    <n v="2023"/>
    <s v="Q1"/>
    <n v="2201"/>
    <n v="16963"/>
    <n v="5377"/>
    <n v="118323"/>
    <n v="3.22"/>
    <n v="15"/>
    <n v="3.07"/>
    <n v="11.16"/>
    <n v="34.369999999999997"/>
    <n v="1"/>
    <n v="6104"/>
    <n v="4637"/>
    <n v="6"/>
    <n v="25382451.84"/>
    <n v="67.984650023892769"/>
    <n v="37335563"/>
  </r>
  <r>
    <s v="P0902"/>
    <s v="Model_120"/>
    <x v="1"/>
    <x v="0"/>
    <n v="2024"/>
    <s v="Q1"/>
    <n v="4068"/>
    <n v="10055"/>
    <n v="1527"/>
    <n v="335960"/>
    <n v="1.01"/>
    <n v="19"/>
    <n v="0.56999999999999995"/>
    <n v="13.77"/>
    <n v="24.08"/>
    <n v="3"/>
    <n v="10952"/>
    <n v="9960"/>
    <n v="14"/>
    <n v="34355930.229999997"/>
    <n v="83.992148957528073"/>
    <n v="40903740"/>
  </r>
  <r>
    <s v="P0903"/>
    <s v="Model_840"/>
    <x v="2"/>
    <x v="1"/>
    <n v="2024"/>
    <s v="Q4"/>
    <n v="3160"/>
    <n v="18169"/>
    <n v="11519"/>
    <n v="90695"/>
    <n v="8.92"/>
    <n v="18"/>
    <n v="3.43"/>
    <n v="23.61"/>
    <n v="72.92"/>
    <n v="4"/>
    <n v="19442"/>
    <n v="5068"/>
    <n v="12"/>
    <n v="20923281.390000001"/>
    <n v="36.442795856205208"/>
    <n v="57414040"/>
  </r>
  <r>
    <s v="P0904"/>
    <s v="Model_982"/>
    <x v="2"/>
    <x v="0"/>
    <n v="2024"/>
    <s v="Q2"/>
    <n v="2020"/>
    <n v="1648"/>
    <n v="12128"/>
    <n v="462918"/>
    <n v="11.08"/>
    <n v="9"/>
    <n v="6.67"/>
    <n v="5.31"/>
    <n v="35"/>
    <n v="4.3"/>
    <n v="17899"/>
    <n v="4862"/>
    <n v="8"/>
    <n v="-21632523.309999999"/>
    <n v="-649.82827399548205"/>
    <n v="3328960"/>
  </r>
  <r>
    <s v="P0905"/>
    <s v="Model_484"/>
    <x v="2"/>
    <x v="2"/>
    <n v="2024"/>
    <s v="Q2"/>
    <n v="247"/>
    <n v="14895"/>
    <n v="14119"/>
    <n v="468458"/>
    <n v="0.49"/>
    <n v="16"/>
    <n v="1.03"/>
    <n v="13"/>
    <n v="83.16"/>
    <n v="4.5"/>
    <n v="5105"/>
    <n v="1151"/>
    <n v="12"/>
    <n v="-276799"/>
    <n v="-7.5236235293478098"/>
    <n v="3679065"/>
  </r>
  <r>
    <s v="P0906"/>
    <s v="Model_419"/>
    <x v="2"/>
    <x v="0"/>
    <n v="2024"/>
    <s v="Q3"/>
    <n v="2676"/>
    <n v="6395"/>
    <n v="8268"/>
    <n v="105841"/>
    <n v="9.8800000000000008"/>
    <n v="12"/>
    <n v="0.12"/>
    <n v="11.87"/>
    <n v="77.25"/>
    <n v="3"/>
    <n v="14784"/>
    <n v="2941"/>
    <n v="14"/>
    <n v="-5118000.87"/>
    <n v="-29.907058309988539"/>
    <n v="17113020"/>
  </r>
  <r>
    <s v="P0907"/>
    <s v="Model_861"/>
    <x v="1"/>
    <x v="3"/>
    <n v="2024"/>
    <s v="Q3"/>
    <n v="1252"/>
    <n v="18896"/>
    <n v="1142"/>
    <n v="440642"/>
    <n v="7.98"/>
    <n v="12"/>
    <n v="1.4"/>
    <n v="6.46"/>
    <n v="77.81"/>
    <n v="3.5"/>
    <n v="3107"/>
    <n v="6718"/>
    <n v="13"/>
    <n v="21787359.539999999"/>
    <n v="92.09379953970344"/>
    <n v="23657792"/>
  </r>
  <r>
    <s v="P0908"/>
    <s v="Model_626"/>
    <x v="2"/>
    <x v="3"/>
    <n v="2024"/>
    <s v="Q1"/>
    <n v="2085"/>
    <n v="12523"/>
    <n v="2247"/>
    <n v="248784"/>
    <n v="1.55"/>
    <n v="6"/>
    <n v="7.16"/>
    <n v="20.46"/>
    <n v="71.73"/>
    <n v="1.3"/>
    <n v="13209"/>
    <n v="4823"/>
    <n v="9"/>
    <n v="21176655.539999999"/>
    <n v="81.10412300360143"/>
    <n v="26110455"/>
  </r>
  <r>
    <s v="P0909"/>
    <s v="Model_902"/>
    <x v="2"/>
    <x v="3"/>
    <n v="2024"/>
    <s v="Q4"/>
    <n v="527"/>
    <n v="12199"/>
    <n v="11371"/>
    <n v="157096"/>
    <n v="2.59"/>
    <n v="9"/>
    <n v="9.73"/>
    <n v="22.49"/>
    <n v="80.47"/>
    <n v="3"/>
    <n v="3516"/>
    <n v="7572"/>
    <n v="10"/>
    <n v="279237.51"/>
    <n v="4.3434908420185003"/>
    <n v="6428873"/>
  </r>
  <r>
    <s v="P0910"/>
    <s v="Model_712"/>
    <x v="0"/>
    <x v="1"/>
    <n v="2023"/>
    <s v="Q4"/>
    <n v="1304"/>
    <n v="11215"/>
    <n v="7381"/>
    <n v="142764"/>
    <n v="8.52"/>
    <n v="1"/>
    <n v="9.83"/>
    <n v="19.55"/>
    <n v="74.459999999999994"/>
    <n v="1.6"/>
    <n v="5074"/>
    <n v="8013"/>
    <n v="3"/>
    <n v="4856752.45"/>
    <n v="33.210017053737737"/>
    <n v="14624360"/>
  </r>
  <r>
    <s v="P0911"/>
    <s v="Model_563"/>
    <x v="1"/>
    <x v="0"/>
    <n v="2024"/>
    <s v="Q2"/>
    <n v="972"/>
    <n v="17663"/>
    <n v="12651"/>
    <n v="496790"/>
    <n v="4.45"/>
    <n v="3"/>
    <n v="4.9400000000000004"/>
    <n v="4.88"/>
    <n v="58.2"/>
    <n v="2.5"/>
    <n v="15041"/>
    <n v="5624"/>
    <n v="4"/>
    <n v="4374869.12"/>
    <n v="25.482048102692641"/>
    <n v="17168436"/>
  </r>
  <r>
    <s v="P0912"/>
    <s v="Model_441"/>
    <x v="2"/>
    <x v="0"/>
    <n v="2023"/>
    <s v="Q4"/>
    <n v="469"/>
    <n v="7282"/>
    <n v="7117"/>
    <n v="135744"/>
    <n v="14.07"/>
    <n v="5"/>
    <n v="8.69"/>
    <n v="2.17"/>
    <n v="33.67"/>
    <n v="2.2999999999999998"/>
    <n v="8774"/>
    <n v="3684"/>
    <n v="13"/>
    <n v="-58361.17"/>
    <n v="-1.7088363455996589"/>
    <n v="3415258"/>
  </r>
  <r>
    <s v="P0913"/>
    <s v="Model_689"/>
    <x v="1"/>
    <x v="3"/>
    <n v="2024"/>
    <s v="Q4"/>
    <n v="2254"/>
    <n v="18224"/>
    <n v="1326"/>
    <n v="340626"/>
    <n v="12.28"/>
    <n v="17"/>
    <n v="7.37"/>
    <n v="15.14"/>
    <n v="81.06"/>
    <n v="2.7"/>
    <n v="11435"/>
    <n v="8639"/>
    <n v="13"/>
    <n v="37747450.859999999"/>
    <n v="91.894603866854979"/>
    <n v="41076896"/>
  </r>
  <r>
    <s v="P0914"/>
    <s v="Model_667"/>
    <x v="1"/>
    <x v="3"/>
    <n v="2023"/>
    <s v="Q1"/>
    <n v="2647"/>
    <n v="4317"/>
    <n v="10888"/>
    <n v="59171"/>
    <n v="14.75"/>
    <n v="5"/>
    <n v="5.01"/>
    <n v="1.43"/>
    <n v="77.25"/>
    <n v="3.3"/>
    <n v="17248"/>
    <n v="1363"/>
    <n v="3"/>
    <n v="-17452609.43"/>
    <n v="-152.730009865146"/>
    <n v="11427099"/>
  </r>
  <r>
    <s v="P0915"/>
    <s v="Model_221"/>
    <x v="0"/>
    <x v="3"/>
    <n v="2023"/>
    <s v="Q1"/>
    <n v="1170"/>
    <n v="16596"/>
    <n v="13746"/>
    <n v="150755"/>
    <n v="3.9"/>
    <n v="16"/>
    <n v="5.73"/>
    <n v="16.82"/>
    <n v="47.83"/>
    <n v="4.5999999999999996"/>
    <n v="7906"/>
    <n v="4765"/>
    <n v="11"/>
    <n v="3183728.18"/>
    <n v="16.396331625579638"/>
    <n v="19417320"/>
  </r>
  <r>
    <s v="P0916"/>
    <s v="Model_957"/>
    <x v="2"/>
    <x v="3"/>
    <n v="2023"/>
    <s v="Q2"/>
    <n v="3118"/>
    <n v="6799"/>
    <n v="11065"/>
    <n v="158125"/>
    <n v="14.55"/>
    <n v="13"/>
    <n v="1.37"/>
    <n v="13.26"/>
    <n v="13.13"/>
    <n v="2.6"/>
    <n v="13326"/>
    <n v="8114"/>
    <n v="8"/>
    <n v="-13459526.26"/>
    <n v="-63.490481705937022"/>
    <n v="21199282"/>
  </r>
  <r>
    <s v="P0917"/>
    <s v="Model_594"/>
    <x v="0"/>
    <x v="0"/>
    <n v="2024"/>
    <s v="Q4"/>
    <n v="1000"/>
    <n v="11417"/>
    <n v="13907"/>
    <n v="442866"/>
    <n v="6.47"/>
    <n v="10"/>
    <n v="9.3800000000000008"/>
    <n v="16.57"/>
    <n v="61.08"/>
    <n v="4.9000000000000004"/>
    <n v="18972"/>
    <n v="1451"/>
    <n v="13"/>
    <n v="-2932882.57"/>
    <n v="-25.688732328983093"/>
    <n v="11417000"/>
  </r>
  <r>
    <s v="P0918"/>
    <s v="Model_474"/>
    <x v="0"/>
    <x v="3"/>
    <n v="2024"/>
    <s v="Q2"/>
    <n v="2386"/>
    <n v="19573"/>
    <n v="7548"/>
    <n v="418226"/>
    <n v="5.21"/>
    <n v="18"/>
    <n v="3.52"/>
    <n v="14.75"/>
    <n v="14.05"/>
    <n v="4"/>
    <n v="2861"/>
    <n v="7080"/>
    <n v="3"/>
    <n v="28273409.25"/>
    <n v="60.541105087327772"/>
    <n v="46701178"/>
  </r>
  <r>
    <s v="P0919"/>
    <s v="Model_886"/>
    <x v="1"/>
    <x v="3"/>
    <n v="2023"/>
    <s v="Q4"/>
    <n v="2293"/>
    <n v="4767"/>
    <n v="1205"/>
    <n v="53696"/>
    <n v="0.76"/>
    <n v="1"/>
    <n v="4.46"/>
    <n v="10.57"/>
    <n v="84.1"/>
    <n v="3"/>
    <n v="5973"/>
    <n v="7290"/>
    <n v="13"/>
    <n v="8113959.4299999997"/>
    <n v="74.23071183436862"/>
    <n v="10930731"/>
  </r>
  <r>
    <s v="P0920"/>
    <s v="Model_244"/>
    <x v="2"/>
    <x v="3"/>
    <n v="2023"/>
    <s v="Q2"/>
    <n v="2695"/>
    <n v="5906"/>
    <n v="8786"/>
    <n v="176310"/>
    <n v="0.79"/>
    <n v="2"/>
    <n v="6.72"/>
    <n v="5.0199999999999996"/>
    <n v="86.93"/>
    <n v="3.6"/>
    <n v="8819"/>
    <n v="3927"/>
    <n v="3"/>
    <n v="-7937915.0199999996"/>
    <n v="-49.871706958804822"/>
    <n v="15916670"/>
  </r>
  <r>
    <s v="P0921"/>
    <s v="Model_357"/>
    <x v="0"/>
    <x v="0"/>
    <n v="2023"/>
    <s v="Q1"/>
    <n v="1907"/>
    <n v="19326"/>
    <n v="10565"/>
    <n v="463274"/>
    <n v="10.38"/>
    <n v="10"/>
    <n v="3.34"/>
    <n v="7.64"/>
    <n v="25.16"/>
    <n v="1.4"/>
    <n v="10167"/>
    <n v="8961"/>
    <n v="3"/>
    <n v="16243945.359999999"/>
    <n v="44.075662788244927"/>
    <n v="36854682"/>
  </r>
  <r>
    <s v="P0922"/>
    <s v="Model_187"/>
    <x v="0"/>
    <x v="1"/>
    <n v="2024"/>
    <s v="Q4"/>
    <n v="4662"/>
    <n v="11882"/>
    <n v="14899"/>
    <n v="201385"/>
    <n v="6.87"/>
    <n v="5"/>
    <n v="2.54"/>
    <n v="13.11"/>
    <n v="64.11"/>
    <n v="4.4000000000000004"/>
    <n v="10981"/>
    <n v="2746"/>
    <n v="13"/>
    <n v="-14266652.109999999"/>
    <n v="-25.75492289004324"/>
    <n v="55393884"/>
  </r>
  <r>
    <s v="P0923"/>
    <s v="Model_986"/>
    <x v="2"/>
    <x v="0"/>
    <n v="2023"/>
    <s v="Q4"/>
    <n v="1915"/>
    <n v="5937"/>
    <n v="13592"/>
    <n v="331293"/>
    <n v="3.4"/>
    <n v="13"/>
    <n v="6.31"/>
    <n v="16.3"/>
    <n v="17.38"/>
    <n v="3.3"/>
    <n v="10020"/>
    <n v="366"/>
    <n v="14"/>
    <n v="-14990634.300000001"/>
    <n v="-131.85122902750422"/>
    <n v="11369355"/>
  </r>
  <r>
    <s v="P0924"/>
    <s v="Model_468"/>
    <x v="0"/>
    <x v="1"/>
    <n v="2024"/>
    <s v="Q4"/>
    <n v="2962"/>
    <n v="6935"/>
    <n v="4540"/>
    <n v="442208"/>
    <n v="9.2100000000000009"/>
    <n v="18"/>
    <n v="0.25"/>
    <n v="19.489999999999998"/>
    <n v="68.36"/>
    <n v="4.9000000000000004"/>
    <n v="19070"/>
    <n v="9730"/>
    <n v="5"/>
    <n v="6651762.5099999998"/>
    <n v="32.382115350069881"/>
    <n v="20541470"/>
  </r>
  <r>
    <s v="P0925"/>
    <s v="Model_552"/>
    <x v="1"/>
    <x v="2"/>
    <n v="2023"/>
    <s v="Q2"/>
    <n v="2903"/>
    <n v="5607"/>
    <n v="13266"/>
    <n v="365665"/>
    <n v="3.79"/>
    <n v="15"/>
    <n v="7.21"/>
    <n v="19.18"/>
    <n v="37.78"/>
    <n v="3.5"/>
    <n v="5036"/>
    <n v="7534"/>
    <n v="2"/>
    <n v="-22599761.18"/>
    <n v="-138.84372537379306"/>
    <n v="16277121"/>
  </r>
  <r>
    <s v="P0926"/>
    <s v="Model_955"/>
    <x v="0"/>
    <x v="2"/>
    <n v="2023"/>
    <s v="Q3"/>
    <n v="4960"/>
    <n v="2060"/>
    <n v="13219"/>
    <n v="95740"/>
    <n v="8.66"/>
    <n v="6"/>
    <n v="5.14"/>
    <n v="24.32"/>
    <n v="64.48"/>
    <n v="4.3"/>
    <n v="3273"/>
    <n v="1122"/>
    <n v="3"/>
    <n v="-55444404.32"/>
    <n v="-542.63627779517697"/>
    <n v="10217600"/>
  </r>
  <r>
    <s v="P0927"/>
    <s v="Model_868"/>
    <x v="0"/>
    <x v="3"/>
    <n v="2023"/>
    <s v="Q4"/>
    <n v="3278"/>
    <n v="13829"/>
    <n v="2646"/>
    <n v="156611"/>
    <n v="5.39"/>
    <n v="7"/>
    <n v="6.06"/>
    <n v="7.15"/>
    <n v="39.83"/>
    <n v="4.2"/>
    <n v="11755"/>
    <n v="8047"/>
    <n v="4"/>
    <n v="36501255.850000001"/>
    <n v="80.520799990964335"/>
    <n v="45331462"/>
  </r>
  <r>
    <s v="P0928"/>
    <s v="Model_259"/>
    <x v="2"/>
    <x v="3"/>
    <n v="2023"/>
    <s v="Q4"/>
    <n v="3769"/>
    <n v="3326"/>
    <n v="2278"/>
    <n v="448172"/>
    <n v="12.35"/>
    <n v="18"/>
    <n v="6.32"/>
    <n v="1.78"/>
    <n v="21.65"/>
    <n v="2.4"/>
    <n v="4058"/>
    <n v="2137"/>
    <n v="8"/>
    <n v="3501738.22"/>
    <n v="27.934139266641324"/>
    <n v="12535694"/>
  </r>
  <r>
    <s v="P0929"/>
    <s v="Model_325"/>
    <x v="1"/>
    <x v="3"/>
    <n v="2023"/>
    <s v="Q1"/>
    <n v="3278"/>
    <n v="12921"/>
    <n v="11387"/>
    <n v="298922"/>
    <n v="12.31"/>
    <n v="19"/>
    <n v="5.27"/>
    <n v="8.64"/>
    <n v="42.49"/>
    <n v="2"/>
    <n v="6579"/>
    <n v="8856"/>
    <n v="11"/>
    <n v="4729521.3600000003"/>
    <n v="11.16637260483629"/>
    <n v="42355038"/>
  </r>
  <r>
    <s v="P0930"/>
    <s v="Model_500"/>
    <x v="1"/>
    <x v="2"/>
    <n v="2023"/>
    <s v="Q2"/>
    <n v="2421"/>
    <n v="13765"/>
    <n v="1571"/>
    <n v="378785"/>
    <n v="7.16"/>
    <n v="15"/>
    <n v="5.83"/>
    <n v="18.579999999999998"/>
    <n v="19.010000000000002"/>
    <n v="2.7"/>
    <n v="15841"/>
    <n v="7878"/>
    <n v="2"/>
    <n v="29142870.420000002"/>
    <n v="87.450303307735481"/>
    <n v="33325065"/>
  </r>
  <r>
    <s v="P0931"/>
    <s v="Model_165"/>
    <x v="0"/>
    <x v="2"/>
    <n v="2024"/>
    <s v="Q2"/>
    <n v="2941"/>
    <n v="9129"/>
    <n v="6325"/>
    <n v="113811"/>
    <n v="5.26"/>
    <n v="6"/>
    <n v="6.84"/>
    <n v="10.95"/>
    <n v="56.15"/>
    <n v="2.9"/>
    <n v="11481"/>
    <n v="1159"/>
    <n v="7"/>
    <n v="8132742.0499999998"/>
    <n v="30.291359567235116"/>
    <n v="26848389"/>
  </r>
  <r>
    <s v="P0932"/>
    <s v="Model_468"/>
    <x v="1"/>
    <x v="0"/>
    <n v="2024"/>
    <s v="Q4"/>
    <n v="3806"/>
    <n v="9825"/>
    <n v="9570"/>
    <n v="495376"/>
    <n v="5.44"/>
    <n v="8"/>
    <n v="7.53"/>
    <n v="20.440000000000001"/>
    <n v="13.28"/>
    <n v="2"/>
    <n v="5024"/>
    <n v="1524"/>
    <n v="4"/>
    <n v="475133.56"/>
    <n v="1.2706161290797042"/>
    <n v="37393950"/>
  </r>
  <r>
    <s v="P0933"/>
    <s v="Model_455"/>
    <x v="2"/>
    <x v="3"/>
    <n v="2023"/>
    <s v="Q4"/>
    <n v="4275"/>
    <n v="9193"/>
    <n v="11893"/>
    <n v="232385"/>
    <n v="12.09"/>
    <n v="12"/>
    <n v="7.27"/>
    <n v="13.73"/>
    <n v="52.19"/>
    <n v="4.5999999999999996"/>
    <n v="10498"/>
    <n v="4223"/>
    <n v="4"/>
    <n v="-11774898.73"/>
    <n v="-29.961517198122394"/>
    <n v="39300075"/>
  </r>
  <r>
    <s v="P0934"/>
    <s v="Model_623"/>
    <x v="2"/>
    <x v="1"/>
    <n v="2024"/>
    <s v="Q3"/>
    <n v="144"/>
    <n v="9764"/>
    <n v="14603"/>
    <n v="113232"/>
    <n v="4.92"/>
    <n v="0"/>
    <n v="8.6999999999999993"/>
    <n v="23.24"/>
    <n v="80.91"/>
    <n v="3.2"/>
    <n v="15197"/>
    <n v="319"/>
    <n v="5"/>
    <n v="-810071.24"/>
    <n v="-57.614653033820382"/>
    <n v="1406016"/>
  </r>
  <r>
    <s v="P0935"/>
    <s v="Model_670"/>
    <x v="2"/>
    <x v="3"/>
    <n v="2023"/>
    <s v="Q1"/>
    <n v="2724"/>
    <n v="14186"/>
    <n v="993"/>
    <n v="327561"/>
    <n v="3.14"/>
    <n v="7"/>
    <n v="1.89"/>
    <n v="23.7"/>
    <n v="77.03"/>
    <n v="4.9000000000000004"/>
    <n v="20550"/>
    <n v="505"/>
    <n v="14"/>
    <n v="35610147.299999997"/>
    <n v="92.152412939232136"/>
    <n v="38642664"/>
  </r>
  <r>
    <s v="P0936"/>
    <s v="Model_114"/>
    <x v="0"/>
    <x v="3"/>
    <n v="2024"/>
    <s v="Q2"/>
    <n v="2005"/>
    <n v="15216"/>
    <n v="2807"/>
    <n v="205801"/>
    <n v="1.27"/>
    <n v="3"/>
    <n v="4.01"/>
    <n v="1.73"/>
    <n v="80.62"/>
    <n v="4.2"/>
    <n v="15106"/>
    <n v="9929"/>
    <n v="5"/>
    <n v="24674242.27"/>
    <n v="80.8777290147397"/>
    <n v="30508080"/>
  </r>
  <r>
    <s v="P0937"/>
    <s v="Model_535"/>
    <x v="1"/>
    <x v="2"/>
    <n v="2024"/>
    <s v="Q3"/>
    <n v="843"/>
    <n v="8221"/>
    <n v="1985"/>
    <n v="162492"/>
    <n v="7"/>
    <n v="2"/>
    <n v="9.48"/>
    <n v="11.41"/>
    <n v="83.76"/>
    <n v="3.2"/>
    <n v="14929"/>
    <n v="2418"/>
    <n v="8"/>
    <n v="5094444.59"/>
    <n v="73.509694886356343"/>
    <n v="6930303"/>
  </r>
  <r>
    <s v="P0938"/>
    <s v="Model_598"/>
    <x v="1"/>
    <x v="2"/>
    <n v="2024"/>
    <s v="Q1"/>
    <n v="1884"/>
    <n v="8873"/>
    <n v="3194"/>
    <n v="80099"/>
    <n v="7.23"/>
    <n v="2"/>
    <n v="3.97"/>
    <n v="15.24"/>
    <n v="18.36"/>
    <n v="4.8"/>
    <n v="17539"/>
    <n v="9966"/>
    <n v="4"/>
    <n v="10619121.76"/>
    <n v="63.523909816823043"/>
    <n v="16716732"/>
  </r>
  <r>
    <s v="P0939"/>
    <s v="Model_292"/>
    <x v="0"/>
    <x v="3"/>
    <n v="2023"/>
    <s v="Q1"/>
    <n v="2166"/>
    <n v="7407"/>
    <n v="11990"/>
    <n v="279206"/>
    <n v="12.61"/>
    <n v="12"/>
    <n v="1.25"/>
    <n v="6.4"/>
    <n v="20.3"/>
    <n v="3"/>
    <n v="8640"/>
    <n v="9083"/>
    <n v="9"/>
    <n v="-10205990.4"/>
    <n v="-63.614242273629763"/>
    <n v="16043562"/>
  </r>
  <r>
    <s v="P0940"/>
    <s v="Model_764"/>
    <x v="1"/>
    <x v="3"/>
    <n v="2024"/>
    <s v="Q3"/>
    <n v="4156"/>
    <n v="17627"/>
    <n v="14472"/>
    <n v="473177"/>
    <n v="3.32"/>
    <n v="7"/>
    <n v="5.25"/>
    <n v="10.18"/>
    <n v="54.56"/>
    <n v="4.5"/>
    <n v="10285"/>
    <n v="5158"/>
    <n v="9"/>
    <n v="12638992.82"/>
    <n v="17.252757726370536"/>
    <n v="73257812"/>
  </r>
  <r>
    <s v="P0941"/>
    <s v="Model_258"/>
    <x v="0"/>
    <x v="1"/>
    <n v="2023"/>
    <s v="Q1"/>
    <n v="3375"/>
    <n v="7156"/>
    <n v="10784"/>
    <n v="455818"/>
    <n v="5.71"/>
    <n v="6"/>
    <n v="1.0900000000000001"/>
    <n v="16.940000000000001"/>
    <n v="81.52"/>
    <n v="2.4"/>
    <n v="16401"/>
    <n v="1409"/>
    <n v="12"/>
    <n v="-12700334.939999999"/>
    <n v="-52.586112415377926"/>
    <n v="24151500"/>
  </r>
  <r>
    <s v="P0942"/>
    <s v="Model_705"/>
    <x v="2"/>
    <x v="2"/>
    <n v="2023"/>
    <s v="Q2"/>
    <n v="2969"/>
    <n v="10484"/>
    <n v="10102"/>
    <n v="168474"/>
    <n v="12.13"/>
    <n v="0"/>
    <n v="2.0299999999999998"/>
    <n v="5.67"/>
    <n v="87.95"/>
    <n v="2.5"/>
    <n v="4780"/>
    <n v="7721"/>
    <n v="14"/>
    <n v="965678.33"/>
    <n v="3.1023820287701387"/>
    <n v="31126996"/>
  </r>
  <r>
    <s v="P0943"/>
    <s v="Model_864"/>
    <x v="0"/>
    <x v="2"/>
    <n v="2024"/>
    <s v="Q1"/>
    <n v="2647"/>
    <n v="9786"/>
    <n v="4805"/>
    <n v="321400"/>
    <n v="12.35"/>
    <n v="15"/>
    <n v="9.98"/>
    <n v="15.05"/>
    <n v="13.7"/>
    <n v="2.7"/>
    <n v="3712"/>
    <n v="5029"/>
    <n v="8"/>
    <n v="12863291.949999999"/>
    <n v="49.658428758507235"/>
    <n v="25903542"/>
  </r>
  <r>
    <s v="P0944"/>
    <s v="Model_839"/>
    <x v="2"/>
    <x v="1"/>
    <n v="2024"/>
    <s v="Q1"/>
    <n v="3255"/>
    <n v="7401"/>
    <n v="8229"/>
    <n v="293588"/>
    <n v="5.77"/>
    <n v="5"/>
    <n v="5.41"/>
    <n v="17.440000000000001"/>
    <n v="38.46"/>
    <n v="3.2"/>
    <n v="16713"/>
    <n v="9622"/>
    <n v="3"/>
    <n v="-2988745.44"/>
    <n v="-12.406449993991346"/>
    <n v="24090255"/>
  </r>
  <r>
    <s v="P0945"/>
    <s v="Model_265"/>
    <x v="1"/>
    <x v="3"/>
    <n v="2024"/>
    <s v="Q4"/>
    <n v="4857"/>
    <n v="6417"/>
    <n v="3061"/>
    <n v="84681"/>
    <n v="6.89"/>
    <n v="6"/>
    <n v="2.84"/>
    <n v="2.2599999999999998"/>
    <n v="27.03"/>
    <n v="3.2"/>
    <n v="9578"/>
    <n v="8802"/>
    <n v="6"/>
    <n v="16215408.74"/>
    <n v="52.026877020001272"/>
    <n v="31167369"/>
  </r>
  <r>
    <s v="P0946"/>
    <s v="Model_974"/>
    <x v="0"/>
    <x v="0"/>
    <n v="2023"/>
    <s v="Q3"/>
    <n v="864"/>
    <n v="9929"/>
    <n v="4536"/>
    <n v="141328"/>
    <n v="4.55"/>
    <n v="11"/>
    <n v="9.9499999999999993"/>
    <n v="12.44"/>
    <n v="70.48"/>
    <n v="3"/>
    <n v="17436"/>
    <n v="8783"/>
    <n v="7"/>
    <n v="4518211.5599999996"/>
    <n v="52.668058493078632"/>
    <n v="8578656"/>
  </r>
  <r>
    <s v="P0947"/>
    <s v="Model_714"/>
    <x v="2"/>
    <x v="1"/>
    <n v="2023"/>
    <s v="Q3"/>
    <n v="395"/>
    <n v="16216"/>
    <n v="12785"/>
    <n v="268512"/>
    <n v="13.99"/>
    <n v="8"/>
    <n v="9.67"/>
    <n v="6.58"/>
    <n v="61.22"/>
    <n v="2.2000000000000002"/>
    <n v="18497"/>
    <n v="1717"/>
    <n v="13"/>
    <n v="1086726.42"/>
    <n v="16.965997327221746"/>
    <n v="6405320"/>
  </r>
  <r>
    <s v="P0948"/>
    <s v="Model_360"/>
    <x v="1"/>
    <x v="1"/>
    <n v="2024"/>
    <s v="Q3"/>
    <n v="2399"/>
    <n v="17295"/>
    <n v="10928"/>
    <n v="355505"/>
    <n v="1.78"/>
    <n v="10"/>
    <n v="4.41"/>
    <n v="18.11"/>
    <n v="19.59"/>
    <n v="4.7"/>
    <n v="15774"/>
    <n v="1620"/>
    <n v="11"/>
    <n v="14918909.890000001"/>
    <n v="35.957234011810598"/>
    <n v="41490705"/>
  </r>
  <r>
    <s v="P0949"/>
    <s v="Model_674"/>
    <x v="1"/>
    <x v="2"/>
    <n v="2023"/>
    <s v="Q1"/>
    <n v="412"/>
    <n v="12638"/>
    <n v="7516"/>
    <n v="84540"/>
    <n v="14.01"/>
    <n v="9"/>
    <n v="2.6"/>
    <n v="4.74"/>
    <n v="48.68"/>
    <n v="3.4"/>
    <n v="2368"/>
    <n v="7992"/>
    <n v="5"/>
    <n v="2025719.26"/>
    <n v="38.904845073495409"/>
    <n v="5206856"/>
  </r>
  <r>
    <s v="P0950"/>
    <s v="Model_907"/>
    <x v="2"/>
    <x v="3"/>
    <n v="2023"/>
    <s v="Q3"/>
    <n v="2493"/>
    <n v="4030"/>
    <n v="5675"/>
    <n v="207608"/>
    <n v="10.26"/>
    <n v="0"/>
    <n v="8.3800000000000008"/>
    <n v="22.31"/>
    <n v="64.84"/>
    <n v="2.6"/>
    <n v="18695"/>
    <n v="1683"/>
    <n v="14"/>
    <n v="-4308615.3099999996"/>
    <n v="-42.885491883477208"/>
    <n v="10046790"/>
  </r>
  <r>
    <s v="P0951"/>
    <s v="Model_605"/>
    <x v="1"/>
    <x v="3"/>
    <n v="2024"/>
    <s v="Q2"/>
    <n v="2315"/>
    <n v="19844"/>
    <n v="13349"/>
    <n v="134700"/>
    <n v="7.97"/>
    <n v="17"/>
    <n v="7.16"/>
    <n v="10.77"/>
    <n v="72.319999999999993"/>
    <n v="3.6"/>
    <n v="17542"/>
    <n v="6804"/>
    <n v="11"/>
    <n v="14901214.23"/>
    <n v="32.437057058011455"/>
    <n v="45938860"/>
  </r>
  <r>
    <s v="P0952"/>
    <s v="Model_693"/>
    <x v="1"/>
    <x v="1"/>
    <n v="2024"/>
    <s v="Q3"/>
    <n v="2238"/>
    <n v="18932"/>
    <n v="9721"/>
    <n v="390676"/>
    <n v="0.49"/>
    <n v="3"/>
    <n v="6.87"/>
    <n v="4.95"/>
    <n v="11.6"/>
    <n v="4.0999999999999996"/>
    <n v="16907"/>
    <n v="8088"/>
    <n v="6"/>
    <n v="20223537.050000001"/>
    <n v="47.731000413124285"/>
    <n v="42369816"/>
  </r>
  <r>
    <s v="P0953"/>
    <s v="Model_765"/>
    <x v="2"/>
    <x v="2"/>
    <n v="2023"/>
    <s v="Q2"/>
    <n v="3055"/>
    <n v="7272"/>
    <n v="5178"/>
    <n v="237647"/>
    <n v="7.13"/>
    <n v="4"/>
    <n v="8.93"/>
    <n v="10.95"/>
    <n v="81.239999999999995"/>
    <n v="4.8"/>
    <n v="17754"/>
    <n v="6683"/>
    <n v="10"/>
    <n v="6159512.0499999998"/>
    <n v="27.725617303956252"/>
    <n v="22215960"/>
  </r>
  <r>
    <s v="P0954"/>
    <s v="Model_742"/>
    <x v="1"/>
    <x v="2"/>
    <n v="2023"/>
    <s v="Q3"/>
    <n v="3331"/>
    <n v="16976"/>
    <n v="8615"/>
    <n v="439770"/>
    <n v="6.12"/>
    <n v="8"/>
    <n v="6.89"/>
    <n v="10.220000000000001"/>
    <n v="55.54"/>
    <n v="3"/>
    <n v="3244"/>
    <n v="1675"/>
    <n v="12"/>
    <n v="27410710.780000001"/>
    <n v="48.474160670716444"/>
    <n v="56547056"/>
  </r>
  <r>
    <s v="P0955"/>
    <s v="Model_155"/>
    <x v="2"/>
    <x v="3"/>
    <n v="2024"/>
    <s v="Q1"/>
    <n v="1034"/>
    <n v="17251"/>
    <n v="14578"/>
    <n v="446087"/>
    <n v="2.42"/>
    <n v="16"/>
    <n v="2.84"/>
    <n v="10.72"/>
    <n v="74.95"/>
    <n v="1.4"/>
    <n v="3756"/>
    <n v="7035"/>
    <n v="8"/>
    <n v="2317784.2799999998"/>
    <n v="12.993860474211289"/>
    <n v="17837534"/>
  </r>
  <r>
    <s v="P0956"/>
    <s v="Model_967"/>
    <x v="2"/>
    <x v="0"/>
    <n v="2023"/>
    <s v="Q4"/>
    <n v="1689"/>
    <n v="4464"/>
    <n v="4251"/>
    <n v="96002"/>
    <n v="9.85"/>
    <n v="2"/>
    <n v="6.94"/>
    <n v="14.64"/>
    <n v="74.64"/>
    <n v="2.8"/>
    <n v="13359"/>
    <n v="6276"/>
    <n v="3"/>
    <n v="263740.36"/>
    <n v="3.4980237930017339"/>
    <n v="7539696"/>
  </r>
  <r>
    <s v="P0957"/>
    <s v="Model_456"/>
    <x v="1"/>
    <x v="1"/>
    <n v="2023"/>
    <s v="Q3"/>
    <n v="877"/>
    <n v="8637"/>
    <n v="13449"/>
    <n v="99812"/>
    <n v="14.57"/>
    <n v="15"/>
    <n v="3.06"/>
    <n v="13.03"/>
    <n v="25.19"/>
    <n v="2.9"/>
    <n v="6923"/>
    <n v="9338"/>
    <n v="12"/>
    <n v="-4319949.03"/>
    <n v="-57.031672754737549"/>
    <n v="7574649"/>
  </r>
  <r>
    <s v="P0958"/>
    <s v="Model_924"/>
    <x v="1"/>
    <x v="3"/>
    <n v="2023"/>
    <s v="Q2"/>
    <n v="2780"/>
    <n v="18847"/>
    <n v="8416"/>
    <n v="465842"/>
    <n v="8.43"/>
    <n v="4"/>
    <n v="7.59"/>
    <n v="3.74"/>
    <n v="18.809999999999999"/>
    <n v="4.5999999999999996"/>
    <n v="6589"/>
    <n v="2713"/>
    <n v="2"/>
    <n v="28532334.260000002"/>
    <n v="54.456569161819168"/>
    <n v="52394660"/>
  </r>
  <r>
    <s v="P0959"/>
    <s v="Model_760"/>
    <x v="0"/>
    <x v="3"/>
    <n v="2023"/>
    <s v="Q1"/>
    <n v="3581"/>
    <n v="18420"/>
    <n v="13528"/>
    <n v="241051"/>
    <n v="10.72"/>
    <n v="15"/>
    <n v="6.2"/>
    <n v="1.64"/>
    <n v="67.7"/>
    <n v="2.6"/>
    <n v="8108"/>
    <n v="3992"/>
    <n v="3"/>
    <n v="17277199.359999999"/>
    <n v="26.192647465920537"/>
    <n v="65962020"/>
  </r>
  <r>
    <s v="P0960"/>
    <s v="Model_286"/>
    <x v="1"/>
    <x v="1"/>
    <n v="2024"/>
    <s v="Q2"/>
    <n v="4501"/>
    <n v="15391"/>
    <n v="11132"/>
    <n v="307906"/>
    <n v="1.03"/>
    <n v="2"/>
    <n v="0.77"/>
    <n v="18.239999999999998"/>
    <n v="22.51"/>
    <n v="4.8"/>
    <n v="11217"/>
    <n v="8753"/>
    <n v="4"/>
    <n v="18861834.760000002"/>
    <n v="27.227519939367355"/>
    <n v="69274891"/>
  </r>
  <r>
    <s v="P0961"/>
    <s v="Model_499"/>
    <x v="1"/>
    <x v="2"/>
    <n v="2024"/>
    <s v="Q2"/>
    <n v="2985"/>
    <n v="8840"/>
    <n v="10636"/>
    <n v="158946"/>
    <n v="6.27"/>
    <n v="19"/>
    <n v="5.13"/>
    <n v="13.99"/>
    <n v="77.989999999999995"/>
    <n v="2.9"/>
    <n v="19353"/>
    <n v="6833"/>
    <n v="12"/>
    <n v="-5520019.9900000002"/>
    <n v="-20.919150768927594"/>
    <n v="26387400"/>
  </r>
  <r>
    <s v="P0962"/>
    <s v="Model_708"/>
    <x v="2"/>
    <x v="0"/>
    <n v="2024"/>
    <s v="Q4"/>
    <n v="3926"/>
    <n v="9467"/>
    <n v="3600"/>
    <n v="116668"/>
    <n v="1.75"/>
    <n v="14"/>
    <n v="3.43"/>
    <n v="8.98"/>
    <n v="68.099999999999994"/>
    <n v="4.9000000000000004"/>
    <n v="20559"/>
    <n v="4531"/>
    <n v="3"/>
    <n v="22917165.02"/>
    <n v="61.659247413367858"/>
    <n v="37167442"/>
  </r>
  <r>
    <s v="P0963"/>
    <s v="Model_153"/>
    <x v="1"/>
    <x v="2"/>
    <n v="2023"/>
    <s v="Q2"/>
    <n v="176"/>
    <n v="13915"/>
    <n v="13954"/>
    <n v="149003"/>
    <n v="9.19"/>
    <n v="2"/>
    <n v="3.29"/>
    <n v="20.21"/>
    <n v="77.349999999999994"/>
    <n v="1"/>
    <n v="19397"/>
    <n v="8212"/>
    <n v="12"/>
    <n v="-155887.21"/>
    <n v="-6.3652373991441538"/>
    <n v="2449040"/>
  </r>
  <r>
    <s v="P0964"/>
    <s v="Model_991"/>
    <x v="2"/>
    <x v="2"/>
    <n v="2023"/>
    <s v="Q2"/>
    <n v="3227"/>
    <n v="13371"/>
    <n v="14535"/>
    <n v="261142"/>
    <n v="14.08"/>
    <n v="19"/>
    <n v="6.02"/>
    <n v="9.6999999999999993"/>
    <n v="33.92"/>
    <n v="4.5999999999999996"/>
    <n v="6376"/>
    <n v="1481"/>
    <n v="4"/>
    <n v="-4017379.7"/>
    <n v="-9.3106505420606371"/>
    <n v="43148217"/>
  </r>
  <r>
    <s v="P0965"/>
    <s v="Model_717"/>
    <x v="0"/>
    <x v="1"/>
    <n v="2023"/>
    <s v="Q1"/>
    <n v="3106"/>
    <n v="13416"/>
    <n v="9133"/>
    <n v="270462"/>
    <n v="9.93"/>
    <n v="13"/>
    <n v="3.22"/>
    <n v="19.899999999999999"/>
    <n v="35.33"/>
    <n v="4.7"/>
    <n v="19335"/>
    <n v="9437"/>
    <n v="11"/>
    <n v="13032516.1"/>
    <n v="31.275464544166155"/>
    <n v="41670096"/>
  </r>
  <r>
    <s v="P0966"/>
    <s v="Model_341"/>
    <x v="0"/>
    <x v="0"/>
    <n v="2024"/>
    <s v="Q1"/>
    <n v="653"/>
    <n v="10234"/>
    <n v="6210"/>
    <n v="355142"/>
    <n v="1.1499999999999999"/>
    <n v="15"/>
    <n v="7.77"/>
    <n v="7.64"/>
    <n v="63.7"/>
    <n v="4.8"/>
    <n v="4507"/>
    <n v="3615"/>
    <n v="12"/>
    <n v="2272522.36"/>
    <n v="34.005531811356974"/>
    <n v="6682802"/>
  </r>
  <r>
    <s v="P0967"/>
    <s v="Model_667"/>
    <x v="2"/>
    <x v="2"/>
    <n v="2024"/>
    <s v="Q2"/>
    <n v="3499"/>
    <n v="2345"/>
    <n v="2255"/>
    <n v="244886"/>
    <n v="5.32"/>
    <n v="16"/>
    <n v="0.71"/>
    <n v="1.82"/>
    <n v="12.52"/>
    <n v="1.1000000000000001"/>
    <n v="15825"/>
    <n v="4554"/>
    <n v="12"/>
    <n v="70022.179999999993"/>
    <n v="0.85339253189001296"/>
    <n v="8205155"/>
  </r>
  <r>
    <s v="P0968"/>
    <s v="Model_791"/>
    <x v="0"/>
    <x v="1"/>
    <n v="2024"/>
    <s v="Q3"/>
    <n v="4196"/>
    <n v="3994"/>
    <n v="7692"/>
    <n v="154601"/>
    <n v="8.26"/>
    <n v="19"/>
    <n v="6.6"/>
    <n v="23.32"/>
    <n v="68.12"/>
    <n v="1.7"/>
    <n v="4624"/>
    <n v="7869"/>
    <n v="13"/>
    <n v="-15671432.32"/>
    <n v="-93.511527539163851"/>
    <n v="16758824"/>
  </r>
  <r>
    <s v="P0969"/>
    <s v="Model_983"/>
    <x v="1"/>
    <x v="0"/>
    <n v="2023"/>
    <s v="Q1"/>
    <n v="3583"/>
    <n v="14177"/>
    <n v="14963"/>
    <n v="488823"/>
    <n v="6.05"/>
    <n v="17"/>
    <n v="8.09"/>
    <n v="9.86"/>
    <n v="76.86"/>
    <n v="3.6"/>
    <n v="3253"/>
    <n v="6589"/>
    <n v="13"/>
    <n v="-3305070.86"/>
    <n v="-6.5065328618832847"/>
    <n v="50796191"/>
  </r>
  <r>
    <s v="P0970"/>
    <s v="Model_526"/>
    <x v="0"/>
    <x v="3"/>
    <n v="2024"/>
    <s v="Q1"/>
    <n v="3417"/>
    <n v="19768"/>
    <n v="14935"/>
    <n v="319956"/>
    <n v="12.5"/>
    <n v="17"/>
    <n v="6.73"/>
    <n v="19.82"/>
    <n v="43.21"/>
    <n v="1.1000000000000001"/>
    <n v="19496"/>
    <n v="8484"/>
    <n v="10"/>
    <n v="16194385.18"/>
    <n v="23.974897189013866"/>
    <n v="67547256"/>
  </r>
  <r>
    <s v="P0971"/>
    <s v="Model_861"/>
    <x v="0"/>
    <x v="0"/>
    <n v="2024"/>
    <s v="Q2"/>
    <n v="3418"/>
    <n v="13830"/>
    <n v="6608"/>
    <n v="111844"/>
    <n v="12.22"/>
    <n v="13"/>
    <n v="4.97"/>
    <n v="6.98"/>
    <n v="71.19"/>
    <n v="1.3"/>
    <n v="4775"/>
    <n v="3634"/>
    <n v="5"/>
    <n v="24572945.02"/>
    <n v="51.983195214649847"/>
    <n v="47270940"/>
  </r>
  <r>
    <s v="P0972"/>
    <s v="Model_956"/>
    <x v="1"/>
    <x v="0"/>
    <n v="2023"/>
    <s v="Q2"/>
    <n v="3847"/>
    <n v="6679"/>
    <n v="7596"/>
    <n v="251165"/>
    <n v="9.18"/>
    <n v="17"/>
    <n v="9.5"/>
    <n v="16.16"/>
    <n v="23.97"/>
    <n v="1.9"/>
    <n v="10247"/>
    <n v="855"/>
    <n v="13"/>
    <n v="-3778880.16"/>
    <n v="-14.707182769843039"/>
    <n v="25694113"/>
  </r>
  <r>
    <s v="P0973"/>
    <s v="Model_538"/>
    <x v="2"/>
    <x v="3"/>
    <n v="2023"/>
    <s v="Q4"/>
    <n v="1842"/>
    <n v="8110"/>
    <n v="5596"/>
    <n v="445395"/>
    <n v="5.6"/>
    <n v="14"/>
    <n v="3"/>
    <n v="21.83"/>
    <n v="35.78"/>
    <n v="3"/>
    <n v="13943"/>
    <n v="9976"/>
    <n v="10"/>
    <n v="4185371.17"/>
    <n v="28.017120523850263"/>
    <n v="14938620"/>
  </r>
  <r>
    <s v="P0974"/>
    <s v="Model_312"/>
    <x v="0"/>
    <x v="0"/>
    <n v="2024"/>
    <s v="Q1"/>
    <n v="2911"/>
    <n v="7930"/>
    <n v="5893"/>
    <n v="224870"/>
    <n v="3.83"/>
    <n v="14"/>
    <n v="0.19"/>
    <n v="1.04"/>
    <n v="87.94"/>
    <n v="3.2"/>
    <n v="19933"/>
    <n v="2625"/>
    <n v="12"/>
    <n v="5704835.96"/>
    <n v="24.713130825676231"/>
    <n v="23084230"/>
  </r>
  <r>
    <s v="P0975"/>
    <s v="Model_149"/>
    <x v="0"/>
    <x v="3"/>
    <n v="2023"/>
    <s v="Q1"/>
    <n v="3526"/>
    <n v="8654"/>
    <n v="11088"/>
    <n v="124601"/>
    <n v="1.59"/>
    <n v="5"/>
    <n v="4.32"/>
    <n v="20.77"/>
    <n v="88.91"/>
    <n v="1.1000000000000001"/>
    <n v="2324"/>
    <n v="927"/>
    <n v="4"/>
    <n v="-8706905.7699999996"/>
    <n v="-28.534130656861677"/>
    <n v="30514004"/>
  </r>
  <r>
    <s v="P0976"/>
    <s v="Model_137"/>
    <x v="1"/>
    <x v="2"/>
    <n v="2023"/>
    <s v="Q4"/>
    <n v="3467"/>
    <n v="15328"/>
    <n v="2125"/>
    <n v="451491"/>
    <n v="5.32"/>
    <n v="14"/>
    <n v="0.33"/>
    <n v="14.28"/>
    <n v="51.01"/>
    <n v="1.7"/>
    <n v="15380"/>
    <n v="9181"/>
    <n v="13"/>
    <n v="45323295.719999999"/>
    <n v="85.286864655297506"/>
    <n v="53142176"/>
  </r>
  <r>
    <s v="P0977"/>
    <s v="Model_299"/>
    <x v="2"/>
    <x v="0"/>
    <n v="2024"/>
    <s v="Q3"/>
    <n v="1695"/>
    <n v="11645"/>
    <n v="5776"/>
    <n v="493790"/>
    <n v="6.2"/>
    <n v="17"/>
    <n v="9.5399999999999991"/>
    <n v="15.19"/>
    <n v="84.74"/>
    <n v="3"/>
    <n v="12541"/>
    <n v="4848"/>
    <n v="2"/>
    <n v="9454149.8100000005"/>
    <n v="47.897548341990372"/>
    <n v="19738275"/>
  </r>
  <r>
    <s v="P0978"/>
    <s v="Model_288"/>
    <x v="1"/>
    <x v="3"/>
    <n v="2024"/>
    <s v="Q3"/>
    <n v="1255"/>
    <n v="7988"/>
    <n v="10205"/>
    <n v="360001"/>
    <n v="10.14"/>
    <n v="3"/>
    <n v="2.1"/>
    <n v="13.08"/>
    <n v="51.82"/>
    <n v="3.4"/>
    <n v="20914"/>
    <n v="2433"/>
    <n v="12"/>
    <n v="-3142349.08"/>
    <n v="-31.345315582936156"/>
    <n v="10024940"/>
  </r>
  <r>
    <s v="P0979"/>
    <s v="Model_123"/>
    <x v="1"/>
    <x v="2"/>
    <n v="2024"/>
    <s v="Q1"/>
    <n v="3080"/>
    <n v="5350"/>
    <n v="1959"/>
    <n v="437699"/>
    <n v="9.8699999999999992"/>
    <n v="7"/>
    <n v="7.89"/>
    <n v="21.86"/>
    <n v="33.33"/>
    <n v="1.6"/>
    <n v="2581"/>
    <n v="5046"/>
    <n v="6"/>
    <n v="10006559.140000001"/>
    <n v="60.726782012380141"/>
    <n v="16478000"/>
  </r>
  <r>
    <s v="P0980"/>
    <s v="Model_159"/>
    <x v="0"/>
    <x v="2"/>
    <n v="2023"/>
    <s v="Q2"/>
    <n v="2922"/>
    <n v="18573"/>
    <n v="5450"/>
    <n v="332844"/>
    <n v="1.05"/>
    <n v="14"/>
    <n v="7.75"/>
    <n v="1.0900000000000001"/>
    <n v="31.35"/>
    <n v="2.6"/>
    <n v="13017"/>
    <n v="8402"/>
    <n v="11"/>
    <n v="38012560.909999996"/>
    <n v="70.043019307832893"/>
    <n v="54270306"/>
  </r>
  <r>
    <s v="P0981"/>
    <s v="Model_370"/>
    <x v="0"/>
    <x v="2"/>
    <n v="2024"/>
    <s v="Q4"/>
    <n v="3122"/>
    <n v="15064"/>
    <n v="13491"/>
    <n v="307927"/>
    <n v="5.93"/>
    <n v="2"/>
    <n v="2.1800000000000002"/>
    <n v="6.53"/>
    <n v="84.36"/>
    <n v="4.5999999999999996"/>
    <n v="18376"/>
    <n v="8146"/>
    <n v="11"/>
    <n v="4602972.47"/>
    <n v="9.7873511837428726"/>
    <n v="47029808"/>
  </r>
  <r>
    <s v="P0982"/>
    <s v="Model_145"/>
    <x v="0"/>
    <x v="0"/>
    <n v="2024"/>
    <s v="Q3"/>
    <n v="1904"/>
    <n v="6578"/>
    <n v="5787"/>
    <n v="482680"/>
    <n v="2.73"/>
    <n v="14"/>
    <n v="6.21"/>
    <n v="21.89"/>
    <n v="23.8"/>
    <n v="5"/>
    <n v="6264"/>
    <n v="9084"/>
    <n v="3"/>
    <n v="1023362.11"/>
    <n v="8.170874122680388"/>
    <n v="12524512"/>
  </r>
  <r>
    <s v="P0983"/>
    <s v="Model_138"/>
    <x v="0"/>
    <x v="2"/>
    <n v="2024"/>
    <s v="Q2"/>
    <n v="4071"/>
    <n v="13668"/>
    <n v="5497"/>
    <n v="223423"/>
    <n v="2.35"/>
    <n v="12"/>
    <n v="0.48"/>
    <n v="18.809999999999999"/>
    <n v="56.37"/>
    <n v="4.9000000000000004"/>
    <n v="9766"/>
    <n v="7281"/>
    <n v="5"/>
    <n v="33040699.190000001"/>
    <n v="59.380405164921989"/>
    <n v="55642428"/>
  </r>
  <r>
    <s v="P0984"/>
    <s v="Model_357"/>
    <x v="1"/>
    <x v="2"/>
    <n v="2024"/>
    <s v="Q2"/>
    <n v="4712"/>
    <n v="6948"/>
    <n v="14918"/>
    <n v="143330"/>
    <n v="12.41"/>
    <n v="8"/>
    <n v="4.84"/>
    <n v="0.44"/>
    <n v="54.44"/>
    <n v="4.5"/>
    <n v="12683"/>
    <n v="3514"/>
    <n v="3"/>
    <n v="-37697970.439999998"/>
    <n v="-115.14706642015926"/>
    <n v="32738976"/>
  </r>
  <r>
    <s v="P0985"/>
    <s v="Model_700"/>
    <x v="2"/>
    <x v="1"/>
    <n v="2024"/>
    <s v="Q3"/>
    <n v="2758"/>
    <n v="19063"/>
    <n v="1140"/>
    <n v="275391"/>
    <n v="0.63"/>
    <n v="1"/>
    <n v="0.15"/>
    <n v="12.93"/>
    <n v="69.17"/>
    <n v="2.6"/>
    <n v="18212"/>
    <n v="9601"/>
    <n v="3"/>
    <n v="49156230.07"/>
    <n v="93.496005915578507"/>
    <n v="52575754"/>
  </r>
  <r>
    <s v="P0986"/>
    <s v="Model_924"/>
    <x v="1"/>
    <x v="2"/>
    <n v="2023"/>
    <s v="Q2"/>
    <n v="3552"/>
    <n v="10574"/>
    <n v="4628"/>
    <n v="263606"/>
    <n v="6.29"/>
    <n v="7"/>
    <n v="9.2100000000000009"/>
    <n v="13.24"/>
    <n v="49.94"/>
    <n v="3.7"/>
    <n v="14377"/>
    <n v="6557"/>
    <n v="14"/>
    <n v="20856572.760000002"/>
    <n v="55.53038463799529"/>
    <n v="37558848"/>
  </r>
  <r>
    <s v="P0987"/>
    <s v="Model_565"/>
    <x v="2"/>
    <x v="1"/>
    <n v="2024"/>
    <s v="Q1"/>
    <n v="1382"/>
    <n v="7906"/>
    <n v="2768"/>
    <n v="457085"/>
    <n v="2.52"/>
    <n v="19"/>
    <n v="9.76"/>
    <n v="10.02"/>
    <n v="31.78"/>
    <n v="2.7"/>
    <n v="11482"/>
    <n v="6849"/>
    <n v="4"/>
    <n v="6643620.9800000004"/>
    <n v="60.805098291319538"/>
    <n v="10926092"/>
  </r>
  <r>
    <s v="P0988"/>
    <s v="Model_732"/>
    <x v="1"/>
    <x v="0"/>
    <n v="2024"/>
    <s v="Q2"/>
    <n v="251"/>
    <n v="10300"/>
    <n v="1503"/>
    <n v="241387"/>
    <n v="13.19"/>
    <n v="16"/>
    <n v="2.2200000000000002"/>
    <n v="7.43"/>
    <n v="23.55"/>
    <n v="3.6"/>
    <n v="10468"/>
    <n v="396"/>
    <n v="6"/>
    <n v="1966652.57"/>
    <n v="76.070574788225741"/>
    <n v="2585300"/>
  </r>
  <r>
    <s v="P0989"/>
    <s v="Model_356"/>
    <x v="0"/>
    <x v="1"/>
    <n v="2023"/>
    <s v="Q4"/>
    <n v="3557"/>
    <n v="15583"/>
    <n v="13405"/>
    <n v="291133"/>
    <n v="8.36"/>
    <n v="12"/>
    <n v="2.08"/>
    <n v="17.04"/>
    <n v="59.67"/>
    <n v="2.2000000000000002"/>
    <n v="16139"/>
    <n v="9921"/>
    <n v="5"/>
    <n v="7455995.96"/>
    <n v="13.451500378025974"/>
    <n v="55428731"/>
  </r>
  <r>
    <s v="P0990"/>
    <s v="Model_524"/>
    <x v="1"/>
    <x v="2"/>
    <n v="2023"/>
    <s v="Q4"/>
    <n v="4262"/>
    <n v="3138"/>
    <n v="6282"/>
    <n v="464170"/>
    <n v="3.47"/>
    <n v="0"/>
    <n v="7.54"/>
    <n v="5.19"/>
    <n v="67.52"/>
    <n v="3.4"/>
    <n v="6174"/>
    <n v="668"/>
    <n v="3"/>
    <n v="-13863903.189999999"/>
    <n v="-103.66189230931657"/>
    <n v="13374156"/>
  </r>
  <r>
    <s v="P0991"/>
    <s v="Model_414"/>
    <x v="2"/>
    <x v="3"/>
    <n v="2024"/>
    <s v="Q3"/>
    <n v="624"/>
    <n v="11840"/>
    <n v="11421"/>
    <n v="212627"/>
    <n v="7.54"/>
    <n v="1"/>
    <n v="2.5299999999999998"/>
    <n v="19.97"/>
    <n v="55.56"/>
    <n v="3.1"/>
    <n v="5816"/>
    <n v="5383"/>
    <n v="12"/>
    <n v="48809.03"/>
    <n v="0.66063850809944558"/>
    <n v="7388160"/>
  </r>
  <r>
    <s v="P0992"/>
    <s v="Model_830"/>
    <x v="1"/>
    <x v="1"/>
    <n v="2024"/>
    <s v="Q4"/>
    <n v="586"/>
    <n v="2882"/>
    <n v="7176"/>
    <n v="375497"/>
    <n v="10.97"/>
    <n v="14"/>
    <n v="8.9499999999999993"/>
    <n v="20.079999999999998"/>
    <n v="69.069999999999993"/>
    <n v="1.1000000000000001"/>
    <n v="16814"/>
    <n v="7764"/>
    <n v="11"/>
    <n v="-2891801.08"/>
    <n v="-171.22880394492827"/>
    <n v="1688852"/>
  </r>
  <r>
    <s v="P0993"/>
    <s v="Model_146"/>
    <x v="1"/>
    <x v="0"/>
    <n v="2024"/>
    <s v="Q1"/>
    <n v="1675"/>
    <n v="2903"/>
    <n v="2600"/>
    <n v="488242"/>
    <n v="14.37"/>
    <n v="11"/>
    <n v="5.74"/>
    <n v="10.38"/>
    <n v="21.32"/>
    <n v="4.2"/>
    <n v="11195"/>
    <n v="7611"/>
    <n v="3"/>
    <n v="19272.62"/>
    <n v="0.396350044472779"/>
    <n v="4862525"/>
  </r>
  <r>
    <s v="P0994"/>
    <s v="Model_377"/>
    <x v="2"/>
    <x v="2"/>
    <n v="2023"/>
    <s v="Q1"/>
    <n v="2172"/>
    <n v="10511"/>
    <n v="6263"/>
    <n v="412916"/>
    <n v="3.31"/>
    <n v="13"/>
    <n v="3.51"/>
    <n v="7.09"/>
    <n v="80.599999999999994"/>
    <n v="1"/>
    <n v="17314"/>
    <n v="5565"/>
    <n v="7"/>
    <n v="8813732.9100000001"/>
    <n v="38.606108649134214"/>
    <n v="22829892"/>
  </r>
  <r>
    <s v="P0995"/>
    <s v="Model_775"/>
    <x v="0"/>
    <x v="3"/>
    <n v="2024"/>
    <s v="Q4"/>
    <n v="435"/>
    <n v="4792"/>
    <n v="14660"/>
    <n v="228048"/>
    <n v="13.29"/>
    <n v="1"/>
    <n v="8.33"/>
    <n v="7.1"/>
    <n v="56.59"/>
    <n v="2.2000000000000002"/>
    <n v="9879"/>
    <n v="8363"/>
    <n v="8"/>
    <n v="-4520635.0999999996"/>
    <n v="-216.86695738107571"/>
    <n v="2084520"/>
  </r>
  <r>
    <s v="P0996"/>
    <s v="Model_562"/>
    <x v="2"/>
    <x v="3"/>
    <n v="2024"/>
    <s v="Q2"/>
    <n v="3331"/>
    <n v="10511"/>
    <n v="5712"/>
    <n v="403646"/>
    <n v="14.01"/>
    <n v="17"/>
    <n v="4.93"/>
    <n v="12.06"/>
    <n v="20.149999999999999"/>
    <n v="1"/>
    <n v="2714"/>
    <n v="4482"/>
    <n v="13"/>
    <n v="15581810.939999999"/>
    <n v="44.504022019104745"/>
    <n v="35012141"/>
  </r>
  <r>
    <s v="P0997"/>
    <s v="Model_765"/>
    <x v="0"/>
    <x v="3"/>
    <n v="2023"/>
    <s v="Q2"/>
    <n v="524"/>
    <n v="1919"/>
    <n v="5448"/>
    <n v="426087"/>
    <n v="13.75"/>
    <n v="6"/>
    <n v="9.1199999999999992"/>
    <n v="17.989999999999998"/>
    <n v="46.95"/>
    <n v="2.5"/>
    <n v="13138"/>
    <n v="165"/>
    <n v="11"/>
    <n v="-2275300.9900000002"/>
    <n v="-226.27292661970097"/>
    <n v="1005556"/>
  </r>
  <r>
    <s v="P0998"/>
    <s v="Model_514"/>
    <x v="0"/>
    <x v="1"/>
    <n v="2024"/>
    <s v="Q1"/>
    <n v="467"/>
    <n v="13911"/>
    <n v="1655"/>
    <n v="421994"/>
    <n v="9.5299999999999994"/>
    <n v="5"/>
    <n v="9.2799999999999994"/>
    <n v="8.9700000000000006"/>
    <n v="77.58"/>
    <n v="1.3"/>
    <n v="12213"/>
    <n v="979"/>
    <n v="7"/>
    <n v="5301549.03"/>
    <n v="81.607025974391817"/>
    <n v="6496437"/>
  </r>
  <r>
    <s v="P0999"/>
    <s v="Model_271"/>
    <x v="0"/>
    <x v="0"/>
    <n v="2023"/>
    <s v="Q3"/>
    <n v="3650"/>
    <n v="6017"/>
    <n v="10804"/>
    <n v="95095"/>
    <n v="9.4499999999999993"/>
    <n v="13"/>
    <n v="1.65"/>
    <n v="15.25"/>
    <n v="81.8"/>
    <n v="4.7"/>
    <n v="17477"/>
    <n v="8359"/>
    <n v="8"/>
    <n v="-17567660.25"/>
    <n v="-79.990985586500358"/>
    <n v="21962050"/>
  </r>
  <r>
    <s v="P1000"/>
    <s v="Model_210"/>
    <x v="2"/>
    <x v="0"/>
    <n v="2024"/>
    <s v="Q3"/>
    <n v="1004"/>
    <n v="16922"/>
    <n v="3666"/>
    <n v="195342"/>
    <n v="6.05"/>
    <n v="7"/>
    <n v="0.02"/>
    <n v="9.56"/>
    <n v="31.17"/>
    <n v="2.7"/>
    <n v="13571"/>
    <n v="9508"/>
    <n v="2"/>
    <n v="13113672.439999999"/>
    <n v="77.18606980893351"/>
    <n v="1698968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Model_567"/>
    <x v="0"/>
    <x v="0"/>
    <x v="0"/>
    <s v="Q3"/>
    <n v="910"/>
    <n v="6471"/>
    <n v="10500"/>
    <n v="487818"/>
    <n v="4.9800000000000004"/>
    <n v="9"/>
    <n v="3.97"/>
    <n v="24.6"/>
    <n v="34.36"/>
    <n v="3.8"/>
    <n v="2476"/>
    <n v="8822"/>
    <n v="8"/>
    <n v="-4154232.6"/>
    <n v="-70.546913448165185"/>
    <n v="5888610"/>
    <n v="0.18218407879321266"/>
  </r>
  <r>
    <s v="P0002"/>
    <s v="Model_264"/>
    <x v="1"/>
    <x v="1"/>
    <x v="1"/>
    <s v="Q3"/>
    <n v="3822"/>
    <n v="14990"/>
    <n v="8670"/>
    <n v="426742"/>
    <n v="10.4"/>
    <n v="5"/>
    <n v="4.74"/>
    <n v="22.65"/>
    <n v="11.99"/>
    <n v="1.4"/>
    <n v="20164"/>
    <n v="9362"/>
    <n v="5"/>
    <n v="23728275.350000001"/>
    <n v="41.416544135999963"/>
    <n v="57291780"/>
    <n v="0.76517313093149308"/>
  </r>
  <r>
    <s v="P0003"/>
    <s v="Model_677"/>
    <x v="0"/>
    <x v="2"/>
    <x v="0"/>
    <s v="Q3"/>
    <n v="3142"/>
    <n v="19089"/>
    <n v="6493"/>
    <n v="361478"/>
    <n v="11.57"/>
    <n v="17"/>
    <n v="4.51"/>
    <n v="1.39"/>
    <n v="10.31"/>
    <n v="1.1000000000000001"/>
    <n v="7397"/>
    <n v="3236"/>
    <n v="12"/>
    <n v="39215152.609999999"/>
    <n v="65.382955911001361"/>
    <n v="59977638"/>
    <n v="0.62903557754755401"/>
  </r>
  <r>
    <s v="P0004"/>
    <s v="Model_344"/>
    <x v="0"/>
    <x v="2"/>
    <x v="1"/>
    <s v="Q2"/>
    <n v="516"/>
    <n v="14451"/>
    <n v="1567"/>
    <n v="380792"/>
    <n v="9.82"/>
    <n v="17"/>
    <n v="8.69"/>
    <n v="20.83"/>
    <n v="28.18"/>
    <n v="3.2"/>
    <n v="17457"/>
    <n v="9254"/>
    <n v="9"/>
    <n v="6267331.1699999999"/>
    <n v="84.049481970347259"/>
    <n v="7456716"/>
    <n v="0.10330437874428322"/>
  </r>
  <r>
    <s v="P0005"/>
    <s v="Model_433"/>
    <x v="2"/>
    <x v="0"/>
    <x v="0"/>
    <s v="Q1"/>
    <n v="4476"/>
    <n v="13812"/>
    <n v="2844"/>
    <n v="72054"/>
    <n v="2.27"/>
    <n v="4"/>
    <n v="5.3"/>
    <n v="11.45"/>
    <n v="42.51"/>
    <n v="3.8"/>
    <n v="16859"/>
    <n v="6718"/>
    <n v="10"/>
    <n v="49020702.549999997"/>
    <n v="79.292641085176214"/>
    <n v="61822512"/>
    <n v="0.89610542492134049"/>
  </r>
  <r>
    <s v="P0006"/>
    <s v="Model_349"/>
    <x v="2"/>
    <x v="3"/>
    <x v="0"/>
    <s v="Q1"/>
    <n v="3494"/>
    <n v="3490"/>
    <n v="11131"/>
    <n v="120028"/>
    <n v="13.14"/>
    <n v="6"/>
    <n v="4.68"/>
    <n v="6.47"/>
    <n v="78.099999999999994"/>
    <n v="4.2"/>
    <n v="14740"/>
    <n v="5365"/>
    <n v="13"/>
    <n v="-26817688.469999999"/>
    <n v="-219.92419645302709"/>
    <n v="12194060"/>
    <n v="0.69950678165218128"/>
  </r>
  <r>
    <s v="P0007"/>
    <s v="Model_740"/>
    <x v="2"/>
    <x v="2"/>
    <x v="0"/>
    <s v="Q4"/>
    <n v="3221"/>
    <n v="6799"/>
    <n v="12021"/>
    <n v="72207"/>
    <n v="8.09"/>
    <n v="1"/>
    <n v="4.1100000000000003"/>
    <n v="21.97"/>
    <n v="73.88"/>
    <n v="2.4"/>
    <n v="1607"/>
    <n v="7189"/>
    <n v="10"/>
    <n v="-16892290.969999999"/>
    <n v="-77.135231549428411"/>
    <n v="21899579"/>
    <n v="0.64485155801421756"/>
  </r>
  <r>
    <s v="P0008"/>
    <s v="Model_777"/>
    <x v="1"/>
    <x v="1"/>
    <x v="1"/>
    <s v="Q1"/>
    <n v="2969"/>
    <n v="14497"/>
    <n v="2349"/>
    <n v="280893"/>
    <n v="4.24"/>
    <n v="10"/>
    <n v="8.18"/>
    <n v="4.92"/>
    <n v="31.37"/>
    <n v="1"/>
    <n v="17024"/>
    <n v="8065"/>
    <n v="4"/>
    <n v="35786514.079999998"/>
    <n v="83.144027870901525"/>
    <n v="43041593"/>
    <n v="0.59440058234840476"/>
  </r>
  <r>
    <s v="P0009"/>
    <s v="Model_910"/>
    <x v="2"/>
    <x v="3"/>
    <x v="0"/>
    <s v="Q1"/>
    <n v="180"/>
    <n v="14972"/>
    <n v="10756"/>
    <n v="131554"/>
    <n v="6.38"/>
    <n v="12"/>
    <n v="8.9499999999999993"/>
    <n v="23.68"/>
    <n v="29.56"/>
    <n v="2.9"/>
    <n v="3126"/>
    <n v="9697"/>
    <n v="6"/>
    <n v="627302.31999999995"/>
    <n v="23.276869415501526"/>
    <n v="2694960"/>
    <n v="3.6036411189866238E-2"/>
  </r>
  <r>
    <s v="P0010"/>
    <s v="Model_504"/>
    <x v="2"/>
    <x v="1"/>
    <x v="0"/>
    <s v="Q1"/>
    <n v="1735"/>
    <n v="5880"/>
    <n v="6940"/>
    <n v="202458"/>
    <n v="0.56000000000000005"/>
    <n v="4"/>
    <n v="8.5299999999999994"/>
    <n v="5.14"/>
    <n v="28.19"/>
    <n v="1.1000000000000001"/>
    <n v="7729"/>
    <n v="8808"/>
    <n v="7"/>
    <n v="-2041563.14"/>
    <n v="-20.011793409006255"/>
    <n v="10201800"/>
    <n v="0.34735096341343291"/>
  </r>
  <r>
    <s v="P0011"/>
    <s v="Model_189"/>
    <x v="1"/>
    <x v="1"/>
    <x v="0"/>
    <s v="Q2"/>
    <n v="819"/>
    <n v="6257"/>
    <n v="11637"/>
    <n v="133276"/>
    <n v="1.92"/>
    <n v="5"/>
    <n v="6.74"/>
    <n v="15.34"/>
    <n v="37.14"/>
    <n v="1.4"/>
    <n v="8377"/>
    <n v="6669"/>
    <n v="7"/>
    <n v="-4539511.34"/>
    <n v="-88.5847672828654"/>
    <n v="5124483"/>
    <n v="0.16396567091389139"/>
  </r>
  <r>
    <s v="P0012"/>
    <s v="Model_789"/>
    <x v="2"/>
    <x v="0"/>
    <x v="1"/>
    <s v="Q1"/>
    <n v="2441"/>
    <n v="11895"/>
    <n v="4516"/>
    <n v="364925"/>
    <n v="11.48"/>
    <n v="13"/>
    <n v="1.37"/>
    <n v="5.58"/>
    <n v="49.86"/>
    <n v="2.2999999999999998"/>
    <n v="2374"/>
    <n v="1591"/>
    <n v="11"/>
    <n v="17647208.420000002"/>
    <n v="60.777633943323906"/>
    <n v="29035695"/>
    <n v="0.48869377619146381"/>
  </r>
  <r>
    <s v="P0013"/>
    <s v="Model_372"/>
    <x v="2"/>
    <x v="1"/>
    <x v="0"/>
    <s v="Q2"/>
    <n v="2483"/>
    <n v="17741"/>
    <n v="13597"/>
    <n v="233852"/>
    <n v="0"/>
    <n v="11"/>
    <n v="2.77"/>
    <n v="13.64"/>
    <n v="45.09"/>
    <n v="2.7"/>
    <n v="7043"/>
    <n v="5313"/>
    <n v="9"/>
    <n v="10055686.359999999"/>
    <n v="22.827423900935695"/>
    <n v="44050903"/>
    <n v="0.49710227213576597"/>
  </r>
  <r>
    <s v="P0014"/>
    <s v="Model_314"/>
    <x v="1"/>
    <x v="1"/>
    <x v="1"/>
    <s v="Q4"/>
    <n v="1234"/>
    <n v="7088"/>
    <n v="14294"/>
    <n v="242512"/>
    <n v="6.25"/>
    <n v="3"/>
    <n v="0.46"/>
    <n v="17.100000000000001"/>
    <n v="27.46"/>
    <n v="2.1"/>
    <n v="5309"/>
    <n v="4328"/>
    <n v="7"/>
    <n v="-9134733.0999999996"/>
    <n v="-104.43762667791066"/>
    <n v="8746592"/>
    <n v="0.24704961893497188"/>
  </r>
  <r>
    <s v="P0015"/>
    <s v="Model_972"/>
    <x v="1"/>
    <x v="1"/>
    <x v="0"/>
    <s v="Q1"/>
    <n v="4605"/>
    <n v="18850"/>
    <n v="5281"/>
    <n v="487415"/>
    <n v="7.84"/>
    <n v="5"/>
    <n v="9.31"/>
    <n v="4.76"/>
    <n v="20.440000000000001"/>
    <n v="3.3"/>
    <n v="12103"/>
    <n v="7608"/>
    <n v="7"/>
    <n v="61997825.240000002"/>
    <n v="71.422568871915843"/>
    <n v="86804250"/>
    <n v="0.92193151960741127"/>
  </r>
  <r>
    <s v="P0016"/>
    <s v="Model_585"/>
    <x v="1"/>
    <x v="3"/>
    <x v="1"/>
    <s v="Q4"/>
    <n v="3435"/>
    <n v="6444"/>
    <n v="14685"/>
    <n v="373179"/>
    <n v="0.82"/>
    <n v="9"/>
    <n v="6.61"/>
    <n v="13.02"/>
    <n v="11.01"/>
    <n v="1.2"/>
    <n v="3607"/>
    <n v="4509"/>
    <n v="5"/>
    <n v="-28681027.02"/>
    <n v="-129.57237686321389"/>
    <n v="22135140"/>
    <n v="0.68769484687328075"/>
  </r>
  <r>
    <s v="P0017"/>
    <s v="Model_844"/>
    <x v="2"/>
    <x v="2"/>
    <x v="0"/>
    <s v="Q1"/>
    <n v="4167"/>
    <n v="14895"/>
    <n v="8698"/>
    <n v="58210"/>
    <n v="14.6"/>
    <n v="17"/>
    <n v="7.46"/>
    <n v="11.73"/>
    <n v="22.32"/>
    <n v="1.6"/>
    <n v="13245"/>
    <n v="690"/>
    <n v="8"/>
    <n v="25764677.27"/>
    <n v="41.510761346544442"/>
    <n v="62067465"/>
    <n v="0.83424291904540337"/>
  </r>
  <r>
    <s v="P0018"/>
    <s v="Model_757"/>
    <x v="2"/>
    <x v="0"/>
    <x v="0"/>
    <s v="Q4"/>
    <n v="4893"/>
    <n v="18572"/>
    <n v="7348"/>
    <n v="94363"/>
    <n v="3.39"/>
    <n v="14"/>
    <n v="3.12"/>
    <n v="1.78"/>
    <n v="66.430000000000007"/>
    <n v="3.8"/>
    <n v="10965"/>
    <n v="7479"/>
    <n v="9"/>
    <n v="54824667.219999999"/>
    <n v="60.331220819925022"/>
    <n v="90872796"/>
    <n v="0.97958977751119725"/>
  </r>
  <r>
    <s v="P0019"/>
    <s v="Model_208"/>
    <x v="0"/>
    <x v="1"/>
    <x v="0"/>
    <s v="Q1"/>
    <n v="2954"/>
    <n v="5743"/>
    <n v="3093"/>
    <n v="292247"/>
    <n v="4.5599999999999996"/>
    <n v="7"/>
    <n v="8.4600000000000009"/>
    <n v="20.46"/>
    <n v="29.49"/>
    <n v="1.6"/>
    <n v="2059"/>
    <n v="9835"/>
    <n v="4"/>
    <n v="7535832.54"/>
    <n v="44.420345465457878"/>
    <n v="16964822"/>
    <n v="0.5913975480825826"/>
  </r>
  <r>
    <s v="P0020"/>
    <s v="Model_249"/>
    <x v="1"/>
    <x v="0"/>
    <x v="0"/>
    <s v="Q3"/>
    <n v="524"/>
    <n v="11416"/>
    <n v="5637"/>
    <n v="128279"/>
    <n v="4.5599999999999996"/>
    <n v="8"/>
    <n v="2.6"/>
    <n v="8.39"/>
    <n v="47.49"/>
    <n v="3.6"/>
    <n v="9808"/>
    <n v="3156"/>
    <n v="8"/>
    <n v="2899908.61"/>
    <n v="48.477371554320435"/>
    <n v="5981984"/>
    <n v="0.10490599701938838"/>
  </r>
  <r>
    <s v="P0021"/>
    <s v="Model_819"/>
    <x v="0"/>
    <x v="3"/>
    <x v="1"/>
    <s v="Q1"/>
    <n v="1132"/>
    <n v="11484"/>
    <n v="8558"/>
    <n v="241420"/>
    <n v="3.46"/>
    <n v="4"/>
    <n v="0.02"/>
    <n v="14.36"/>
    <n v="57.3"/>
    <n v="1.2"/>
    <n v="16750"/>
    <n v="2306"/>
    <n v="4"/>
    <n v="3070797.64"/>
    <n v="23.621723817928277"/>
    <n v="12999888"/>
    <n v="0.22662898592738101"/>
  </r>
  <r>
    <s v="P0022"/>
    <s v="Model_308"/>
    <x v="0"/>
    <x v="3"/>
    <x v="0"/>
    <s v="Q1"/>
    <n v="2608"/>
    <n v="3259"/>
    <n v="11700"/>
    <n v="236356"/>
    <n v="0.02"/>
    <n v="9"/>
    <n v="3.76"/>
    <n v="12.87"/>
    <n v="80.95"/>
    <n v="2.6"/>
    <n v="14755"/>
    <n v="2808"/>
    <n v="9"/>
    <n v="-22250496.870000001"/>
    <n v="-261.78681299261888"/>
    <n v="8499472"/>
    <n v="0.5221275576842842"/>
  </r>
  <r>
    <s v="P0023"/>
    <s v="Model_409"/>
    <x v="2"/>
    <x v="0"/>
    <x v="1"/>
    <s v="Q2"/>
    <n v="2097"/>
    <n v="10681"/>
    <n v="7593"/>
    <n v="253196"/>
    <n v="10.94"/>
    <n v="19"/>
    <n v="5.71"/>
    <n v="12.83"/>
    <n v="81.11"/>
    <n v="1.7"/>
    <n v="4546"/>
    <n v="6081"/>
    <n v="2"/>
    <n v="6222327.1699999999"/>
    <n v="27.780656018510889"/>
    <n v="22398057"/>
    <n v="0.41982419036194168"/>
  </r>
  <r>
    <s v="P0024"/>
    <s v="Model_779"/>
    <x v="0"/>
    <x v="0"/>
    <x v="1"/>
    <s v="Q3"/>
    <n v="2797"/>
    <n v="3982"/>
    <n v="8438"/>
    <n v="249919"/>
    <n v="14.5"/>
    <n v="5"/>
    <n v="4.79"/>
    <n v="2.68"/>
    <n v="69.66"/>
    <n v="1.4"/>
    <n v="15356"/>
    <n v="5822"/>
    <n v="2"/>
    <n v="-12713353.68"/>
    <n v="-114.14750072142661"/>
    <n v="11137654"/>
    <n v="0.55996578943364372"/>
  </r>
  <r>
    <s v="P0025"/>
    <s v="Model_343"/>
    <x v="0"/>
    <x v="1"/>
    <x v="1"/>
    <s v="Q3"/>
    <n v="1025"/>
    <n v="2451"/>
    <n v="8793"/>
    <n v="465648"/>
    <n v="3.36"/>
    <n v="15"/>
    <n v="8.6199999999999992"/>
    <n v="10.59"/>
    <n v="12.81"/>
    <n v="3.3"/>
    <n v="17927"/>
    <n v="847"/>
    <n v="7"/>
    <n v="-6966208.5899999999"/>
    <n v="-277.28686509239628"/>
    <n v="2512275"/>
    <n v="0.20520734149784942"/>
  </r>
  <r>
    <s v="P0026"/>
    <s v="Model_179"/>
    <x v="0"/>
    <x v="0"/>
    <x v="1"/>
    <s v="Q4"/>
    <n v="1856"/>
    <n v="3579"/>
    <n v="6807"/>
    <n v="307324"/>
    <n v="9.9499999999999993"/>
    <n v="2"/>
    <n v="1.05"/>
    <n v="11.31"/>
    <n v="56.01"/>
    <n v="4.7"/>
    <n v="2008"/>
    <n v="9092"/>
    <n v="11"/>
    <n v="-6298503.3099999996"/>
    <n v="-94.819506719031509"/>
    <n v="6642624"/>
    <n v="0.37157543982439856"/>
  </r>
  <r>
    <s v="P0027"/>
    <s v="Model_887"/>
    <x v="1"/>
    <x v="2"/>
    <x v="1"/>
    <s v="Q1"/>
    <n v="239"/>
    <n v="4217"/>
    <n v="6342"/>
    <n v="245161"/>
    <n v="11.13"/>
    <n v="9"/>
    <n v="5.54"/>
    <n v="18.34"/>
    <n v="72.930000000000007"/>
    <n v="1.2"/>
    <n v="7607"/>
    <n v="6653"/>
    <n v="10"/>
    <n v="-753054.34"/>
    <n v="-74.717926940467109"/>
    <n v="1007863"/>
    <n v="4.7848345968766838E-2"/>
  </r>
  <r>
    <s v="P0028"/>
    <s v="Model_698"/>
    <x v="1"/>
    <x v="0"/>
    <x v="1"/>
    <s v="Q2"/>
    <n v="2784"/>
    <n v="11192"/>
    <n v="9892"/>
    <n v="498614"/>
    <n v="12.73"/>
    <n v="10"/>
    <n v="5.13"/>
    <n v="21"/>
    <n v="11.38"/>
    <n v="2.7"/>
    <n v="14976"/>
    <n v="1597"/>
    <n v="13"/>
    <n v="3120565"/>
    <n v="10.015123307493859"/>
    <n v="31158528"/>
    <n v="0.55736315973659778"/>
  </r>
  <r>
    <s v="P0029"/>
    <s v="Model_358"/>
    <x v="2"/>
    <x v="1"/>
    <x v="1"/>
    <s v="Q1"/>
    <n v="3055"/>
    <n v="8811"/>
    <n v="12076"/>
    <n v="280363"/>
    <n v="6.34"/>
    <n v="10"/>
    <n v="2.81"/>
    <n v="13.62"/>
    <n v="53.97"/>
    <n v="3.8"/>
    <n v="4939"/>
    <n v="1479"/>
    <n v="5"/>
    <n v="-10254951.619999999"/>
    <n v="-38.097563360484706"/>
    <n v="26917605"/>
    <n v="0.61161797880578528"/>
  </r>
  <r>
    <s v="P0030"/>
    <s v="Model_793"/>
    <x v="0"/>
    <x v="2"/>
    <x v="1"/>
    <s v="Q4"/>
    <n v="4708"/>
    <n v="19949"/>
    <n v="7156"/>
    <n v="184393"/>
    <n v="4.54"/>
    <n v="16"/>
    <n v="8.2200000000000006"/>
    <n v="2.17"/>
    <n v="78.62"/>
    <n v="2.9"/>
    <n v="14636"/>
    <n v="8971"/>
    <n v="7"/>
    <n v="60045048.829999998"/>
    <n v="63.932195354313222"/>
    <n v="93919892"/>
    <n v="0.94255235489939027"/>
  </r>
  <r>
    <s v="P0031"/>
    <s v="Model_341"/>
    <x v="2"/>
    <x v="0"/>
    <x v="1"/>
    <s v="Q4"/>
    <n v="1949"/>
    <n v="2268"/>
    <n v="11001"/>
    <n v="393492"/>
    <n v="4.88"/>
    <n v="3"/>
    <n v="7.53"/>
    <n v="5.92"/>
    <n v="47.93"/>
    <n v="4.2"/>
    <n v="15667"/>
    <n v="7460"/>
    <n v="13"/>
    <n v="-17414114.920000002"/>
    <n v="-393.95490926925856"/>
    <n v="4420332"/>
    <n v="0.3901942522724961"/>
  </r>
  <r>
    <s v="P0032"/>
    <s v="Model_579"/>
    <x v="2"/>
    <x v="2"/>
    <x v="0"/>
    <s v="Q2"/>
    <n v="1317"/>
    <n v="6990"/>
    <n v="9233"/>
    <n v="480599"/>
    <n v="10.69"/>
    <n v="3"/>
    <n v="7.33"/>
    <n v="4.12"/>
    <n v="10.33"/>
    <n v="1.7"/>
    <n v="18800"/>
    <n v="3870"/>
    <n v="6"/>
    <n v="-3434634.12"/>
    <n v="-37.309336800701296"/>
    <n v="9205830"/>
    <n v="0.26366640853918799"/>
  </r>
  <r>
    <s v="P0033"/>
    <s v="Model_360"/>
    <x v="2"/>
    <x v="3"/>
    <x v="1"/>
    <s v="Q4"/>
    <n v="1578"/>
    <n v="17034"/>
    <n v="8180"/>
    <n v="425960"/>
    <n v="12.25"/>
    <n v="16"/>
    <n v="8.76"/>
    <n v="3.12"/>
    <n v="10.88"/>
    <n v="4.8"/>
    <n v="18682"/>
    <n v="3442"/>
    <n v="13"/>
    <n v="13545648.880000001"/>
    <n v="50.393691406421482"/>
    <n v="26879652"/>
    <n v="0.31591920476449403"/>
  </r>
  <r>
    <s v="P0034"/>
    <s v="Model_854"/>
    <x v="0"/>
    <x v="2"/>
    <x v="0"/>
    <s v="Q4"/>
    <n v="3252"/>
    <n v="8145"/>
    <n v="3185"/>
    <n v="259754"/>
    <n v="2.72"/>
    <n v="8"/>
    <n v="7.23"/>
    <n v="9.15"/>
    <n v="43.33"/>
    <n v="2.5"/>
    <n v="6471"/>
    <n v="9188"/>
    <n v="2"/>
    <n v="15870156.85"/>
    <n v="59.915555955743713"/>
    <n v="26487540"/>
    <n v="0.6510578288302501"/>
  </r>
  <r>
    <s v="P0035"/>
    <s v="Model_326"/>
    <x v="2"/>
    <x v="0"/>
    <x v="0"/>
    <s v="Q2"/>
    <n v="3606"/>
    <n v="6732"/>
    <n v="5068"/>
    <n v="173053"/>
    <n v="5.56"/>
    <n v="18"/>
    <n v="2.3199999999999998"/>
    <n v="5.73"/>
    <n v="22.4"/>
    <n v="2.4"/>
    <n v="19644"/>
    <n v="1646"/>
    <n v="7"/>
    <n v="5827325.2699999996"/>
    <n v="24.004873990302684"/>
    <n v="24275592"/>
    <n v="0.72192943750365368"/>
  </r>
  <r>
    <s v="P0036"/>
    <s v="Model_908"/>
    <x v="2"/>
    <x v="2"/>
    <x v="0"/>
    <s v="Q1"/>
    <n v="3940"/>
    <n v="12985"/>
    <n v="1471"/>
    <n v="233965"/>
    <n v="13.53"/>
    <n v="4"/>
    <n v="7.06"/>
    <n v="5.46"/>
    <n v="63.16"/>
    <n v="4.5"/>
    <n v="17383"/>
    <n v="3226"/>
    <n v="10"/>
    <n v="45131189.539999999"/>
    <n v="88.214221290086755"/>
    <n v="51160900"/>
    <n v="0.78879700048929435"/>
  </r>
  <r>
    <s v="P0037"/>
    <s v="Model_396"/>
    <x v="0"/>
    <x v="1"/>
    <x v="1"/>
    <s v="Q2"/>
    <n v="696"/>
    <n v="7297"/>
    <n v="963"/>
    <n v="216892"/>
    <n v="12.1"/>
    <n v="5"/>
    <n v="3.08"/>
    <n v="1.37"/>
    <n v="66.7"/>
    <n v="3.3"/>
    <n v="2318"/>
    <n v="5989"/>
    <n v="13"/>
    <n v="4191570.63"/>
    <n v="82.532158350384904"/>
    <n v="5078712"/>
    <n v="0.13934078993414944"/>
  </r>
  <r>
    <s v="P0038"/>
    <s v="Model_876"/>
    <x v="2"/>
    <x v="0"/>
    <x v="0"/>
    <s v="Q1"/>
    <n v="2938"/>
    <n v="13842"/>
    <n v="9456"/>
    <n v="378406"/>
    <n v="14.77"/>
    <n v="2"/>
    <n v="2.42"/>
    <n v="0.44"/>
    <n v="24.23"/>
    <n v="3.1"/>
    <n v="11860"/>
    <n v="6308"/>
    <n v="4"/>
    <n v="12507661.560000001"/>
    <n v="30.755690719015117"/>
    <n v="40667796"/>
    <n v="0.58819431153237223"/>
  </r>
  <r>
    <s v="P0039"/>
    <s v="Model_455"/>
    <x v="2"/>
    <x v="1"/>
    <x v="0"/>
    <s v="Q2"/>
    <n v="2485"/>
    <n v="9538"/>
    <n v="12034"/>
    <n v="184832"/>
    <n v="11.31"/>
    <n v="0"/>
    <n v="0.73"/>
    <n v="2.57"/>
    <n v="81.08"/>
    <n v="3.9"/>
    <n v="13427"/>
    <n v="8975"/>
    <n v="12"/>
    <n v="-6387394.5700000003"/>
    <n v="-26.948837373159062"/>
    <n v="23701930"/>
    <n v="0.49750267670454223"/>
  </r>
  <r>
    <s v="P0040"/>
    <s v="Model_886"/>
    <x v="0"/>
    <x v="2"/>
    <x v="1"/>
    <s v="Q1"/>
    <n v="650"/>
    <n v="17502"/>
    <n v="5392"/>
    <n v="203262"/>
    <n v="5.9"/>
    <n v="19"/>
    <n v="7.44"/>
    <n v="4.3"/>
    <n v="45.35"/>
    <n v="3.3"/>
    <n v="17523"/>
    <n v="1395"/>
    <n v="4"/>
    <n v="7668233.7000000002"/>
    <n v="67.405340049049343"/>
    <n v="11376300"/>
    <n v="0.13013148485229475"/>
  </r>
  <r>
    <s v="P0041"/>
    <s v="Model_412"/>
    <x v="2"/>
    <x v="3"/>
    <x v="1"/>
    <s v="Q1"/>
    <n v="2413"/>
    <n v="14587"/>
    <n v="5595"/>
    <n v="117411"/>
    <n v="8.86"/>
    <n v="15"/>
    <n v="7.11"/>
    <n v="10.77"/>
    <n v="21.43"/>
    <n v="1.7"/>
    <n v="4565"/>
    <n v="1485"/>
    <n v="3"/>
    <n v="21580274.23"/>
    <n v="61.31033008261079"/>
    <n v="35198431"/>
    <n v="0.48308811222859577"/>
  </r>
  <r>
    <s v="P0042"/>
    <s v="Model_273"/>
    <x v="1"/>
    <x v="3"/>
    <x v="1"/>
    <s v="Q3"/>
    <n v="2111"/>
    <n v="6373"/>
    <n v="11434"/>
    <n v="335521"/>
    <n v="9.92"/>
    <n v="10"/>
    <n v="2.34"/>
    <n v="12.76"/>
    <n v="71.14"/>
    <n v="3.7"/>
    <n v="4759"/>
    <n v="1042"/>
    <n v="14"/>
    <n v="-11019304.76"/>
    <n v="-81.907192997935169"/>
    <n v="13453403"/>
    <n v="0.42262702234337574"/>
  </r>
  <r>
    <s v="P0043"/>
    <s v="Model_739"/>
    <x v="1"/>
    <x v="3"/>
    <x v="1"/>
    <s v="Q2"/>
    <n v="291"/>
    <n v="2981"/>
    <n v="5598"/>
    <n v="489953"/>
    <n v="1.18"/>
    <n v="12"/>
    <n v="7.49"/>
    <n v="3.51"/>
    <n v="73.2"/>
    <n v="1.5"/>
    <n v="18790"/>
    <n v="3380"/>
    <n v="5"/>
    <n v="-1251503.51"/>
    <n v="-144.27035716467756"/>
    <n v="867471"/>
    <n v="5.8258864756950419E-2"/>
  </r>
  <r>
    <s v="P0044"/>
    <s v="Model_402"/>
    <x v="0"/>
    <x v="1"/>
    <x v="1"/>
    <s v="Q2"/>
    <n v="2091"/>
    <n v="11593"/>
    <n v="6836"/>
    <n v="88211"/>
    <n v="8.17"/>
    <n v="9"/>
    <n v="9.18"/>
    <n v="10.62"/>
    <n v="61.14"/>
    <n v="4.2"/>
    <n v="13800"/>
    <n v="1133"/>
    <n v="11"/>
    <n v="9858665.3800000008"/>
    <n v="40.66944609420014"/>
    <n v="24240963"/>
    <n v="0.41862297665561282"/>
  </r>
  <r>
    <s v="P0045"/>
    <s v="Model_414"/>
    <x v="2"/>
    <x v="1"/>
    <x v="0"/>
    <s v="Q1"/>
    <n v="2874"/>
    <n v="15922"/>
    <n v="3155"/>
    <n v="263981"/>
    <n v="10.64"/>
    <n v="2"/>
    <n v="1.08"/>
    <n v="8.5399999999999991"/>
    <n v="78.28"/>
    <n v="5"/>
    <n v="2102"/>
    <n v="2886"/>
    <n v="4"/>
    <n v="36428368.460000001"/>
    <n v="79.607747782618418"/>
    <n v="45759828"/>
    <n v="0.57538136533153095"/>
  </r>
  <r>
    <s v="P0046"/>
    <s v="Model_133"/>
    <x v="2"/>
    <x v="3"/>
    <x v="1"/>
    <s v="Q2"/>
    <n v="2662"/>
    <n v="17938"/>
    <n v="6687"/>
    <n v="315888"/>
    <n v="2.5099999999999998"/>
    <n v="8"/>
    <n v="2.33"/>
    <n v="4.59"/>
    <n v="68.989999999999995"/>
    <n v="2.5"/>
    <n v="5795"/>
    <n v="2333"/>
    <n v="13"/>
    <n v="29634269.41"/>
    <n v="62.060054692936404"/>
    <n v="47750956"/>
    <n v="0.53293848104124408"/>
  </r>
  <r>
    <s v="P0047"/>
    <s v="Model_720"/>
    <x v="0"/>
    <x v="3"/>
    <x v="0"/>
    <s v="Q4"/>
    <n v="1413"/>
    <n v="9143"/>
    <n v="13270"/>
    <n v="306638"/>
    <n v="11.71"/>
    <n v="11"/>
    <n v="7.5"/>
    <n v="0.17"/>
    <n v="80.58"/>
    <n v="2.8"/>
    <n v="11483"/>
    <n v="1720"/>
    <n v="3"/>
    <n v="-6138089.1699999999"/>
    <n v="-47.51189053320369"/>
    <n v="12919059"/>
    <n v="0.28288582784044997"/>
  </r>
  <r>
    <s v="P0048"/>
    <s v="Model_404"/>
    <x v="0"/>
    <x v="0"/>
    <x v="1"/>
    <s v="Q2"/>
    <n v="1528"/>
    <n v="17208"/>
    <n v="13716"/>
    <n v="337139"/>
    <n v="8.76"/>
    <n v="13"/>
    <n v="2.75"/>
    <n v="11.68"/>
    <n v="44.71"/>
    <n v="1.2"/>
    <n v="5027"/>
    <n v="3635"/>
    <n v="2"/>
    <n v="4998625.32"/>
    <n v="19.010644172563111"/>
    <n v="26293824"/>
    <n v="0.30590909054508675"/>
  </r>
  <r>
    <s v="P0049"/>
    <s v="Model_496"/>
    <x v="2"/>
    <x v="0"/>
    <x v="0"/>
    <s v="Q2"/>
    <n v="2606"/>
    <n v="12771"/>
    <n v="8761"/>
    <n v="198049"/>
    <n v="14.28"/>
    <n v="0"/>
    <n v="6.25"/>
    <n v="17.14"/>
    <n v="69.81"/>
    <n v="1.1000000000000001"/>
    <n v="3311"/>
    <n v="3305"/>
    <n v="4"/>
    <n v="10251993.859999999"/>
    <n v="30.80413522025901"/>
    <n v="33281226"/>
    <n v="0.52172715311550788"/>
  </r>
  <r>
    <s v="P0050"/>
    <s v="Model_900"/>
    <x v="2"/>
    <x v="1"/>
    <x v="1"/>
    <s v="Q2"/>
    <n v="825"/>
    <n v="18716"/>
    <n v="11549"/>
    <n v="279010"/>
    <n v="0.64"/>
    <n v="17"/>
    <n v="0.81"/>
    <n v="5.66"/>
    <n v="89.98"/>
    <n v="4.7"/>
    <n v="13603"/>
    <n v="2982"/>
    <n v="11"/>
    <n v="5633759.3399999999"/>
    <n v="36.486424449668732"/>
    <n v="15440700"/>
    <n v="0.16516688462022025"/>
  </r>
  <r>
    <s v="P0051"/>
    <s v="Model_371"/>
    <x v="1"/>
    <x v="1"/>
    <x v="1"/>
    <s v="Q3"/>
    <n v="4064"/>
    <n v="14100"/>
    <n v="6627"/>
    <n v="84542"/>
    <n v="3.98"/>
    <n v="16"/>
    <n v="4.5199999999999996"/>
    <n v="3.3"/>
    <n v="67.989999999999995"/>
    <n v="1.5"/>
    <n v="10532"/>
    <n v="270"/>
    <n v="7"/>
    <n v="30285726.699999999"/>
    <n v="52.852457663204333"/>
    <n v="57302400"/>
    <n v="0.81362208375342437"/>
  </r>
  <r>
    <s v="P0052"/>
    <s v="Model_781"/>
    <x v="2"/>
    <x v="1"/>
    <x v="1"/>
    <s v="Q2"/>
    <n v="84"/>
    <n v="12498"/>
    <n v="9537"/>
    <n v="60651"/>
    <n v="9.02"/>
    <n v="8"/>
    <n v="7.39"/>
    <n v="22.18"/>
    <n v="19.13"/>
    <n v="2.8"/>
    <n v="14377"/>
    <n v="8240"/>
    <n v="10"/>
    <n v="188050.82"/>
    <n v="17.912467899625845"/>
    <n v="1049832"/>
    <n v="1.6816991888604246E-2"/>
  </r>
  <r>
    <s v="P0053"/>
    <s v="Model_366"/>
    <x v="0"/>
    <x v="1"/>
    <x v="1"/>
    <s v="Q3"/>
    <n v="3202"/>
    <n v="15795"/>
    <n v="14675"/>
    <n v="149239"/>
    <n v="4.45"/>
    <n v="8"/>
    <n v="6.87"/>
    <n v="6.88"/>
    <n v="51.47"/>
    <n v="4.3"/>
    <n v="9463"/>
    <n v="9845"/>
    <n v="12"/>
    <n v="3436994.12"/>
    <n v="6.7957568463363458"/>
    <n v="50575590"/>
    <n v="0.64104771461084276"/>
  </r>
  <r>
    <s v="P0054"/>
    <s v="Model_237"/>
    <x v="2"/>
    <x v="1"/>
    <x v="1"/>
    <s v="Q2"/>
    <n v="2005"/>
    <n v="12182"/>
    <n v="5519"/>
    <n v="391075"/>
    <n v="10.72"/>
    <n v="9"/>
    <n v="8.15"/>
    <n v="5.59"/>
    <n v="56.99"/>
    <n v="4.5999999999999996"/>
    <n v="16724"/>
    <n v="3997"/>
    <n v="6"/>
    <n v="12968234.41"/>
    <n v="53.094297624842838"/>
    <n v="24424910"/>
    <n v="0.40140558019823225"/>
  </r>
  <r>
    <s v="P0055"/>
    <s v="Model_403"/>
    <x v="0"/>
    <x v="0"/>
    <x v="1"/>
    <s v="Q1"/>
    <n v="1635"/>
    <n v="17880"/>
    <n v="12827"/>
    <n v="276416"/>
    <n v="11.39"/>
    <n v="18"/>
    <n v="8.77"/>
    <n v="21.43"/>
    <n v="23.94"/>
    <n v="3.1"/>
    <n v="10416"/>
    <n v="9887"/>
    <n v="4"/>
    <n v="7985217.5700000003"/>
    <n v="27.31501744555959"/>
    <n v="29233800"/>
    <n v="0.32733073497461834"/>
  </r>
  <r>
    <s v="P0056"/>
    <s v="Model_664"/>
    <x v="0"/>
    <x v="1"/>
    <x v="1"/>
    <s v="Q3"/>
    <n v="3993"/>
    <n v="10019"/>
    <n v="1393"/>
    <n v="414256"/>
    <n v="1.54"/>
    <n v="14"/>
    <n v="7.73"/>
    <n v="20.43"/>
    <n v="87.03"/>
    <n v="3.3"/>
    <n v="8266"/>
    <n v="9915"/>
    <n v="6"/>
    <n v="34029341.57"/>
    <n v="85.060877620774974"/>
    <n v="40005867"/>
    <n v="0.79940772156186601"/>
  </r>
  <r>
    <s v="P0057"/>
    <s v="Model_521"/>
    <x v="0"/>
    <x v="0"/>
    <x v="1"/>
    <s v="Q1"/>
    <n v="3123"/>
    <n v="4800"/>
    <n v="5639"/>
    <n v="328859"/>
    <n v="7.71"/>
    <n v="4"/>
    <n v="6.72"/>
    <n v="11.21"/>
    <n v="24.05"/>
    <n v="3.7"/>
    <n v="18686"/>
    <n v="4222"/>
    <n v="6"/>
    <n v="-2949067.21"/>
    <n v="-19.673038811506029"/>
    <n v="14990400"/>
    <n v="0.62523173414417921"/>
  </r>
  <r>
    <s v="P0058"/>
    <s v="Model_264"/>
    <x v="0"/>
    <x v="1"/>
    <x v="1"/>
    <s v="Q4"/>
    <n v="1071"/>
    <n v="8222"/>
    <n v="8194"/>
    <n v="487625"/>
    <n v="7.63"/>
    <n v="14"/>
    <n v="0.32"/>
    <n v="12.23"/>
    <n v="24.2"/>
    <n v="4.8"/>
    <n v="20466"/>
    <n v="5209"/>
    <n v="6"/>
    <n v="-457649.23"/>
    <n v="-5.1971564754986561"/>
    <n v="8805762"/>
    <n v="0.21441664657970411"/>
  </r>
  <r>
    <s v="P0059"/>
    <s v="Model_432"/>
    <x v="1"/>
    <x v="1"/>
    <x v="0"/>
    <s v="Q1"/>
    <n v="3511"/>
    <n v="8718"/>
    <n v="14856"/>
    <n v="205378"/>
    <n v="5.54"/>
    <n v="19"/>
    <n v="5.35"/>
    <n v="5.44"/>
    <n v="83.21"/>
    <n v="3.4"/>
    <n v="3165"/>
    <n v="9383"/>
    <n v="13"/>
    <n v="-21755901.440000001"/>
    <n v="-71.077049033258248"/>
    <n v="30608898"/>
    <n v="0.70291022048677976"/>
  </r>
  <r>
    <s v="P0060"/>
    <s v="Model_349"/>
    <x v="0"/>
    <x v="3"/>
    <x v="0"/>
    <s v="Q3"/>
    <n v="2663"/>
    <n v="4554"/>
    <n v="12796"/>
    <n v="200158"/>
    <n v="13.99"/>
    <n v="1"/>
    <n v="0.38"/>
    <n v="1.96"/>
    <n v="47.22"/>
    <n v="3.2"/>
    <n v="17432"/>
    <n v="2937"/>
    <n v="13"/>
    <n v="-22148605.960000001"/>
    <n v="-182.63424098781411"/>
    <n v="12127302"/>
    <n v="0.53313868332563219"/>
  </r>
  <r>
    <s v="P0061"/>
    <s v="Model_306"/>
    <x v="0"/>
    <x v="1"/>
    <x v="1"/>
    <s v="Q3"/>
    <n v="3893"/>
    <n v="15075"/>
    <n v="10451"/>
    <n v="457592"/>
    <n v="12.41"/>
    <n v="12"/>
    <n v="8.08"/>
    <n v="14.34"/>
    <n v="15.06"/>
    <n v="1.1000000000000001"/>
    <n v="8475"/>
    <n v="8699"/>
    <n v="8"/>
    <n v="17543625.66"/>
    <n v="29.893559277846578"/>
    <n v="58686975"/>
    <n v="0.77938749312305144"/>
  </r>
  <r>
    <s v="P0062"/>
    <s v="Model_171"/>
    <x v="0"/>
    <x v="2"/>
    <x v="0"/>
    <s v="Q4"/>
    <n v="1550"/>
    <n v="9470"/>
    <n v="4293"/>
    <n v="373494"/>
    <n v="10.46"/>
    <n v="15"/>
    <n v="3.21"/>
    <n v="2.46"/>
    <n v="57.85"/>
    <n v="1.3"/>
    <n v="4052"/>
    <n v="5328"/>
    <n v="6"/>
    <n v="7650853.54"/>
    <n v="52.122856831420108"/>
    <n v="14678500"/>
    <n v="0.31031354080162593"/>
  </r>
  <r>
    <s v="P0063"/>
    <s v="Model_171"/>
    <x v="1"/>
    <x v="1"/>
    <x v="0"/>
    <s v="Q1"/>
    <n v="4848"/>
    <n v="3643"/>
    <n v="11593"/>
    <n v="383569"/>
    <n v="10.71"/>
    <n v="14"/>
    <n v="5.62"/>
    <n v="11.23"/>
    <n v="58.15"/>
    <n v="3.3"/>
    <n v="14719"/>
    <n v="4269"/>
    <n v="8"/>
    <n v="-38925180.229999997"/>
    <n v="-220.39860923884041"/>
    <n v="17661264"/>
    <n v="0.97058067471373066"/>
  </r>
  <r>
    <s v="P0064"/>
    <s v="Model_743"/>
    <x v="2"/>
    <x v="0"/>
    <x v="0"/>
    <s v="Q3"/>
    <n v="211"/>
    <n v="11003"/>
    <n v="6964"/>
    <n v="479852"/>
    <n v="6.93"/>
    <n v="9"/>
    <n v="2.79"/>
    <n v="23.51"/>
    <n v="15.16"/>
    <n v="4.7"/>
    <n v="15774"/>
    <n v="6821"/>
    <n v="10"/>
    <n v="372353.49"/>
    <n v="16.038430277309118"/>
    <n v="2321633"/>
    <n v="4.2242682005898757E-2"/>
  </r>
  <r>
    <s v="P0065"/>
    <s v="Model_794"/>
    <x v="0"/>
    <x v="3"/>
    <x v="1"/>
    <s v="Q4"/>
    <n v="4347"/>
    <n v="16649"/>
    <n v="11436"/>
    <n v="398264"/>
    <n v="13.81"/>
    <n v="13"/>
    <n v="7.83"/>
    <n v="23.82"/>
    <n v="87.8"/>
    <n v="4.5"/>
    <n v="14112"/>
    <n v="779"/>
    <n v="6"/>
    <n v="22262623.18"/>
    <n v="30.760864874254633"/>
    <n v="72373203"/>
    <n v="0.87027933023526971"/>
  </r>
  <r>
    <s v="P0066"/>
    <s v="Model_970"/>
    <x v="0"/>
    <x v="2"/>
    <x v="1"/>
    <s v="Q2"/>
    <n v="2031"/>
    <n v="13675"/>
    <n v="3472"/>
    <n v="427033"/>
    <n v="10.42"/>
    <n v="9"/>
    <n v="8.8699999999999992"/>
    <n v="5.98"/>
    <n v="53.52"/>
    <n v="4.9000000000000004"/>
    <n v="4308"/>
    <n v="7529"/>
    <n v="3"/>
    <n v="20295254.02"/>
    <n v="73.073049703993945"/>
    <n v="27773925"/>
    <n v="0.40661083959232408"/>
  </r>
  <r>
    <s v="P0067"/>
    <s v="Model_998"/>
    <x v="1"/>
    <x v="3"/>
    <x v="0"/>
    <s v="Q3"/>
    <n v="1045"/>
    <n v="9856"/>
    <n v="5000"/>
    <n v="494865"/>
    <n v="10.93"/>
    <n v="13"/>
    <n v="3.99"/>
    <n v="15.6"/>
    <n v="54.78"/>
    <n v="3.1"/>
    <n v="12590"/>
    <n v="5587"/>
    <n v="6"/>
    <n v="4579639.4000000004"/>
    <n v="44.464590582862115"/>
    <n v="10299520"/>
    <n v="0.20921138718561233"/>
  </r>
  <r>
    <s v="P0068"/>
    <s v="Model_931"/>
    <x v="2"/>
    <x v="0"/>
    <x v="1"/>
    <s v="Q3"/>
    <n v="4961"/>
    <n v="16570"/>
    <n v="816"/>
    <n v="477826"/>
    <n v="12.93"/>
    <n v="8"/>
    <n v="8.6300000000000008"/>
    <n v="11.85"/>
    <n v="51.61"/>
    <n v="4.2"/>
    <n v="13760"/>
    <n v="336"/>
    <n v="9"/>
    <n v="77677756.150000006"/>
    <n v="94.494152944566906"/>
    <n v="82203770"/>
    <n v="0.99320353284959118"/>
  </r>
  <r>
    <s v="P0069"/>
    <s v="Model_522"/>
    <x v="2"/>
    <x v="0"/>
    <x v="0"/>
    <s v="Q1"/>
    <n v="3392"/>
    <n v="2322"/>
    <n v="3991"/>
    <n v="191130"/>
    <n v="4.1100000000000003"/>
    <n v="13"/>
    <n v="2.67"/>
    <n v="21.89"/>
    <n v="58.86"/>
    <n v="4.4000000000000004"/>
    <n v="16795"/>
    <n v="6904"/>
    <n v="13"/>
    <n v="-5852399.8899999997"/>
    <n v="-74.304640015316977"/>
    <n v="7876224"/>
    <n v="0.67908614864459049"/>
  </r>
  <r>
    <s v="P0070"/>
    <s v="Model_271"/>
    <x v="0"/>
    <x v="1"/>
    <x v="0"/>
    <s v="Q4"/>
    <n v="4601"/>
    <n v="18827"/>
    <n v="1192"/>
    <n v="305948"/>
    <n v="12.11"/>
    <n v="2"/>
    <n v="5.35"/>
    <n v="6.79"/>
    <n v="31.14"/>
    <n v="3.6"/>
    <n v="16337"/>
    <n v="2523"/>
    <n v="5"/>
    <n v="80832680.209999993"/>
    <n v="93.315464732027891"/>
    <n v="86623027"/>
    <n v="0.92113071046985873"/>
  </r>
  <r>
    <s v="P0071"/>
    <s v="Model_988"/>
    <x v="1"/>
    <x v="2"/>
    <x v="0"/>
    <s v="Q3"/>
    <n v="3848"/>
    <n v="15789"/>
    <n v="9416"/>
    <n v="386781"/>
    <n v="2.93"/>
    <n v="19"/>
    <n v="8.59"/>
    <n v="0.09"/>
    <n v="32.979999999999997"/>
    <n v="2.4"/>
    <n v="16169"/>
    <n v="1132"/>
    <n v="3"/>
    <n v="24136522.91"/>
    <n v="39.726931178170965"/>
    <n v="60756072"/>
    <n v="0.77037839032558497"/>
  </r>
  <r>
    <s v="P0072"/>
    <s v="Model_898"/>
    <x v="0"/>
    <x v="0"/>
    <x v="0"/>
    <s v="Q4"/>
    <n v="1325"/>
    <n v="7650"/>
    <n v="7072"/>
    <n v="382338"/>
    <n v="5.18"/>
    <n v="15"/>
    <n v="3.26"/>
    <n v="4.0599999999999996"/>
    <n v="50.91"/>
    <n v="2.9"/>
    <n v="12023"/>
    <n v="6439"/>
    <n v="11"/>
    <n v="383507.94"/>
    <n v="3.7835288198298187"/>
    <n v="10136250"/>
    <n v="0.26526802681429312"/>
  </r>
  <r>
    <s v="P0073"/>
    <s v="Model_279"/>
    <x v="1"/>
    <x v="0"/>
    <x v="0"/>
    <s v="Q3"/>
    <n v="1066"/>
    <n v="5925"/>
    <n v="1371"/>
    <n v="389061"/>
    <n v="5.03"/>
    <n v="1"/>
    <n v="9.5399999999999991"/>
    <n v="8.74"/>
    <n v="74.53"/>
    <n v="4.4000000000000004"/>
    <n v="14262"/>
    <n v="3040"/>
    <n v="4"/>
    <n v="4465494.26"/>
    <n v="70.700742711029832"/>
    <n v="6316050"/>
    <n v="0.21341563515776338"/>
  </r>
  <r>
    <s v="P0074"/>
    <s v="Model_339"/>
    <x v="1"/>
    <x v="1"/>
    <x v="0"/>
    <s v="Q2"/>
    <n v="387"/>
    <n v="17532"/>
    <n v="4431"/>
    <n v="114200"/>
    <n v="14.68"/>
    <n v="9"/>
    <n v="1.22"/>
    <n v="7.89"/>
    <n v="13.99"/>
    <n v="2.2000000000000002"/>
    <n v="15269"/>
    <n v="5509"/>
    <n v="10"/>
    <n v="4955879.1100000003"/>
    <n v="73.042945317856578"/>
    <n v="6784884"/>
    <n v="7.7478284058212415E-2"/>
  </r>
  <r>
    <s v="P0075"/>
    <s v="Model_416"/>
    <x v="2"/>
    <x v="0"/>
    <x v="0"/>
    <s v="Q4"/>
    <n v="928"/>
    <n v="3698"/>
    <n v="6972"/>
    <n v="155848"/>
    <n v="12.85"/>
    <n v="2"/>
    <n v="0.18"/>
    <n v="19.78"/>
    <n v="58.27"/>
    <n v="4.7"/>
    <n v="15231"/>
    <n v="3232"/>
    <n v="10"/>
    <n v="-3194139.78"/>
    <n v="-93.076283662184593"/>
    <n v="3431744"/>
    <n v="0.18578771991219928"/>
  </r>
  <r>
    <s v="P0076"/>
    <s v="Model_493"/>
    <x v="0"/>
    <x v="1"/>
    <x v="1"/>
    <s v="Q2"/>
    <n v="1126"/>
    <n v="4952"/>
    <n v="10112"/>
    <n v="156022"/>
    <n v="10.52"/>
    <n v="10"/>
    <n v="9.0399999999999991"/>
    <n v="17.010000000000002"/>
    <n v="74.540000000000006"/>
    <n v="1.9"/>
    <n v="13377"/>
    <n v="7180"/>
    <n v="9"/>
    <n v="-5966199.0099999998"/>
    <n v="-106.99875124463051"/>
    <n v="5575952"/>
    <n v="0.22542777222105215"/>
  </r>
  <r>
    <s v="P0077"/>
    <s v="Model_635"/>
    <x v="0"/>
    <x v="3"/>
    <x v="1"/>
    <s v="Q1"/>
    <n v="4937"/>
    <n v="10606"/>
    <n v="7977"/>
    <n v="227691"/>
    <n v="10.91"/>
    <n v="10"/>
    <n v="0.69"/>
    <n v="7.49"/>
    <n v="22.55"/>
    <n v="4"/>
    <n v="3956"/>
    <n v="5042"/>
    <n v="9"/>
    <n v="12751674.51"/>
    <n v="24.352999996829748"/>
    <n v="52361822"/>
    <n v="0.98839867802427561"/>
  </r>
  <r>
    <s v="P0078"/>
    <s v="Model_364"/>
    <x v="2"/>
    <x v="0"/>
    <x v="1"/>
    <s v="Q1"/>
    <n v="4043"/>
    <n v="15359"/>
    <n v="9233"/>
    <n v="460370"/>
    <n v="8.43"/>
    <n v="12"/>
    <n v="9.92"/>
    <n v="11.44"/>
    <n v="11.2"/>
    <n v="3.5"/>
    <n v="6923"/>
    <n v="7061"/>
    <n v="9"/>
    <n v="24307036.559999999"/>
    <n v="39.144011692651546"/>
    <n v="62096437"/>
    <n v="0.80941783578127335"/>
  </r>
  <r>
    <s v="P0079"/>
    <s v="Model_416"/>
    <x v="1"/>
    <x v="2"/>
    <x v="1"/>
    <s v="Q4"/>
    <n v="4909"/>
    <n v="19192"/>
    <n v="4697"/>
    <n v="462755"/>
    <n v="14.21"/>
    <n v="6"/>
    <n v="9.51"/>
    <n v="2.39"/>
    <n v="35.020000000000003"/>
    <n v="4"/>
    <n v="15746"/>
    <n v="7830"/>
    <n v="9"/>
    <n v="70693197.609999999"/>
    <n v="75.035081596774518"/>
    <n v="94213528"/>
    <n v="0.98279301406140762"/>
  </r>
  <r>
    <s v="P0080"/>
    <s v="Model_697"/>
    <x v="2"/>
    <x v="2"/>
    <x v="0"/>
    <s v="Q3"/>
    <n v="429"/>
    <n v="10205"/>
    <n v="13087"/>
    <n v="306453"/>
    <n v="7.44"/>
    <n v="16"/>
    <n v="1.37"/>
    <n v="22.45"/>
    <n v="57.05"/>
    <n v="2.7"/>
    <n v="14346"/>
    <n v="733"/>
    <n v="9"/>
    <n v="-1542853.45"/>
    <n v="-35.241499150857308"/>
    <n v="4377945"/>
    <n v="8.588678000251454E-2"/>
  </r>
  <r>
    <s v="P0081"/>
    <s v="Model_780"/>
    <x v="0"/>
    <x v="0"/>
    <x v="1"/>
    <s v="Q3"/>
    <n v="542"/>
    <n v="11612"/>
    <n v="8923"/>
    <n v="372202"/>
    <n v="5.71"/>
    <n v="1"/>
    <n v="5.38"/>
    <n v="23.39"/>
    <n v="21.06"/>
    <n v="4.7"/>
    <n v="5817"/>
    <n v="6922"/>
    <n v="2"/>
    <n v="1085212.6100000001"/>
    <n v="17.242828865164299"/>
    <n v="6293704"/>
    <n v="0.10850963813837501"/>
  </r>
  <r>
    <s v="P0082"/>
    <s v="Model_998"/>
    <x v="1"/>
    <x v="0"/>
    <x v="1"/>
    <s v="Q1"/>
    <n v="2112"/>
    <n v="6341"/>
    <n v="3079"/>
    <n v="112068"/>
    <n v="2.4500000000000002"/>
    <n v="11"/>
    <n v="1.85"/>
    <n v="24.5"/>
    <n v="44.09"/>
    <n v="3.5"/>
    <n v="19440"/>
    <n v="4203"/>
    <n v="7"/>
    <n v="6777251.5"/>
    <n v="50.605991162611765"/>
    <n v="13392192"/>
    <n v="0.42282722462776384"/>
  </r>
  <r>
    <s v="P0083"/>
    <s v="Model_721"/>
    <x v="2"/>
    <x v="0"/>
    <x v="1"/>
    <s v="Q1"/>
    <n v="3934"/>
    <n v="16858"/>
    <n v="9780"/>
    <n v="412076"/>
    <n v="11.79"/>
    <n v="9"/>
    <n v="4.28"/>
    <n v="21.71"/>
    <n v="54.19"/>
    <n v="2.2000000000000002"/>
    <n v="20089"/>
    <n v="9684"/>
    <n v="13"/>
    <n v="27432754.289999999"/>
    <n v="41.364617098605819"/>
    <n v="66319372"/>
    <n v="0.78759578678296549"/>
  </r>
  <r>
    <s v="P0084"/>
    <s v="Model_784"/>
    <x v="2"/>
    <x v="2"/>
    <x v="1"/>
    <s v="Q1"/>
    <n v="114"/>
    <n v="2909"/>
    <n v="8251"/>
    <n v="211445"/>
    <n v="11.02"/>
    <n v="17"/>
    <n v="0.61"/>
    <n v="4.3499999999999996"/>
    <n v="57.91"/>
    <n v="3.6"/>
    <n v="14135"/>
    <n v="6587"/>
    <n v="10"/>
    <n v="-820437.35"/>
    <n v="-247.39837949979795"/>
    <n v="331626"/>
    <n v="2.2823060420248616E-2"/>
  </r>
  <r>
    <s v="P0085"/>
    <s v="Model_158"/>
    <x v="2"/>
    <x v="2"/>
    <x v="0"/>
    <s v="Q3"/>
    <n v="2618"/>
    <n v="6066"/>
    <n v="9706"/>
    <n v="214226"/>
    <n v="5.77"/>
    <n v="10"/>
    <n v="2.2400000000000002"/>
    <n v="1.1499999999999999"/>
    <n v="31.95"/>
    <n v="2.1"/>
    <n v="14970"/>
    <n v="3546"/>
    <n v="9"/>
    <n v="-9743747.1500000004"/>
    <n v="-61.35556466089718"/>
    <n v="15880788"/>
    <n v="0.52412958052816561"/>
  </r>
  <r>
    <s v="P0086"/>
    <s v="Model_578"/>
    <x v="0"/>
    <x v="3"/>
    <x v="1"/>
    <s v="Q2"/>
    <n v="2077"/>
    <n v="12882"/>
    <n v="13846"/>
    <n v="187103"/>
    <n v="0.38"/>
    <n v="15"/>
    <n v="3.63"/>
    <n v="14.49"/>
    <n v="42"/>
    <n v="2.2000000000000002"/>
    <n v="14676"/>
    <n v="5838"/>
    <n v="4"/>
    <n v="-2189345.4900000002"/>
    <n v="-8.182660065359757"/>
    <n v="26755914"/>
    <n v="0.41582014467417877"/>
  </r>
  <r>
    <s v="P0087"/>
    <s v="Model_333"/>
    <x v="1"/>
    <x v="0"/>
    <x v="1"/>
    <s v="Q1"/>
    <n v="2745"/>
    <n v="19439"/>
    <n v="11841"/>
    <n v="274605"/>
    <n v="12.58"/>
    <n v="16"/>
    <n v="4.3899999999999997"/>
    <n v="22.82"/>
    <n v="72.27"/>
    <n v="2.6"/>
    <n v="10613"/>
    <n v="3198"/>
    <n v="12"/>
    <n v="20581882.18"/>
    <n v="38.571703458701457"/>
    <n v="53360055"/>
    <n v="0.54955527064546017"/>
  </r>
  <r>
    <s v="P0088"/>
    <s v="Model_536"/>
    <x v="0"/>
    <x v="2"/>
    <x v="1"/>
    <s v="Q1"/>
    <n v="1545"/>
    <n v="16096"/>
    <n v="1575"/>
    <n v="253047"/>
    <n v="0.17"/>
    <n v="18"/>
    <n v="9.77"/>
    <n v="4.43"/>
    <n v="85.3"/>
    <n v="4.4000000000000004"/>
    <n v="15046"/>
    <n v="8197"/>
    <n v="2"/>
    <n v="22181893.57"/>
    <n v="89.197394797879397"/>
    <n v="24868320"/>
    <n v="0.30931252937968523"/>
  </r>
  <r>
    <s v="P0089"/>
    <s v="Model_946"/>
    <x v="1"/>
    <x v="0"/>
    <x v="0"/>
    <s v="Q1"/>
    <n v="441"/>
    <n v="2304"/>
    <n v="13018"/>
    <n v="334929"/>
    <n v="10.56"/>
    <n v="17"/>
    <n v="8.08"/>
    <n v="0.18"/>
    <n v="78.95"/>
    <n v="3"/>
    <n v="8305"/>
    <n v="5576"/>
    <n v="3"/>
    <n v="-5059803.18"/>
    <n v="-497.98075514928189"/>
    <n v="1016064"/>
    <n v="8.828920741517228E-2"/>
  </r>
  <r>
    <s v="P0090"/>
    <s v="Model_595"/>
    <x v="1"/>
    <x v="0"/>
    <x v="0"/>
    <s v="Q1"/>
    <n v="4564"/>
    <n v="14721"/>
    <n v="7669"/>
    <n v="299768"/>
    <n v="14.55"/>
    <n v="2"/>
    <n v="7.37"/>
    <n v="20.14"/>
    <n v="55.14"/>
    <n v="3.7"/>
    <n v="18288"/>
    <n v="8353"/>
    <n v="12"/>
    <n v="31885539.859999999"/>
    <n v="47.458152337538991"/>
    <n v="67186644"/>
    <n v="0.91372322594749733"/>
  </r>
  <r>
    <s v="P0091"/>
    <s v="Model_199"/>
    <x v="1"/>
    <x v="0"/>
    <x v="0"/>
    <s v="Q2"/>
    <n v="4524"/>
    <n v="2779"/>
    <n v="3047"/>
    <n v="209741"/>
    <n v="6.56"/>
    <n v="15"/>
    <n v="5.37"/>
    <n v="1.92"/>
    <n v="42.82"/>
    <n v="2.6"/>
    <n v="19504"/>
    <n v="5281"/>
    <n v="3"/>
    <n v="-1422174.92"/>
    <n v="-11.312064495335578"/>
    <n v="12572196"/>
    <n v="0.9057151345719715"/>
  </r>
  <r>
    <s v="P0092"/>
    <s v="Model_232"/>
    <x v="2"/>
    <x v="1"/>
    <x v="1"/>
    <s v="Q3"/>
    <n v="3611"/>
    <n v="14692"/>
    <n v="7888"/>
    <n v="144475"/>
    <n v="3.52"/>
    <n v="5"/>
    <n v="8.4"/>
    <n v="10.34"/>
    <n v="36.64"/>
    <n v="2.1"/>
    <n v="20836"/>
    <n v="1917"/>
    <n v="8"/>
    <n v="24424758.66"/>
    <n v="46.038575033496812"/>
    <n v="53052812"/>
    <n v="0.72293044892559433"/>
  </r>
  <r>
    <s v="P0093"/>
    <s v="Model_486"/>
    <x v="2"/>
    <x v="1"/>
    <x v="0"/>
    <s v="Q2"/>
    <n v="2328"/>
    <n v="8583"/>
    <n v="878"/>
    <n v="52282"/>
    <n v="10.57"/>
    <n v="11"/>
    <n v="3.39"/>
    <n v="16.97"/>
    <n v="20"/>
    <n v="4.8"/>
    <n v="9580"/>
    <n v="8924"/>
    <n v="13"/>
    <n v="17884941.030000001"/>
    <n v="89.508735951311095"/>
    <n v="19981224"/>
    <n v="0.46607091805560336"/>
  </r>
  <r>
    <s v="P0094"/>
    <s v="Model_275"/>
    <x v="0"/>
    <x v="1"/>
    <x v="0"/>
    <s v="Q2"/>
    <n v="3149"/>
    <n v="12593"/>
    <n v="8880"/>
    <n v="215696"/>
    <n v="12.26"/>
    <n v="10"/>
    <n v="7.09"/>
    <n v="5.92"/>
    <n v="18.52"/>
    <n v="3.4"/>
    <n v="4618"/>
    <n v="4987"/>
    <n v="7"/>
    <n v="11476535.08"/>
    <n v="28.940692880409575"/>
    <n v="39655357"/>
    <n v="0.63043699353827098"/>
  </r>
  <r>
    <s v="P0095"/>
    <s v="Model_681"/>
    <x v="1"/>
    <x v="2"/>
    <x v="1"/>
    <s v="Q4"/>
    <n v="250"/>
    <n v="19271"/>
    <n v="7899"/>
    <n v="229510"/>
    <n v="8.1999999999999993"/>
    <n v="14"/>
    <n v="9.94"/>
    <n v="2.1"/>
    <n v="65.069999999999993"/>
    <n v="4.7"/>
    <n v="8130"/>
    <n v="2698"/>
    <n v="12"/>
    <n v="2613487.9"/>
    <n v="54.247063463234909"/>
    <n v="4817750"/>
    <n v="5.0050571097036443E-2"/>
  </r>
  <r>
    <s v="P0096"/>
    <s v="Model_361"/>
    <x v="2"/>
    <x v="0"/>
    <x v="1"/>
    <s v="Q3"/>
    <n v="4925"/>
    <n v="14380"/>
    <n v="4726"/>
    <n v="270972"/>
    <n v="14.51"/>
    <n v="14"/>
    <n v="3.15"/>
    <n v="19.25"/>
    <n v="30.78"/>
    <n v="1.8"/>
    <n v="2065"/>
    <n v="9592"/>
    <n v="3"/>
    <n v="47274958.75"/>
    <n v="66.752269790953306"/>
    <n v="70821500"/>
    <n v="0.98599625061161789"/>
  </r>
  <r>
    <s v="P0097"/>
    <s v="Model_145"/>
    <x v="2"/>
    <x v="3"/>
    <x v="1"/>
    <s v="Q1"/>
    <n v="3154"/>
    <n v="17017"/>
    <n v="9847"/>
    <n v="379678"/>
    <n v="0.78"/>
    <n v="15"/>
    <n v="6.74"/>
    <n v="15.75"/>
    <n v="30.37"/>
    <n v="1.6"/>
    <n v="17201"/>
    <n v="2753"/>
    <n v="9"/>
    <n v="22234486.25"/>
    <n v="41.426897638897344"/>
    <n v="53671618"/>
    <n v="0.63143800496021174"/>
  </r>
  <r>
    <s v="P0098"/>
    <s v="Model_506"/>
    <x v="0"/>
    <x v="3"/>
    <x v="1"/>
    <s v="Q3"/>
    <n v="4648"/>
    <n v="3606"/>
    <n v="8140"/>
    <n v="212777"/>
    <n v="7.57"/>
    <n v="9"/>
    <n v="8.44"/>
    <n v="24.71"/>
    <n v="89.86"/>
    <n v="4.4000000000000004"/>
    <n v="16359"/>
    <n v="1554"/>
    <n v="10"/>
    <n v="-21286833.710000001"/>
    <n v="-127.00453412174966"/>
    <n v="16760688"/>
    <n v="0.93054021783610152"/>
  </r>
  <r>
    <s v="P0099"/>
    <s v="Model_232"/>
    <x v="1"/>
    <x v="3"/>
    <x v="0"/>
    <s v="Q1"/>
    <n v="2504"/>
    <n v="17586"/>
    <n v="14527"/>
    <n v="481460"/>
    <n v="10.78"/>
    <n v="11"/>
    <n v="9.16"/>
    <n v="8.61"/>
    <n v="25.03"/>
    <n v="3.7"/>
    <n v="9170"/>
    <n v="1238"/>
    <n v="8"/>
    <n v="7178267.3899999997"/>
    <n v="16.301149799124993"/>
    <n v="44035344"/>
    <n v="0.50130652010791699"/>
  </r>
  <r>
    <s v="P0100"/>
    <s v="Model_384"/>
    <x v="0"/>
    <x v="1"/>
    <x v="1"/>
    <s v="Q3"/>
    <n v="3695"/>
    <n v="6331"/>
    <n v="7883"/>
    <n v="387108"/>
    <n v="12.94"/>
    <n v="12"/>
    <n v="7.18"/>
    <n v="1.54"/>
    <n v="21.84"/>
    <n v="1.7"/>
    <n v="20752"/>
    <n v="5907"/>
    <n v="5"/>
    <n v="-6121749.54"/>
    <n v="-26.169100858823636"/>
    <n v="23393045"/>
    <n v="0.73974744081419863"/>
  </r>
  <r>
    <s v="P0101"/>
    <s v="Model_444"/>
    <x v="1"/>
    <x v="1"/>
    <x v="0"/>
    <s v="Q3"/>
    <n v="854"/>
    <n v="4686"/>
    <n v="7030"/>
    <n v="218509"/>
    <n v="2.69"/>
    <n v="3"/>
    <n v="2.84"/>
    <n v="18.36"/>
    <n v="17.89"/>
    <n v="2.1"/>
    <n v="10976"/>
    <n v="3292"/>
    <n v="14"/>
    <n v="-2220303.3599999999"/>
    <n v="-55.482006794867566"/>
    <n v="4001844"/>
    <n v="0.17097275086747649"/>
  </r>
  <r>
    <s v="P0102"/>
    <s v="Model_690"/>
    <x v="0"/>
    <x v="3"/>
    <x v="1"/>
    <s v="Q2"/>
    <n v="2781"/>
    <n v="4073"/>
    <n v="11140"/>
    <n v="258944"/>
    <n v="12"/>
    <n v="6"/>
    <n v="3.26"/>
    <n v="13.04"/>
    <n v="56.38"/>
    <n v="4.2"/>
    <n v="10276"/>
    <n v="6216"/>
    <n v="14"/>
    <n v="-19912284.039999999"/>
    <n v="-175.79466042812874"/>
    <n v="11327013"/>
    <n v="0.55676255288343335"/>
  </r>
  <r>
    <s v="P0103"/>
    <s v="Model_461"/>
    <x v="2"/>
    <x v="2"/>
    <x v="0"/>
    <s v="Q4"/>
    <n v="2823"/>
    <n v="14308"/>
    <n v="10023"/>
    <n v="169006"/>
    <n v="8.2899999999999991"/>
    <n v="1"/>
    <n v="0.21"/>
    <n v="5.33"/>
    <n v="60.23"/>
    <n v="2.8"/>
    <n v="16521"/>
    <n v="3859"/>
    <n v="2"/>
    <n v="11927543.67"/>
    <n v="29.529847603519592"/>
    <n v="40391484"/>
    <n v="0.5651710488277355"/>
  </r>
  <r>
    <s v="P0104"/>
    <s v="Model_270"/>
    <x v="1"/>
    <x v="2"/>
    <x v="0"/>
    <s v="Q3"/>
    <n v="1620"/>
    <n v="4099"/>
    <n v="5740"/>
    <n v="286440"/>
    <n v="5.95"/>
    <n v="14"/>
    <n v="7.61"/>
    <n v="19.54"/>
    <n v="39.22"/>
    <n v="3.7"/>
    <n v="5827"/>
    <n v="3129"/>
    <n v="5"/>
    <n v="-2944879.54"/>
    <n v="-44.348057490685775"/>
    <n v="6640380"/>
    <n v="0.32432770070879613"/>
  </r>
  <r>
    <s v="P0105"/>
    <s v="Model_692"/>
    <x v="1"/>
    <x v="1"/>
    <x v="0"/>
    <s v="Q2"/>
    <n v="2740"/>
    <n v="5533"/>
    <n v="4071"/>
    <n v="254054"/>
    <n v="1.98"/>
    <n v="7"/>
    <n v="0.43"/>
    <n v="5.09"/>
    <n v="52.83"/>
    <n v="2.2999999999999998"/>
    <n v="16775"/>
    <n v="9652"/>
    <n v="5"/>
    <n v="3751820.91"/>
    <n v="24.747473420921057"/>
    <n v="15160420"/>
    <n v="0.54855425922351941"/>
  </r>
  <r>
    <s v="P0106"/>
    <s v="Model_157"/>
    <x v="1"/>
    <x v="0"/>
    <x v="0"/>
    <s v="Q2"/>
    <n v="3890"/>
    <n v="9928"/>
    <n v="12568"/>
    <n v="362727"/>
    <n v="12.98"/>
    <n v="6"/>
    <n v="8.65"/>
    <n v="6.52"/>
    <n v="73.069999999999993"/>
    <n v="2.5"/>
    <n v="9114"/>
    <n v="5195"/>
    <n v="9"/>
    <n v="-10632333.52"/>
    <n v="-27.530697940337522"/>
    <n v="38619920"/>
    <n v="0.77878688626988701"/>
  </r>
  <r>
    <s v="P0107"/>
    <s v="Model_574"/>
    <x v="0"/>
    <x v="1"/>
    <x v="1"/>
    <s v="Q1"/>
    <n v="1078"/>
    <n v="2804"/>
    <n v="13174"/>
    <n v="350536"/>
    <n v="2.36"/>
    <n v="14"/>
    <n v="1.19"/>
    <n v="2.31"/>
    <n v="75.45"/>
    <n v="5"/>
    <n v="2745"/>
    <n v="163"/>
    <n v="5"/>
    <n v="-11529398.310000001"/>
    <n v="-381.42563069190845"/>
    <n v="3022712"/>
    <n v="0.21581806257042113"/>
  </r>
  <r>
    <s v="P0108"/>
    <s v="Model_240"/>
    <x v="0"/>
    <x v="3"/>
    <x v="1"/>
    <s v="Q3"/>
    <n v="552"/>
    <n v="19185"/>
    <n v="4256"/>
    <n v="57461"/>
    <n v="4.6500000000000004"/>
    <n v="13"/>
    <n v="1.72"/>
    <n v="9.99"/>
    <n v="86.63"/>
    <n v="2"/>
    <n v="9743"/>
    <n v="1445"/>
    <n v="5"/>
    <n v="8183337.0099999998"/>
    <n v="77.273317110665403"/>
    <n v="10590120"/>
    <n v="0.11051166098225647"/>
  </r>
  <r>
    <s v="P0109"/>
    <s v="Model_902"/>
    <x v="2"/>
    <x v="2"/>
    <x v="1"/>
    <s v="Q1"/>
    <n v="4543"/>
    <n v="19935"/>
    <n v="8588"/>
    <n v="150123"/>
    <n v="4.3499999999999996"/>
    <n v="7"/>
    <n v="4.7699999999999996"/>
    <n v="10.47"/>
    <n v="75.94"/>
    <n v="3"/>
    <n v="11855"/>
    <n v="1074"/>
    <n v="14"/>
    <n v="51399287.530000001"/>
    <n v="56.754215154789058"/>
    <n v="90564705"/>
    <n v="0.9095189779753462"/>
  </r>
  <r>
    <s v="P0110"/>
    <s v="Model_875"/>
    <x v="1"/>
    <x v="1"/>
    <x v="1"/>
    <s v="Q1"/>
    <n v="920"/>
    <n v="10133"/>
    <n v="12498"/>
    <n v="322660"/>
    <n v="13.07"/>
    <n v="11"/>
    <n v="7.38"/>
    <n v="12.86"/>
    <n v="55.19"/>
    <n v="4.4000000000000004"/>
    <n v="2037"/>
    <n v="4261"/>
    <n v="3"/>
    <n v="-2498472.86"/>
    <n v="-26.800862228019511"/>
    <n v="9322360"/>
    <n v="0.18418610163709412"/>
  </r>
  <r>
    <s v="P0111"/>
    <s v="Model_140"/>
    <x v="1"/>
    <x v="0"/>
    <x v="1"/>
    <s v="Q3"/>
    <n v="4538"/>
    <n v="12872"/>
    <n v="9399"/>
    <n v="198586"/>
    <n v="10.09"/>
    <n v="12"/>
    <n v="1.39"/>
    <n v="17.72"/>
    <n v="24.37"/>
    <n v="2"/>
    <n v="17424"/>
    <n v="6062"/>
    <n v="13"/>
    <n v="15561870.279999999"/>
    <n v="26.641045740122564"/>
    <n v="58413136"/>
    <n v="0.90851796655340555"/>
  </r>
  <r>
    <s v="P0112"/>
    <s v="Model_951"/>
    <x v="0"/>
    <x v="1"/>
    <x v="1"/>
    <s v="Q2"/>
    <n v="256"/>
    <n v="10496"/>
    <n v="8450"/>
    <n v="433395"/>
    <n v="11.95"/>
    <n v="10"/>
    <n v="4.4000000000000004"/>
    <n v="22.65"/>
    <n v="17.98"/>
    <n v="2.7"/>
    <n v="17736"/>
    <n v="9914"/>
    <n v="11"/>
    <n v="90358.35"/>
    <n v="3.3628268358184075"/>
    <n v="2686976"/>
    <n v="5.125178480336532E-2"/>
  </r>
  <r>
    <s v="P0113"/>
    <s v="Model_639"/>
    <x v="1"/>
    <x v="2"/>
    <x v="1"/>
    <s v="Q2"/>
    <n v="1534"/>
    <n v="17958"/>
    <n v="3511"/>
    <n v="479484"/>
    <n v="3.76"/>
    <n v="16"/>
    <n v="4.83"/>
    <n v="3.44"/>
    <n v="14.36"/>
    <n v="3.5"/>
    <n v="18424"/>
    <n v="8749"/>
    <n v="8"/>
    <n v="21682210.559999999"/>
    <n v="78.708245358247893"/>
    <n v="27547572"/>
    <n v="0.30711030425141561"/>
  </r>
  <r>
    <s v="P0114"/>
    <s v="Model_806"/>
    <x v="1"/>
    <x v="3"/>
    <x v="1"/>
    <s v="Q1"/>
    <n v="913"/>
    <n v="6975"/>
    <n v="12080"/>
    <n v="281496"/>
    <n v="9.3699999999999992"/>
    <n v="16"/>
    <n v="2.12"/>
    <n v="1.36"/>
    <n v="63.32"/>
    <n v="2.9"/>
    <n v="18698"/>
    <n v="6696"/>
    <n v="5"/>
    <n v="-4942362.3600000003"/>
    <n v="-77.610341424348434"/>
    <n v="6368175"/>
    <n v="0.18278468564637709"/>
  </r>
  <r>
    <s v="P0115"/>
    <s v="Model_407"/>
    <x v="1"/>
    <x v="0"/>
    <x v="0"/>
    <s v="Q4"/>
    <n v="2840"/>
    <n v="8684"/>
    <n v="2468"/>
    <n v="217860"/>
    <n v="8.58"/>
    <n v="3"/>
    <n v="1.1599999999999999"/>
    <n v="0.46"/>
    <n v="74.599999999999994"/>
    <n v="2.8"/>
    <n v="2915"/>
    <n v="3430"/>
    <n v="12"/>
    <n v="17435579.539999999"/>
    <n v="70.696551939458033"/>
    <n v="24662560"/>
    <n v="0.56857448766233398"/>
  </r>
  <r>
    <s v="P0116"/>
    <s v="Model_428"/>
    <x v="0"/>
    <x v="0"/>
    <x v="1"/>
    <s v="Q3"/>
    <n v="613"/>
    <n v="14375"/>
    <n v="947"/>
    <n v="256821"/>
    <n v="12.49"/>
    <n v="7"/>
    <n v="8.36"/>
    <n v="3.59"/>
    <n v="50.69"/>
    <n v="2.5"/>
    <n v="12530"/>
    <n v="1840"/>
    <n v="7"/>
    <n v="7974539.4100000001"/>
    <n v="90.497645620256762"/>
    <n v="8811875"/>
    <n v="0.12272400032993336"/>
  </r>
  <r>
    <s v="P0117"/>
    <s v="Model_868"/>
    <x v="1"/>
    <x v="3"/>
    <x v="0"/>
    <s v="Q1"/>
    <n v="4241"/>
    <n v="3122"/>
    <n v="7220"/>
    <n v="242121"/>
    <n v="13.59"/>
    <n v="4"/>
    <n v="5.0199999999999996"/>
    <n v="16.45"/>
    <n v="14.38"/>
    <n v="3.3"/>
    <n v="3152"/>
    <n v="6155"/>
    <n v="4"/>
    <n v="-17621755.449999999"/>
    <n v="-133.0907887086812"/>
    <n v="13240402"/>
    <n v="0.84905788809012617"/>
  </r>
  <r>
    <s v="P0118"/>
    <s v="Model_674"/>
    <x v="2"/>
    <x v="3"/>
    <x v="1"/>
    <s v="Q1"/>
    <n v="1807"/>
    <n v="17488"/>
    <n v="13319"/>
    <n v="374637"/>
    <n v="0.18"/>
    <n v="15"/>
    <n v="0.14000000000000001"/>
    <n v="18.190000000000001"/>
    <n v="52.84"/>
    <n v="3.5"/>
    <n v="12357"/>
    <n v="6421"/>
    <n v="8"/>
    <n v="7158727.8099999996"/>
    <n v="22.653616950904052"/>
    <n v="31600816"/>
    <n v="0.36176552788937938"/>
  </r>
  <r>
    <s v="P0119"/>
    <s v="Model_774"/>
    <x v="0"/>
    <x v="1"/>
    <x v="0"/>
    <s v="Q3"/>
    <n v="1728"/>
    <n v="9541"/>
    <n v="12889"/>
    <n v="86027"/>
    <n v="10.11"/>
    <n v="3"/>
    <n v="8.0299999999999994"/>
    <n v="19.66"/>
    <n v="84.86"/>
    <n v="3.6"/>
    <n v="20240"/>
    <n v="2054"/>
    <n v="7"/>
    <n v="-5871390.6600000001"/>
    <n v="-35.612572275792196"/>
    <n v="16486848"/>
    <n v="0.34594954742271589"/>
  </r>
  <r>
    <s v="P0120"/>
    <s v="Model_184"/>
    <x v="0"/>
    <x v="1"/>
    <x v="1"/>
    <s v="Q1"/>
    <n v="3292"/>
    <n v="18225"/>
    <n v="10942"/>
    <n v="405691"/>
    <n v="0.78"/>
    <n v="14"/>
    <n v="9.81"/>
    <n v="6.09"/>
    <n v="57.81"/>
    <n v="1.3"/>
    <n v="5310"/>
    <n v="379"/>
    <n v="4"/>
    <n v="23569938.91"/>
    <n v="39.285392213238396"/>
    <n v="59996700"/>
    <n v="0.65906592020577592"/>
  </r>
  <r>
    <s v="P0121"/>
    <s v="Model_715"/>
    <x v="0"/>
    <x v="1"/>
    <x v="0"/>
    <s v="Q4"/>
    <n v="4686"/>
    <n v="19958"/>
    <n v="1165"/>
    <n v="223921"/>
    <n v="8.23"/>
    <n v="11"/>
    <n v="6.06"/>
    <n v="7.65"/>
    <n v="74.75"/>
    <n v="3.5"/>
    <n v="18069"/>
    <n v="2491"/>
    <n v="5"/>
    <n v="87840069.349999994"/>
    <n v="93.923305255590734"/>
    <n v="93523188"/>
    <n v="0.93814790464285103"/>
  </r>
  <r>
    <s v="P0122"/>
    <s v="Model_936"/>
    <x v="0"/>
    <x v="2"/>
    <x v="1"/>
    <s v="Q3"/>
    <n v="1109"/>
    <n v="9492"/>
    <n v="10666"/>
    <n v="412271"/>
    <n v="4.3099999999999996"/>
    <n v="4"/>
    <n v="5.04"/>
    <n v="12.08"/>
    <n v="74.010000000000005"/>
    <n v="4.8"/>
    <n v="3051"/>
    <n v="9332"/>
    <n v="11"/>
    <n v="-1714249.08"/>
    <n v="-16.284883250362796"/>
    <n v="10526628"/>
    <n v="0.22202433338645367"/>
  </r>
  <r>
    <s v="P0123"/>
    <s v="Model_720"/>
    <x v="1"/>
    <x v="0"/>
    <x v="1"/>
    <s v="Q2"/>
    <n v="1772"/>
    <n v="17146"/>
    <n v="5331"/>
    <n v="198930"/>
    <n v="4.5999999999999996"/>
    <n v="15"/>
    <n v="8.7799999999999994"/>
    <n v="1.58"/>
    <n v="84.57"/>
    <n v="3.2"/>
    <n v="15084"/>
    <n v="6539"/>
    <n v="6"/>
    <n v="20737248.420000002"/>
    <n v="68.253447618500957"/>
    <n v="30382712"/>
    <n v="0.35475844793579431"/>
  </r>
  <r>
    <s v="P0124"/>
    <s v="Model_651"/>
    <x v="0"/>
    <x v="2"/>
    <x v="1"/>
    <s v="Q3"/>
    <n v="3364"/>
    <n v="18529"/>
    <n v="13486"/>
    <n v="265234"/>
    <n v="5.29"/>
    <n v="13"/>
    <n v="9.5299999999999994"/>
    <n v="15.28"/>
    <n v="71.62"/>
    <n v="3.9"/>
    <n v="2261"/>
    <n v="1061"/>
    <n v="10"/>
    <n v="16699402.720000001"/>
    <n v="26.791249555842949"/>
    <n v="62331556"/>
    <n v="0.67348048468172239"/>
  </r>
  <r>
    <s v="P0125"/>
    <s v="Model_366"/>
    <x v="0"/>
    <x v="0"/>
    <x v="1"/>
    <s v="Q2"/>
    <n v="3207"/>
    <n v="5763"/>
    <n v="6130"/>
    <n v="129003"/>
    <n v="9.32"/>
    <n v="9"/>
    <n v="7.55"/>
    <n v="24.59"/>
    <n v="69.819999999999993"/>
    <n v="3.2"/>
    <n v="14011"/>
    <n v="6927"/>
    <n v="7"/>
    <n v="-1305996.5900000001"/>
    <n v="-7.0663389197054576"/>
    <n v="18481941"/>
    <n v="0.64204872603278351"/>
  </r>
  <r>
    <s v="P0126"/>
    <s v="Model_301"/>
    <x v="0"/>
    <x v="0"/>
    <x v="1"/>
    <s v="Q3"/>
    <n v="2675"/>
    <n v="15560"/>
    <n v="6310"/>
    <n v="233467"/>
    <n v="5.01"/>
    <n v="6"/>
    <n v="4.45"/>
    <n v="9.02"/>
    <n v="28.73"/>
    <n v="4.4000000000000004"/>
    <n v="10971"/>
    <n v="1317"/>
    <n v="14"/>
    <n v="24510273.98"/>
    <n v="58.886370468250725"/>
    <n v="41623000"/>
    <n v="0.53554111073828992"/>
  </r>
  <r>
    <s v="P0127"/>
    <s v="Model_607"/>
    <x v="2"/>
    <x v="3"/>
    <x v="1"/>
    <s v="Q4"/>
    <n v="2779"/>
    <n v="16656"/>
    <n v="11538"/>
    <n v="89758"/>
    <n v="10.99"/>
    <n v="12"/>
    <n v="5.92"/>
    <n v="18.82"/>
    <n v="14.79"/>
    <n v="4.7"/>
    <n v="13967"/>
    <n v="8666"/>
    <n v="5"/>
    <n v="14133145.18"/>
    <n v="30.533708928878212"/>
    <n v="46287024"/>
    <n v="0.55636214831465713"/>
  </r>
  <r>
    <s v="P0128"/>
    <s v="Model_816"/>
    <x v="0"/>
    <x v="1"/>
    <x v="1"/>
    <s v="Q1"/>
    <n v="1647"/>
    <n v="10146"/>
    <n v="9554"/>
    <n v="366456"/>
    <n v="6.07"/>
    <n v="19"/>
    <n v="7.01"/>
    <n v="12.5"/>
    <n v="51.41"/>
    <n v="1.7"/>
    <n v="7663"/>
    <n v="6107"/>
    <n v="12"/>
    <n v="608555.5"/>
    <n v="3.6417634653069437"/>
    <n v="16710462"/>
    <n v="0.32973316238727607"/>
  </r>
  <r>
    <s v="P0129"/>
    <s v="Model_719"/>
    <x v="2"/>
    <x v="0"/>
    <x v="1"/>
    <s v="Q4"/>
    <n v="3110"/>
    <n v="13164"/>
    <n v="12554"/>
    <n v="380814"/>
    <n v="1.03"/>
    <n v="4"/>
    <n v="1.94"/>
    <n v="3.2"/>
    <n v="19.95"/>
    <n v="2.7"/>
    <n v="17565"/>
    <n v="4230"/>
    <n v="12"/>
    <n v="1516282.8"/>
    <n v="3.7036671190355461"/>
    <n v="40940040"/>
    <n v="0.62262910444713337"/>
  </r>
  <r>
    <s v="P0130"/>
    <s v="Model_899"/>
    <x v="0"/>
    <x v="0"/>
    <x v="0"/>
    <s v="Q4"/>
    <n v="2743"/>
    <n v="4469"/>
    <n v="11481"/>
    <n v="132279"/>
    <n v="11.76"/>
    <n v="2"/>
    <n v="4.47"/>
    <n v="14.56"/>
    <n v="86.98"/>
    <n v="2.6"/>
    <n v="13386"/>
    <n v="1492"/>
    <n v="8"/>
    <n v="-19366209.559999999"/>
    <n v="-157.9823118176196"/>
    <n v="12258467"/>
    <n v="0.54915486607668385"/>
  </r>
  <r>
    <s v="P0131"/>
    <s v="Model_295"/>
    <x v="0"/>
    <x v="3"/>
    <x v="1"/>
    <s v="Q2"/>
    <n v="4941"/>
    <n v="4528"/>
    <n v="14372"/>
    <n v="65434"/>
    <n v="4.29"/>
    <n v="14"/>
    <n v="8.3000000000000007"/>
    <n v="7.5"/>
    <n v="33.19"/>
    <n v="2.6"/>
    <n v="19420"/>
    <n v="2176"/>
    <n v="3"/>
    <n v="-48704645.5"/>
    <n v="-217.69533096546314"/>
    <n v="22372848"/>
    <n v="0.98919948716182826"/>
  </r>
  <r>
    <s v="P0132"/>
    <s v="Model_482"/>
    <x v="0"/>
    <x v="0"/>
    <x v="1"/>
    <s v="Q1"/>
    <n v="3677"/>
    <n v="5129"/>
    <n v="9764"/>
    <n v="245119"/>
    <n v="6.49"/>
    <n v="3"/>
    <n v="6.55"/>
    <n v="0.86"/>
    <n v="78.239999999999995"/>
    <n v="1.5"/>
    <n v="7701"/>
    <n v="9066"/>
    <n v="5"/>
    <n v="-17288014.859999999"/>
    <n v="-91.668219973633214"/>
    <n v="18859333"/>
    <n v="0.73614379969521204"/>
  </r>
  <r>
    <s v="P0133"/>
    <s v="Model_385"/>
    <x v="1"/>
    <x v="3"/>
    <x v="0"/>
    <s v="Q1"/>
    <n v="1413"/>
    <n v="4567"/>
    <n v="7293"/>
    <n v="490991"/>
    <n v="10.28"/>
    <n v="14"/>
    <n v="4.1100000000000003"/>
    <n v="15.87"/>
    <n v="41.01"/>
    <n v="4.3"/>
    <n v="17080"/>
    <n v="4416"/>
    <n v="6"/>
    <n v="-4342844.87"/>
    <n v="-67.297842719494028"/>
    <n v="6453171"/>
    <n v="0.28288582784044997"/>
  </r>
  <r>
    <s v="P0134"/>
    <s v="Model_819"/>
    <x v="0"/>
    <x v="1"/>
    <x v="0"/>
    <s v="Q4"/>
    <n v="2031"/>
    <n v="7441"/>
    <n v="11029"/>
    <n v="387913"/>
    <n v="4.99"/>
    <n v="13"/>
    <n v="6.63"/>
    <n v="21.47"/>
    <n v="35.86"/>
    <n v="1.1000000000000001"/>
    <n v="20654"/>
    <n v="6296"/>
    <n v="5"/>
    <n v="-7675162.4699999997"/>
    <n v="-50.786273783105585"/>
    <n v="15112671"/>
    <n v="0.40661083959232408"/>
  </r>
  <r>
    <s v="P0135"/>
    <s v="Model_409"/>
    <x v="2"/>
    <x v="2"/>
    <x v="0"/>
    <s v="Q1"/>
    <n v="1713"/>
    <n v="19270"/>
    <n v="12415"/>
    <n v="295754"/>
    <n v="0.85"/>
    <n v="19"/>
    <n v="1.18"/>
    <n v="8.6199999999999992"/>
    <n v="84.81"/>
    <n v="3.1"/>
    <n v="8899"/>
    <n v="4689"/>
    <n v="5"/>
    <n v="11446852.380000001"/>
    <n v="34.677438047399072"/>
    <n v="33009510"/>
    <n v="0.34294651315689373"/>
  </r>
  <r>
    <s v="P0136"/>
    <s v="Model_821"/>
    <x v="2"/>
    <x v="2"/>
    <x v="0"/>
    <s v="Q1"/>
    <n v="1579"/>
    <n v="13055"/>
    <n v="11559"/>
    <n v="378821"/>
    <n v="5.61"/>
    <n v="18"/>
    <n v="4.01"/>
    <n v="9.76"/>
    <n v="39.07"/>
    <n v="3.6"/>
    <n v="18445"/>
    <n v="8242"/>
    <n v="12"/>
    <n v="1983353.24"/>
    <n v="9.621461886416629"/>
    <n v="20613845"/>
    <n v="0.31611940704888219"/>
  </r>
  <r>
    <s v="P0137"/>
    <s v="Model_278"/>
    <x v="1"/>
    <x v="2"/>
    <x v="1"/>
    <s v="Q4"/>
    <n v="2088"/>
    <n v="14581"/>
    <n v="6239"/>
    <n v="133555"/>
    <n v="14.17"/>
    <n v="12"/>
    <n v="7.93"/>
    <n v="22.28"/>
    <n v="41.22"/>
    <n v="1.8"/>
    <n v="9123"/>
    <n v="6360"/>
    <n v="14"/>
    <n v="17284518.719999999"/>
    <n v="56.772691906567118"/>
    <n v="30445128"/>
    <n v="0.41802236980244839"/>
  </r>
  <r>
    <s v="P0138"/>
    <s v="Model_167"/>
    <x v="2"/>
    <x v="1"/>
    <x v="1"/>
    <s v="Q1"/>
    <n v="3352"/>
    <n v="8319"/>
    <n v="10565"/>
    <n v="178379"/>
    <n v="9.6300000000000008"/>
    <n v="9"/>
    <n v="2.21"/>
    <n v="20.34"/>
    <n v="18.489999999999998"/>
    <n v="4.5999999999999996"/>
    <n v="11827"/>
    <n v="8571"/>
    <n v="10"/>
    <n v="-7706991.3399999999"/>
    <n v="-27.638198823695131"/>
    <n v="27885288"/>
    <n v="0.67107805726906467"/>
  </r>
  <r>
    <s v="P0139"/>
    <s v="Model_641"/>
    <x v="2"/>
    <x v="0"/>
    <x v="0"/>
    <s v="Q2"/>
    <n v="2287"/>
    <n v="12546"/>
    <n v="12686"/>
    <n v="266992"/>
    <n v="10.07"/>
    <n v="4"/>
    <n v="1.86"/>
    <n v="17.87"/>
    <n v="63.64"/>
    <n v="4.4000000000000004"/>
    <n v="8687"/>
    <n v="7997"/>
    <n v="12"/>
    <n v="-587189.87"/>
    <n v="-2.0464781253435107"/>
    <n v="28692702"/>
    <n v="0.45786262439568937"/>
  </r>
  <r>
    <s v="P0140"/>
    <s v="Model_572"/>
    <x v="1"/>
    <x v="1"/>
    <x v="0"/>
    <s v="Q3"/>
    <n v="1356"/>
    <n v="19217"/>
    <n v="14079"/>
    <n v="289511"/>
    <n v="9.48"/>
    <n v="19"/>
    <n v="9.51"/>
    <n v="6.22"/>
    <n v="33.11"/>
    <n v="2.9"/>
    <n v="3680"/>
    <n v="4941"/>
    <n v="14"/>
    <n v="6677610.7800000003"/>
    <n v="25.62570497821573"/>
    <n v="26058252"/>
    <n v="0.27147429763032566"/>
  </r>
  <r>
    <s v="P0141"/>
    <s v="Model_569"/>
    <x v="1"/>
    <x v="1"/>
    <x v="0"/>
    <s v="Q2"/>
    <n v="4079"/>
    <n v="4211"/>
    <n v="7311"/>
    <n v="226806"/>
    <n v="2.98"/>
    <n v="19"/>
    <n v="2.1"/>
    <n v="22.76"/>
    <n v="56.85"/>
    <n v="2.6"/>
    <n v="3460"/>
    <n v="7261"/>
    <n v="3"/>
    <n v="-12871728.76"/>
    <n v="-74.937281262158578"/>
    <n v="17176669"/>
    <n v="0.81662511801924664"/>
  </r>
  <r>
    <s v="P0142"/>
    <s v="Model_288"/>
    <x v="2"/>
    <x v="3"/>
    <x v="0"/>
    <s v="Q4"/>
    <n v="2725"/>
    <n v="6353"/>
    <n v="12283"/>
    <n v="413809"/>
    <n v="6.28"/>
    <n v="5"/>
    <n v="2.61"/>
    <n v="3.86"/>
    <n v="57.31"/>
    <n v="1.9"/>
    <n v="6653"/>
    <n v="9766"/>
    <n v="7"/>
    <n v="-16573062.859999999"/>
    <n v="-95.7320624944944"/>
    <n v="17311925"/>
    <n v="0.54555122495769726"/>
  </r>
  <r>
    <s v="P0143"/>
    <s v="Model_106"/>
    <x v="0"/>
    <x v="3"/>
    <x v="1"/>
    <s v="Q3"/>
    <n v="1332"/>
    <n v="9215"/>
    <n v="8304"/>
    <n v="483819"/>
    <n v="11.26"/>
    <n v="3"/>
    <n v="9.6999999999999993"/>
    <n v="15.67"/>
    <n v="67.540000000000006"/>
    <n v="3.9"/>
    <n v="8535"/>
    <n v="1159"/>
    <n v="9"/>
    <n v="729617.33"/>
    <n v="5.9442296067092597"/>
    <n v="12274380"/>
    <n v="0.26666944280501015"/>
  </r>
  <r>
    <s v="P0144"/>
    <s v="Model_135"/>
    <x v="0"/>
    <x v="3"/>
    <x v="1"/>
    <s v="Q3"/>
    <n v="759"/>
    <n v="10442"/>
    <n v="2046"/>
    <n v="118803"/>
    <n v="1.52"/>
    <n v="1"/>
    <n v="7.35"/>
    <n v="0.72"/>
    <n v="69.62"/>
    <n v="1.5"/>
    <n v="12971"/>
    <n v="2022"/>
    <n v="9"/>
    <n v="6253760.2800000003"/>
    <n v="78.907042326027536"/>
    <n v="7925478"/>
    <n v="0.15195353385060265"/>
  </r>
  <r>
    <s v="P0145"/>
    <s v="Model_288"/>
    <x v="1"/>
    <x v="1"/>
    <x v="0"/>
    <s v="Q3"/>
    <n v="4794"/>
    <n v="17007"/>
    <n v="12711"/>
    <n v="482548"/>
    <n v="4.17"/>
    <n v="15"/>
    <n v="7"/>
    <n v="16.09"/>
    <n v="51.16"/>
    <n v="3.7"/>
    <n v="2082"/>
    <n v="6201"/>
    <n v="12"/>
    <n v="20112459.91"/>
    <n v="24.668312986242704"/>
    <n v="81531558"/>
    <n v="0.95976975135677078"/>
  </r>
  <r>
    <s v="P0146"/>
    <s v="Model_390"/>
    <x v="2"/>
    <x v="3"/>
    <x v="0"/>
    <s v="Q2"/>
    <n v="4463"/>
    <n v="17326"/>
    <n v="4639"/>
    <n v="403847"/>
    <n v="4.1399999999999997"/>
    <n v="17"/>
    <n v="8.5299999999999994"/>
    <n v="6.93"/>
    <n v="36.479999999999997"/>
    <n v="4.4000000000000004"/>
    <n v="17014"/>
    <n v="4692"/>
    <n v="8"/>
    <n v="56218227.07"/>
    <n v="72.702935811784144"/>
    <n v="77325938"/>
    <n v="0.89350279522429454"/>
  </r>
  <r>
    <s v="P0147"/>
    <s v="Model_741"/>
    <x v="2"/>
    <x v="1"/>
    <x v="1"/>
    <s v="Q1"/>
    <n v="3798"/>
    <n v="3262"/>
    <n v="9351"/>
    <n v="333456"/>
    <n v="6.48"/>
    <n v="4"/>
    <n v="1.1599999999999999"/>
    <n v="11.24"/>
    <n v="77"/>
    <n v="1.9"/>
    <n v="17031"/>
    <n v="6449"/>
    <n v="11"/>
    <n v="-23459489.239999998"/>
    <n v="-189.35624609938625"/>
    <n v="12389076"/>
    <n v="0.76036827610617763"/>
  </r>
  <r>
    <s v="P0148"/>
    <s v="Model_574"/>
    <x v="1"/>
    <x v="0"/>
    <x v="0"/>
    <s v="Q2"/>
    <n v="4829"/>
    <n v="17350"/>
    <n v="14008"/>
    <n v="274448"/>
    <n v="14.71"/>
    <n v="3"/>
    <n v="7.06"/>
    <n v="8.6300000000000008"/>
    <n v="34.79"/>
    <n v="4.5"/>
    <n v="18172"/>
    <n v="2573"/>
    <n v="12"/>
    <n v="15864061.369999999"/>
    <n v="18.934668092569925"/>
    <n v="83783150"/>
    <n v="0.96677683131035597"/>
  </r>
  <r>
    <s v="P0149"/>
    <s v="Model_647"/>
    <x v="1"/>
    <x v="0"/>
    <x v="1"/>
    <s v="Q3"/>
    <n v="713"/>
    <n v="13612"/>
    <n v="3176"/>
    <n v="225251"/>
    <n v="1.01"/>
    <n v="12"/>
    <n v="5.04"/>
    <n v="4.32"/>
    <n v="50.6"/>
    <n v="1.1000000000000001"/>
    <n v="9479"/>
    <n v="8208"/>
    <n v="5"/>
    <n v="7215612.6799999997"/>
    <n v="74.346707941470669"/>
    <n v="9705356"/>
    <n v="0.14274422876874793"/>
  </r>
  <r>
    <s v="P0150"/>
    <s v="Model_457"/>
    <x v="0"/>
    <x v="3"/>
    <x v="1"/>
    <s v="Q4"/>
    <n v="2048"/>
    <n v="14152"/>
    <n v="3809"/>
    <n v="252514"/>
    <n v="7.78"/>
    <n v="18"/>
    <n v="8.2899999999999991"/>
    <n v="15.55"/>
    <n v="42.1"/>
    <n v="4.7"/>
    <n v="4560"/>
    <n v="8196"/>
    <n v="8"/>
    <n v="20929934.449999999"/>
    <n v="72.213782897569686"/>
    <n v="28983296"/>
    <n v="0.41001427842692256"/>
  </r>
  <r>
    <s v="P0151"/>
    <s v="Model_570"/>
    <x v="0"/>
    <x v="0"/>
    <x v="1"/>
    <s v="Q1"/>
    <n v="3495"/>
    <n v="7622"/>
    <n v="11985"/>
    <n v="295404"/>
    <n v="2.69"/>
    <n v="1"/>
    <n v="5.08"/>
    <n v="22.05"/>
    <n v="78.41"/>
    <n v="1.5"/>
    <n v="15231"/>
    <n v="6848"/>
    <n v="14"/>
    <n v="-15544111.050000001"/>
    <n v="-58.351196502556981"/>
    <n v="26638890"/>
    <n v="0.69970698393656949"/>
  </r>
  <r>
    <s v="P0152"/>
    <s v="Model_962"/>
    <x v="2"/>
    <x v="1"/>
    <x v="0"/>
    <s v="Q4"/>
    <n v="3793"/>
    <n v="1981"/>
    <n v="9954"/>
    <n v="167961"/>
    <n v="14.56"/>
    <n v="12"/>
    <n v="6.2"/>
    <n v="23.98"/>
    <n v="44.55"/>
    <n v="3.6"/>
    <n v="13794"/>
    <n v="4649"/>
    <n v="11"/>
    <n v="-30409573.98"/>
    <n v="-404.70914473152743"/>
    <n v="7513933"/>
    <n v="0.75936726468423688"/>
  </r>
  <r>
    <s v="P0153"/>
    <s v="Model_858"/>
    <x v="2"/>
    <x v="1"/>
    <x v="0"/>
    <s v="Q3"/>
    <n v="1545"/>
    <n v="16036"/>
    <n v="12624"/>
    <n v="352523"/>
    <n v="1.7"/>
    <n v="10"/>
    <n v="4.78"/>
    <n v="4.8099999999999996"/>
    <n v="40.89"/>
    <n v="2"/>
    <n v="19067"/>
    <n v="694"/>
    <n v="7"/>
    <n v="4919012.1900000004"/>
    <n v="19.854244575917779"/>
    <n v="24775620"/>
    <n v="0.30931252937968523"/>
  </r>
  <r>
    <s v="P0154"/>
    <s v="Model_420"/>
    <x v="0"/>
    <x v="0"/>
    <x v="1"/>
    <s v="Q2"/>
    <n v="3354"/>
    <n v="1653"/>
    <n v="2627"/>
    <n v="67297"/>
    <n v="6.05"/>
    <n v="3"/>
    <n v="4.78"/>
    <n v="17.93"/>
    <n v="65.19"/>
    <n v="4.3"/>
    <n v="15774"/>
    <n v="5552"/>
    <n v="12"/>
    <n v="-3334110.93"/>
    <n v="-60.137328779353851"/>
    <n v="5544162"/>
    <n v="0.67147846183784088"/>
  </r>
  <r>
    <s v="P0155"/>
    <s v="Model_569"/>
    <x v="0"/>
    <x v="3"/>
    <x v="0"/>
    <s v="Q1"/>
    <n v="3813"/>
    <n v="9117"/>
    <n v="7779"/>
    <n v="314155"/>
    <n v="11.07"/>
    <n v="19"/>
    <n v="7.68"/>
    <n v="16.61"/>
    <n v="58.2"/>
    <n v="3"/>
    <n v="19330"/>
    <n v="606"/>
    <n v="7"/>
    <n v="4787622.3899999997"/>
    <n v="13.772130500020408"/>
    <n v="34763121"/>
    <n v="0.76337131037199979"/>
  </r>
  <r>
    <s v="P0156"/>
    <s v="Model_975"/>
    <x v="1"/>
    <x v="2"/>
    <x v="0"/>
    <s v="Q3"/>
    <n v="1903"/>
    <n v="3024"/>
    <n v="10605"/>
    <n v="170234"/>
    <n v="10.57"/>
    <n v="19"/>
    <n v="6.29"/>
    <n v="8.58"/>
    <n v="18.579999999999998"/>
    <n v="1.5"/>
    <n v="17848"/>
    <n v="4989"/>
    <n v="3"/>
    <n v="-14596885.58"/>
    <n v="-253.65278125321478"/>
    <n v="5754672"/>
    <n v="0.38098494719064141"/>
  </r>
  <r>
    <s v="P0157"/>
    <s v="Model_539"/>
    <x v="0"/>
    <x v="0"/>
    <x v="0"/>
    <s v="Q4"/>
    <n v="4709"/>
    <n v="3620"/>
    <n v="10632"/>
    <n v="94014"/>
    <n v="6.34"/>
    <n v="14"/>
    <n v="6.33"/>
    <n v="0.48"/>
    <n v="50.65"/>
    <n v="3.3"/>
    <n v="3403"/>
    <n v="7737"/>
    <n v="9"/>
    <n v="-33113522.48"/>
    <n v="-194.25317265985319"/>
    <n v="17046580"/>
    <n v="0.94275255718377848"/>
  </r>
  <r>
    <s v="P0158"/>
    <s v="Model_957"/>
    <x v="1"/>
    <x v="3"/>
    <x v="0"/>
    <s v="Q3"/>
    <n v="1341"/>
    <n v="16548"/>
    <n v="11208"/>
    <n v="293166"/>
    <n v="5.2"/>
    <n v="3"/>
    <n v="4.5"/>
    <n v="17.239999999999998"/>
    <n v="68.84"/>
    <n v="2.6"/>
    <n v="16051"/>
    <n v="8312"/>
    <n v="9"/>
    <n v="6867756.7599999998"/>
    <n v="30.948571998175105"/>
    <n v="22190868"/>
    <n v="0.2684712633645035"/>
  </r>
  <r>
    <s v="P0159"/>
    <s v="Model_147"/>
    <x v="1"/>
    <x v="2"/>
    <x v="0"/>
    <s v="Q4"/>
    <n v="3631"/>
    <n v="3843"/>
    <n v="13304"/>
    <n v="454954"/>
    <n v="5.96"/>
    <n v="8"/>
    <n v="5.31"/>
    <n v="23.64"/>
    <n v="89.37"/>
    <n v="3.6"/>
    <n v="16641"/>
    <n v="1499"/>
    <n v="12"/>
    <n v="-34807868.640000001"/>
    <n v="-249.448443245356"/>
    <n v="13953933"/>
    <n v="0.72693449461335724"/>
  </r>
  <r>
    <s v="P0160"/>
    <s v="Model_693"/>
    <x v="0"/>
    <x v="2"/>
    <x v="0"/>
    <s v="Q3"/>
    <n v="3507"/>
    <n v="6636"/>
    <n v="9369"/>
    <n v="406477"/>
    <n v="3.96"/>
    <n v="6"/>
    <n v="7.46"/>
    <n v="15.8"/>
    <n v="60.33"/>
    <n v="4.5"/>
    <n v="3877"/>
    <n v="3301"/>
    <n v="8"/>
    <n v="-9991123.8000000007"/>
    <n v="-42.931117872753596"/>
    <n v="23272452"/>
    <n v="0.70210941134922722"/>
  </r>
  <r>
    <s v="P0161"/>
    <s v="Model_271"/>
    <x v="1"/>
    <x v="3"/>
    <x v="1"/>
    <s v="Q3"/>
    <n v="1686"/>
    <n v="2740"/>
    <n v="13206"/>
    <n v="228570"/>
    <n v="3.08"/>
    <n v="18"/>
    <n v="8.26"/>
    <n v="10.88"/>
    <n v="39.619999999999997"/>
    <n v="2.6"/>
    <n v="2347"/>
    <n v="7954"/>
    <n v="12"/>
    <n v="-17874256.879999999"/>
    <n v="-386.91882657523092"/>
    <n v="4619640"/>
    <n v="0.33754105147841379"/>
  </r>
  <r>
    <s v="P0162"/>
    <s v="Model_354"/>
    <x v="2"/>
    <x v="0"/>
    <x v="0"/>
    <s v="Q1"/>
    <n v="3746"/>
    <n v="1560"/>
    <n v="5085"/>
    <n v="308864"/>
    <n v="7.25"/>
    <n v="18"/>
    <n v="6.97"/>
    <n v="13.13"/>
    <n v="28.09"/>
    <n v="2.2000000000000002"/>
    <n v="15880"/>
    <n v="6863"/>
    <n v="10"/>
    <n v="-13513527.130000001"/>
    <n v="-231.24712736320453"/>
    <n v="5843760"/>
    <n v="0.74995775731799408"/>
  </r>
  <r>
    <s v="P0163"/>
    <s v="Model_831"/>
    <x v="2"/>
    <x v="2"/>
    <x v="1"/>
    <s v="Q2"/>
    <n v="3049"/>
    <n v="10630"/>
    <n v="7710"/>
    <n v="323264"/>
    <n v="4.03"/>
    <n v="5"/>
    <n v="9.24"/>
    <n v="4.99"/>
    <n v="79.83"/>
    <n v="1.1000000000000001"/>
    <n v="19123"/>
    <n v="8062"/>
    <n v="9"/>
    <n v="8579811.0099999998"/>
    <n v="26.472016980722824"/>
    <n v="32410870"/>
    <n v="0.61041676509945642"/>
  </r>
  <r>
    <s v="P0164"/>
    <s v="Model_838"/>
    <x v="1"/>
    <x v="0"/>
    <x v="0"/>
    <s v="Q4"/>
    <n v="3202"/>
    <n v="19523"/>
    <n v="9361"/>
    <n v="451983"/>
    <n v="4.3099999999999996"/>
    <n v="5"/>
    <n v="8.1999999999999993"/>
    <n v="18.760000000000002"/>
    <n v="75.17"/>
    <n v="3.3"/>
    <n v="11024"/>
    <n v="5290"/>
    <n v="10"/>
    <n v="32086722.239999998"/>
    <n v="51.328370006926271"/>
    <n v="62512646"/>
    <n v="0.64104771461084276"/>
  </r>
  <r>
    <s v="P0165"/>
    <s v="Model_597"/>
    <x v="1"/>
    <x v="3"/>
    <x v="1"/>
    <s v="Q3"/>
    <n v="748"/>
    <n v="13812"/>
    <n v="14889"/>
    <n v="334996"/>
    <n v="9.85"/>
    <n v="19"/>
    <n v="5.62"/>
    <n v="18.66"/>
    <n v="28.71"/>
    <n v="2.6"/>
    <n v="16731"/>
    <n v="5781"/>
    <n v="10"/>
    <n v="-1140610.6599999999"/>
    <n v="-11.040258916140502"/>
    <n v="10331376"/>
    <n v="0.14975130872233303"/>
  </r>
  <r>
    <s v="P0166"/>
    <s v="Model_348"/>
    <x v="1"/>
    <x v="3"/>
    <x v="0"/>
    <s v="Q1"/>
    <n v="2210"/>
    <n v="14850"/>
    <n v="2996"/>
    <n v="391383"/>
    <n v="14.53"/>
    <n v="14"/>
    <n v="6.71"/>
    <n v="3.64"/>
    <n v="26.05"/>
    <n v="2.5"/>
    <n v="13198"/>
    <n v="3778"/>
    <n v="7"/>
    <n v="25805953.359999999"/>
    <n v="78.632336517512996"/>
    <n v="32818500"/>
    <n v="0.44244704849780214"/>
  </r>
  <r>
    <s v="P0167"/>
    <s v="Model_892"/>
    <x v="2"/>
    <x v="3"/>
    <x v="0"/>
    <s v="Q2"/>
    <n v="4147"/>
    <n v="13918"/>
    <n v="4547"/>
    <n v="444145"/>
    <n v="9.0500000000000007"/>
    <n v="14"/>
    <n v="9.26"/>
    <n v="21.95"/>
    <n v="67.209999999999994"/>
    <n v="1.7"/>
    <n v="12071"/>
    <n v="436"/>
    <n v="3"/>
    <n v="38417370.049999997"/>
    <n v="66.560528765178162"/>
    <n v="57717946"/>
    <n v="0.83023887335764046"/>
  </r>
  <r>
    <s v="P0168"/>
    <s v="Model_439"/>
    <x v="0"/>
    <x v="2"/>
    <x v="0"/>
    <s v="Q3"/>
    <n v="4787"/>
    <n v="2752"/>
    <n v="9643"/>
    <n v="258559"/>
    <n v="1.1499999999999999"/>
    <n v="19"/>
    <n v="6.19"/>
    <n v="6.73"/>
    <n v="35.200000000000003"/>
    <n v="2.7"/>
    <n v="13814"/>
    <n v="1767"/>
    <n v="13"/>
    <n v="-33245782.73"/>
    <n v="-252.36243273023837"/>
    <n v="13173824"/>
    <n v="0.95836833536605381"/>
  </r>
  <r>
    <s v="P0169"/>
    <s v="Model_831"/>
    <x v="2"/>
    <x v="2"/>
    <x v="0"/>
    <s v="Q3"/>
    <n v="904"/>
    <n v="9863"/>
    <n v="6778"/>
    <n v="141575"/>
    <n v="1.1299999999999999"/>
    <n v="8"/>
    <n v="8.25"/>
    <n v="24.56"/>
    <n v="34.51"/>
    <n v="4.9000000000000004"/>
    <n v="12929"/>
    <n v="1009"/>
    <n v="8"/>
    <n v="2647240.44"/>
    <n v="29.690391550076761"/>
    <n v="8916152"/>
    <n v="0.18098286508688377"/>
  </r>
  <r>
    <s v="P0170"/>
    <s v="Model_431"/>
    <x v="1"/>
    <x v="0"/>
    <x v="0"/>
    <s v="Q3"/>
    <n v="3524"/>
    <n v="11150"/>
    <n v="6407"/>
    <n v="145040"/>
    <n v="14.27"/>
    <n v="3"/>
    <n v="6.89"/>
    <n v="9.57"/>
    <n v="22.18"/>
    <n v="2.2000000000000002"/>
    <n v="3865"/>
    <n v="8567"/>
    <n v="4"/>
    <n v="16569282.43"/>
    <n v="42.168964207000812"/>
    <n v="39292600"/>
    <n v="0.7055128501838257"/>
  </r>
  <r>
    <s v="P0171"/>
    <s v="Model_244"/>
    <x v="0"/>
    <x v="3"/>
    <x v="1"/>
    <s v="Q1"/>
    <n v="1757"/>
    <n v="17814"/>
    <n v="1569"/>
    <n v="198510"/>
    <n v="4.46"/>
    <n v="17"/>
    <n v="5.52"/>
    <n v="4.45"/>
    <n v="31.12"/>
    <n v="3.4"/>
    <n v="12104"/>
    <n v="9183"/>
    <n v="14"/>
    <n v="28343950.550000001"/>
    <n v="90.558072925702447"/>
    <n v="31299198"/>
    <n v="0.35175541366997209"/>
  </r>
  <r>
    <s v="P0172"/>
    <s v="Model_650"/>
    <x v="1"/>
    <x v="2"/>
    <x v="1"/>
    <s v="Q4"/>
    <n v="2827"/>
    <n v="5590"/>
    <n v="11413"/>
    <n v="229587"/>
    <n v="1.38"/>
    <n v="17"/>
    <n v="2.42"/>
    <n v="8.7899999999999991"/>
    <n v="44.2"/>
    <n v="4.0999999999999996"/>
    <n v="12866"/>
    <n v="8304"/>
    <n v="8"/>
    <n v="-16691216.789999999"/>
    <n v="-105.62102591101777"/>
    <n v="15802930"/>
    <n v="0.56597185796528804"/>
  </r>
  <r>
    <s v="P0173"/>
    <s v="Model_420"/>
    <x v="0"/>
    <x v="1"/>
    <x v="0"/>
    <s v="Q2"/>
    <n v="1783"/>
    <n v="8460"/>
    <n v="1580"/>
    <n v="55744"/>
    <n v="8.99"/>
    <n v="4"/>
    <n v="4.26"/>
    <n v="11"/>
    <n v="68.63"/>
    <n v="4"/>
    <n v="6555"/>
    <n v="5222"/>
    <n v="10"/>
    <n v="12211285"/>
    <n v="80.954251407766293"/>
    <n v="15084180"/>
    <n v="0.35696067306406393"/>
  </r>
  <r>
    <s v="P0174"/>
    <s v="Model_777"/>
    <x v="2"/>
    <x v="0"/>
    <x v="1"/>
    <s v="Q2"/>
    <n v="4981"/>
    <n v="4504"/>
    <n v="10708"/>
    <n v="264892"/>
    <n v="9.35"/>
    <n v="19"/>
    <n v="9.68"/>
    <n v="1.73"/>
    <n v="36.9"/>
    <n v="2.2999999999999998"/>
    <n v="7122"/>
    <n v="8253"/>
    <n v="11"/>
    <n v="-31167017.73"/>
    <n v="-138.92497409338435"/>
    <n v="22434424"/>
    <n v="0.99720757853735409"/>
  </r>
  <r>
    <s v="P0175"/>
    <s v="Model_666"/>
    <x v="1"/>
    <x v="3"/>
    <x v="0"/>
    <s v="Q2"/>
    <n v="3560"/>
    <n v="18213"/>
    <n v="7103"/>
    <n v="485633"/>
    <n v="9.73"/>
    <n v="10"/>
    <n v="6.58"/>
    <n v="14.46"/>
    <n v="36.29"/>
    <n v="3.4"/>
    <n v="18256"/>
    <n v="1073"/>
    <n v="11"/>
    <n v="39065952.539999999"/>
    <n v="60.251370856845675"/>
    <n v="64838280"/>
    <n v="0.71272013242179899"/>
  </r>
  <r>
    <s v="P0176"/>
    <s v="Model_725"/>
    <x v="1"/>
    <x v="0"/>
    <x v="1"/>
    <s v="Q1"/>
    <n v="252"/>
    <n v="5140"/>
    <n v="4783"/>
    <n v="450285"/>
    <n v="4.01"/>
    <n v="4"/>
    <n v="5.64"/>
    <n v="14.94"/>
    <n v="32.79"/>
    <n v="4.5"/>
    <n v="9283"/>
    <n v="4370"/>
    <n v="3"/>
    <n v="-360335.94"/>
    <n v="-27.819154159718362"/>
    <n v="1295280"/>
    <n v="5.0450975665812733E-2"/>
  </r>
  <r>
    <s v="P0177"/>
    <s v="Model_637"/>
    <x v="2"/>
    <x v="0"/>
    <x v="0"/>
    <s v="Q4"/>
    <n v="3305"/>
    <n v="2841"/>
    <n v="10303"/>
    <n v="354503"/>
    <n v="0.23"/>
    <n v="3"/>
    <n v="9.33"/>
    <n v="18.47"/>
    <n v="48.26"/>
    <n v="1.1000000000000001"/>
    <n v="3449"/>
    <n v="1508"/>
    <n v="14"/>
    <n v="-25016431.469999999"/>
    <n v="-266.42971562398657"/>
    <n v="9389505"/>
    <n v="0.66166854990282176"/>
  </r>
  <r>
    <s v="P0178"/>
    <s v="Model_703"/>
    <x v="0"/>
    <x v="3"/>
    <x v="1"/>
    <s v="Q4"/>
    <n v="4268"/>
    <n v="13355"/>
    <n v="12351"/>
    <n v="200871"/>
    <n v="14.48"/>
    <n v="11"/>
    <n v="5.87"/>
    <n v="0.73"/>
    <n v="24.45"/>
    <n v="2.7"/>
    <n v="18128"/>
    <n v="2388"/>
    <n v="7"/>
    <n v="4084200.27"/>
    <n v="7.1653717406964388"/>
    <n v="56999140"/>
    <n v="0.85446334976860616"/>
  </r>
  <r>
    <s v="P0179"/>
    <s v="Model_543"/>
    <x v="1"/>
    <x v="1"/>
    <x v="1"/>
    <s v="Q2"/>
    <n v="4546"/>
    <n v="1838"/>
    <n v="14337"/>
    <n v="410890"/>
    <n v="3.76"/>
    <n v="1"/>
    <n v="5.26"/>
    <n v="13.53"/>
    <n v="48.85"/>
    <n v="1.9"/>
    <n v="11532"/>
    <n v="8838"/>
    <n v="14"/>
    <n v="-57231357.530000001"/>
    <n v="-684.95037704289416"/>
    <n v="8355548"/>
    <n v="0.91011958482851063"/>
  </r>
  <r>
    <s v="P0180"/>
    <s v="Model_295"/>
    <x v="1"/>
    <x v="3"/>
    <x v="0"/>
    <s v="Q3"/>
    <n v="816"/>
    <n v="7395"/>
    <n v="9514"/>
    <n v="274834"/>
    <n v="10.14"/>
    <n v="12"/>
    <n v="7.59"/>
    <n v="1.32"/>
    <n v="66.33"/>
    <n v="2.6"/>
    <n v="13119"/>
    <n v="1318"/>
    <n v="7"/>
    <n v="-2003939.32"/>
    <n v="-33.209032997918577"/>
    <n v="6034320"/>
    <n v="0.16336506406072696"/>
  </r>
  <r>
    <s v="P0181"/>
    <s v="Model_109"/>
    <x v="1"/>
    <x v="2"/>
    <x v="0"/>
    <s v="Q4"/>
    <n v="4439"/>
    <n v="13754"/>
    <n v="1321"/>
    <n v="170906"/>
    <n v="10.6"/>
    <n v="9"/>
    <n v="7.13"/>
    <n v="17.53"/>
    <n v="12.38"/>
    <n v="2.7"/>
    <n v="18008"/>
    <n v="1520"/>
    <n v="10"/>
    <n v="55019163.469999999"/>
    <n v="90.115566650941787"/>
    <n v="61054006"/>
    <n v="0.88869794039897909"/>
  </r>
  <r>
    <s v="P0182"/>
    <s v="Model_523"/>
    <x v="0"/>
    <x v="0"/>
    <x v="1"/>
    <s v="Q2"/>
    <n v="2377"/>
    <n v="12844"/>
    <n v="13870"/>
    <n v="251260"/>
    <n v="9.15"/>
    <n v="8"/>
    <n v="1.93"/>
    <n v="1.39"/>
    <n v="10.78"/>
    <n v="4"/>
    <n v="14324"/>
    <n v="9746"/>
    <n v="14"/>
    <n v="-2690063.39"/>
    <n v="-8.8111589420936429"/>
    <n v="30530188"/>
    <n v="0.47588082999062248"/>
  </r>
  <r>
    <s v="P0183"/>
    <s v="Model_353"/>
    <x v="2"/>
    <x v="2"/>
    <x v="1"/>
    <s v="Q1"/>
    <n v="2981"/>
    <n v="3250"/>
    <n v="11312"/>
    <n v="270931"/>
    <n v="4.6900000000000004"/>
    <n v="9"/>
    <n v="4.71"/>
    <n v="22.79"/>
    <n v="16.010000000000002"/>
    <n v="1.4"/>
    <n v="12445"/>
    <n v="3477"/>
    <n v="10"/>
    <n v="-24303775.789999999"/>
    <n v="-250.85826428921632"/>
    <n v="9688250"/>
    <n v="0.59680300976106249"/>
  </r>
  <r>
    <s v="P0184"/>
    <s v="Model_382"/>
    <x v="2"/>
    <x v="2"/>
    <x v="1"/>
    <s v="Q4"/>
    <n v="247"/>
    <n v="3921"/>
    <n v="9927"/>
    <n v="303593"/>
    <n v="4.07"/>
    <n v="6"/>
    <n v="4.7300000000000004"/>
    <n v="17.55"/>
    <n v="52.85"/>
    <n v="3.1"/>
    <n v="3419"/>
    <n v="7601"/>
    <n v="14"/>
    <n v="-1787092.55"/>
    <n v="-184.5241650120239"/>
    <n v="968487"/>
    <n v="4.9449964243872005E-2"/>
  </r>
  <r>
    <s v="P0185"/>
    <s v="Model_961"/>
    <x v="1"/>
    <x v="1"/>
    <x v="1"/>
    <s v="Q3"/>
    <n v="1980"/>
    <n v="8619"/>
    <n v="8369"/>
    <n v="288746"/>
    <n v="8.9700000000000006"/>
    <n v="3"/>
    <n v="3.78"/>
    <n v="12.68"/>
    <n v="78.36"/>
    <n v="3.3"/>
    <n v="11327"/>
    <n v="4198"/>
    <n v="6"/>
    <n v="206241.32"/>
    <n v="1.2085193506007987"/>
    <n v="17065620"/>
    <n v="0.39640052308852863"/>
  </r>
  <r>
    <s v="P0186"/>
    <s v="Model_105"/>
    <x v="2"/>
    <x v="2"/>
    <x v="0"/>
    <s v="Q4"/>
    <n v="3632"/>
    <n v="6819"/>
    <n v="11222"/>
    <n v="57597"/>
    <n v="12.99"/>
    <n v="18"/>
    <n v="5.17"/>
    <n v="11.04"/>
    <n v="10.39"/>
    <n v="3"/>
    <n v="11117"/>
    <n v="2838"/>
    <n v="6"/>
    <n v="-16049304.039999999"/>
    <n v="-64.802188656597622"/>
    <n v="24766608"/>
    <n v="0.72713469689774546"/>
  </r>
  <r>
    <s v="P0187"/>
    <s v="Model_695"/>
    <x v="2"/>
    <x v="0"/>
    <x v="0"/>
    <s v="Q2"/>
    <n v="658"/>
    <n v="17396"/>
    <n v="13032"/>
    <n v="359237"/>
    <n v="14.2"/>
    <n v="9"/>
    <n v="4.13"/>
    <n v="3.27"/>
    <n v="84.93"/>
    <n v="3.9"/>
    <n v="11232"/>
    <n v="7719"/>
    <n v="10"/>
    <n v="2512271.73"/>
    <n v="21.947816410997603"/>
    <n v="11446568"/>
    <n v="0.13173310312739991"/>
  </r>
  <r>
    <s v="P0188"/>
    <s v="Model_602"/>
    <x v="0"/>
    <x v="0"/>
    <x v="0"/>
    <s v="Q4"/>
    <n v="3322"/>
    <n v="13418"/>
    <n v="6584"/>
    <n v="480442"/>
    <n v="1.59"/>
    <n v="2"/>
    <n v="1.99"/>
    <n v="7.27"/>
    <n v="18.5"/>
    <n v="2.5"/>
    <n v="2030"/>
    <n v="1942"/>
    <n v="9"/>
    <n v="22222098.73"/>
    <n v="49.85372998108609"/>
    <n v="44574596"/>
    <n v="0.66507198873742024"/>
  </r>
  <r>
    <s v="P0189"/>
    <s v="Model_772"/>
    <x v="2"/>
    <x v="3"/>
    <x v="0"/>
    <s v="Q3"/>
    <n v="1197"/>
    <n v="15349"/>
    <n v="5383"/>
    <n v="253199"/>
    <n v="2.3199999999999998"/>
    <n v="18"/>
    <n v="4.12"/>
    <n v="21.72"/>
    <n v="77.36"/>
    <n v="4.8"/>
    <n v="9349"/>
    <n v="9038"/>
    <n v="8"/>
    <n v="11676081.279999999"/>
    <n v="63.551070871088285"/>
    <n v="18372753"/>
    <n v="0.23964213441261048"/>
  </r>
  <r>
    <s v="P0190"/>
    <s v="Model_869"/>
    <x v="1"/>
    <x v="0"/>
    <x v="0"/>
    <s v="Q4"/>
    <n v="4332"/>
    <n v="6373"/>
    <n v="6746"/>
    <n v="426794"/>
    <n v="14.17"/>
    <n v="1"/>
    <n v="0.72"/>
    <n v="22.61"/>
    <n v="48.63"/>
    <n v="2.9"/>
    <n v="8429"/>
    <n v="2916"/>
    <n v="9"/>
    <n v="-2042652.61"/>
    <n v="-7.3988146336424201"/>
    <n v="27607836"/>
    <n v="0.86727629596944744"/>
  </r>
  <r>
    <s v="P0191"/>
    <s v="Model_762"/>
    <x v="0"/>
    <x v="2"/>
    <x v="0"/>
    <s v="Q4"/>
    <n v="3447"/>
    <n v="6306"/>
    <n v="5741"/>
    <n v="258434"/>
    <n v="11.05"/>
    <n v="19"/>
    <n v="5.76"/>
    <n v="0.02"/>
    <n v="62.75"/>
    <n v="3.3"/>
    <n v="5849"/>
    <n v="9163"/>
    <n v="7"/>
    <n v="1689120.98"/>
    <n v="7.7707959715472148"/>
    <n v="21736782"/>
    <n v="0.69009727428593848"/>
  </r>
  <r>
    <s v="P0192"/>
    <s v="Model_545"/>
    <x v="1"/>
    <x v="0"/>
    <x v="0"/>
    <s v="Q2"/>
    <n v="2561"/>
    <n v="10092"/>
    <n v="7067"/>
    <n v="207489"/>
    <n v="13.24"/>
    <n v="9"/>
    <n v="8.5399999999999991"/>
    <n v="14.85"/>
    <n v="50.85"/>
    <n v="4.3"/>
    <n v="15956"/>
    <n v="594"/>
    <n v="4"/>
    <n v="7539521.1500000004"/>
    <n v="29.171377911267882"/>
    <n v="25845612"/>
    <n v="0.5127180503180413"/>
  </r>
  <r>
    <s v="P0193"/>
    <s v="Model_143"/>
    <x v="1"/>
    <x v="2"/>
    <x v="1"/>
    <s v="Q1"/>
    <n v="1844"/>
    <n v="13682"/>
    <n v="7928"/>
    <n v="461909"/>
    <n v="3.04"/>
    <n v="1"/>
    <n v="7.25"/>
    <n v="17.98"/>
    <n v="48.16"/>
    <n v="2.1"/>
    <n v="12795"/>
    <n v="6660"/>
    <n v="8"/>
    <n v="10148449.02"/>
    <n v="40.224362661520544"/>
    <n v="25229608"/>
    <n v="0.36917301241174078"/>
  </r>
  <r>
    <s v="P0194"/>
    <s v="Model_453"/>
    <x v="0"/>
    <x v="0"/>
    <x v="1"/>
    <s v="Q1"/>
    <n v="709"/>
    <n v="18274"/>
    <n v="12689"/>
    <n v="433100"/>
    <n v="8.81"/>
    <n v="1"/>
    <n v="3.6"/>
    <n v="15.47"/>
    <n v="76.790000000000006"/>
    <n v="1.3"/>
    <n v="19685"/>
    <n v="5610"/>
    <n v="9"/>
    <n v="3526649.53"/>
    <n v="27.219644379020931"/>
    <n v="12956266"/>
    <n v="0.14194341963119536"/>
  </r>
  <r>
    <s v="P0195"/>
    <s v="Model_572"/>
    <x v="2"/>
    <x v="3"/>
    <x v="1"/>
    <s v="Q4"/>
    <n v="2861"/>
    <n v="13545"/>
    <n v="11829"/>
    <n v="165598"/>
    <n v="10.52"/>
    <n v="16"/>
    <n v="0.87"/>
    <n v="2.04"/>
    <n v="70.47"/>
    <n v="3.8"/>
    <n v="6656"/>
    <n v="3544"/>
    <n v="9"/>
    <n v="4743875.96"/>
    <n v="12.241551321736328"/>
    <n v="38752245"/>
    <n v="0.572778735634485"/>
  </r>
  <r>
    <s v="P0196"/>
    <s v="Model_774"/>
    <x v="2"/>
    <x v="3"/>
    <x v="1"/>
    <s v="Q4"/>
    <n v="1419"/>
    <n v="5930"/>
    <n v="13075"/>
    <n v="300100"/>
    <n v="10.199999999999999"/>
    <n v="15"/>
    <n v="2.02"/>
    <n v="5.44"/>
    <n v="48.67"/>
    <n v="2.9"/>
    <n v="10728"/>
    <n v="9367"/>
    <n v="2"/>
    <n v="-10438860.439999999"/>
    <n v="-124.0554940360109"/>
    <n v="8414670"/>
    <n v="0.28408704154677883"/>
  </r>
  <r>
    <s v="P0197"/>
    <s v="Model_348"/>
    <x v="2"/>
    <x v="3"/>
    <x v="1"/>
    <s v="Q3"/>
    <n v="2036"/>
    <n v="10320"/>
    <n v="3261"/>
    <n v="308589"/>
    <n v="6.12"/>
    <n v="15"/>
    <n v="5.45"/>
    <n v="6.26"/>
    <n v="18.93"/>
    <n v="4.5999999999999996"/>
    <n v="13420"/>
    <n v="7643"/>
    <n v="8"/>
    <n v="14063528.74"/>
    <n v="66.932467237020461"/>
    <n v="21011520"/>
    <n v="0.40761185101426478"/>
  </r>
  <r>
    <s v="P0198"/>
    <s v="Model_958"/>
    <x v="0"/>
    <x v="2"/>
    <x v="0"/>
    <s v="Q2"/>
    <n v="196"/>
    <n v="5732"/>
    <n v="14836"/>
    <n v="234233"/>
    <n v="0.23"/>
    <n v="13"/>
    <n v="2.0699999999999998"/>
    <n v="20.79"/>
    <n v="19.23"/>
    <n v="4.9000000000000004"/>
    <n v="8932"/>
    <n v="7662"/>
    <n v="4"/>
    <n v="-2018637.79"/>
    <n v="-179.67851357221184"/>
    <n v="1123472"/>
    <n v="3.9239647740076572E-2"/>
  </r>
  <r>
    <s v="P0199"/>
    <s v="Model_230"/>
    <x v="0"/>
    <x v="1"/>
    <x v="0"/>
    <s v="Q2"/>
    <n v="3269"/>
    <n v="12622"/>
    <n v="12235"/>
    <n v="302388"/>
    <n v="8.74"/>
    <n v="6"/>
    <n v="5.44"/>
    <n v="11.58"/>
    <n v="74.12"/>
    <n v="2.6"/>
    <n v="13703"/>
    <n v="4094"/>
    <n v="3"/>
    <n v="962703.42"/>
    <n v="2.3331863029678308"/>
    <n v="41261318"/>
    <n v="0.65446126766484847"/>
  </r>
  <r>
    <s v="P0200"/>
    <s v="Model_371"/>
    <x v="2"/>
    <x v="2"/>
    <x v="0"/>
    <s v="Q3"/>
    <n v="2961"/>
    <n v="16523"/>
    <n v="12351"/>
    <n v="183241"/>
    <n v="3.8"/>
    <n v="10"/>
    <n v="2.3199999999999998"/>
    <n v="12.17"/>
    <n v="52.35"/>
    <n v="2.7"/>
    <n v="7689"/>
    <n v="7353"/>
    <n v="3"/>
    <n v="12170038.83"/>
    <n v="24.87508959449298"/>
    <n v="48924603"/>
    <n v="0.59279896407329957"/>
  </r>
  <r>
    <s v="P0201"/>
    <s v="Model_799"/>
    <x v="2"/>
    <x v="3"/>
    <x v="0"/>
    <s v="Q2"/>
    <n v="1784"/>
    <n v="9507"/>
    <n v="1485"/>
    <n v="265164"/>
    <n v="6.75"/>
    <n v="0"/>
    <n v="8.49"/>
    <n v="23.37"/>
    <n v="48.53"/>
    <n v="2.6"/>
    <n v="2642"/>
    <n v="145"/>
    <n v="9"/>
    <n v="14046060.630000001"/>
    <n v="82.81637079074612"/>
    <n v="16960488"/>
    <n v="0.35716087534845203"/>
  </r>
  <r>
    <s v="P0202"/>
    <s v="Model_269"/>
    <x v="1"/>
    <x v="2"/>
    <x v="1"/>
    <s v="Q4"/>
    <n v="1893"/>
    <n v="19405"/>
    <n v="2960"/>
    <n v="203124"/>
    <n v="14.36"/>
    <n v="10"/>
    <n v="3.97"/>
    <n v="15.93"/>
    <n v="64.45"/>
    <n v="2.2999999999999998"/>
    <n v="9114"/>
    <n v="2157"/>
    <n v="10"/>
    <n v="30927245.07"/>
    <n v="84.19319191265015"/>
    <n v="36733665"/>
    <n v="0.37898292434675995"/>
  </r>
  <r>
    <s v="P0203"/>
    <s v="Model_337"/>
    <x v="2"/>
    <x v="2"/>
    <x v="1"/>
    <s v="Q3"/>
    <n v="538"/>
    <n v="10518"/>
    <n v="7831"/>
    <n v="254923"/>
    <n v="5.99"/>
    <n v="3"/>
    <n v="2.46"/>
    <n v="22.47"/>
    <n v="78.709999999999994"/>
    <n v="4.0999999999999996"/>
    <n v="15753"/>
    <n v="763"/>
    <n v="4"/>
    <n v="1190660.53"/>
    <n v="21.041297411200201"/>
    <n v="5658684"/>
    <n v="0.10770882900082242"/>
  </r>
  <r>
    <s v="P0204"/>
    <s v="Model_421"/>
    <x v="0"/>
    <x v="3"/>
    <x v="0"/>
    <s v="Q2"/>
    <n v="3026"/>
    <n v="3000"/>
    <n v="12980"/>
    <n v="58036"/>
    <n v="12.6"/>
    <n v="6"/>
    <n v="8.1199999999999992"/>
    <n v="11.41"/>
    <n v="60.31"/>
    <n v="4"/>
    <n v="19513"/>
    <n v="4768"/>
    <n v="4"/>
    <n v="-30257527.41"/>
    <n v="-333.30609616655653"/>
    <n v="9078000"/>
    <n v="0.60581211255852907"/>
  </r>
  <r>
    <s v="P0205"/>
    <s v="Model_955"/>
    <x v="0"/>
    <x v="1"/>
    <x v="0"/>
    <s v="Q1"/>
    <n v="2009"/>
    <n v="8237"/>
    <n v="13058"/>
    <n v="81778"/>
    <n v="2.83"/>
    <n v="14"/>
    <n v="3.43"/>
    <n v="3.74"/>
    <n v="71.03"/>
    <n v="2.9"/>
    <n v="18646"/>
    <n v="2129"/>
    <n v="7"/>
    <n v="-9767170.7400000002"/>
    <n v="-59.022795743785714"/>
    <n v="16548133"/>
    <n v="0.40220638933578484"/>
  </r>
  <r>
    <s v="P0206"/>
    <s v="Model_216"/>
    <x v="0"/>
    <x v="2"/>
    <x v="1"/>
    <s v="Q3"/>
    <n v="2435"/>
    <n v="4794"/>
    <n v="10559"/>
    <n v="470950"/>
    <n v="10.09"/>
    <n v="17"/>
    <n v="1.1100000000000001"/>
    <n v="23.25"/>
    <n v="71.22"/>
    <n v="1.2"/>
    <n v="8405"/>
    <n v="5817"/>
    <n v="12"/>
    <n v="-14508748.25"/>
    <n v="-124.28907326834792"/>
    <n v="11673390"/>
    <n v="0.48749256248513495"/>
  </r>
  <r>
    <s v="P0207"/>
    <s v="Model_216"/>
    <x v="2"/>
    <x v="1"/>
    <x v="1"/>
    <s v="Q1"/>
    <n v="2969"/>
    <n v="5997"/>
    <n v="6141"/>
    <n v="204245"/>
    <n v="14.66"/>
    <n v="11"/>
    <n v="5.7"/>
    <n v="11.47"/>
    <n v="38.5"/>
    <n v="2.2000000000000002"/>
    <n v="6389"/>
    <n v="2796"/>
    <n v="11"/>
    <n v="-631792.47"/>
    <n v="-3.5483806234541988"/>
    <n v="17805093"/>
    <n v="0.59440058234840476"/>
  </r>
  <r>
    <s v="P0208"/>
    <s v="Model_832"/>
    <x v="1"/>
    <x v="1"/>
    <x v="1"/>
    <s v="Q1"/>
    <n v="4786"/>
    <n v="19350"/>
    <n v="838"/>
    <n v="211475"/>
    <n v="1.53"/>
    <n v="16"/>
    <n v="5.82"/>
    <n v="4.54"/>
    <n v="31.93"/>
    <n v="2.2000000000000002"/>
    <n v="6339"/>
    <n v="8931"/>
    <n v="2"/>
    <n v="88386952.459999993"/>
    <n v="95.44089345431496"/>
    <n v="92609100"/>
    <n v="0.95816813308166571"/>
  </r>
  <r>
    <s v="P0209"/>
    <s v="Model_927"/>
    <x v="1"/>
    <x v="1"/>
    <x v="0"/>
    <s v="Q1"/>
    <n v="1852"/>
    <n v="2114"/>
    <n v="11536"/>
    <n v="252747"/>
    <n v="0.12"/>
    <n v="0"/>
    <n v="7.15"/>
    <n v="7.56"/>
    <n v="74.09"/>
    <n v="4.2"/>
    <n v="5457"/>
    <n v="2763"/>
    <n v="7"/>
    <n v="-17702298.559999999"/>
    <n v="-452.15120833852677"/>
    <n v="3915128"/>
    <n v="0.37077463068684596"/>
  </r>
  <r>
    <s v="P0210"/>
    <s v="Model_943"/>
    <x v="2"/>
    <x v="0"/>
    <x v="1"/>
    <s v="Q1"/>
    <n v="4111"/>
    <n v="10874"/>
    <n v="5675"/>
    <n v="449560"/>
    <n v="6.5"/>
    <n v="10"/>
    <n v="2.4"/>
    <n v="1.27"/>
    <n v="40.17"/>
    <n v="1.4"/>
    <n v="2057"/>
    <n v="2845"/>
    <n v="13"/>
    <n v="20923527.73"/>
    <n v="46.805630891017778"/>
    <n v="44703014"/>
    <n v="0.82303159111966728"/>
  </r>
  <r>
    <s v="P0211"/>
    <s v="Model_938"/>
    <x v="2"/>
    <x v="3"/>
    <x v="0"/>
    <s v="Q4"/>
    <n v="3419"/>
    <n v="4167"/>
    <n v="2056"/>
    <n v="68800"/>
    <n v="1.39"/>
    <n v="0"/>
    <n v="4.4400000000000004"/>
    <n v="11.71"/>
    <n v="82.27"/>
    <n v="4.2"/>
    <n v="6121"/>
    <n v="5104"/>
    <n v="4"/>
    <n v="7148697.29"/>
    <n v="50.176955413616632"/>
    <n v="14246973"/>
    <n v="0.68449161032307038"/>
  </r>
  <r>
    <s v="P0212"/>
    <s v="Model_973"/>
    <x v="1"/>
    <x v="3"/>
    <x v="1"/>
    <s v="Q4"/>
    <n v="312"/>
    <n v="14909"/>
    <n v="11982"/>
    <n v="337516"/>
    <n v="11.23"/>
    <n v="14"/>
    <n v="2.82"/>
    <n v="21.33"/>
    <n v="15.58"/>
    <n v="3.7"/>
    <n v="16432"/>
    <n v="6421"/>
    <n v="12"/>
    <n v="575686.67000000004"/>
    <n v="12.376078766740449"/>
    <n v="4651608"/>
    <n v="6.2463112729101482E-2"/>
  </r>
  <r>
    <s v="P0213"/>
    <s v="Model_475"/>
    <x v="2"/>
    <x v="2"/>
    <x v="1"/>
    <s v="Q1"/>
    <n v="673"/>
    <n v="18014"/>
    <n v="8497"/>
    <n v="373660"/>
    <n v="13.72"/>
    <n v="9"/>
    <n v="0.81"/>
    <n v="23.34"/>
    <n v="14.66"/>
    <n v="3.9"/>
    <n v="2339"/>
    <n v="5225"/>
    <n v="5"/>
    <n v="6031257.6600000001"/>
    <n v="49.748805741481242"/>
    <n v="12123422"/>
    <n v="0.1347361373932221"/>
  </r>
  <r>
    <s v="P0214"/>
    <s v="Model_466"/>
    <x v="1"/>
    <x v="1"/>
    <x v="1"/>
    <s v="Q4"/>
    <n v="1066"/>
    <n v="4483"/>
    <n v="2996"/>
    <n v="332682"/>
    <n v="6.51"/>
    <n v="6"/>
    <n v="8.77"/>
    <n v="23.32"/>
    <n v="84.16"/>
    <n v="2.7"/>
    <n v="10743"/>
    <n v="5048"/>
    <n v="10"/>
    <n v="1252436.68"/>
    <n v="26.207755879099654"/>
    <n v="4778878"/>
    <n v="0.21341563515776338"/>
  </r>
  <r>
    <s v="P0215"/>
    <s v="Model_414"/>
    <x v="0"/>
    <x v="3"/>
    <x v="0"/>
    <s v="Q3"/>
    <n v="3693"/>
    <n v="14151"/>
    <n v="12460"/>
    <n v="376062"/>
    <n v="3.88"/>
    <n v="1"/>
    <n v="7.29"/>
    <n v="3.13"/>
    <n v="61.88"/>
    <n v="3.7"/>
    <n v="11096"/>
    <n v="4502"/>
    <n v="4"/>
    <n v="5868797.8700000001"/>
    <n v="11.230076466461894"/>
    <n v="52259643"/>
    <n v="0.73934703624542231"/>
  </r>
  <r>
    <s v="P0216"/>
    <s v="Model_174"/>
    <x v="1"/>
    <x v="2"/>
    <x v="0"/>
    <s v="Q1"/>
    <n v="2099"/>
    <n v="9730"/>
    <n v="7965"/>
    <n v="458189"/>
    <n v="6.52"/>
    <n v="9"/>
    <n v="3.01"/>
    <n v="9.5500000000000007"/>
    <n v="40.369999999999997"/>
    <n v="3.4"/>
    <n v="8498"/>
    <n v="3527"/>
    <n v="2"/>
    <n v="3246536.45"/>
    <n v="15.896261715190565"/>
    <n v="20423270"/>
    <n v="0.42022459493071795"/>
  </r>
  <r>
    <s v="P0217"/>
    <s v="Model_911"/>
    <x v="0"/>
    <x v="1"/>
    <x v="0"/>
    <s v="Q3"/>
    <n v="3773"/>
    <n v="8140"/>
    <n v="11700"/>
    <n v="383299"/>
    <n v="10.85"/>
    <n v="3"/>
    <n v="5.99"/>
    <n v="0.71"/>
    <n v="70.400000000000006"/>
    <n v="4.0999999999999996"/>
    <n v="11629"/>
    <n v="6012"/>
    <n v="4"/>
    <n v="-13815179.710000001"/>
    <n v="-44.982680216539215"/>
    <n v="30712220"/>
    <n v="0.75536321899647396"/>
  </r>
  <r>
    <s v="P0218"/>
    <s v="Model_566"/>
    <x v="0"/>
    <x v="3"/>
    <x v="0"/>
    <s v="Q4"/>
    <n v="4598"/>
    <n v="13279"/>
    <n v="1101"/>
    <n v="281312"/>
    <n v="0.14000000000000001"/>
    <n v="11"/>
    <n v="2.0099999999999998"/>
    <n v="21.38"/>
    <n v="63.79"/>
    <n v="2.8"/>
    <n v="2010"/>
    <n v="494"/>
    <n v="8"/>
    <n v="55713110.619999997"/>
    <n v="91.247940108006233"/>
    <n v="61056842"/>
    <n v="0.9205301036166943"/>
  </r>
  <r>
    <s v="P0219"/>
    <s v="Model_998"/>
    <x v="1"/>
    <x v="1"/>
    <x v="0"/>
    <s v="Q2"/>
    <n v="3158"/>
    <n v="16817"/>
    <n v="8327"/>
    <n v="109500"/>
    <n v="8.84"/>
    <n v="18"/>
    <n v="8.9"/>
    <n v="8.9700000000000006"/>
    <n v="52.5"/>
    <n v="2.9"/>
    <n v="13096"/>
    <n v="3697"/>
    <n v="14"/>
    <n v="26701911.030000001"/>
    <n v="50.278428467559536"/>
    <n v="53108086"/>
    <n v="0.63223881409776439"/>
  </r>
  <r>
    <s v="P0220"/>
    <s v="Model_814"/>
    <x v="2"/>
    <x v="0"/>
    <x v="0"/>
    <s v="Q4"/>
    <n v="4140"/>
    <n v="18804"/>
    <n v="7181"/>
    <n v="217647"/>
    <n v="9.1999999999999993"/>
    <n v="10"/>
    <n v="1.1499999999999999"/>
    <n v="15.78"/>
    <n v="17.91"/>
    <n v="3.6"/>
    <n v="14474"/>
    <n v="429"/>
    <n v="8"/>
    <n v="47901557.219999999"/>
    <n v="61.531719045284838"/>
    <n v="77848560"/>
    <n v="0.82883745736692349"/>
  </r>
  <r>
    <s v="P0221"/>
    <s v="Model_639"/>
    <x v="0"/>
    <x v="2"/>
    <x v="1"/>
    <s v="Q1"/>
    <n v="2106"/>
    <n v="9064"/>
    <n v="1446"/>
    <n v="286527"/>
    <n v="9.57"/>
    <n v="7"/>
    <n v="0.04"/>
    <n v="17.87"/>
    <n v="74.97"/>
    <n v="1.4"/>
    <n v="2637"/>
    <n v="872"/>
    <n v="12"/>
    <n v="15756963.130000001"/>
    <n v="82.545662049505097"/>
    <n v="19088784"/>
    <n v="0.42162601092143498"/>
  </r>
  <r>
    <s v="P0222"/>
    <s v="Model_108"/>
    <x v="0"/>
    <x v="2"/>
    <x v="1"/>
    <s v="Q3"/>
    <n v="3220"/>
    <n v="17020"/>
    <n v="13750"/>
    <n v="485477"/>
    <n v="3.63"/>
    <n v="17"/>
    <n v="5.0199999999999996"/>
    <n v="10.75"/>
    <n v="79.28"/>
    <n v="2.7"/>
    <n v="15200"/>
    <n v="8235"/>
    <n v="6"/>
    <n v="10043912.25"/>
    <n v="18.326835527804334"/>
    <n v="54804400"/>
    <n v="0.64465135572982935"/>
  </r>
  <r>
    <s v="P0223"/>
    <s v="Model_849"/>
    <x v="0"/>
    <x v="3"/>
    <x v="1"/>
    <s v="Q3"/>
    <n v="1732"/>
    <n v="15237"/>
    <n v="10751"/>
    <n v="160659"/>
    <n v="10.71"/>
    <n v="10"/>
    <n v="5.83"/>
    <n v="7.66"/>
    <n v="23.77"/>
    <n v="4.9000000000000004"/>
    <n v="6166"/>
    <n v="1745"/>
    <n v="2"/>
    <n v="7609085.3399999999"/>
    <n v="28.832685827209538"/>
    <n v="26390484"/>
    <n v="0.34675035656026848"/>
  </r>
  <r>
    <s v="P0224"/>
    <s v="Model_934"/>
    <x v="2"/>
    <x v="1"/>
    <x v="1"/>
    <s v="Q4"/>
    <n v="2305"/>
    <n v="10823"/>
    <n v="13343"/>
    <n v="77716"/>
    <n v="1.37"/>
    <n v="10"/>
    <n v="5.79"/>
    <n v="24.06"/>
    <n v="78.040000000000006"/>
    <n v="1.2"/>
    <n v="10406"/>
    <n v="1887"/>
    <n v="12"/>
    <n v="-5886340.0599999996"/>
    <n v="-23.595368263497654"/>
    <n v="24947015"/>
    <n v="0.46146626551467601"/>
  </r>
  <r>
    <s v="P0225"/>
    <s v="Model_388"/>
    <x v="0"/>
    <x v="2"/>
    <x v="1"/>
    <s v="Q1"/>
    <n v="1204"/>
    <n v="16729"/>
    <n v="9589"/>
    <n v="446452"/>
    <n v="2.99"/>
    <n v="12"/>
    <n v="0.55000000000000004"/>
    <n v="24.11"/>
    <n v="80.23"/>
    <n v="2.2999999999999998"/>
    <n v="11978"/>
    <n v="9915"/>
    <n v="9"/>
    <n v="8150083.8899999997"/>
    <n v="40.463701752124791"/>
    <n v="20141716"/>
    <n v="0.24104355040332751"/>
  </r>
  <r>
    <s v="P0226"/>
    <s v="Model_893"/>
    <x v="2"/>
    <x v="1"/>
    <x v="1"/>
    <s v="Q3"/>
    <n v="4549"/>
    <n v="13213"/>
    <n v="9653"/>
    <n v="459064"/>
    <n v="13.16"/>
    <n v="2"/>
    <n v="3.14"/>
    <n v="7.24"/>
    <n v="53.95"/>
    <n v="2.2999999999999998"/>
    <n v="4154"/>
    <n v="1099"/>
    <n v="11"/>
    <n v="15735368.76"/>
    <n v="26.179391829462702"/>
    <n v="60105937"/>
    <n v="0.91072019168167506"/>
  </r>
  <r>
    <s v="P0227"/>
    <s v="Model_347"/>
    <x v="2"/>
    <x v="1"/>
    <x v="0"/>
    <s v="Q1"/>
    <n v="3241"/>
    <n v="10002"/>
    <n v="5130"/>
    <n v="52352"/>
    <n v="11.08"/>
    <n v="11"/>
    <n v="4.99"/>
    <n v="11.99"/>
    <n v="62.49"/>
    <n v="3.5"/>
    <n v="2490"/>
    <n v="1948"/>
    <n v="9"/>
    <n v="15737788.01"/>
    <n v="48.548722868817165"/>
    <n v="32416482"/>
    <n v="0.64885560370198048"/>
  </r>
  <r>
    <s v="P0228"/>
    <s v="Model_941"/>
    <x v="0"/>
    <x v="2"/>
    <x v="1"/>
    <s v="Q4"/>
    <n v="1746"/>
    <n v="2045"/>
    <n v="10360"/>
    <n v="183004"/>
    <n v="0.21"/>
    <n v="2"/>
    <n v="2.17"/>
    <n v="24.32"/>
    <n v="40.58"/>
    <n v="1.4"/>
    <n v="3660"/>
    <n v="1661"/>
    <n v="11"/>
    <n v="-14701018.32"/>
    <n v="-411.72749224913667"/>
    <n v="3570570"/>
    <n v="0.34955318854170253"/>
  </r>
  <r>
    <s v="P0229"/>
    <s v="Model_529"/>
    <x v="0"/>
    <x v="0"/>
    <x v="0"/>
    <s v="Q1"/>
    <n v="4041"/>
    <n v="5846"/>
    <n v="11573"/>
    <n v="388593"/>
    <n v="3.73"/>
    <n v="9"/>
    <n v="8.73"/>
    <n v="0.12"/>
    <n v="32.54"/>
    <n v="3.5"/>
    <n v="16636"/>
    <n v="873"/>
    <n v="13"/>
    <n v="-23531400.120000001"/>
    <n v="-99.609350208938608"/>
    <n v="23623686"/>
    <n v="0.80901743121249703"/>
  </r>
  <r>
    <s v="P0230"/>
    <s v="Model_992"/>
    <x v="1"/>
    <x v="1"/>
    <x v="1"/>
    <s v="Q3"/>
    <n v="4773"/>
    <n v="11496"/>
    <n v="7803"/>
    <n v="58556"/>
    <n v="3.22"/>
    <n v="16"/>
    <n v="0.87"/>
    <n v="10.32"/>
    <n v="67.760000000000005"/>
    <n v="1.4"/>
    <n v="11836"/>
    <n v="7411"/>
    <n v="11"/>
    <n v="17568122.68"/>
    <n v="32.017481408193646"/>
    <n v="54870408"/>
    <n v="0.95556550338461976"/>
  </r>
  <r>
    <s v="P0231"/>
    <s v="Model_796"/>
    <x v="2"/>
    <x v="2"/>
    <x v="1"/>
    <s v="Q4"/>
    <n v="4732"/>
    <n v="17275"/>
    <n v="12860"/>
    <n v="311973"/>
    <n v="4.0599999999999996"/>
    <n v="1"/>
    <n v="4.87"/>
    <n v="2.5099999999999998"/>
    <n v="78.95"/>
    <n v="1.4"/>
    <n v="15769"/>
    <n v="5279"/>
    <n v="14"/>
    <n v="20579804.489999998"/>
    <n v="25.175520170578615"/>
    <n v="81745300"/>
    <n v="0.94735720972470583"/>
  </r>
  <r>
    <s v="P0232"/>
    <s v="Model_316"/>
    <x v="0"/>
    <x v="3"/>
    <x v="1"/>
    <s v="Q1"/>
    <n v="1698"/>
    <n v="15419"/>
    <n v="4337"/>
    <n v="398980"/>
    <n v="3.71"/>
    <n v="16"/>
    <n v="6.91"/>
    <n v="12.73"/>
    <n v="62.33"/>
    <n v="3.9"/>
    <n v="17706"/>
    <n v="1903"/>
    <n v="11"/>
    <n v="18418243.27"/>
    <n v="70.3484139655761"/>
    <n v="26181462"/>
    <n v="0.33994347889107152"/>
  </r>
  <r>
    <s v="P0233"/>
    <s v="Model_366"/>
    <x v="2"/>
    <x v="1"/>
    <x v="0"/>
    <s v="Q4"/>
    <n v="1495"/>
    <n v="5310"/>
    <n v="13857"/>
    <n v="186570"/>
    <n v="0.94"/>
    <n v="15"/>
    <n v="2.62"/>
    <n v="0.62"/>
    <n v="50.93"/>
    <n v="2.2999999999999998"/>
    <n v="3563"/>
    <n v="9390"/>
    <n v="3"/>
    <n v="-12964335.619999999"/>
    <n v="-163.31066669186049"/>
    <n v="7938450"/>
    <n v="0.29930241516027795"/>
  </r>
  <r>
    <s v="P0234"/>
    <s v="Model_917"/>
    <x v="2"/>
    <x v="2"/>
    <x v="1"/>
    <s v="Q3"/>
    <n v="4249"/>
    <n v="8706"/>
    <n v="13300"/>
    <n v="257190"/>
    <n v="6.88"/>
    <n v="1"/>
    <n v="6.24"/>
    <n v="10.17"/>
    <n v="22.71"/>
    <n v="4.9000000000000004"/>
    <n v="12295"/>
    <n v="2150"/>
    <n v="11"/>
    <n v="-19777106.170000002"/>
    <n v="-53.463495633653245"/>
    <n v="36991794"/>
    <n v="0.85065950636523135"/>
  </r>
  <r>
    <s v="P0235"/>
    <s v="Model_325"/>
    <x v="2"/>
    <x v="3"/>
    <x v="0"/>
    <s v="Q4"/>
    <n v="3973"/>
    <n v="10505"/>
    <n v="5358"/>
    <n v="100098"/>
    <n v="10.99"/>
    <n v="19"/>
    <n v="8.2899999999999991"/>
    <n v="5.52"/>
    <n v="14.28"/>
    <n v="1.1000000000000001"/>
    <n v="19861"/>
    <n v="9890"/>
    <n v="4"/>
    <n v="20348927.48"/>
    <n v="48.75586908443033"/>
    <n v="41736365"/>
    <n v="0.7954036758741031"/>
  </r>
  <r>
    <s v="P0236"/>
    <s v="Model_601"/>
    <x v="1"/>
    <x v="3"/>
    <x v="1"/>
    <s v="Q3"/>
    <n v="303"/>
    <n v="17871"/>
    <n v="7379"/>
    <n v="424313"/>
    <n v="9.1"/>
    <n v="5"/>
    <n v="1.9"/>
    <n v="13.33"/>
    <n v="45.66"/>
    <n v="2.8"/>
    <n v="10067"/>
    <n v="847"/>
    <n v="5"/>
    <n v="2754749.67"/>
    <n v="50.873387439465787"/>
    <n v="5414913"/>
    <n v="6.0661292169608166E-2"/>
  </r>
  <r>
    <s v="P0237"/>
    <s v="Model_485"/>
    <x v="1"/>
    <x v="0"/>
    <x v="1"/>
    <s v="Q4"/>
    <n v="3233"/>
    <n v="13816"/>
    <n v="9274"/>
    <n v="190641"/>
    <n v="10.09"/>
    <n v="9"/>
    <n v="9.17"/>
    <n v="24.9"/>
    <n v="13.95"/>
    <n v="1.5"/>
    <n v="10433"/>
    <n v="8225"/>
    <n v="2"/>
    <n v="14493620.1"/>
    <n v="32.448068073684972"/>
    <n v="44667128"/>
    <n v="0.64725398542687529"/>
  </r>
  <r>
    <s v="P0238"/>
    <s v="Model_818"/>
    <x v="0"/>
    <x v="1"/>
    <x v="1"/>
    <s v="Q3"/>
    <n v="2607"/>
    <n v="19916"/>
    <n v="12670"/>
    <n v="297199"/>
    <n v="1.22"/>
    <n v="9"/>
    <n v="5.54"/>
    <n v="20.010000000000002"/>
    <n v="55.55"/>
    <n v="2.4"/>
    <n v="20551"/>
    <n v="5960"/>
    <n v="5"/>
    <n v="18593102.989999998"/>
    <n v="35.810363230208218"/>
    <n v="51921012"/>
    <n v="0.52192735539989599"/>
  </r>
  <r>
    <s v="P0239"/>
    <s v="Model_135"/>
    <x v="1"/>
    <x v="3"/>
    <x v="1"/>
    <s v="Q4"/>
    <n v="148"/>
    <n v="9936"/>
    <n v="10478"/>
    <n v="176060"/>
    <n v="14.27"/>
    <n v="7"/>
    <n v="2.99"/>
    <n v="21.14"/>
    <n v="40.619999999999997"/>
    <n v="5"/>
    <n v="17119"/>
    <n v="4073"/>
    <n v="6"/>
    <n v="-256297.14"/>
    <n v="-17.428919408538977"/>
    <n v="1470528"/>
    <n v="2.9629938089445574E-2"/>
  </r>
  <r>
    <s v="P0240"/>
    <s v="Model_215"/>
    <x v="2"/>
    <x v="2"/>
    <x v="0"/>
    <s v="Q4"/>
    <n v="2250"/>
    <n v="14484"/>
    <n v="4882"/>
    <n v="237954"/>
    <n v="12.58"/>
    <n v="0"/>
    <n v="4.3099999999999996"/>
    <n v="15.88"/>
    <n v="70.58"/>
    <n v="4.5999999999999996"/>
    <n v="6419"/>
    <n v="9845"/>
    <n v="4"/>
    <n v="21366530.120000001"/>
    <n v="65.56362613151677"/>
    <n v="32589000"/>
    <n v="0.45045513987332797"/>
  </r>
  <r>
    <s v="P0241"/>
    <s v="Model_732"/>
    <x v="1"/>
    <x v="1"/>
    <x v="0"/>
    <s v="Q1"/>
    <n v="3011"/>
    <n v="1771"/>
    <n v="14518"/>
    <n v="251465"/>
    <n v="12.08"/>
    <n v="12"/>
    <n v="3.12"/>
    <n v="1.04"/>
    <n v="34.450000000000003"/>
    <n v="1.2"/>
    <n v="13241"/>
    <n v="1715"/>
    <n v="12"/>
    <n v="-38632683.039999999"/>
    <n v="-724.47858773430221"/>
    <n v="5332481"/>
    <n v="0.60280907829270691"/>
  </r>
  <r>
    <s v="P0242"/>
    <s v="Model_903"/>
    <x v="0"/>
    <x v="2"/>
    <x v="1"/>
    <s v="Q4"/>
    <n v="4483"/>
    <n v="19655"/>
    <n v="4983"/>
    <n v="180544"/>
    <n v="12.34"/>
    <n v="8"/>
    <n v="7.25"/>
    <n v="5.17"/>
    <n v="57.44"/>
    <n v="3.3"/>
    <n v="10298"/>
    <n v="3854"/>
    <n v="11"/>
    <n v="65594026.829999998"/>
    <n v="74.442766803878158"/>
    <n v="88113365"/>
    <n v="0.89750684091205746"/>
  </r>
  <r>
    <s v="P0243"/>
    <s v="Model_952"/>
    <x v="2"/>
    <x v="2"/>
    <x v="0"/>
    <s v="Q1"/>
    <n v="3827"/>
    <n v="12116"/>
    <n v="14155"/>
    <n v="50340"/>
    <n v="13.99"/>
    <n v="9"/>
    <n v="7.96"/>
    <n v="23.13"/>
    <n v="53.01"/>
    <n v="3.6"/>
    <n v="18427"/>
    <n v="5606"/>
    <n v="3"/>
    <n v="-7853616.1299999999"/>
    <n v="-16.937602759596871"/>
    <n v="46367932"/>
    <n v="0.76617414235343384"/>
  </r>
  <r>
    <s v="P0244"/>
    <s v="Model_393"/>
    <x v="0"/>
    <x v="3"/>
    <x v="0"/>
    <s v="Q4"/>
    <n v="2919"/>
    <n v="5861"/>
    <n v="9452"/>
    <n v="225021"/>
    <n v="8.16"/>
    <n v="14"/>
    <n v="8.33"/>
    <n v="9.15"/>
    <n v="10.38"/>
    <n v="1.8"/>
    <n v="16066"/>
    <n v="4321"/>
    <n v="14"/>
    <n v="-10707159.15"/>
    <n v="-62.584738458775966"/>
    <n v="17108259"/>
    <n v="0.58439046812899753"/>
  </r>
  <r>
    <s v="P0245"/>
    <s v="Model_727"/>
    <x v="2"/>
    <x v="2"/>
    <x v="0"/>
    <s v="Q2"/>
    <n v="3284"/>
    <n v="8569"/>
    <n v="11317"/>
    <n v="132302"/>
    <n v="3"/>
    <n v="4"/>
    <n v="9.86"/>
    <n v="2.59"/>
    <n v="15.79"/>
    <n v="1.6"/>
    <n v="2383"/>
    <n v="5391"/>
    <n v="7"/>
    <n v="-9156736.5899999999"/>
    <n v="-32.539241848324743"/>
    <n v="28140596"/>
    <n v="0.65746430193067074"/>
  </r>
  <r>
    <s v="P0246"/>
    <s v="Model_331"/>
    <x v="1"/>
    <x v="0"/>
    <x v="1"/>
    <s v="Q4"/>
    <n v="3841"/>
    <n v="18804"/>
    <n v="4554"/>
    <n v="272740"/>
    <n v="9.25"/>
    <n v="15"/>
    <n v="7.91"/>
    <n v="17.559999999999999"/>
    <n v="33.229999999999997"/>
    <n v="4.5999999999999996"/>
    <n v="10915"/>
    <n v="5954"/>
    <n v="9"/>
    <n v="54461492.439999998"/>
    <n v="75.404104861501438"/>
    <n v="72226164"/>
    <n v="0.76897697433486789"/>
  </r>
  <r>
    <s v="P0247"/>
    <s v="Model_317"/>
    <x v="1"/>
    <x v="0"/>
    <x v="1"/>
    <s v="Q2"/>
    <n v="1006"/>
    <n v="4930"/>
    <n v="11460"/>
    <n v="50138"/>
    <n v="11.14"/>
    <n v="12"/>
    <n v="6.01"/>
    <n v="7.49"/>
    <n v="80.58"/>
    <n v="4.9000000000000004"/>
    <n v="12585"/>
    <n v="316"/>
    <n v="8"/>
    <n v="-6619325.4900000002"/>
    <n v="-133.46544445295771"/>
    <n v="4959580"/>
    <n v="0.20140349809447464"/>
  </r>
  <r>
    <s v="P0248"/>
    <s v="Model_884"/>
    <x v="1"/>
    <x v="0"/>
    <x v="0"/>
    <s v="Q2"/>
    <n v="4117"/>
    <n v="14176"/>
    <n v="2524"/>
    <n v="443574"/>
    <n v="11.07"/>
    <n v="19"/>
    <n v="3.39"/>
    <n v="6.72"/>
    <n v="21.76"/>
    <n v="5"/>
    <n v="16508"/>
    <n v="1459"/>
    <n v="12"/>
    <n v="47527703.280000001"/>
    <n v="81.435216722382719"/>
    <n v="58362592"/>
    <n v="0.82423280482599615"/>
  </r>
  <r>
    <s v="P0249"/>
    <s v="Model_189"/>
    <x v="2"/>
    <x v="3"/>
    <x v="1"/>
    <s v="Q3"/>
    <n v="210"/>
    <n v="12316"/>
    <n v="2176"/>
    <n v="169619"/>
    <n v="7.82"/>
    <n v="17"/>
    <n v="5.45"/>
    <n v="24.95"/>
    <n v="66.87"/>
    <n v="4.2"/>
    <n v="19952"/>
    <n v="3874"/>
    <n v="2"/>
    <n v="1959756.05"/>
    <n v="75.772748186640683"/>
    <n v="2586360"/>
    <n v="4.2042479721510609E-2"/>
  </r>
  <r>
    <s v="P0250"/>
    <s v="Model_281"/>
    <x v="0"/>
    <x v="3"/>
    <x v="1"/>
    <s v="Q1"/>
    <n v="4543"/>
    <n v="3550"/>
    <n v="11735"/>
    <n v="397520"/>
    <n v="1.03"/>
    <n v="10"/>
    <n v="0.41"/>
    <n v="21.45"/>
    <n v="87.87"/>
    <n v="3.7"/>
    <n v="9620"/>
    <n v="5517"/>
    <n v="5"/>
    <n v="-37581996.450000003"/>
    <n v="-233.02834851946815"/>
    <n v="16127650"/>
    <n v="0.9095189779753462"/>
  </r>
  <r>
    <s v="P0251"/>
    <s v="Model_115"/>
    <x v="1"/>
    <x v="0"/>
    <x v="0"/>
    <s v="Q4"/>
    <n v="1350"/>
    <n v="13192"/>
    <n v="9506"/>
    <n v="149931"/>
    <n v="5.57"/>
    <n v="8"/>
    <n v="7.45"/>
    <n v="10.199999999999999"/>
    <n v="73.25"/>
    <n v="2.4"/>
    <n v="9320"/>
    <n v="5027"/>
    <n v="4"/>
    <n v="4826158.8"/>
    <n v="27.099245333872378"/>
    <n v="17809200"/>
    <n v="0.27027308392399679"/>
  </r>
  <r>
    <s v="P0252"/>
    <s v="Model_162"/>
    <x v="0"/>
    <x v="3"/>
    <x v="0"/>
    <s v="Q1"/>
    <n v="4961"/>
    <n v="2665"/>
    <n v="9694"/>
    <n v="473870"/>
    <n v="13.81"/>
    <n v="15"/>
    <n v="4.46"/>
    <n v="24.51"/>
    <n v="29.44"/>
    <n v="1.7"/>
    <n v="13401"/>
    <n v="4529"/>
    <n v="7"/>
    <n v="-35344763.509999998"/>
    <n v="-267.33673505122317"/>
    <n v="13221065"/>
    <n v="0.99320353284959118"/>
  </r>
  <r>
    <s v="P0253"/>
    <s v="Model_383"/>
    <x v="1"/>
    <x v="1"/>
    <x v="0"/>
    <s v="Q4"/>
    <n v="4037"/>
    <n v="3533"/>
    <n v="2453"/>
    <n v="206951"/>
    <n v="8.77"/>
    <n v="1"/>
    <n v="0.2"/>
    <n v="16.25"/>
    <n v="82.67"/>
    <n v="1.3"/>
    <n v="19670"/>
    <n v="4706"/>
    <n v="10"/>
    <n v="4152992.75"/>
    <n v="29.117815247174782"/>
    <n v="14262721"/>
    <n v="0.80821662207494449"/>
  </r>
  <r>
    <s v="P0254"/>
    <s v="Model_456"/>
    <x v="2"/>
    <x v="0"/>
    <x v="0"/>
    <s v="Q2"/>
    <n v="1577"/>
    <n v="1645"/>
    <n v="2866"/>
    <n v="393676"/>
    <n v="8.07"/>
    <n v="1"/>
    <n v="0.63"/>
    <n v="18.55"/>
    <n v="17.45"/>
    <n v="3.8"/>
    <n v="17759"/>
    <n v="4578"/>
    <n v="10"/>
    <n v="-2319211.5499999998"/>
    <n v="-89.401080887298988"/>
    <n v="2594165"/>
    <n v="0.31571900248010587"/>
  </r>
  <r>
    <s v="P0255"/>
    <s v="Model_223"/>
    <x v="2"/>
    <x v="3"/>
    <x v="1"/>
    <s v="Q2"/>
    <n v="1268"/>
    <n v="15769"/>
    <n v="822"/>
    <n v="367922"/>
    <n v="4.03"/>
    <n v="11"/>
    <n v="3.87"/>
    <n v="0.79"/>
    <n v="47.45"/>
    <n v="4.0999999999999996"/>
    <n v="11149"/>
    <n v="1996"/>
    <n v="8"/>
    <n v="18584873.210000001"/>
    <n v="92.94717528681538"/>
    <n v="19995092"/>
    <n v="0.25385649660416881"/>
  </r>
  <r>
    <s v="P0256"/>
    <s v="Model_160"/>
    <x v="2"/>
    <x v="0"/>
    <x v="0"/>
    <s v="Q3"/>
    <n v="4546"/>
    <n v="9332"/>
    <n v="3260"/>
    <n v="87772"/>
    <n v="5.53"/>
    <n v="7"/>
    <n v="5.83"/>
    <n v="3.04"/>
    <n v="81"/>
    <n v="4.3"/>
    <n v="9769"/>
    <n v="7466"/>
    <n v="13"/>
    <n v="27515536.960000001"/>
    <n v="64.859535021249656"/>
    <n v="42423272"/>
    <n v="0.91011958482851063"/>
  </r>
  <r>
    <s v="P0257"/>
    <s v="Model_139"/>
    <x v="0"/>
    <x v="1"/>
    <x v="0"/>
    <s v="Q1"/>
    <n v="4785"/>
    <n v="15786"/>
    <n v="14141"/>
    <n v="108478"/>
    <n v="13.43"/>
    <n v="8"/>
    <n v="4.6399999999999997"/>
    <n v="15.83"/>
    <n v="61.3"/>
    <n v="4.7"/>
    <n v="13305"/>
    <n v="4527"/>
    <n v="10"/>
    <n v="7762831.1699999999"/>
    <n v="10.276993939711669"/>
    <n v="75536010"/>
    <n v="0.95796793079727749"/>
  </r>
  <r>
    <s v="P0258"/>
    <s v="Model_157"/>
    <x v="0"/>
    <x v="0"/>
    <x v="1"/>
    <s v="Q2"/>
    <n v="3154"/>
    <n v="4132"/>
    <n v="6726"/>
    <n v="76762"/>
    <n v="10"/>
    <n v="11"/>
    <n v="6.19"/>
    <n v="22.48"/>
    <n v="43.09"/>
    <n v="4.5"/>
    <n v="19192"/>
    <n v="5461"/>
    <n v="9"/>
    <n v="-8258260.4800000004"/>
    <n v="-63.367500265493625"/>
    <n v="13032328"/>
    <n v="0.63143800496021174"/>
  </r>
  <r>
    <s v="P0259"/>
    <s v="Model_221"/>
    <x v="1"/>
    <x v="0"/>
    <x v="1"/>
    <s v="Q1"/>
    <n v="2785"/>
    <n v="5994"/>
    <n v="7051"/>
    <n v="194355"/>
    <n v="11.81"/>
    <n v="8"/>
    <n v="4.8"/>
    <n v="15.59"/>
    <n v="33.43"/>
    <n v="5"/>
    <n v="11879"/>
    <n v="9191"/>
    <n v="6"/>
    <n v="-3138115.59"/>
    <n v="-18.798664553242649"/>
    <n v="16693290"/>
    <n v="0.557563362020986"/>
  </r>
  <r>
    <s v="P0260"/>
    <s v="Model_546"/>
    <x v="2"/>
    <x v="2"/>
    <x v="1"/>
    <s v="Q1"/>
    <n v="4605"/>
    <n v="16652"/>
    <n v="10296"/>
    <n v="244994"/>
    <n v="6.82"/>
    <n v="9"/>
    <n v="6.62"/>
    <n v="3.35"/>
    <n v="40.01"/>
    <n v="2"/>
    <n v="10244"/>
    <n v="741"/>
    <n v="10"/>
    <n v="29024382.649999999"/>
    <n v="37.850093293824948"/>
    <n v="76682460"/>
    <n v="0.92193151960741127"/>
  </r>
  <r>
    <s v="P0261"/>
    <s v="Model_874"/>
    <x v="0"/>
    <x v="2"/>
    <x v="0"/>
    <s v="Q4"/>
    <n v="1004"/>
    <n v="10655"/>
    <n v="8095"/>
    <n v="220492"/>
    <n v="9.4499999999999993"/>
    <n v="1"/>
    <n v="2.19"/>
    <n v="2.89"/>
    <n v="50.72"/>
    <n v="4.0999999999999996"/>
    <n v="14785"/>
    <n v="5446"/>
    <n v="8"/>
    <n v="2349745.11"/>
    <n v="21.965120372568851"/>
    <n v="10697620"/>
    <n v="0.20100309352569834"/>
  </r>
  <r>
    <s v="P0262"/>
    <s v="Model_788"/>
    <x v="2"/>
    <x v="1"/>
    <x v="0"/>
    <s v="Q4"/>
    <n v="4615"/>
    <n v="11926"/>
    <n v="4100"/>
    <n v="367712"/>
    <n v="3.73"/>
    <n v="15"/>
    <n v="1.1299999999999999"/>
    <n v="21.1"/>
    <n v="35.520000000000003"/>
    <n v="3.3"/>
    <n v="9973"/>
    <n v="4829"/>
    <n v="6"/>
    <n v="35749256.899999999"/>
    <n v="64.953193483324128"/>
    <n v="55038490"/>
    <n v="0.92393354245129278"/>
  </r>
  <r>
    <s v="P0263"/>
    <s v="Model_553"/>
    <x v="2"/>
    <x v="3"/>
    <x v="0"/>
    <s v="Q2"/>
    <n v="3496"/>
    <n v="11733"/>
    <n v="14222"/>
    <n v="397234"/>
    <n v="10.58"/>
    <n v="19"/>
    <n v="5.96"/>
    <n v="3.48"/>
    <n v="87.52"/>
    <n v="2"/>
    <n v="12179"/>
    <n v="3727"/>
    <n v="9"/>
    <n v="-9098781.4800000004"/>
    <n v="-22.182104163168251"/>
    <n v="41018568"/>
    <n v="0.6999071862209576"/>
  </r>
  <r>
    <s v="P0264"/>
    <s v="Model_144"/>
    <x v="0"/>
    <x v="2"/>
    <x v="1"/>
    <s v="Q3"/>
    <n v="1095"/>
    <n v="3328"/>
    <n v="7079"/>
    <n v="332363"/>
    <n v="6.41"/>
    <n v="6"/>
    <n v="4.8499999999999996"/>
    <n v="13.01"/>
    <n v="84.65"/>
    <n v="4.9000000000000004"/>
    <n v="16105"/>
    <n v="6694"/>
    <n v="8"/>
    <n v="-4439721.01"/>
    <n v="-121.83112184975413"/>
    <n v="3644160"/>
    <n v="0.21922150140501961"/>
  </r>
  <r>
    <s v="P0265"/>
    <s v="Model_656"/>
    <x v="1"/>
    <x v="0"/>
    <x v="0"/>
    <s v="Q4"/>
    <n v="1743"/>
    <n v="13760"/>
    <n v="9353"/>
    <n v="369313"/>
    <n v="6.64"/>
    <n v="1"/>
    <n v="0.27"/>
    <n v="0.93"/>
    <n v="79.650000000000006"/>
    <n v="4.5999999999999996"/>
    <n v="12485"/>
    <n v="8487"/>
    <n v="10"/>
    <n v="7312087.0700000003"/>
    <n v="30.48776113590575"/>
    <n v="23983680"/>
    <n v="0.3489525816885381"/>
  </r>
  <r>
    <s v="P0266"/>
    <s v="Model_654"/>
    <x v="2"/>
    <x v="2"/>
    <x v="0"/>
    <s v="Q3"/>
    <n v="3486"/>
    <n v="10630"/>
    <n v="8153"/>
    <n v="124965"/>
    <n v="9.74"/>
    <n v="0"/>
    <n v="3.8"/>
    <n v="2.02"/>
    <n v="43.75"/>
    <n v="1.5"/>
    <n v="13891"/>
    <n v="3375"/>
    <n v="11"/>
    <n v="8509854.9800000004"/>
    <n v="22.964738891056768"/>
    <n v="37056180"/>
    <n v="0.6979051633770762"/>
  </r>
  <r>
    <s v="P0267"/>
    <s v="Model_386"/>
    <x v="1"/>
    <x v="1"/>
    <x v="0"/>
    <s v="Q3"/>
    <n v="612"/>
    <n v="6305"/>
    <n v="4527"/>
    <n v="227912"/>
    <n v="14.04"/>
    <n v="18"/>
    <n v="1.06"/>
    <n v="16.809999999999999"/>
    <n v="65.3"/>
    <n v="1.1000000000000001"/>
    <n v="6361"/>
    <n v="4150"/>
    <n v="2"/>
    <n v="860207.19"/>
    <n v="22.292899348478485"/>
    <n v="3858660"/>
    <n v="0.12252379804554521"/>
  </r>
  <r>
    <s v="P0268"/>
    <s v="Model_815"/>
    <x v="0"/>
    <x v="3"/>
    <x v="1"/>
    <s v="Q3"/>
    <n v="2535"/>
    <n v="2306"/>
    <n v="7072"/>
    <n v="225767"/>
    <n v="0.96"/>
    <n v="3"/>
    <n v="5.31"/>
    <n v="17.23"/>
    <n v="82.23"/>
    <n v="3.8"/>
    <n v="20660"/>
    <n v="4653"/>
    <n v="14"/>
    <n v="-12307594.23"/>
    <n v="-210.54062261042711"/>
    <n v="5845710"/>
    <n v="0.50751279092394952"/>
  </r>
  <r>
    <s v="P0269"/>
    <s v="Model_698"/>
    <x v="1"/>
    <x v="1"/>
    <x v="1"/>
    <s v="Q1"/>
    <n v="3404"/>
    <n v="9702"/>
    <n v="6795"/>
    <n v="286281"/>
    <n v="12.37"/>
    <n v="1"/>
    <n v="3.96"/>
    <n v="8.5399999999999991"/>
    <n v="78.03"/>
    <n v="3.4"/>
    <n v="3096"/>
    <n v="5025"/>
    <n v="10"/>
    <n v="9609138.4600000009"/>
    <n v="29.096022880184375"/>
    <n v="33025608"/>
    <n v="0.68148857605724822"/>
  </r>
  <r>
    <s v="P0270"/>
    <s v="Model_599"/>
    <x v="1"/>
    <x v="1"/>
    <x v="0"/>
    <s v="Q4"/>
    <n v="275"/>
    <n v="3368"/>
    <n v="10276"/>
    <n v="134754"/>
    <n v="4.3899999999999997"/>
    <n v="13"/>
    <n v="6.13"/>
    <n v="5.39"/>
    <n v="43.15"/>
    <n v="4.7"/>
    <n v="18363"/>
    <n v="2404"/>
    <n v="8"/>
    <n v="-2034459.39"/>
    <n v="-219.65659576765276"/>
    <n v="926200"/>
    <n v="5.5055628206740086E-2"/>
  </r>
  <r>
    <s v="P0271"/>
    <s v="Model_313"/>
    <x v="1"/>
    <x v="1"/>
    <x v="0"/>
    <s v="Q3"/>
    <n v="4943"/>
    <n v="16061"/>
    <n v="1314"/>
    <n v="127988"/>
    <n v="6.66"/>
    <n v="1"/>
    <n v="8.06"/>
    <n v="20.34"/>
    <n v="18.989999999999998"/>
    <n v="1.9"/>
    <n v="11655"/>
    <n v="3443"/>
    <n v="2"/>
    <n v="72766412.659999996"/>
    <n v="91.657450391785318"/>
    <n v="79389523"/>
    <n v="0.98959989173060459"/>
  </r>
  <r>
    <s v="P0272"/>
    <s v="Model_509"/>
    <x v="1"/>
    <x v="0"/>
    <x v="0"/>
    <s v="Q1"/>
    <n v="1009"/>
    <n v="17012"/>
    <n v="1248"/>
    <n v="200023"/>
    <n v="0.33"/>
    <n v="14"/>
    <n v="3"/>
    <n v="5.43"/>
    <n v="16.05"/>
    <n v="1.3"/>
    <n v="9419"/>
    <n v="2156"/>
    <n v="2"/>
    <n v="15705847.57"/>
    <n v="91.498681919158329"/>
    <n v="17165108"/>
    <n v="0.20200410494763907"/>
  </r>
  <r>
    <s v="P0273"/>
    <s v="Model_502"/>
    <x v="0"/>
    <x v="0"/>
    <x v="1"/>
    <s v="Q3"/>
    <n v="4598"/>
    <n v="16399"/>
    <n v="6819"/>
    <n v="182379"/>
    <n v="4.5199999999999996"/>
    <n v="11"/>
    <n v="9.6199999999999992"/>
    <n v="13.55"/>
    <n v="56.17"/>
    <n v="2"/>
    <n v="11834"/>
    <n v="2908"/>
    <n v="6"/>
    <n v="43866447.450000003"/>
    <n v="58.176304645295929"/>
    <n v="75402602"/>
    <n v="0.9205301036166943"/>
  </r>
  <r>
    <s v="P0274"/>
    <s v="Model_317"/>
    <x v="1"/>
    <x v="2"/>
    <x v="1"/>
    <s v="Q2"/>
    <n v="3117"/>
    <n v="17720"/>
    <n v="14594"/>
    <n v="130388"/>
    <n v="7.54"/>
    <n v="4"/>
    <n v="5.36"/>
    <n v="24.21"/>
    <n v="61.41"/>
    <n v="1.1000000000000001"/>
    <n v="16128"/>
    <n v="7192"/>
    <n v="9"/>
    <n v="9613329.7899999991"/>
    <n v="17.404971698202022"/>
    <n v="55233240"/>
    <n v="0.62403052043785034"/>
  </r>
  <r>
    <s v="P0275"/>
    <s v="Model_992"/>
    <x v="2"/>
    <x v="0"/>
    <x v="1"/>
    <s v="Q3"/>
    <n v="865"/>
    <n v="17434"/>
    <n v="6143"/>
    <n v="402912"/>
    <n v="0.84"/>
    <n v="19"/>
    <n v="6.18"/>
    <n v="3.7"/>
    <n v="77.989999999999995"/>
    <n v="1.1000000000000001"/>
    <n v="3572"/>
    <n v="9516"/>
    <n v="10"/>
    <n v="9363799.3000000007"/>
    <n v="62.092471623782117"/>
    <n v="15080410"/>
    <n v="0.17317497599574608"/>
  </r>
  <r>
    <s v="P0276"/>
    <s v="Model_872"/>
    <x v="1"/>
    <x v="1"/>
    <x v="0"/>
    <s v="Q4"/>
    <n v="4804"/>
    <n v="6929"/>
    <n v="10847"/>
    <n v="347572"/>
    <n v="7.37"/>
    <n v="6"/>
    <n v="6.81"/>
    <n v="23.52"/>
    <n v="33.4"/>
    <n v="4.7"/>
    <n v="10987"/>
    <n v="7326"/>
    <n v="13"/>
    <n v="-19169667.52"/>
    <n v="-57.589196668144325"/>
    <n v="33286916"/>
    <n v="0.9617717742006523"/>
  </r>
  <r>
    <s v="P0277"/>
    <s v="Model_197"/>
    <x v="2"/>
    <x v="3"/>
    <x v="1"/>
    <s v="Q4"/>
    <n v="4692"/>
    <n v="10576"/>
    <n v="13961"/>
    <n v="289779"/>
    <n v="13.91"/>
    <n v="9"/>
    <n v="6.67"/>
    <n v="4.57"/>
    <n v="23.4"/>
    <n v="2.4"/>
    <n v="7124"/>
    <n v="986"/>
    <n v="7"/>
    <n v="-16172203.57"/>
    <n v="-32.590404729361985"/>
    <n v="49622592"/>
    <n v="0.93934911834918"/>
  </r>
  <r>
    <s v="P0278"/>
    <s v="Model_864"/>
    <x v="2"/>
    <x v="0"/>
    <x v="1"/>
    <s v="Q1"/>
    <n v="3170"/>
    <n v="5064"/>
    <n v="8833"/>
    <n v="404165"/>
    <n v="1.58"/>
    <n v="13"/>
    <n v="5.1100000000000003"/>
    <n v="14.19"/>
    <n v="40.32"/>
    <n v="2.6"/>
    <n v="2438"/>
    <n v="8684"/>
    <n v="13"/>
    <n v="-12351909.189999999"/>
    <n v="-76.945128786859428"/>
    <n v="16052880"/>
    <n v="0.63464124151042212"/>
  </r>
  <r>
    <s v="P0279"/>
    <s v="Model_699"/>
    <x v="0"/>
    <x v="1"/>
    <x v="0"/>
    <s v="Q1"/>
    <n v="66"/>
    <n v="2889"/>
    <n v="12554"/>
    <n v="430562"/>
    <n v="11.47"/>
    <n v="13"/>
    <n v="4.29"/>
    <n v="9.43"/>
    <n v="38.29"/>
    <n v="1.1000000000000001"/>
    <n v="9676"/>
    <n v="9967"/>
    <n v="14"/>
    <n v="-1068461.43"/>
    <n v="-560.36031656125112"/>
    <n v="190674"/>
    <n v="1.321335076961762E-2"/>
  </r>
  <r>
    <s v="P0280"/>
    <s v="Model_596"/>
    <x v="1"/>
    <x v="1"/>
    <x v="1"/>
    <s v="Q2"/>
    <n v="1293"/>
    <n v="13093"/>
    <n v="3320"/>
    <n v="256846"/>
    <n v="6.15"/>
    <n v="4"/>
    <n v="0.54"/>
    <n v="24.12"/>
    <n v="20.6"/>
    <n v="2.1"/>
    <n v="2261"/>
    <n v="7820"/>
    <n v="11"/>
    <n v="12379618.880000001"/>
    <n v="73.12562346977117"/>
    <n v="16929249"/>
    <n v="0.25886155371387248"/>
  </r>
  <r>
    <s v="P0281"/>
    <s v="Model_135"/>
    <x v="0"/>
    <x v="0"/>
    <x v="0"/>
    <s v="Q4"/>
    <n v="2255"/>
    <n v="8774"/>
    <n v="3881"/>
    <n v="220047"/>
    <n v="9.83"/>
    <n v="17"/>
    <n v="0.22"/>
    <n v="6.84"/>
    <n v="63.78"/>
    <n v="4.2"/>
    <n v="14441"/>
    <n v="2546"/>
    <n v="13"/>
    <n v="10813661.16"/>
    <n v="54.65483415270981"/>
    <n v="19785370"/>
    <n v="0.45145615129526873"/>
  </r>
  <r>
    <s v="P0282"/>
    <s v="Model_358"/>
    <x v="2"/>
    <x v="2"/>
    <x v="1"/>
    <s v="Q3"/>
    <n v="2574"/>
    <n v="18708"/>
    <n v="2228"/>
    <n v="182212"/>
    <n v="3.9"/>
    <n v="13"/>
    <n v="3.58"/>
    <n v="9.99"/>
    <n v="50.7"/>
    <n v="3.5"/>
    <n v="3169"/>
    <n v="4005"/>
    <n v="9"/>
    <n v="42237298.009999998"/>
    <n v="87.712244419989759"/>
    <n v="48154392"/>
    <n v="0.51532068001508724"/>
  </r>
  <r>
    <s v="P0283"/>
    <s v="Model_710"/>
    <x v="2"/>
    <x v="0"/>
    <x v="0"/>
    <s v="Q2"/>
    <n v="1119"/>
    <n v="18820"/>
    <n v="4767"/>
    <n v="468058"/>
    <n v="2.39"/>
    <n v="1"/>
    <n v="3.34"/>
    <n v="24.57"/>
    <n v="67.69"/>
    <n v="4"/>
    <n v="8628"/>
    <n v="6574"/>
    <n v="7"/>
    <n v="15257224.43"/>
    <n v="72.447904611582942"/>
    <n v="21059580"/>
    <n v="0.22402635623033512"/>
  </r>
  <r>
    <s v="P0284"/>
    <s v="Model_468"/>
    <x v="1"/>
    <x v="3"/>
    <x v="1"/>
    <s v="Q2"/>
    <n v="3494"/>
    <n v="12245"/>
    <n v="7245"/>
    <n v="338565"/>
    <n v="2.41"/>
    <n v="11"/>
    <n v="3.88"/>
    <n v="13.41"/>
    <n v="38.22"/>
    <n v="2.8"/>
    <n v="20569"/>
    <n v="3691"/>
    <n v="12"/>
    <n v="17131421.59"/>
    <n v="40.041626723803255"/>
    <n v="42784030"/>
    <n v="0.69950678165218128"/>
  </r>
  <r>
    <s v="P0285"/>
    <s v="Model_250"/>
    <x v="2"/>
    <x v="1"/>
    <x v="1"/>
    <s v="Q3"/>
    <n v="2615"/>
    <n v="15699"/>
    <n v="14842"/>
    <n v="313852"/>
    <n v="1.06"/>
    <n v="5"/>
    <n v="1.38"/>
    <n v="12.57"/>
    <n v="36.06"/>
    <n v="2.2000000000000002"/>
    <n v="13591"/>
    <n v="2281"/>
    <n v="7"/>
    <n v="1927190.43"/>
    <n v="4.694409247973681"/>
    <n v="41052885"/>
    <n v="0.52352897367500117"/>
  </r>
  <r>
    <s v="P0286"/>
    <s v="Model_426"/>
    <x v="2"/>
    <x v="1"/>
    <x v="0"/>
    <s v="Q1"/>
    <n v="1110"/>
    <n v="17376"/>
    <n v="9914"/>
    <n v="446846"/>
    <n v="2.78"/>
    <n v="3"/>
    <n v="7.38"/>
    <n v="6.44"/>
    <n v="47.81"/>
    <n v="2.9"/>
    <n v="19815"/>
    <n v="5111"/>
    <n v="5"/>
    <n v="7835967.5599999996"/>
    <n v="40.627476025749502"/>
    <n v="19287360"/>
    <n v="0.2222245356708418"/>
  </r>
  <r>
    <s v="P0287"/>
    <s v="Model_128"/>
    <x v="1"/>
    <x v="0"/>
    <x v="1"/>
    <s v="Q4"/>
    <n v="2377"/>
    <n v="19680"/>
    <n v="12129"/>
    <n v="462811"/>
    <n v="9.9600000000000009"/>
    <n v="12"/>
    <n v="8.57"/>
    <n v="17.53"/>
    <n v="80.19"/>
    <n v="2.2999999999999998"/>
    <n v="8808"/>
    <n v="5130"/>
    <n v="12"/>
    <n v="17485898.469999999"/>
    <n v="37.379516243916115"/>
    <n v="46779360"/>
    <n v="0.47588082999062248"/>
  </r>
  <r>
    <s v="P0288"/>
    <s v="Model_114"/>
    <x v="1"/>
    <x v="1"/>
    <x v="1"/>
    <s v="Q2"/>
    <n v="3470"/>
    <n v="9745"/>
    <n v="2959"/>
    <n v="126021"/>
    <n v="13.23"/>
    <n v="3"/>
    <n v="9.39"/>
    <n v="0.36"/>
    <n v="13.22"/>
    <n v="4.4000000000000004"/>
    <n v="2626"/>
    <n v="454"/>
    <n v="6"/>
    <n v="23421398.640000001"/>
    <n v="69.263033403666697"/>
    <n v="33815150"/>
    <n v="0.69470192682686582"/>
  </r>
  <r>
    <s v="P0289"/>
    <s v="Model_125"/>
    <x v="1"/>
    <x v="0"/>
    <x v="0"/>
    <s v="Q3"/>
    <n v="351"/>
    <n v="8714"/>
    <n v="5932"/>
    <n v="209380"/>
    <n v="12.21"/>
    <n v="13"/>
    <n v="4.92"/>
    <n v="1.24"/>
    <n v="74.39"/>
    <n v="2.2000000000000002"/>
    <n v="7521"/>
    <n v="2731"/>
    <n v="3"/>
    <n v="767100.76"/>
    <n v="25.080012057749034"/>
    <n v="3058614"/>
    <n v="7.0271001820239168E-2"/>
  </r>
  <r>
    <s v="P0290"/>
    <s v="Model_520"/>
    <x v="2"/>
    <x v="1"/>
    <x v="0"/>
    <s v="Q3"/>
    <n v="4326"/>
    <n v="2226"/>
    <n v="14504"/>
    <n v="94789"/>
    <n v="10.28"/>
    <n v="15"/>
    <n v="7.01"/>
    <n v="14.98"/>
    <n v="39.520000000000003"/>
    <n v="3.6"/>
    <n v="7937"/>
    <n v="1621"/>
    <n v="4"/>
    <n v="-53209431.979999997"/>
    <n v="-552.55682517251876"/>
    <n v="9629676"/>
    <n v="0.86607508226311858"/>
  </r>
  <r>
    <s v="P0291"/>
    <s v="Model_927"/>
    <x v="1"/>
    <x v="0"/>
    <x v="0"/>
    <s v="Q4"/>
    <n v="656"/>
    <n v="15332"/>
    <n v="3347"/>
    <n v="498906"/>
    <n v="1.66"/>
    <n v="3"/>
    <n v="8.56"/>
    <n v="8.5399999999999991"/>
    <n v="78.37"/>
    <n v="1.5"/>
    <n v="8539"/>
    <n v="2772"/>
    <n v="4"/>
    <n v="7363245.46"/>
    <n v="73.209363049066837"/>
    <n v="10057792"/>
    <n v="0.13133269855862362"/>
  </r>
  <r>
    <s v="P0292"/>
    <s v="Model_641"/>
    <x v="1"/>
    <x v="0"/>
    <x v="1"/>
    <s v="Q1"/>
    <n v="3220"/>
    <n v="12862"/>
    <n v="3779"/>
    <n v="76086"/>
    <n v="4.34"/>
    <n v="0"/>
    <n v="4.18"/>
    <n v="23.83"/>
    <n v="74.180000000000007"/>
    <n v="3.7"/>
    <n v="19087"/>
    <n v="2437"/>
    <n v="13"/>
    <n v="29171150.170000002"/>
    <n v="70.435106568436467"/>
    <n v="41415640"/>
    <n v="0.64465135572982935"/>
  </r>
  <r>
    <s v="P0293"/>
    <s v="Model_998"/>
    <x v="0"/>
    <x v="0"/>
    <x v="1"/>
    <s v="Q3"/>
    <n v="749"/>
    <n v="19797"/>
    <n v="11273"/>
    <n v="329003"/>
    <n v="4.6500000000000004"/>
    <n v="12"/>
    <n v="3.09"/>
    <n v="22.58"/>
    <n v="37.9"/>
    <n v="4.7"/>
    <n v="5635"/>
    <n v="7068"/>
    <n v="12"/>
    <n v="6055450.4199999999"/>
    <n v="40.838074007922735"/>
    <n v="14827953"/>
    <n v="0.14995151100672119"/>
  </r>
  <r>
    <s v="P0294"/>
    <s v="Model_590"/>
    <x v="0"/>
    <x v="0"/>
    <x v="1"/>
    <s v="Q3"/>
    <n v="1189"/>
    <n v="11606"/>
    <n v="3449"/>
    <n v="57684"/>
    <n v="3.75"/>
    <n v="3"/>
    <n v="9.3699999999999992"/>
    <n v="17.84"/>
    <n v="65.510000000000005"/>
    <n v="3.4"/>
    <n v="16611"/>
    <n v="728"/>
    <n v="6"/>
    <n v="9640971.1600000001"/>
    <n v="69.864469046563457"/>
    <n v="13799534"/>
    <n v="0.23804051613750532"/>
  </r>
  <r>
    <s v="P0295"/>
    <s v="Model_749"/>
    <x v="2"/>
    <x v="0"/>
    <x v="0"/>
    <s v="Q1"/>
    <n v="240"/>
    <n v="9157"/>
    <n v="9305"/>
    <n v="141088"/>
    <n v="7.73"/>
    <n v="19"/>
    <n v="5.16"/>
    <n v="20.45"/>
    <n v="22.77"/>
    <n v="3.2"/>
    <n v="13464"/>
    <n v="7262"/>
    <n v="6"/>
    <n v="-176628.45"/>
    <n v="-8.0370413344981984"/>
    <n v="2197680"/>
    <n v="4.8048548253154987E-2"/>
  </r>
  <r>
    <s v="P0296"/>
    <s v="Model_669"/>
    <x v="2"/>
    <x v="2"/>
    <x v="1"/>
    <s v="Q1"/>
    <n v="2350"/>
    <n v="16051"/>
    <n v="11605"/>
    <n v="444423"/>
    <n v="8.0299999999999994"/>
    <n v="17"/>
    <n v="4.97"/>
    <n v="16.68"/>
    <n v="81.7"/>
    <n v="4.8"/>
    <n v="10211"/>
    <n v="2779"/>
    <n v="7"/>
    <n v="10003660.32"/>
    <n v="26.520944065260071"/>
    <n v="37719850"/>
    <n v="0.47047536831214254"/>
  </r>
  <r>
    <s v="P0297"/>
    <s v="Model_221"/>
    <x v="2"/>
    <x v="1"/>
    <x v="0"/>
    <s v="Q3"/>
    <n v="1030"/>
    <n v="9406"/>
    <n v="3883"/>
    <n v="96099"/>
    <n v="5.35"/>
    <n v="5"/>
    <n v="1.78"/>
    <n v="3.14"/>
    <n v="42.36"/>
    <n v="3.5"/>
    <n v="9404"/>
    <n v="5366"/>
    <n v="6"/>
    <n v="5592587.8600000003"/>
    <n v="57.725887215142578"/>
    <n v="9688180"/>
    <n v="0.20620835291979014"/>
  </r>
  <r>
    <s v="P0298"/>
    <s v="Model_555"/>
    <x v="2"/>
    <x v="3"/>
    <x v="1"/>
    <s v="Q2"/>
    <n v="3025"/>
    <n v="8787"/>
    <n v="11248"/>
    <n v="116093"/>
    <n v="5.31"/>
    <n v="2"/>
    <n v="1.08"/>
    <n v="19.14"/>
    <n v="46.45"/>
    <n v="2"/>
    <n v="3783"/>
    <n v="4522"/>
    <n v="13"/>
    <n v="-7560637.1399999997"/>
    <n v="-28.444112649509464"/>
    <n v="26580675"/>
    <n v="0.60561191027414096"/>
  </r>
  <r>
    <s v="P0299"/>
    <s v="Model_589"/>
    <x v="1"/>
    <x v="3"/>
    <x v="1"/>
    <s v="Q3"/>
    <n v="1234"/>
    <n v="2392"/>
    <n v="1837"/>
    <n v="210761"/>
    <n v="12.43"/>
    <n v="12"/>
    <n v="8.42"/>
    <n v="5.25"/>
    <n v="66.459999999999994"/>
    <n v="2.2000000000000002"/>
    <n v="3977"/>
    <n v="9730"/>
    <n v="7"/>
    <n v="474103.75"/>
    <n v="16.061905094236327"/>
    <n v="2951728"/>
    <n v="0.24704961893497188"/>
  </r>
  <r>
    <s v="P0300"/>
    <s v="Model_205"/>
    <x v="2"/>
    <x v="1"/>
    <x v="0"/>
    <s v="Q2"/>
    <n v="3377"/>
    <n v="11722"/>
    <n v="14744"/>
    <n v="360795"/>
    <n v="11.84"/>
    <n v="15"/>
    <n v="6.14"/>
    <n v="8.09"/>
    <n v="75.67"/>
    <n v="3.8"/>
    <n v="4593"/>
    <n v="7563"/>
    <n v="9"/>
    <n v="-10566097.09"/>
    <n v="-26.692043216966422"/>
    <n v="39585194"/>
    <n v="0.67608311437876822"/>
  </r>
  <r>
    <s v="P0301"/>
    <s v="Model_841"/>
    <x v="2"/>
    <x v="0"/>
    <x v="0"/>
    <s v="Q4"/>
    <n v="3444"/>
    <n v="6175"/>
    <n v="4289"/>
    <n v="63893"/>
    <n v="4.62"/>
    <n v="4"/>
    <n v="3.26"/>
    <n v="20.48"/>
    <n v="28.91"/>
    <n v="3.9"/>
    <n v="8707"/>
    <n v="9713"/>
    <n v="3"/>
    <n v="6431470.5199999996"/>
    <n v="30.241976987496884"/>
    <n v="21266700"/>
    <n v="0.68949666743277405"/>
  </r>
  <r>
    <s v="P0302"/>
    <s v="Model_883"/>
    <x v="1"/>
    <x v="3"/>
    <x v="0"/>
    <s v="Q2"/>
    <n v="177"/>
    <n v="3433"/>
    <n v="8404"/>
    <n v="116418"/>
    <n v="13.71"/>
    <n v="3"/>
    <n v="1.92"/>
    <n v="13.41"/>
    <n v="62.91"/>
    <n v="2.2000000000000002"/>
    <n v="10894"/>
    <n v="1226"/>
    <n v="5"/>
    <n v="-996298.41"/>
    <n v="-163.96168296741004"/>
    <n v="607641"/>
    <n v="3.54358043367018E-2"/>
  </r>
  <r>
    <s v="P0303"/>
    <s v="Model_988"/>
    <x v="2"/>
    <x v="2"/>
    <x v="0"/>
    <s v="Q3"/>
    <n v="2115"/>
    <n v="19264"/>
    <n v="8344"/>
    <n v="175074"/>
    <n v="14.29"/>
    <n v="7"/>
    <n v="5.55"/>
    <n v="21.5"/>
    <n v="41.36"/>
    <n v="2.4"/>
    <n v="16341"/>
    <n v="1880"/>
    <n v="14"/>
    <n v="22920704.5"/>
    <n v="56.256294277153387"/>
    <n v="40743360"/>
    <n v="0.42342783148092833"/>
  </r>
  <r>
    <s v="P0304"/>
    <s v="Model_572"/>
    <x v="1"/>
    <x v="1"/>
    <x v="1"/>
    <s v="Q4"/>
    <n v="1866"/>
    <n v="13373"/>
    <n v="3434"/>
    <n v="415209"/>
    <n v="4.9000000000000004"/>
    <n v="18"/>
    <n v="5.84"/>
    <n v="5.33"/>
    <n v="39.5"/>
    <n v="5"/>
    <n v="7727"/>
    <n v="9823"/>
    <n v="7"/>
    <n v="18130959.670000002"/>
    <n v="72.657476122682937"/>
    <n v="24954018"/>
    <n v="0.37357746266828001"/>
  </r>
  <r>
    <s v="P0305"/>
    <s v="Model_751"/>
    <x v="1"/>
    <x v="0"/>
    <x v="1"/>
    <s v="Q1"/>
    <n v="619"/>
    <n v="19174"/>
    <n v="4783"/>
    <n v="180351"/>
    <n v="5.32"/>
    <n v="13"/>
    <n v="2.0699999999999998"/>
    <n v="15.19"/>
    <n v="65.2"/>
    <n v="1.4"/>
    <n v="14780"/>
    <n v="9524"/>
    <n v="13"/>
    <n v="8727662.8100000005"/>
    <n v="73.535083015789596"/>
    <n v="11868706"/>
    <n v="0.12392521403626224"/>
  </r>
  <r>
    <s v="P0306"/>
    <s v="Model_209"/>
    <x v="1"/>
    <x v="1"/>
    <x v="0"/>
    <s v="Q4"/>
    <n v="1945"/>
    <n v="19524"/>
    <n v="2578"/>
    <n v="241083"/>
    <n v="7.58"/>
    <n v="6"/>
    <n v="8.51"/>
    <n v="2.09"/>
    <n v="40.97"/>
    <n v="2.6"/>
    <n v="5035"/>
    <n v="6671"/>
    <n v="6"/>
    <n v="32718884.91"/>
    <n v="86.160872756172751"/>
    <n v="37974180"/>
    <n v="0.38939344313494351"/>
  </r>
  <r>
    <s v="P0307"/>
    <s v="Model_268"/>
    <x v="0"/>
    <x v="2"/>
    <x v="1"/>
    <s v="Q1"/>
    <n v="2783"/>
    <n v="14739"/>
    <n v="8702"/>
    <n v="88635"/>
    <n v="14.12"/>
    <n v="13"/>
    <n v="0.84"/>
    <n v="16.079999999999998"/>
    <n v="37.69"/>
    <n v="1.2"/>
    <n v="12082"/>
    <n v="8684"/>
    <n v="2"/>
    <n v="16712319.92"/>
    <n v="40.743235617507231"/>
    <n v="41018637"/>
    <n v="0.55716295745220967"/>
  </r>
  <r>
    <s v="P0308"/>
    <s v="Model_449"/>
    <x v="0"/>
    <x v="3"/>
    <x v="1"/>
    <s v="Q4"/>
    <n v="3913"/>
    <n v="12374"/>
    <n v="5910"/>
    <n v="499331"/>
    <n v="13.14"/>
    <n v="5"/>
    <n v="3.56"/>
    <n v="19.059999999999999"/>
    <n v="76.87"/>
    <n v="4.3"/>
    <n v="4413"/>
    <n v="925"/>
    <n v="10"/>
    <n v="24794281.940000001"/>
    <n v="51.207264426027699"/>
    <n v="48419462"/>
    <n v="0.78339153881081436"/>
  </r>
  <r>
    <s v="P0309"/>
    <s v="Model_652"/>
    <x v="1"/>
    <x v="3"/>
    <x v="0"/>
    <s v="Q1"/>
    <n v="4771"/>
    <n v="19102"/>
    <n v="5989"/>
    <n v="145071"/>
    <n v="1.54"/>
    <n v="11"/>
    <n v="6.8"/>
    <n v="14.62"/>
    <n v="18.100000000000001"/>
    <n v="1.4"/>
    <n v="3840"/>
    <n v="7376"/>
    <n v="4"/>
    <n v="62417037.380000003"/>
    <n v="68.488064614720116"/>
    <n v="91135642"/>
    <n v="0.95516509881584344"/>
  </r>
  <r>
    <s v="P0310"/>
    <s v="Model_682"/>
    <x v="2"/>
    <x v="3"/>
    <x v="0"/>
    <s v="Q3"/>
    <n v="4064"/>
    <n v="6516"/>
    <n v="12887"/>
    <n v="390662"/>
    <n v="5.89"/>
    <n v="15"/>
    <n v="2.74"/>
    <n v="6.66"/>
    <n v="64.069999999999993"/>
    <n v="3.7"/>
    <n v="6789"/>
    <n v="2495"/>
    <n v="3"/>
    <n v="-26282412.66"/>
    <n v="-99.249986178782208"/>
    <n v="26481024"/>
    <n v="0.81362208375342437"/>
  </r>
  <r>
    <s v="P0311"/>
    <s v="Model_689"/>
    <x v="0"/>
    <x v="1"/>
    <x v="0"/>
    <s v="Q3"/>
    <n v="2951"/>
    <n v="15274"/>
    <n v="8178"/>
    <n v="418377"/>
    <n v="8.3000000000000007"/>
    <n v="16"/>
    <n v="8.2799999999999994"/>
    <n v="0.78"/>
    <n v="29.9"/>
    <n v="1.2"/>
    <n v="2097"/>
    <n v="4245"/>
    <n v="10"/>
    <n v="20521918.219999999"/>
    <n v="45.529822463157679"/>
    <n v="45073574"/>
    <n v="0.59079694122941817"/>
  </r>
  <r>
    <s v="P0312"/>
    <s v="Model_273"/>
    <x v="1"/>
    <x v="0"/>
    <x v="0"/>
    <s v="Q1"/>
    <n v="1736"/>
    <n v="11252"/>
    <n v="1924"/>
    <n v="415795"/>
    <n v="7.55"/>
    <n v="12"/>
    <n v="7.4"/>
    <n v="2.99"/>
    <n v="11.24"/>
    <n v="3.7"/>
    <n v="16525"/>
    <n v="7159"/>
    <n v="8"/>
    <n v="15777610.01"/>
    <n v="80.772174091733405"/>
    <n v="19533472"/>
    <n v="0.34755116569782107"/>
  </r>
  <r>
    <s v="P0313"/>
    <s v="Model_722"/>
    <x v="1"/>
    <x v="3"/>
    <x v="1"/>
    <s v="Q3"/>
    <n v="3059"/>
    <n v="18838"/>
    <n v="1497"/>
    <n v="122805"/>
    <n v="2.91"/>
    <n v="13"/>
    <n v="7.89"/>
    <n v="15.56"/>
    <n v="23.34"/>
    <n v="4.4000000000000004"/>
    <n v="8645"/>
    <n v="5592"/>
    <n v="6"/>
    <n v="52923298.439999998"/>
    <n v="91.840160531870623"/>
    <n v="57625442"/>
    <n v="0.61241878794333793"/>
  </r>
  <r>
    <s v="P0314"/>
    <s v="Model_722"/>
    <x v="1"/>
    <x v="3"/>
    <x v="1"/>
    <s v="Q3"/>
    <n v="204"/>
    <n v="17085"/>
    <n v="2979"/>
    <n v="471280"/>
    <n v="12.88"/>
    <n v="6"/>
    <n v="1.19"/>
    <n v="23.36"/>
    <n v="58.53"/>
    <n v="2.6"/>
    <n v="4402"/>
    <n v="7211"/>
    <n v="13"/>
    <n v="2406320.64"/>
    <n v="69.041202293033109"/>
    <n v="3485340"/>
    <n v="4.0841266015181739E-2"/>
  </r>
  <r>
    <s v="P0315"/>
    <s v="Model_287"/>
    <x v="1"/>
    <x v="1"/>
    <x v="0"/>
    <s v="Q4"/>
    <n v="2587"/>
    <n v="8791"/>
    <n v="10396"/>
    <n v="434957"/>
    <n v="10.15"/>
    <n v="13"/>
    <n v="1.41"/>
    <n v="5.16"/>
    <n v="66.73"/>
    <n v="3.1"/>
    <n v="10455"/>
    <n v="6892"/>
    <n v="7"/>
    <n v="-4587097.16"/>
    <n v="-20.169876094858761"/>
    <n v="22742317"/>
    <n v="0.51792330971213307"/>
  </r>
  <r>
    <s v="P0316"/>
    <s v="Model_643"/>
    <x v="0"/>
    <x v="1"/>
    <x v="1"/>
    <s v="Q1"/>
    <n v="1459"/>
    <n v="2474"/>
    <n v="6051"/>
    <n v="391207"/>
    <n v="12.57"/>
    <n v="14"/>
    <n v="2.86"/>
    <n v="18.38"/>
    <n v="11.68"/>
    <n v="2.6"/>
    <n v="9194"/>
    <n v="9655"/>
    <n v="13"/>
    <n v="-5610068.3799999999"/>
    <n v="-155.42224134425024"/>
    <n v="3609566"/>
    <n v="0.29209513292230466"/>
  </r>
  <r>
    <s v="P0317"/>
    <s v="Model_257"/>
    <x v="0"/>
    <x v="0"/>
    <x v="1"/>
    <s v="Q1"/>
    <n v="4107"/>
    <n v="5633"/>
    <n v="10035"/>
    <n v="314598"/>
    <n v="12.88"/>
    <n v="11"/>
    <n v="5.18"/>
    <n v="21.66"/>
    <n v="12.91"/>
    <n v="2.2000000000000002"/>
    <n v="6330"/>
    <n v="3651"/>
    <n v="12"/>
    <n v="-18393633.66"/>
    <n v="-79.506581079330459"/>
    <n v="23134731"/>
    <n v="0.82223078198211463"/>
  </r>
  <r>
    <s v="P0318"/>
    <s v="Model_144"/>
    <x v="2"/>
    <x v="3"/>
    <x v="0"/>
    <s v="Q1"/>
    <n v="834"/>
    <n v="16163"/>
    <n v="2729"/>
    <n v="333022"/>
    <n v="11.23"/>
    <n v="16"/>
    <n v="7.48"/>
    <n v="13.02"/>
    <n v="82.2"/>
    <n v="4.2"/>
    <n v="11334"/>
    <n v="7811"/>
    <n v="5"/>
    <n v="10870920.98"/>
    <n v="80.645161381258163"/>
    <n v="13479942"/>
    <n v="0.16696870517971357"/>
  </r>
  <r>
    <s v="P0319"/>
    <s v="Model_323"/>
    <x v="2"/>
    <x v="0"/>
    <x v="0"/>
    <s v="Q4"/>
    <n v="3225"/>
    <n v="5472"/>
    <n v="1813"/>
    <n v="232170"/>
    <n v="6.59"/>
    <n v="8"/>
    <n v="8.3699999999999992"/>
    <n v="16.73"/>
    <n v="15.86"/>
    <n v="2.1"/>
    <n v="11989"/>
    <n v="3728"/>
    <n v="2"/>
    <n v="11568088.27"/>
    <n v="65.551975780860417"/>
    <n v="17647200"/>
    <n v="0.6456523671517701"/>
  </r>
  <r>
    <s v="P0320"/>
    <s v="Model_331"/>
    <x v="1"/>
    <x v="0"/>
    <x v="0"/>
    <s v="Q1"/>
    <n v="4391"/>
    <n v="6795"/>
    <n v="1026"/>
    <n v="243226"/>
    <n v="9.16"/>
    <n v="14"/>
    <n v="7.04"/>
    <n v="20.38"/>
    <n v="81.53"/>
    <n v="3.9"/>
    <n v="17268"/>
    <n v="1665"/>
    <n v="5"/>
    <n v="25088432.620000001"/>
    <n v="84.085407220502034"/>
    <n v="29836845"/>
    <n v="0.87908823074834808"/>
  </r>
  <r>
    <s v="P0321"/>
    <s v="Model_194"/>
    <x v="0"/>
    <x v="1"/>
    <x v="0"/>
    <s v="Q4"/>
    <n v="2856"/>
    <n v="15413"/>
    <n v="8121"/>
    <n v="194063"/>
    <n v="2.41"/>
    <n v="11"/>
    <n v="9.2899999999999991"/>
    <n v="6.52"/>
    <n v="28.25"/>
    <n v="1.8"/>
    <n v="11864"/>
    <n v="3767"/>
    <n v="10"/>
    <n v="20631882.48"/>
    <n v="46.869840312690314"/>
    <n v="44019528"/>
    <n v="0.57177772421254436"/>
  </r>
  <r>
    <s v="P0322"/>
    <s v="Model_947"/>
    <x v="2"/>
    <x v="0"/>
    <x v="1"/>
    <s v="Q4"/>
    <n v="587"/>
    <n v="10605"/>
    <n v="2628"/>
    <n v="118344"/>
    <n v="10.1"/>
    <n v="1"/>
    <n v="7.39"/>
    <n v="7.42"/>
    <n v="69.2"/>
    <n v="2"/>
    <n v="3660"/>
    <n v="6559"/>
    <n v="2"/>
    <n v="4564147.58"/>
    <n v="73.318049809361568"/>
    <n v="6225135"/>
    <n v="0.11751874093584157"/>
  </r>
  <r>
    <s v="P0323"/>
    <s v="Model_321"/>
    <x v="1"/>
    <x v="0"/>
    <x v="0"/>
    <s v="Q3"/>
    <n v="1891"/>
    <n v="9728"/>
    <n v="8709"/>
    <n v="417090"/>
    <n v="2.69"/>
    <n v="4"/>
    <n v="3.06"/>
    <n v="0.02"/>
    <n v="34.78"/>
    <n v="2.2999999999999998"/>
    <n v="14768"/>
    <n v="4196"/>
    <n v="11"/>
    <n v="1509838.98"/>
    <n v="8.2075879033997605"/>
    <n v="18395648"/>
    <n v="0.37858251977798363"/>
  </r>
  <r>
    <s v="P0324"/>
    <s v="Model_504"/>
    <x v="0"/>
    <x v="1"/>
    <x v="0"/>
    <s v="Q3"/>
    <n v="2505"/>
    <n v="11403"/>
    <n v="6388"/>
    <n v="86593"/>
    <n v="10.41"/>
    <n v="12"/>
    <n v="2.65"/>
    <n v="24.08"/>
    <n v="78.7"/>
    <n v="3.4"/>
    <n v="15985"/>
    <n v="1119"/>
    <n v="4"/>
    <n v="12475957.92"/>
    <n v="43.6764213220494"/>
    <n v="28564515"/>
    <n v="0.5015067223923052"/>
  </r>
  <r>
    <s v="P0325"/>
    <s v="Model_282"/>
    <x v="1"/>
    <x v="0"/>
    <x v="1"/>
    <s v="Q3"/>
    <n v="574"/>
    <n v="4520"/>
    <n v="13909"/>
    <n v="86304"/>
    <n v="3.44"/>
    <n v="19"/>
    <n v="6.96"/>
    <n v="22.94"/>
    <n v="66.040000000000006"/>
    <n v="2.8"/>
    <n v="4422"/>
    <n v="8028"/>
    <n v="6"/>
    <n v="-5475612.9400000004"/>
    <n v="-211.04857004101015"/>
    <n v="2594480"/>
    <n v="0.11491611123879567"/>
  </r>
  <r>
    <s v="P0326"/>
    <s v="Model_258"/>
    <x v="0"/>
    <x v="2"/>
    <x v="1"/>
    <s v="Q3"/>
    <n v="3000"/>
    <n v="10487"/>
    <n v="2823"/>
    <n v="473602"/>
    <n v="1.76"/>
    <n v="7"/>
    <n v="1.93"/>
    <n v="19.11"/>
    <n v="42.15"/>
    <n v="4"/>
    <n v="5304"/>
    <n v="9576"/>
    <n v="8"/>
    <n v="22518378.890000001"/>
    <n v="71.575534439464732"/>
    <n v="31461000"/>
    <n v="0.60060685316443729"/>
  </r>
  <r>
    <s v="P0327"/>
    <s v="Model_783"/>
    <x v="0"/>
    <x v="1"/>
    <x v="1"/>
    <s v="Q2"/>
    <n v="4181"/>
    <n v="14380"/>
    <n v="5766"/>
    <n v="236292"/>
    <n v="2.48"/>
    <n v="13"/>
    <n v="0.93"/>
    <n v="1.98"/>
    <n v="16.100000000000001"/>
    <n v="1.9"/>
    <n v="3868"/>
    <n v="8354"/>
    <n v="10"/>
    <n v="35778840.020000003"/>
    <n v="59.509623507096656"/>
    <n v="60122780"/>
    <n v="0.83704575102683743"/>
  </r>
  <r>
    <s v="P0328"/>
    <s v="Model_381"/>
    <x v="2"/>
    <x v="0"/>
    <x v="1"/>
    <s v="Q2"/>
    <n v="4830"/>
    <n v="6733"/>
    <n v="11444"/>
    <n v="163613"/>
    <n v="0.03"/>
    <n v="14"/>
    <n v="5.32"/>
    <n v="11.19"/>
    <n v="68.62"/>
    <n v="1"/>
    <n v="16657"/>
    <n v="6065"/>
    <n v="7"/>
    <n v="-22917754.190000001"/>
    <n v="-70.471953718882219"/>
    <n v="32520390"/>
    <n v="0.96697703359474407"/>
  </r>
  <r>
    <s v="P0329"/>
    <s v="Model_124"/>
    <x v="0"/>
    <x v="1"/>
    <x v="0"/>
    <s v="Q2"/>
    <n v="4165"/>
    <n v="11016"/>
    <n v="11077"/>
    <n v="250410"/>
    <n v="10.78"/>
    <n v="10"/>
    <n v="8.2200000000000006"/>
    <n v="2.5499999999999998"/>
    <n v="59.35"/>
    <n v="4.0999999999999996"/>
    <n v="9593"/>
    <n v="2369"/>
    <n v="4"/>
    <n v="-504477.55"/>
    <n v="-1.0995194374045913"/>
    <n v="45881640"/>
    <n v="0.83384251447662716"/>
  </r>
  <r>
    <s v="P0330"/>
    <s v="Model_166"/>
    <x v="1"/>
    <x v="0"/>
    <x v="1"/>
    <s v="Q1"/>
    <n v="2418"/>
    <n v="16059"/>
    <n v="6691"/>
    <n v="464299"/>
    <n v="10.99"/>
    <n v="0"/>
    <n v="1.01"/>
    <n v="0.4"/>
    <n v="10.23"/>
    <n v="4.3"/>
    <n v="5432"/>
    <n v="8935"/>
    <n v="14"/>
    <n v="22187524.600000001"/>
    <n v="57.139187068198837"/>
    <n v="38830662"/>
    <n v="0.48408912365053647"/>
  </r>
  <r>
    <s v="P0331"/>
    <s v="Model_821"/>
    <x v="1"/>
    <x v="1"/>
    <x v="1"/>
    <s v="Q1"/>
    <n v="3897"/>
    <n v="18201"/>
    <n v="13275"/>
    <n v="68354"/>
    <n v="7.72"/>
    <n v="2"/>
    <n v="7.92"/>
    <n v="15.4"/>
    <n v="10.75"/>
    <n v="1.2"/>
    <n v="13052"/>
    <n v="4821"/>
    <n v="8"/>
    <n v="19128252.600000001"/>
    <n v="26.968056091124097"/>
    <n v="70929297"/>
    <n v="0.78018830226060409"/>
  </r>
  <r>
    <s v="P0332"/>
    <s v="Model_125"/>
    <x v="0"/>
    <x v="0"/>
    <x v="0"/>
    <s v="Q2"/>
    <n v="4545"/>
    <n v="3896"/>
    <n v="1880"/>
    <n v="334334"/>
    <n v="2.42"/>
    <n v="16"/>
    <n v="8.1199999999999992"/>
    <n v="24.02"/>
    <n v="74.7"/>
    <n v="3.4"/>
    <n v="7108"/>
    <n v="8508"/>
    <n v="5"/>
    <n v="8828361.9800000004"/>
    <n v="49.857132417553871"/>
    <n v="17707320"/>
    <n v="0.90991938254412252"/>
  </r>
  <r>
    <s v="P0333"/>
    <s v="Model_427"/>
    <x v="0"/>
    <x v="2"/>
    <x v="0"/>
    <s v="Q1"/>
    <n v="2751"/>
    <n v="3091"/>
    <n v="5836"/>
    <n v="56142"/>
    <n v="1.25"/>
    <n v="18"/>
    <n v="4.82"/>
    <n v="22.57"/>
    <n v="30.75"/>
    <n v="2.5"/>
    <n v="14399"/>
    <n v="295"/>
    <n v="4"/>
    <n v="-7607659.5700000003"/>
    <n v="-89.466711613705712"/>
    <n v="8503341"/>
    <n v="0.55075648435178903"/>
  </r>
  <r>
    <s v="P0334"/>
    <s v="Model_759"/>
    <x v="0"/>
    <x v="3"/>
    <x v="1"/>
    <s v="Q4"/>
    <n v="1021"/>
    <n v="12803"/>
    <n v="11312"/>
    <n v="471614"/>
    <n v="0.28999999999999998"/>
    <n v="13"/>
    <n v="0.56999999999999995"/>
    <n v="17.420000000000002"/>
    <n v="60.89"/>
    <n v="4.2"/>
    <n v="10792"/>
    <n v="3373"/>
    <n v="8"/>
    <n v="1050679.58"/>
    <n v="8.0377187245612962"/>
    <n v="13071863"/>
    <n v="0.20440653236029682"/>
  </r>
  <r>
    <s v="P0335"/>
    <s v="Model_692"/>
    <x v="0"/>
    <x v="3"/>
    <x v="0"/>
    <s v="Q1"/>
    <n v="1216"/>
    <n v="7683"/>
    <n v="12182"/>
    <n v="233043"/>
    <n v="2.4900000000000002"/>
    <n v="7"/>
    <n v="1.75"/>
    <n v="2.42"/>
    <n v="46.34"/>
    <n v="4.5"/>
    <n v="11362"/>
    <n v="5210"/>
    <n v="12"/>
    <n v="-5703829.4199999999"/>
    <n v="-61.052312821540376"/>
    <n v="9342528"/>
    <n v="0.24344597781598526"/>
  </r>
  <r>
    <s v="P0336"/>
    <s v="Model_934"/>
    <x v="2"/>
    <x v="2"/>
    <x v="0"/>
    <s v="Q1"/>
    <n v="4979"/>
    <n v="2812"/>
    <n v="11622"/>
    <n v="354006"/>
    <n v="13.36"/>
    <n v="12"/>
    <n v="7.07"/>
    <n v="6.85"/>
    <n v="79.069999999999993"/>
    <n v="4.4000000000000004"/>
    <n v="7031"/>
    <n v="7501"/>
    <n v="12"/>
    <n v="-44219002.850000001"/>
    <n v="-315.82863424676674"/>
    <n v="14000948"/>
    <n v="0.99680717396857776"/>
  </r>
  <r>
    <s v="P0337"/>
    <s v="Model_892"/>
    <x v="1"/>
    <x v="2"/>
    <x v="0"/>
    <s v="Q3"/>
    <n v="2824"/>
    <n v="8814"/>
    <n v="3363"/>
    <n v="234482"/>
    <n v="3.62"/>
    <n v="19"/>
    <n v="7.12"/>
    <n v="8"/>
    <n v="83.36"/>
    <n v="4.0999999999999996"/>
    <n v="11912"/>
    <n v="3312"/>
    <n v="8"/>
    <n v="15159134"/>
    <n v="60.902714969939019"/>
    <n v="24890736"/>
    <n v="0.56537125111212361"/>
  </r>
  <r>
    <s v="P0338"/>
    <s v="Model_559"/>
    <x v="1"/>
    <x v="1"/>
    <x v="1"/>
    <s v="Q4"/>
    <n v="2032"/>
    <n v="3639"/>
    <n v="4092"/>
    <n v="200575"/>
    <n v="5.31"/>
    <n v="2"/>
    <n v="8.98"/>
    <n v="19.079999999999998"/>
    <n v="89.74"/>
    <n v="2.1"/>
    <n v="7844"/>
    <n v="2855"/>
    <n v="5"/>
    <n v="-1121090.08"/>
    <n v="-15.161240974309376"/>
    <n v="7394448"/>
    <n v="0.40681104187671219"/>
  </r>
  <r>
    <s v="P0339"/>
    <s v="Model_595"/>
    <x v="0"/>
    <x v="2"/>
    <x v="0"/>
    <s v="Q2"/>
    <n v="903"/>
    <n v="16188"/>
    <n v="13613"/>
    <n v="175438"/>
    <n v="1.58"/>
    <n v="4"/>
    <n v="5.83"/>
    <n v="20.059999999999999"/>
    <n v="22.29"/>
    <n v="4.2"/>
    <n v="18259"/>
    <n v="1621"/>
    <n v="13"/>
    <n v="2149766.94"/>
    <n v="14.706537470436654"/>
    <n v="14617764"/>
    <n v="0.18078266280249564"/>
  </r>
  <r>
    <s v="P0340"/>
    <s v="Model_912"/>
    <x v="0"/>
    <x v="3"/>
    <x v="0"/>
    <s v="Q4"/>
    <n v="4196"/>
    <n v="19588"/>
    <n v="4386"/>
    <n v="98456"/>
    <n v="3.34"/>
    <n v="8"/>
    <n v="1.24"/>
    <n v="9.6300000000000008"/>
    <n v="79.040000000000006"/>
    <n v="3.1"/>
    <n v="9387"/>
    <n v="5774"/>
    <n v="8"/>
    <n v="63689126.369999997"/>
    <n v="77.488939418464597"/>
    <n v="82191248"/>
    <n v="0.84004878529265969"/>
  </r>
  <r>
    <s v="P0341"/>
    <s v="Model_676"/>
    <x v="2"/>
    <x v="2"/>
    <x v="0"/>
    <s v="Q4"/>
    <n v="3786"/>
    <n v="8424"/>
    <n v="5231"/>
    <n v="150167"/>
    <n v="7.79"/>
    <n v="5"/>
    <n v="1.21"/>
    <n v="10.45"/>
    <n v="31.28"/>
    <n v="1.2"/>
    <n v="19493"/>
    <n v="1180"/>
    <n v="12"/>
    <n v="11938520.550000001"/>
    <n v="37.4327336016784"/>
    <n v="31893264"/>
    <n v="0.75796584869351991"/>
  </r>
  <r>
    <s v="P0342"/>
    <s v="Model_131"/>
    <x v="0"/>
    <x v="2"/>
    <x v="0"/>
    <s v="Q4"/>
    <n v="3819"/>
    <n v="1862"/>
    <n v="7641"/>
    <n v="394179"/>
    <n v="9.1199999999999992"/>
    <n v="1"/>
    <n v="7.21"/>
    <n v="1.1100000000000001"/>
    <n v="57.27"/>
    <n v="2.8"/>
    <n v="17658"/>
    <n v="5723"/>
    <n v="3"/>
    <n v="-22464181.109999999"/>
    <n v="-315.9084602708657"/>
    <n v="7110978"/>
    <n v="0.76457252407832865"/>
  </r>
  <r>
    <s v="P0343"/>
    <s v="Model_397"/>
    <x v="0"/>
    <x v="2"/>
    <x v="0"/>
    <s v="Q1"/>
    <n v="624"/>
    <n v="14981"/>
    <n v="14166"/>
    <n v="320160"/>
    <n v="3.68"/>
    <n v="12"/>
    <n v="1.84"/>
    <n v="7.23"/>
    <n v="50.46"/>
    <n v="4.8"/>
    <n v="20823"/>
    <n v="821"/>
    <n v="2"/>
    <n v="188392.77"/>
    <n v="2.0152959774688965"/>
    <n v="9348144"/>
    <n v="0.12492622545820296"/>
  </r>
  <r>
    <s v="P0344"/>
    <s v="Model_708"/>
    <x v="2"/>
    <x v="3"/>
    <x v="1"/>
    <s v="Q2"/>
    <n v="3311"/>
    <n v="5238"/>
    <n v="7443"/>
    <n v="314528"/>
    <n v="0.87"/>
    <n v="4"/>
    <n v="3.28"/>
    <n v="11.28"/>
    <n v="11.44"/>
    <n v="4.5999999999999996"/>
    <n v="19497"/>
    <n v="1662"/>
    <n v="13"/>
    <n v="-7615294.2800000003"/>
    <n v="-43.909856289141835"/>
    <n v="17343018"/>
    <n v="0.66286976360915062"/>
  </r>
  <r>
    <s v="P0345"/>
    <s v="Model_166"/>
    <x v="2"/>
    <x v="2"/>
    <x v="1"/>
    <s v="Q3"/>
    <n v="1198"/>
    <n v="3969"/>
    <n v="11939"/>
    <n v="243392"/>
    <n v="5.87"/>
    <n v="7"/>
    <n v="4.87"/>
    <n v="2.92"/>
    <n v="84.62"/>
    <n v="1.4"/>
    <n v="5179"/>
    <n v="739"/>
    <n v="3"/>
    <n v="-9791454.9199999999"/>
    <n v="-205.92511244280067"/>
    <n v="4754862"/>
    <n v="0.23984233669699864"/>
  </r>
  <r>
    <s v="P0346"/>
    <s v="Model_114"/>
    <x v="1"/>
    <x v="1"/>
    <x v="1"/>
    <s v="Q2"/>
    <n v="1765"/>
    <n v="17606"/>
    <n v="4759"/>
    <n v="458288"/>
    <n v="3.51"/>
    <n v="0"/>
    <n v="0.25"/>
    <n v="11.33"/>
    <n v="16.27"/>
    <n v="4"/>
    <n v="9040"/>
    <n v="4360"/>
    <n v="5"/>
    <n v="22216655.670000002"/>
    <n v="71.494605946530598"/>
    <n v="31074590"/>
    <n v="0.35335703194507728"/>
  </r>
  <r>
    <s v="P0347"/>
    <s v="Model_978"/>
    <x v="1"/>
    <x v="3"/>
    <x v="0"/>
    <s v="Q2"/>
    <n v="4827"/>
    <n v="18440"/>
    <n v="11805"/>
    <n v="152239"/>
    <n v="3.29"/>
    <n v="19"/>
    <n v="2.4900000000000002"/>
    <n v="21.33"/>
    <n v="65.06"/>
    <n v="4.2"/>
    <n v="10988"/>
    <n v="5290"/>
    <n v="9"/>
    <n v="31874884.670000002"/>
    <n v="35.810501789239581"/>
    <n v="89009880"/>
    <n v="0.96637642674157964"/>
  </r>
  <r>
    <s v="P0348"/>
    <s v="Model_103"/>
    <x v="0"/>
    <x v="0"/>
    <x v="1"/>
    <s v="Q2"/>
    <n v="4983"/>
    <n v="10517"/>
    <n v="11575"/>
    <n v="161431"/>
    <n v="14.4"/>
    <n v="11"/>
    <n v="4.08"/>
    <n v="14.53"/>
    <n v="72.8"/>
    <n v="2.1"/>
    <n v="8574"/>
    <n v="3836"/>
    <n v="4"/>
    <n v="-5433459.5300000003"/>
    <n v="-10.367968655471008"/>
    <n v="52406211"/>
    <n v="0.99760798310613041"/>
  </r>
  <r>
    <s v="P0349"/>
    <s v="Model_558"/>
    <x v="1"/>
    <x v="3"/>
    <x v="1"/>
    <s v="Q4"/>
    <n v="3904"/>
    <n v="4308"/>
    <n v="961"/>
    <n v="392162"/>
    <n v="9.24"/>
    <n v="10"/>
    <n v="2.8"/>
    <n v="1.97"/>
    <n v="73.62"/>
    <n v="2.9"/>
    <n v="5496"/>
    <n v="7846"/>
    <n v="11"/>
    <n v="12674524.029999999"/>
    <n v="75.360913728461725"/>
    <n v="16818432"/>
    <n v="0.78158971825132106"/>
  </r>
  <r>
    <s v="P0350"/>
    <s v="Model_425"/>
    <x v="2"/>
    <x v="1"/>
    <x v="1"/>
    <s v="Q3"/>
    <n v="2541"/>
    <n v="17870"/>
    <n v="1393"/>
    <n v="90510"/>
    <n v="8.35"/>
    <n v="6"/>
    <n v="1.36"/>
    <n v="4.79"/>
    <n v="20.84"/>
    <n v="3.8"/>
    <n v="7195"/>
    <n v="189"/>
    <n v="7"/>
    <n v="41777542.210000001"/>
    <n v="92.00547442755817"/>
    <n v="45407670"/>
    <n v="0.50871400463027838"/>
  </r>
  <r>
    <s v="P0351"/>
    <s v="Model_755"/>
    <x v="2"/>
    <x v="3"/>
    <x v="1"/>
    <s v="Q2"/>
    <n v="2710"/>
    <n v="16370"/>
    <n v="12251"/>
    <n v="230005"/>
    <n v="6.24"/>
    <n v="14"/>
    <n v="7.28"/>
    <n v="11.86"/>
    <n v="45.81"/>
    <n v="2.8"/>
    <n v="15735"/>
    <n v="1351"/>
    <n v="7"/>
    <n v="10932473.140000001"/>
    <n v="24.643389919910199"/>
    <n v="44362700"/>
    <n v="0.54254819069187499"/>
  </r>
  <r>
    <s v="P0352"/>
    <s v="Model_108"/>
    <x v="2"/>
    <x v="3"/>
    <x v="1"/>
    <s v="Q2"/>
    <n v="3174"/>
    <n v="14213"/>
    <n v="13147"/>
    <n v="333970"/>
    <n v="6.43"/>
    <n v="10"/>
    <n v="8.1300000000000008"/>
    <n v="9.0399999999999991"/>
    <n v="76.349999999999994"/>
    <n v="1.5"/>
    <n v="3866"/>
    <n v="9394"/>
    <n v="14"/>
    <n v="3049504.96"/>
    <n v="6.7598438750150676"/>
    <n v="45112062"/>
    <n v="0.63544205064797465"/>
  </r>
  <r>
    <s v="P0353"/>
    <s v="Model_243"/>
    <x v="0"/>
    <x v="0"/>
    <x v="0"/>
    <s v="Q2"/>
    <n v="3101"/>
    <n v="9061"/>
    <n v="11954"/>
    <n v="380170"/>
    <n v="8.11"/>
    <n v="15"/>
    <n v="2.57"/>
    <n v="8.9700000000000006"/>
    <n v="34.21"/>
    <n v="3.8"/>
    <n v="15664"/>
    <n v="4803"/>
    <n v="10"/>
    <n v="-9351371.9700000007"/>
    <n v="-33.281081882903301"/>
    <n v="28098161"/>
    <n v="0.62082728388764008"/>
  </r>
  <r>
    <s v="P0354"/>
    <s v="Model_334"/>
    <x v="1"/>
    <x v="3"/>
    <x v="0"/>
    <s v="Q1"/>
    <n v="54"/>
    <n v="4219"/>
    <n v="12880"/>
    <n v="171668"/>
    <n v="10.45"/>
    <n v="2"/>
    <n v="7.74"/>
    <n v="13.23"/>
    <n v="47.42"/>
    <n v="4.5999999999999996"/>
    <n v="8264"/>
    <n v="448"/>
    <n v="10"/>
    <n v="-639375.23"/>
    <n v="-280.64190654271243"/>
    <n v="227826"/>
    <n v="1.0810923356959871E-2"/>
  </r>
  <r>
    <s v="P0355"/>
    <s v="Model_879"/>
    <x v="1"/>
    <x v="0"/>
    <x v="0"/>
    <s v="Q4"/>
    <n v="4919"/>
    <n v="13200"/>
    <n v="4190"/>
    <n v="292700"/>
    <n v="10.53"/>
    <n v="19"/>
    <n v="3.86"/>
    <n v="14.61"/>
    <n v="31.82"/>
    <n v="3.6"/>
    <n v="17027"/>
    <n v="4152"/>
    <n v="5"/>
    <n v="44027475.390000001"/>
    <n v="67.806765648967826"/>
    <n v="64930800"/>
    <n v="0.98479503690528902"/>
  </r>
  <r>
    <s v="P0356"/>
    <s v="Model_539"/>
    <x v="0"/>
    <x v="2"/>
    <x v="1"/>
    <s v="Q4"/>
    <n v="926"/>
    <n v="5241"/>
    <n v="6797"/>
    <n v="468734"/>
    <n v="2.58"/>
    <n v="13"/>
    <n v="5.07"/>
    <n v="19.920000000000002"/>
    <n v="47.08"/>
    <n v="4.0999999999999996"/>
    <n v="17792"/>
    <n v="3041"/>
    <n v="10"/>
    <n v="-1909609.92"/>
    <n v="-39.347714873136418"/>
    <n v="4853166"/>
    <n v="0.18538731534342298"/>
  </r>
  <r>
    <s v="P0357"/>
    <s v="Model_774"/>
    <x v="0"/>
    <x v="1"/>
    <x v="1"/>
    <s v="Q2"/>
    <n v="1041"/>
    <n v="11266"/>
    <n v="7154"/>
    <n v="74045"/>
    <n v="7.5"/>
    <n v="2"/>
    <n v="8.56"/>
    <n v="8.52"/>
    <n v="81.03"/>
    <n v="2.4"/>
    <n v="3114"/>
    <n v="8537"/>
    <n v="14"/>
    <n v="4206538.4800000004"/>
    <n v="35.867771109352347"/>
    <n v="11727906"/>
    <n v="0.20841057804805974"/>
  </r>
  <r>
    <s v="P0358"/>
    <s v="Model_306"/>
    <x v="0"/>
    <x v="3"/>
    <x v="1"/>
    <s v="Q3"/>
    <n v="4192"/>
    <n v="5498"/>
    <n v="13493"/>
    <n v="231948"/>
    <n v="6.18"/>
    <n v="0"/>
    <n v="7.5"/>
    <n v="20.14"/>
    <n v="46.41"/>
    <n v="1.7"/>
    <n v="15896"/>
    <n v="371"/>
    <n v="7"/>
    <n v="-33747008.140000001"/>
    <n v="-146.42298856419686"/>
    <n v="23047616"/>
    <n v="0.83924797615510704"/>
  </r>
  <r>
    <s v="P0359"/>
    <s v="Model_363"/>
    <x v="0"/>
    <x v="3"/>
    <x v="1"/>
    <s v="Q2"/>
    <n v="4414"/>
    <n v="17577"/>
    <n v="1463"/>
    <n v="140102"/>
    <n v="13.06"/>
    <n v="14"/>
    <n v="8.0500000000000007"/>
    <n v="8.4700000000000006"/>
    <n v="54.47"/>
    <n v="3.6"/>
    <n v="20300"/>
    <n v="2130"/>
    <n v="3"/>
    <n v="70987085.530000001"/>
    <n v="91.496032938274382"/>
    <n v="77584878"/>
    <n v="0.88369288328927542"/>
  </r>
  <r>
    <s v="P0360"/>
    <s v="Model_506"/>
    <x v="0"/>
    <x v="0"/>
    <x v="1"/>
    <s v="Q3"/>
    <n v="4515"/>
    <n v="1794"/>
    <n v="10124"/>
    <n v="364063"/>
    <n v="9.4700000000000006"/>
    <n v="0"/>
    <n v="1.37"/>
    <n v="1.39"/>
    <n v="42.32"/>
    <n v="2.2999999999999998"/>
    <n v="18380"/>
    <n v="7936"/>
    <n v="11"/>
    <n v="-37974014.390000001"/>
    <n v="-468.82020158248673"/>
    <n v="8099910"/>
    <n v="0.9039133140124781"/>
  </r>
  <r>
    <s v="P0361"/>
    <s v="Model_476"/>
    <x v="2"/>
    <x v="3"/>
    <x v="0"/>
    <s v="Q2"/>
    <n v="685"/>
    <n v="11677"/>
    <n v="14187"/>
    <n v="149441"/>
    <n v="7.99"/>
    <n v="16"/>
    <n v="0.7"/>
    <n v="13.85"/>
    <n v="46.81"/>
    <n v="4.4000000000000004"/>
    <n v="18388"/>
    <n v="9757"/>
    <n v="12"/>
    <n v="-1868804.85"/>
    <n v="-23.363725809486365"/>
    <n v="7998745"/>
    <n v="0.13713856480587985"/>
  </r>
  <r>
    <s v="P0362"/>
    <s v="Model_714"/>
    <x v="1"/>
    <x v="1"/>
    <x v="0"/>
    <s v="Q1"/>
    <n v="1743"/>
    <n v="11382"/>
    <n v="1341"/>
    <n v="208175"/>
    <n v="1.73"/>
    <n v="1"/>
    <n v="8.93"/>
    <n v="14.7"/>
    <n v="11.21"/>
    <n v="1.5"/>
    <n v="7233"/>
    <n v="9487"/>
    <n v="7"/>
    <n v="17293273.300000001"/>
    <n v="87.168833982414085"/>
    <n v="19838826"/>
    <n v="0.3489525816885381"/>
  </r>
  <r>
    <s v="P0363"/>
    <s v="Model_562"/>
    <x v="0"/>
    <x v="0"/>
    <x v="0"/>
    <s v="Q1"/>
    <n v="1732"/>
    <n v="2636"/>
    <n v="6233"/>
    <n v="299877"/>
    <n v="9.08"/>
    <n v="19"/>
    <n v="3.88"/>
    <n v="23.36"/>
    <n v="32.700000000000003"/>
    <n v="2.7"/>
    <n v="4716"/>
    <n v="7141"/>
    <n v="3"/>
    <n v="-6529904.3600000003"/>
    <n v="-143.02551717733147"/>
    <n v="4565552"/>
    <n v="0.34675035656026848"/>
  </r>
  <r>
    <s v="P0364"/>
    <s v="Model_502"/>
    <x v="1"/>
    <x v="1"/>
    <x v="1"/>
    <s v="Q3"/>
    <n v="4802"/>
    <n v="3564"/>
    <n v="5893"/>
    <n v="479404"/>
    <n v="1.76"/>
    <n v="5"/>
    <n v="2.88"/>
    <n v="18.149999999999999"/>
    <n v="44.93"/>
    <n v="2.6"/>
    <n v="5864"/>
    <n v="5275"/>
    <n v="9"/>
    <n v="-11663280.15"/>
    <n v="-68.14921479826728"/>
    <n v="17114328"/>
    <n v="0.96137136963187597"/>
  </r>
  <r>
    <s v="P0365"/>
    <s v="Model_701"/>
    <x v="2"/>
    <x v="1"/>
    <x v="1"/>
    <s v="Q2"/>
    <n v="169"/>
    <n v="8509"/>
    <n v="14228"/>
    <n v="186917"/>
    <n v="5.0599999999999996"/>
    <n v="7"/>
    <n v="7.25"/>
    <n v="22.94"/>
    <n v="60.7"/>
    <n v="4.8"/>
    <n v="13769"/>
    <n v="9906"/>
    <n v="5"/>
    <n v="-1153450.94"/>
    <n v="-80.210994137081443"/>
    <n v="1438021"/>
    <n v="3.3834186061596633E-2"/>
  </r>
  <r>
    <s v="P0366"/>
    <s v="Model_214"/>
    <x v="2"/>
    <x v="0"/>
    <x v="1"/>
    <s v="Q3"/>
    <n v="880"/>
    <n v="14487"/>
    <n v="11966"/>
    <n v="267770"/>
    <n v="2.14"/>
    <n v="15"/>
    <n v="8.36"/>
    <n v="22.71"/>
    <n v="46"/>
    <n v="1.6"/>
    <n v="19361"/>
    <n v="1226"/>
    <n v="6"/>
    <n v="1950687.29"/>
    <n v="15.301236296491524"/>
    <n v="12748560"/>
    <n v="0.17617801026156829"/>
  </r>
  <r>
    <s v="P0367"/>
    <s v="Model_113"/>
    <x v="0"/>
    <x v="0"/>
    <x v="1"/>
    <s v="Q1"/>
    <n v="3725"/>
    <n v="6043"/>
    <n v="1667"/>
    <n v="479890"/>
    <n v="10.38"/>
    <n v="18"/>
    <n v="8.6199999999999992"/>
    <n v="15.11"/>
    <n v="37.03"/>
    <n v="1"/>
    <n v="15329"/>
    <n v="4479"/>
    <n v="9"/>
    <n v="15820694.890000001"/>
    <n v="70.282416240655621"/>
    <n v="22510175"/>
    <n v="0.74575350934584295"/>
  </r>
  <r>
    <s v="P0368"/>
    <s v="Model_640"/>
    <x v="0"/>
    <x v="0"/>
    <x v="0"/>
    <s v="Q4"/>
    <n v="1419"/>
    <n v="2507"/>
    <n v="11058"/>
    <n v="168325"/>
    <n v="3.09"/>
    <n v="0"/>
    <n v="3.16"/>
    <n v="13.19"/>
    <n v="41.05"/>
    <n v="2"/>
    <n v="6460"/>
    <n v="8808"/>
    <n v="12"/>
    <n v="-12302207.189999999"/>
    <n v="-345.81697504914354"/>
    <n v="3557433"/>
    <n v="0.28408704154677883"/>
  </r>
  <r>
    <s v="P0369"/>
    <s v="Model_553"/>
    <x v="0"/>
    <x v="3"/>
    <x v="0"/>
    <s v="Q4"/>
    <n v="790"/>
    <n v="6945"/>
    <n v="9423"/>
    <n v="69337"/>
    <n v="5.88"/>
    <n v="2"/>
    <n v="8.52"/>
    <n v="13.94"/>
    <n v="29.38"/>
    <n v="4.3"/>
    <n v="20281"/>
    <n v="9593"/>
    <n v="9"/>
    <n v="-2026970.94"/>
    <n v="-36.94436285097192"/>
    <n v="5486550"/>
    <n v="0.15815980466663515"/>
  </r>
  <r>
    <s v="P0370"/>
    <s v="Model_616"/>
    <x v="1"/>
    <x v="2"/>
    <x v="1"/>
    <s v="Q1"/>
    <n v="166"/>
    <n v="12206"/>
    <n v="13827"/>
    <n v="203385"/>
    <n v="13.44"/>
    <n v="2"/>
    <n v="0.41"/>
    <n v="24.46"/>
    <n v="83.96"/>
    <n v="1.8"/>
    <n v="9801"/>
    <n v="8152"/>
    <n v="13"/>
    <n v="-472495.46"/>
    <n v="-23.319336332714112"/>
    <n v="2026196"/>
    <n v="3.3233579208432194E-2"/>
  </r>
  <r>
    <s v="P0371"/>
    <s v="Model_669"/>
    <x v="1"/>
    <x v="0"/>
    <x v="0"/>
    <s v="Q4"/>
    <n v="2888"/>
    <n v="16249"/>
    <n v="6269"/>
    <n v="470159"/>
    <n v="3.06"/>
    <n v="4"/>
    <n v="0.5"/>
    <n v="19.329999999999998"/>
    <n v="51.74"/>
    <n v="2"/>
    <n v="10341"/>
    <n v="711"/>
    <n v="13"/>
    <n v="28352061.670000002"/>
    <n v="60.41723102414656"/>
    <n v="46927112"/>
    <n v="0.578184197312965"/>
  </r>
  <r>
    <s v="P0372"/>
    <s v="Model_891"/>
    <x v="2"/>
    <x v="3"/>
    <x v="0"/>
    <s v="Q2"/>
    <n v="1200"/>
    <n v="13218"/>
    <n v="13270"/>
    <n v="390093"/>
    <n v="7.62"/>
    <n v="11"/>
    <n v="6.24"/>
    <n v="2.66"/>
    <n v="11.07"/>
    <n v="1.5"/>
    <n v="9230"/>
    <n v="849"/>
    <n v="7"/>
    <n v="-452495.66"/>
    <n v="-2.8527743733292983"/>
    <n v="15861600"/>
    <n v="0.24024274126577491"/>
  </r>
  <r>
    <s v="P0373"/>
    <s v="Model_595"/>
    <x v="1"/>
    <x v="1"/>
    <x v="1"/>
    <s v="Q3"/>
    <n v="1981"/>
    <n v="10939"/>
    <n v="7056"/>
    <n v="312420"/>
    <n v="6.29"/>
    <n v="11"/>
    <n v="0.63"/>
    <n v="19.46"/>
    <n v="11.56"/>
    <n v="3.9"/>
    <n v="19383"/>
    <n v="1956"/>
    <n v="5"/>
    <n v="7379783.54"/>
    <n v="34.055050265205715"/>
    <n v="21670159"/>
    <n v="0.3966007253729168"/>
  </r>
  <r>
    <s v="P0374"/>
    <s v="Model_851"/>
    <x v="2"/>
    <x v="3"/>
    <x v="0"/>
    <s v="Q2"/>
    <n v="1062"/>
    <n v="14781"/>
    <n v="10198"/>
    <n v="363295"/>
    <n v="0.27"/>
    <n v="19"/>
    <n v="3.25"/>
    <n v="4.26"/>
    <n v="87.84"/>
    <n v="1.3"/>
    <n v="18479"/>
    <n v="8691"/>
    <n v="2"/>
    <n v="4503846.74"/>
    <n v="28.691633186646825"/>
    <n v="15697422"/>
    <n v="0.21261482602021081"/>
  </r>
  <r>
    <s v="P0375"/>
    <s v="Model_787"/>
    <x v="2"/>
    <x v="1"/>
    <x v="0"/>
    <s v="Q1"/>
    <n v="1714"/>
    <n v="2935"/>
    <n v="11520"/>
    <n v="460827"/>
    <n v="11.89"/>
    <n v="12"/>
    <n v="6.73"/>
    <n v="11.18"/>
    <n v="27.72"/>
    <n v="2.2999999999999998"/>
    <n v="2478"/>
    <n v="1626"/>
    <n v="13"/>
    <n v="-15175528.18"/>
    <n v="-301.66497726906783"/>
    <n v="5030590"/>
    <n v="0.34314671544128184"/>
  </r>
  <r>
    <s v="P0376"/>
    <s v="Model_215"/>
    <x v="1"/>
    <x v="1"/>
    <x v="1"/>
    <s v="Q4"/>
    <n v="1131"/>
    <n v="2071"/>
    <n v="1969"/>
    <n v="193016"/>
    <n v="1.04"/>
    <n v="19"/>
    <n v="3.37"/>
    <n v="5.26"/>
    <n v="74.45"/>
    <n v="2.1"/>
    <n v="2230"/>
    <n v="6329"/>
    <n v="8"/>
    <n v="-77659.259999999995"/>
    <n v="-3.3155115418556367"/>
    <n v="2342301"/>
    <n v="0.22642878364299288"/>
  </r>
  <r>
    <s v="P0377"/>
    <s v="Model_211"/>
    <x v="2"/>
    <x v="3"/>
    <x v="1"/>
    <s v="Q1"/>
    <n v="4779"/>
    <n v="3882"/>
    <n v="1630"/>
    <n v="365031"/>
    <n v="7.11"/>
    <n v="8"/>
    <n v="1.8"/>
    <n v="17.239999999999998"/>
    <n v="14.66"/>
    <n v="3.2"/>
    <n v="1556"/>
    <n v="8611"/>
    <n v="9"/>
    <n v="10397259.76"/>
    <n v="56.043639747525852"/>
    <n v="18552078"/>
    <n v="0.95676671709094863"/>
  </r>
  <r>
    <s v="P0378"/>
    <s v="Model_893"/>
    <x v="1"/>
    <x v="0"/>
    <x v="0"/>
    <s v="Q2"/>
    <n v="562"/>
    <n v="6584"/>
    <n v="2451"/>
    <n v="131442"/>
    <n v="8.41"/>
    <n v="6"/>
    <n v="2.81"/>
    <n v="21.93"/>
    <n v="83.69"/>
    <n v="3.9"/>
    <n v="3743"/>
    <n v="8627"/>
    <n v="10"/>
    <n v="2191282.0699999998"/>
    <n v="59.220510576702715"/>
    <n v="3700208"/>
    <n v="0.11251368382613793"/>
  </r>
  <r>
    <s v="P0379"/>
    <s v="Model_570"/>
    <x v="1"/>
    <x v="1"/>
    <x v="1"/>
    <s v="Q1"/>
    <n v="2899"/>
    <n v="18161"/>
    <n v="1936"/>
    <n v="99847"/>
    <n v="9.43"/>
    <n v="3"/>
    <n v="4.58"/>
    <n v="7.26"/>
    <n v="79.95"/>
    <n v="3.1"/>
    <n v="3201"/>
    <n v="2198"/>
    <n v="3"/>
    <n v="46936420.740000002"/>
    <n v="89.150132807549298"/>
    <n v="52648739"/>
    <n v="0.58038642244123462"/>
  </r>
  <r>
    <s v="P0380"/>
    <s v="Model_350"/>
    <x v="0"/>
    <x v="3"/>
    <x v="0"/>
    <s v="Q1"/>
    <n v="609"/>
    <n v="15007"/>
    <n v="3610"/>
    <n v="108653"/>
    <n v="10.33"/>
    <n v="18"/>
    <n v="4.75"/>
    <n v="2.0499999999999998"/>
    <n v="55.69"/>
    <n v="4.7"/>
    <n v="19170"/>
    <n v="7965"/>
    <n v="2"/>
    <n v="6832117.9500000002"/>
    <n v="74.755677235680821"/>
    <n v="9139263"/>
    <n v="0.12192319119238078"/>
  </r>
  <r>
    <s v="P0381"/>
    <s v="Model_406"/>
    <x v="0"/>
    <x v="3"/>
    <x v="0"/>
    <s v="Q2"/>
    <n v="3722"/>
    <n v="8559"/>
    <n v="9467"/>
    <n v="267144"/>
    <n v="3.8"/>
    <n v="18"/>
    <n v="7.83"/>
    <n v="7.46"/>
    <n v="10.72"/>
    <n v="4.8"/>
    <n v="9803"/>
    <n v="273"/>
    <n v="5"/>
    <n v="-3646727.46"/>
    <n v="-11.447322341199145"/>
    <n v="31856598"/>
    <n v="0.74515290249267851"/>
  </r>
  <r>
    <s v="P0382"/>
    <s v="Model_260"/>
    <x v="0"/>
    <x v="1"/>
    <x v="1"/>
    <s v="Q2"/>
    <n v="4633"/>
    <n v="19771"/>
    <n v="11802"/>
    <n v="303661"/>
    <n v="0.15"/>
    <n v="5"/>
    <n v="7.5"/>
    <n v="16.809999999999999"/>
    <n v="30.62"/>
    <n v="2.4"/>
    <n v="16600"/>
    <n v="9933"/>
    <n v="14"/>
    <n v="36616699.189999998"/>
    <n v="39.974980077029841"/>
    <n v="91599043"/>
    <n v="0.92753718357027937"/>
  </r>
  <r>
    <s v="P0383"/>
    <s v="Model_168"/>
    <x v="1"/>
    <x v="0"/>
    <x v="0"/>
    <s v="Q2"/>
    <n v="3393"/>
    <n v="14271"/>
    <n v="10318"/>
    <n v="368766"/>
    <n v="10.85"/>
    <n v="12"/>
    <n v="4.57"/>
    <n v="8.2200000000000006"/>
    <n v="42.55"/>
    <n v="4.0999999999999996"/>
    <n v="14498"/>
    <n v="600"/>
    <n v="6"/>
    <n v="13043754.779999999"/>
    <n v="26.937938667455242"/>
    <n v="48421503"/>
    <n v="0.6792863509289786"/>
  </r>
  <r>
    <s v="P0384"/>
    <s v="Model_135"/>
    <x v="2"/>
    <x v="0"/>
    <x v="1"/>
    <s v="Q1"/>
    <n v="4120"/>
    <n v="19149"/>
    <n v="14058"/>
    <n v="339954"/>
    <n v="8.0299999999999994"/>
    <n v="10"/>
    <n v="8.4600000000000009"/>
    <n v="6.95"/>
    <n v="46.81"/>
    <n v="4"/>
    <n v="10893"/>
    <n v="3746"/>
    <n v="11"/>
    <n v="20634959.050000001"/>
    <n v="26.155335559615018"/>
    <n v="78893880"/>
    <n v="0.82483341167916058"/>
  </r>
  <r>
    <s v="P0385"/>
    <s v="Model_236"/>
    <x v="0"/>
    <x v="3"/>
    <x v="1"/>
    <s v="Q2"/>
    <n v="4849"/>
    <n v="8991"/>
    <n v="1819"/>
    <n v="127842"/>
    <n v="12.54"/>
    <n v="12"/>
    <n v="1.1399999999999999"/>
    <n v="4.6100000000000003"/>
    <n v="33.81"/>
    <n v="4.5999999999999996"/>
    <n v="2447"/>
    <n v="6319"/>
    <n v="13"/>
    <n v="34649181.390000001"/>
    <n v="79.475413613930144"/>
    <n v="43597359"/>
    <n v="0.97078087699811888"/>
  </r>
  <r>
    <s v="P0386"/>
    <s v="Model_502"/>
    <x v="0"/>
    <x v="1"/>
    <x v="0"/>
    <s v="Q4"/>
    <n v="1520"/>
    <n v="16027"/>
    <n v="6037"/>
    <n v="434369"/>
    <n v="12.32"/>
    <n v="12"/>
    <n v="2.5499999999999998"/>
    <n v="12.44"/>
    <n v="12.64"/>
    <n v="2.8"/>
    <n v="8053"/>
    <n v="2463"/>
    <n v="2"/>
    <n v="14750418.560000001"/>
    <n v="60.54921530443692"/>
    <n v="24361040"/>
    <n v="0.30430747226998156"/>
  </r>
  <r>
    <s v="P0387"/>
    <s v="Model_736"/>
    <x v="0"/>
    <x v="1"/>
    <x v="1"/>
    <s v="Q2"/>
    <n v="630"/>
    <n v="18924"/>
    <n v="10828"/>
    <n v="322647"/>
    <n v="12.65"/>
    <n v="19"/>
    <n v="8.2799999999999994"/>
    <n v="6.9"/>
    <n v="57.21"/>
    <n v="3.1"/>
    <n v="2257"/>
    <n v="7640"/>
    <n v="6"/>
    <n v="4777826.0999999996"/>
    <n v="40.07530623748125"/>
    <n v="11922120"/>
    <n v="0.12612743916453184"/>
  </r>
  <r>
    <s v="P0388"/>
    <s v="Model_833"/>
    <x v="0"/>
    <x v="0"/>
    <x v="1"/>
    <s v="Q2"/>
    <n v="2344"/>
    <n v="16359"/>
    <n v="13248"/>
    <n v="134761"/>
    <n v="7.28"/>
    <n v="14"/>
    <n v="3.78"/>
    <n v="18.28"/>
    <n v="51.93"/>
    <n v="2.7"/>
    <n v="16366"/>
    <n v="1996"/>
    <n v="7"/>
    <n v="7157404.7199999997"/>
    <n v="18.665568232576778"/>
    <n v="38345496"/>
    <n v="0.46927415460581368"/>
  </r>
  <r>
    <s v="P0389"/>
    <s v="Model_533"/>
    <x v="2"/>
    <x v="3"/>
    <x v="1"/>
    <s v="Q4"/>
    <n v="3197"/>
    <n v="9573"/>
    <n v="11440"/>
    <n v="480192"/>
    <n v="5"/>
    <n v="12"/>
    <n v="9.81"/>
    <n v="1.92"/>
    <n v="32.64"/>
    <n v="4.4000000000000004"/>
    <n v="13080"/>
    <n v="5859"/>
    <n v="4"/>
    <n v="-6448992.9199999999"/>
    <n v="-21.071779106084417"/>
    <n v="30604881"/>
    <n v="0.640046703188902"/>
  </r>
  <r>
    <s v="P0390"/>
    <s v="Model_918"/>
    <x v="0"/>
    <x v="3"/>
    <x v="1"/>
    <s v="Q1"/>
    <n v="4299"/>
    <n v="10577"/>
    <n v="13285"/>
    <n v="438583"/>
    <n v="11.87"/>
    <n v="10"/>
    <n v="4.66"/>
    <n v="16.600000000000001"/>
    <n v="13.04"/>
    <n v="1.9"/>
    <n v="7151"/>
    <n v="1878"/>
    <n v="13"/>
    <n v="-12080291.6"/>
    <n v="-26.567302953607992"/>
    <n v="45470523"/>
    <n v="0.86066962058463869"/>
  </r>
  <r>
    <s v="P0391"/>
    <s v="Model_978"/>
    <x v="2"/>
    <x v="0"/>
    <x v="1"/>
    <s v="Q3"/>
    <n v="1729"/>
    <n v="12883"/>
    <n v="2083"/>
    <n v="323734"/>
    <n v="6.77"/>
    <n v="18"/>
    <n v="7.92"/>
    <n v="5.94"/>
    <n v="89.57"/>
    <n v="2"/>
    <n v="8773"/>
    <n v="3157"/>
    <n v="8"/>
    <n v="18349460.059999999"/>
    <n v="82.378008653492046"/>
    <n v="22274707"/>
    <n v="0.34614974970710405"/>
  </r>
  <r>
    <s v="P0392"/>
    <s v="Model_835"/>
    <x v="2"/>
    <x v="2"/>
    <x v="1"/>
    <s v="Q2"/>
    <n v="3556"/>
    <n v="17878"/>
    <n v="1459"/>
    <n v="191958"/>
    <n v="2.75"/>
    <n v="7"/>
    <n v="4.0199999999999996"/>
    <n v="12.23"/>
    <n v="48.56"/>
    <n v="2.5"/>
    <n v="11533"/>
    <n v="5290"/>
    <n v="7"/>
    <n v="58193993.770000003"/>
    <n v="91.537169263465628"/>
    <n v="63574168"/>
    <n v="0.71191932328424634"/>
  </r>
  <r>
    <s v="P0393"/>
    <s v="Model_211"/>
    <x v="0"/>
    <x v="3"/>
    <x v="1"/>
    <s v="Q2"/>
    <n v="2794"/>
    <n v="3853"/>
    <n v="14863"/>
    <n v="456082"/>
    <n v="12.82"/>
    <n v="19"/>
    <n v="4.25"/>
    <n v="7.15"/>
    <n v="70.48"/>
    <n v="1.9"/>
    <n v="5035"/>
    <n v="7097"/>
    <n v="5"/>
    <n v="-31218029.149999999"/>
    <n v="-289.98802957507286"/>
    <n v="10765282"/>
    <n v="0.55936518258047929"/>
  </r>
  <r>
    <s v="P0394"/>
    <s v="Model_100"/>
    <x v="0"/>
    <x v="3"/>
    <x v="0"/>
    <s v="Q3"/>
    <n v="3406"/>
    <n v="6299"/>
    <n v="14158"/>
    <n v="378768"/>
    <n v="13.24"/>
    <n v="7"/>
    <n v="3.83"/>
    <n v="18.07"/>
    <n v="46.19"/>
    <n v="3.2"/>
    <n v="20177"/>
    <n v="4847"/>
    <n v="4"/>
    <n v="-27146540.07"/>
    <n v="-126.53137660285347"/>
    <n v="21454394"/>
    <n v="0.68188898062602454"/>
  </r>
  <r>
    <s v="P0395"/>
    <s v="Model_437"/>
    <x v="0"/>
    <x v="2"/>
    <x v="1"/>
    <s v="Q4"/>
    <n v="4095"/>
    <n v="18570"/>
    <n v="2810"/>
    <n v="213864"/>
    <n v="6.99"/>
    <n v="9"/>
    <n v="7.19"/>
    <n v="23.63"/>
    <n v="13.45"/>
    <n v="1.5"/>
    <n v="18988"/>
    <n v="9386"/>
    <n v="6"/>
    <n v="64323312.369999997"/>
    <n v="84.58679907658906"/>
    <n v="76044150"/>
    <n v="0.81982835456945691"/>
  </r>
  <r>
    <s v="P0396"/>
    <s v="Model_906"/>
    <x v="2"/>
    <x v="0"/>
    <x v="1"/>
    <s v="Q4"/>
    <n v="1293"/>
    <n v="13439"/>
    <n v="9390"/>
    <n v="452980"/>
    <n v="1.1399999999999999"/>
    <n v="15"/>
    <n v="5.48"/>
    <n v="22.93"/>
    <n v="34.770000000000003"/>
    <n v="2.2999999999999998"/>
    <n v="10353"/>
    <n v="145"/>
    <n v="4"/>
    <n v="4782354.07"/>
    <n v="27.521762825432116"/>
    <n v="17376627"/>
    <n v="0.25886155371387248"/>
  </r>
  <r>
    <s v="P0397"/>
    <s v="Model_220"/>
    <x v="2"/>
    <x v="0"/>
    <x v="1"/>
    <s v="Q4"/>
    <n v="3168"/>
    <n v="3928"/>
    <n v="2533"/>
    <n v="306910"/>
    <n v="5.82"/>
    <n v="18"/>
    <n v="9.44"/>
    <n v="14.59"/>
    <n v="35.61"/>
    <n v="4.7"/>
    <n v="2408"/>
    <n v="7858"/>
    <n v="11"/>
    <n v="4112435.41"/>
    <n v="33.047791191574603"/>
    <n v="12443904"/>
    <n v="0.63424083694164579"/>
  </r>
  <r>
    <s v="P0398"/>
    <s v="Model_593"/>
    <x v="1"/>
    <x v="1"/>
    <x v="0"/>
    <s v="Q3"/>
    <n v="2191"/>
    <n v="12796"/>
    <n v="14670"/>
    <n v="170356"/>
    <n v="12.05"/>
    <n v="10"/>
    <n v="2.5099999999999998"/>
    <n v="11.57"/>
    <n v="77.069999999999993"/>
    <n v="2.6"/>
    <n v="6117"/>
    <n v="9737"/>
    <n v="10"/>
    <n v="-4276301.57"/>
    <n v="-15.252875156816037"/>
    <n v="28036036"/>
    <n v="0.43864320509442739"/>
  </r>
  <r>
    <s v="P0399"/>
    <s v="Model_788"/>
    <x v="2"/>
    <x v="0"/>
    <x v="0"/>
    <s v="Q3"/>
    <n v="3109"/>
    <n v="9313"/>
    <n v="2925"/>
    <n v="267228"/>
    <n v="13.53"/>
    <n v="12"/>
    <n v="1.01"/>
    <n v="20.46"/>
    <n v="62.34"/>
    <n v="4"/>
    <n v="11548"/>
    <n v="7153"/>
    <n v="10"/>
    <n v="19593043.539999999"/>
    <n v="67.66928357718524"/>
    <n v="28954117"/>
    <n v="0.62242890216274516"/>
  </r>
  <r>
    <s v="P0400"/>
    <s v="Model_333"/>
    <x v="1"/>
    <x v="3"/>
    <x v="1"/>
    <s v="Q1"/>
    <n v="4598"/>
    <n v="15914"/>
    <n v="2971"/>
    <n v="92727"/>
    <n v="3.05"/>
    <n v="8"/>
    <n v="3.93"/>
    <n v="17.079999999999998"/>
    <n v="32.03"/>
    <n v="1.5"/>
    <n v="3811"/>
    <n v="3301"/>
    <n v="7"/>
    <n v="59419169.920000002"/>
    <n v="81.204156551993279"/>
    <n v="73172572"/>
    <n v="0.9205301036166943"/>
  </r>
  <r>
    <s v="P0401"/>
    <s v="Model_430"/>
    <x v="1"/>
    <x v="3"/>
    <x v="0"/>
    <s v="Q2"/>
    <n v="3009"/>
    <n v="13301"/>
    <n v="9066"/>
    <n v="390615"/>
    <n v="1"/>
    <n v="19"/>
    <n v="6.17"/>
    <n v="4.59"/>
    <n v="87.42"/>
    <n v="2"/>
    <n v="17520"/>
    <n v="555"/>
    <n v="14"/>
    <n v="12352495.41"/>
    <n v="30.86371642159455"/>
    <n v="40022709"/>
    <n v="0.60240867372393059"/>
  </r>
  <r>
    <s v="P0402"/>
    <s v="Model_575"/>
    <x v="1"/>
    <x v="3"/>
    <x v="0"/>
    <s v="Q4"/>
    <n v="2315"/>
    <n v="13245"/>
    <n v="13689"/>
    <n v="58068"/>
    <n v="13.16"/>
    <n v="18"/>
    <n v="8.61"/>
    <n v="20.52"/>
    <n v="35.72"/>
    <n v="4.2"/>
    <n v="18673"/>
    <n v="9954"/>
    <n v="12"/>
    <n v="-1085948.52"/>
    <n v="-3.5416552152611485"/>
    <n v="30662175"/>
    <n v="0.46346828835855747"/>
  </r>
  <r>
    <s v="P0403"/>
    <s v="Model_613"/>
    <x v="0"/>
    <x v="1"/>
    <x v="1"/>
    <s v="Q1"/>
    <n v="2529"/>
    <n v="14525"/>
    <n v="4271"/>
    <n v="166923"/>
    <n v="5.84"/>
    <n v="15"/>
    <n v="3.46"/>
    <n v="10.72"/>
    <n v="89.86"/>
    <n v="4.0999999999999996"/>
    <n v="15085"/>
    <n v="3024"/>
    <n v="7"/>
    <n v="25765432.280000001"/>
    <n v="70.141082288823156"/>
    <n v="36733725"/>
    <n v="0.50631157721762066"/>
  </r>
  <r>
    <s v="P0404"/>
    <s v="Model_202"/>
    <x v="2"/>
    <x v="2"/>
    <x v="0"/>
    <s v="Q3"/>
    <n v="4696"/>
    <n v="4856"/>
    <n v="9828"/>
    <n v="450511"/>
    <n v="8.1300000000000008"/>
    <n v="6"/>
    <n v="6.54"/>
    <n v="4.72"/>
    <n v="89.69"/>
    <n v="2.5"/>
    <n v="15517"/>
    <n v="7898"/>
    <n v="13"/>
    <n v="-23799027.719999999"/>
    <n v="-104.3644163142104"/>
    <n v="22803776"/>
    <n v="0.94014992748673254"/>
  </r>
  <r>
    <s v="P0405"/>
    <s v="Model_391"/>
    <x v="1"/>
    <x v="1"/>
    <x v="0"/>
    <s v="Q4"/>
    <n v="1685"/>
    <n v="15788"/>
    <n v="6424"/>
    <n v="484376"/>
    <n v="14.52"/>
    <n v="18"/>
    <n v="3.5"/>
    <n v="7.04"/>
    <n v="25.3"/>
    <n v="4.8"/>
    <n v="18055"/>
    <n v="1065"/>
    <n v="5"/>
    <n v="15293956.960000001"/>
    <n v="57.490070436247642"/>
    <n v="26602780"/>
    <n v="0.33734084919402563"/>
  </r>
  <r>
    <s v="P0406"/>
    <s v="Model_626"/>
    <x v="0"/>
    <x v="3"/>
    <x v="0"/>
    <s v="Q4"/>
    <n v="1807"/>
    <n v="8040"/>
    <n v="9491"/>
    <n v="61390"/>
    <n v="1"/>
    <n v="11"/>
    <n v="6.17"/>
    <n v="6.69"/>
    <n v="35.020000000000003"/>
    <n v="4.5999999999999996"/>
    <n v="14052"/>
    <n v="5064"/>
    <n v="5"/>
    <n v="-2683353.69"/>
    <n v="-18.469864911744541"/>
    <n v="14528280"/>
    <n v="0.36176552788937938"/>
  </r>
  <r>
    <s v="P0407"/>
    <s v="Model_521"/>
    <x v="0"/>
    <x v="3"/>
    <x v="0"/>
    <s v="Q1"/>
    <n v="4502"/>
    <n v="17922"/>
    <n v="14684"/>
    <n v="156752"/>
    <n v="9.7200000000000006"/>
    <n v="14"/>
    <n v="8.85"/>
    <n v="12.98"/>
    <n v="48.88"/>
    <n v="4.8"/>
    <n v="14837"/>
    <n v="1628"/>
    <n v="3"/>
    <n v="14420711.02"/>
    <n v="17.872887031918903"/>
    <n v="80684844"/>
    <n v="0.90131068431543226"/>
  </r>
  <r>
    <s v="P0408"/>
    <s v="Model_393"/>
    <x v="0"/>
    <x v="0"/>
    <x v="0"/>
    <s v="Q2"/>
    <n v="2120"/>
    <n v="4842"/>
    <n v="9129"/>
    <n v="463347"/>
    <n v="1.1100000000000001"/>
    <n v="13"/>
    <n v="2.31"/>
    <n v="5.86"/>
    <n v="63.13"/>
    <n v="2.7"/>
    <n v="3385"/>
    <n v="3076"/>
    <n v="11"/>
    <n v="-9551792.8599999994"/>
    <n v="-93.051686695814141"/>
    <n v="10265040"/>
    <n v="0.42442884290286903"/>
  </r>
  <r>
    <s v="P0409"/>
    <s v="Model_195"/>
    <x v="2"/>
    <x v="2"/>
    <x v="0"/>
    <s v="Q1"/>
    <n v="2899"/>
    <n v="10578"/>
    <n v="2897"/>
    <n v="406898"/>
    <n v="5.63"/>
    <n v="10"/>
    <n v="4.04"/>
    <n v="3.09"/>
    <n v="52.24"/>
    <n v="1.8"/>
    <n v="2549"/>
    <n v="3171"/>
    <n v="5"/>
    <n v="21860317.91"/>
    <n v="71.286073734294391"/>
    <n v="30665622"/>
    <n v="0.58038642244123462"/>
  </r>
  <r>
    <s v="P0410"/>
    <s v="Model_319"/>
    <x v="2"/>
    <x v="1"/>
    <x v="1"/>
    <s v="Q3"/>
    <n v="3301"/>
    <n v="4344"/>
    <n v="14882"/>
    <n v="388113"/>
    <n v="12.06"/>
    <n v="9"/>
    <n v="9.93"/>
    <n v="3.09"/>
    <n v="87.56"/>
    <n v="3.5"/>
    <n v="12003"/>
    <n v="4969"/>
    <n v="9"/>
    <n v="-35174054.090000004"/>
    <n v="-245.29409087206679"/>
    <n v="14339544"/>
    <n v="0.66086774076526922"/>
  </r>
  <r>
    <s v="P0411"/>
    <s v="Model_769"/>
    <x v="2"/>
    <x v="3"/>
    <x v="1"/>
    <s v="Q3"/>
    <n v="3780"/>
    <n v="11896"/>
    <n v="5868"/>
    <n v="196110"/>
    <n v="6.5"/>
    <n v="10"/>
    <n v="8.69"/>
    <n v="14.58"/>
    <n v="67.92"/>
    <n v="3.7"/>
    <n v="2661"/>
    <n v="6487"/>
    <n v="14"/>
    <n v="22589715.420000002"/>
    <n v="50.236341547378871"/>
    <n v="44966880"/>
    <n v="0.75676463498719104"/>
  </r>
  <r>
    <s v="P0412"/>
    <s v="Model_800"/>
    <x v="0"/>
    <x v="2"/>
    <x v="1"/>
    <s v="Q3"/>
    <n v="2539"/>
    <n v="18982"/>
    <n v="14730"/>
    <n v="495543"/>
    <n v="14.96"/>
    <n v="5"/>
    <n v="5.65"/>
    <n v="18.37"/>
    <n v="26.96"/>
    <n v="1.5"/>
    <n v="2315"/>
    <n v="2621"/>
    <n v="11"/>
    <n v="10300266.630000001"/>
    <n v="21.371932652019293"/>
    <n v="48195298"/>
    <n v="0.50831360006150206"/>
  </r>
  <r>
    <s v="P0413"/>
    <s v="Model_978"/>
    <x v="1"/>
    <x v="1"/>
    <x v="1"/>
    <s v="Q2"/>
    <n v="1681"/>
    <n v="19707"/>
    <n v="12688"/>
    <n v="274790"/>
    <n v="8.39"/>
    <n v="1"/>
    <n v="5.17"/>
    <n v="8.0399999999999991"/>
    <n v="18.41"/>
    <n v="4.0999999999999996"/>
    <n v="5266"/>
    <n v="6625"/>
    <n v="3"/>
    <n v="11524140.960000001"/>
    <n v="34.787268703640997"/>
    <n v="33127467"/>
    <n v="0.33654004005647303"/>
  </r>
  <r>
    <s v="P0414"/>
    <s v="Model_159"/>
    <x v="2"/>
    <x v="1"/>
    <x v="1"/>
    <s v="Q2"/>
    <n v="2866"/>
    <n v="15498"/>
    <n v="10877"/>
    <n v="389208"/>
    <n v="4.82"/>
    <n v="10"/>
    <n v="2.85"/>
    <n v="0.87"/>
    <n v="65.069999999999993"/>
    <n v="1.1000000000000001"/>
    <n v="4739"/>
    <n v="1226"/>
    <n v="10"/>
    <n v="12854577.130000001"/>
    <n v="28.940494786847314"/>
    <n v="44417268"/>
    <n v="0.57377974705642576"/>
  </r>
  <r>
    <s v="P0415"/>
    <s v="Model_158"/>
    <x v="1"/>
    <x v="0"/>
    <x v="1"/>
    <s v="Q1"/>
    <n v="1065"/>
    <n v="14761"/>
    <n v="7197"/>
    <n v="71281"/>
    <n v="3.3"/>
    <n v="18"/>
    <n v="5.17"/>
    <n v="3.18"/>
    <n v="22.68"/>
    <n v="2.9"/>
    <n v="15442"/>
    <n v="6732"/>
    <n v="2"/>
    <n v="7984375.8200000003"/>
    <n v="50.789692416859175"/>
    <n v="15720465"/>
    <n v="0.21321543287337524"/>
  </r>
  <r>
    <s v="P0416"/>
    <s v="Model_453"/>
    <x v="1"/>
    <x v="1"/>
    <x v="1"/>
    <s v="Q4"/>
    <n v="1398"/>
    <n v="4593"/>
    <n v="3557"/>
    <n v="104189"/>
    <n v="5.26"/>
    <n v="5"/>
    <n v="8.48"/>
    <n v="22.87"/>
    <n v="73.010000000000005"/>
    <n v="2.2999999999999998"/>
    <n v="9772"/>
    <n v="5873"/>
    <n v="14"/>
    <n v="1344116.13"/>
    <n v="20.933082064608485"/>
    <n v="6421014"/>
    <n v="0.27988279357462781"/>
  </r>
  <r>
    <s v="P0417"/>
    <s v="Model_287"/>
    <x v="2"/>
    <x v="3"/>
    <x v="0"/>
    <s v="Q3"/>
    <n v="4661"/>
    <n v="13222"/>
    <n v="4720"/>
    <n v="312093"/>
    <n v="5.59"/>
    <n v="13"/>
    <n v="6.85"/>
    <n v="12.34"/>
    <n v="34.880000000000003"/>
    <n v="4"/>
    <n v="20688"/>
    <n v="7816"/>
    <n v="3"/>
    <n v="39315716.659999996"/>
    <n v="63.795484604968969"/>
    <n v="61627742"/>
    <n v="0.93314284753314747"/>
  </r>
  <r>
    <s v="P0418"/>
    <s v="Model_364"/>
    <x v="1"/>
    <x v="1"/>
    <x v="1"/>
    <s v="Q1"/>
    <n v="3137"/>
    <n v="13145"/>
    <n v="8986"/>
    <n v="360655"/>
    <n v="1.03"/>
    <n v="19"/>
    <n v="2.9"/>
    <n v="11.34"/>
    <n v="36.15"/>
    <n v="2.2999999999999998"/>
    <n v="2369"/>
    <n v="3504"/>
    <n v="3"/>
    <n v="12686116.66"/>
    <n v="30.764764265282174"/>
    <n v="41235865"/>
    <n v="0.62803456612561326"/>
  </r>
  <r>
    <s v="P0419"/>
    <s v="Model_880"/>
    <x v="1"/>
    <x v="3"/>
    <x v="0"/>
    <s v="Q3"/>
    <n v="2889"/>
    <n v="16583"/>
    <n v="2700"/>
    <n v="172115"/>
    <n v="5.54"/>
    <n v="5"/>
    <n v="2.0099999999999998"/>
    <n v="0.95"/>
    <n v="10.86"/>
    <n v="4.3"/>
    <n v="7026"/>
    <n v="4592"/>
    <n v="12"/>
    <n v="39935871.049999997"/>
    <n v="83.35900436181322"/>
    <n v="47908287"/>
    <n v="0.5783843995973531"/>
  </r>
  <r>
    <s v="P0420"/>
    <s v="Model_581"/>
    <x v="1"/>
    <x v="2"/>
    <x v="1"/>
    <s v="Q2"/>
    <n v="385"/>
    <n v="2488"/>
    <n v="3410"/>
    <n v="58605"/>
    <n v="6.96"/>
    <n v="16"/>
    <n v="2.65"/>
    <n v="18.22"/>
    <n v="66.08"/>
    <n v="3.4"/>
    <n v="9241"/>
    <n v="2443"/>
    <n v="14"/>
    <n v="-413593.22"/>
    <n v="-43.177978452415751"/>
    <n v="957880"/>
    <n v="7.7077879489436119E-2"/>
  </r>
  <r>
    <s v="P0421"/>
    <s v="Model_572"/>
    <x v="2"/>
    <x v="0"/>
    <x v="1"/>
    <s v="Q2"/>
    <n v="4642"/>
    <n v="7946"/>
    <n v="7700"/>
    <n v="412462"/>
    <n v="10.84"/>
    <n v="9"/>
    <n v="1.7"/>
    <n v="13.2"/>
    <n v="19.059999999999999"/>
    <n v="4.2"/>
    <n v="6194"/>
    <n v="206"/>
    <n v="7"/>
    <n v="729456.8"/>
    <n v="1.977633819318747"/>
    <n v="36885332"/>
    <n v="0.92933900412977266"/>
  </r>
  <r>
    <s v="P0422"/>
    <s v="Model_255"/>
    <x v="0"/>
    <x v="0"/>
    <x v="0"/>
    <s v="Q2"/>
    <n v="945"/>
    <n v="17835"/>
    <n v="12978"/>
    <n v="444597"/>
    <n v="9.85"/>
    <n v="0"/>
    <n v="0.96"/>
    <n v="5.05"/>
    <n v="71.83"/>
    <n v="5"/>
    <n v="3434"/>
    <n v="3254"/>
    <n v="8"/>
    <n v="4145262.95"/>
    <n v="24.595019008756044"/>
    <n v="16854075"/>
    <n v="0.18919115874679776"/>
  </r>
  <r>
    <s v="P0423"/>
    <s v="Model_154"/>
    <x v="2"/>
    <x v="0"/>
    <x v="0"/>
    <s v="Q3"/>
    <n v="3596"/>
    <n v="17633"/>
    <n v="2249"/>
    <n v="331954"/>
    <n v="10.63"/>
    <n v="2"/>
    <n v="4.1900000000000004"/>
    <n v="2.75"/>
    <n v="49.35"/>
    <n v="3.7"/>
    <n v="18587"/>
    <n v="4153"/>
    <n v="14"/>
    <n v="54988907.25"/>
    <n v="86.721982770448804"/>
    <n v="63408268"/>
    <n v="0.71992741465977217"/>
  </r>
  <r>
    <s v="P0424"/>
    <s v="Model_186"/>
    <x v="2"/>
    <x v="0"/>
    <x v="0"/>
    <s v="Q3"/>
    <n v="901"/>
    <n v="3182"/>
    <n v="9538"/>
    <n v="299415"/>
    <n v="0.13"/>
    <n v="7"/>
    <n v="1.1299999999999999"/>
    <n v="9.58"/>
    <n v="72.739999999999995"/>
    <n v="4.9000000000000004"/>
    <n v="17818"/>
    <n v="4901"/>
    <n v="4"/>
    <n v="-6026180.5800000001"/>
    <n v="-210.19248045505691"/>
    <n v="2866982"/>
    <n v="0.18038225823371934"/>
  </r>
  <r>
    <s v="P0425"/>
    <s v="Model_157"/>
    <x v="1"/>
    <x v="1"/>
    <x v="1"/>
    <s v="Q2"/>
    <n v="1737"/>
    <n v="7126"/>
    <n v="5817"/>
    <n v="205394"/>
    <n v="3.27"/>
    <n v="7"/>
    <n v="1.72"/>
    <n v="20.93"/>
    <n v="56.71"/>
    <n v="1.1000000000000001"/>
    <n v="20407"/>
    <n v="6239"/>
    <n v="12"/>
    <n v="2068318.07"/>
    <n v="16.70981684882252"/>
    <n v="12377862"/>
    <n v="0.34775136798220918"/>
  </r>
  <r>
    <s v="P0426"/>
    <s v="Model_297"/>
    <x v="2"/>
    <x v="2"/>
    <x v="0"/>
    <s v="Q4"/>
    <n v="1981"/>
    <n v="8924"/>
    <n v="13668"/>
    <n v="91869"/>
    <n v="9.93"/>
    <n v="19"/>
    <n v="5.47"/>
    <n v="21.63"/>
    <n v="16.59"/>
    <n v="2.4"/>
    <n v="20523"/>
    <n v="5680"/>
    <n v="10"/>
    <n v="-9489754.6300000008"/>
    <n v="-53.679807057679966"/>
    <n v="17678444"/>
    <n v="0.3966007253729168"/>
  </r>
  <r>
    <s v="P0427"/>
    <s v="Model_416"/>
    <x v="1"/>
    <x v="3"/>
    <x v="1"/>
    <s v="Q2"/>
    <n v="3796"/>
    <n v="14357"/>
    <n v="14460"/>
    <n v="82955"/>
    <n v="7.26"/>
    <n v="14"/>
    <n v="1.65"/>
    <n v="15.07"/>
    <n v="71.25"/>
    <n v="1.4"/>
    <n v="7659"/>
    <n v="314"/>
    <n v="6"/>
    <n v="-473958.07"/>
    <n v="-0.86966104732747129"/>
    <n v="54499172"/>
    <n v="0.75996787153740131"/>
  </r>
  <r>
    <s v="P0428"/>
    <s v="Model_814"/>
    <x v="1"/>
    <x v="3"/>
    <x v="0"/>
    <s v="Q3"/>
    <n v="2477"/>
    <n v="13655"/>
    <n v="8799"/>
    <n v="111388"/>
    <n v="0.08"/>
    <n v="6"/>
    <n v="0.64"/>
    <n v="18.190000000000001"/>
    <n v="15.58"/>
    <n v="2"/>
    <n v="17219"/>
    <n v="5500"/>
    <n v="6"/>
    <n v="11916905.810000001"/>
    <n v="35.23268943559399"/>
    <n v="33823435"/>
    <n v="0.49590105842943705"/>
  </r>
  <r>
    <s v="P0429"/>
    <s v="Model_288"/>
    <x v="0"/>
    <x v="2"/>
    <x v="0"/>
    <s v="Q1"/>
    <n v="1618"/>
    <n v="18817"/>
    <n v="6852"/>
    <n v="291324"/>
    <n v="12.07"/>
    <n v="10"/>
    <n v="3.17"/>
    <n v="2.88"/>
    <n v="48.3"/>
    <n v="4.4000000000000004"/>
    <n v="14493"/>
    <n v="6975"/>
    <n v="12"/>
    <n v="19068043.120000001"/>
    <n v="62.629251762125257"/>
    <n v="30445906"/>
    <n v="0.32392729614001986"/>
  </r>
  <r>
    <s v="P0430"/>
    <s v="Model_430"/>
    <x v="1"/>
    <x v="3"/>
    <x v="1"/>
    <s v="Q1"/>
    <n v="4050"/>
    <n v="12925"/>
    <n v="10995"/>
    <n v="60207"/>
    <n v="11.59"/>
    <n v="6"/>
    <n v="2.2000000000000002"/>
    <n v="14.7"/>
    <n v="23.79"/>
    <n v="1.1000000000000001"/>
    <n v="15313"/>
    <n v="4389"/>
    <n v="13"/>
    <n v="7756278.2999999998"/>
    <n v="14.817256823554695"/>
    <n v="52346250"/>
    <n v="0.81081925177199032"/>
  </r>
  <r>
    <s v="P0431"/>
    <s v="Model_641"/>
    <x v="2"/>
    <x v="3"/>
    <x v="0"/>
    <s v="Q4"/>
    <n v="2788"/>
    <n v="3480"/>
    <n v="2896"/>
    <n v="268401"/>
    <n v="8.23"/>
    <n v="3"/>
    <n v="5.15"/>
    <n v="16.670000000000002"/>
    <n v="70.19"/>
    <n v="3.1"/>
    <n v="2664"/>
    <n v="4353"/>
    <n v="5"/>
    <n v="1359774.33"/>
    <n v="14.015055595408896"/>
    <n v="9702240"/>
    <n v="0.55816396887415043"/>
  </r>
  <r>
    <s v="P0432"/>
    <s v="Model_488"/>
    <x v="1"/>
    <x v="0"/>
    <x v="1"/>
    <s v="Q4"/>
    <n v="3548"/>
    <n v="17022"/>
    <n v="9695"/>
    <n v="209292"/>
    <n v="1"/>
    <n v="11"/>
    <n v="1.02"/>
    <n v="5.0199999999999996"/>
    <n v="82.93"/>
    <n v="3.3"/>
    <n v="2119"/>
    <n v="8756"/>
    <n v="10"/>
    <n v="25786898.98"/>
    <n v="42.697743267979881"/>
    <n v="60394056"/>
    <n v="0.71031770500914115"/>
  </r>
  <r>
    <s v="P0433"/>
    <s v="Model_443"/>
    <x v="1"/>
    <x v="1"/>
    <x v="0"/>
    <s v="Q3"/>
    <n v="3963"/>
    <n v="10484"/>
    <n v="7204"/>
    <n v="255157"/>
    <n v="11.5"/>
    <n v="5"/>
    <n v="7.52"/>
    <n v="22"/>
    <n v="54.33"/>
    <n v="3.2"/>
    <n v="9482"/>
    <n v="6347"/>
    <n v="9"/>
    <n v="12743461"/>
    <n v="30.671591369346153"/>
    <n v="41548092"/>
    <n v="0.7934016530302217"/>
  </r>
  <r>
    <s v="P0434"/>
    <s v="Model_394"/>
    <x v="0"/>
    <x v="0"/>
    <x v="1"/>
    <s v="Q1"/>
    <n v="1116"/>
    <n v="18675"/>
    <n v="11395"/>
    <n v="72031"/>
    <n v="8.76"/>
    <n v="13"/>
    <n v="9.06"/>
    <n v="4.87"/>
    <n v="52.17"/>
    <n v="2.9"/>
    <n v="4566"/>
    <n v="6277"/>
    <n v="13"/>
    <n v="8052444.1299999999"/>
    <n v="38.636957051623462"/>
    <n v="20841300"/>
    <n v="0.22342574937717069"/>
  </r>
  <r>
    <s v="P0435"/>
    <s v="Model_865"/>
    <x v="0"/>
    <x v="3"/>
    <x v="0"/>
    <s v="Q4"/>
    <n v="4430"/>
    <n v="17383"/>
    <n v="10617"/>
    <n v="392951"/>
    <n v="11.73"/>
    <n v="11"/>
    <n v="7.43"/>
    <n v="7.84"/>
    <n v="71.12"/>
    <n v="4.2"/>
    <n v="10138"/>
    <n v="7369"/>
    <n v="5"/>
    <n v="29580421.16"/>
    <n v="38.41279395335652"/>
    <n v="77006690"/>
    <n v="0.8868961198394858"/>
  </r>
  <r>
    <s v="P0436"/>
    <s v="Model_305"/>
    <x v="2"/>
    <x v="1"/>
    <x v="0"/>
    <s v="Q4"/>
    <n v="2494"/>
    <n v="6890"/>
    <n v="4131"/>
    <n v="121312"/>
    <n v="11.28"/>
    <n v="10"/>
    <n v="5.33"/>
    <n v="15.51"/>
    <n v="10.41"/>
    <n v="1.5"/>
    <n v="3837"/>
    <n v="2472"/>
    <n v="5"/>
    <n v="6759618.4900000002"/>
    <n v="39.337478104198993"/>
    <n v="17183660"/>
    <n v="0.49930449726403553"/>
  </r>
  <r>
    <s v="P0437"/>
    <s v="Model_854"/>
    <x v="0"/>
    <x v="1"/>
    <x v="1"/>
    <s v="Q1"/>
    <n v="4157"/>
    <n v="3107"/>
    <n v="13725"/>
    <n v="109766"/>
    <n v="12.05"/>
    <n v="18"/>
    <n v="8.61"/>
    <n v="15.96"/>
    <n v="83.42"/>
    <n v="2.2000000000000002"/>
    <n v="7094"/>
    <n v="6934"/>
    <n v="3"/>
    <n v="-44248807.960000001"/>
    <n v="-342.59442996906347"/>
    <n v="12915799"/>
    <n v="0.83224089620152197"/>
  </r>
  <r>
    <s v="P0438"/>
    <s v="Model_986"/>
    <x v="1"/>
    <x v="0"/>
    <x v="0"/>
    <s v="Q4"/>
    <n v="3423"/>
    <n v="8073"/>
    <n v="8262"/>
    <n v="193521"/>
    <n v="7.77"/>
    <n v="4"/>
    <n v="6.95"/>
    <n v="17.48"/>
    <n v="25.8"/>
    <n v="3.5"/>
    <n v="3960"/>
    <n v="8883"/>
    <n v="10"/>
    <n v="-840485.48"/>
    <n v="-3.0415038004617445"/>
    <n v="27633879"/>
    <n v="0.68529241946062291"/>
  </r>
  <r>
    <s v="P0439"/>
    <s v="Model_397"/>
    <x v="0"/>
    <x v="3"/>
    <x v="1"/>
    <s v="Q1"/>
    <n v="4019"/>
    <n v="18868"/>
    <n v="5905"/>
    <n v="401977"/>
    <n v="2.1"/>
    <n v="13"/>
    <n v="0.11"/>
    <n v="2.8"/>
    <n v="88.73"/>
    <n v="3.8"/>
    <n v="8320"/>
    <n v="6717"/>
    <n v="4"/>
    <n v="51696317.200000003"/>
    <n v="68.173522070778603"/>
    <n v="75830492"/>
    <n v="0.8046129809559579"/>
  </r>
  <r>
    <s v="P0440"/>
    <s v="Model_323"/>
    <x v="1"/>
    <x v="0"/>
    <x v="0"/>
    <s v="Q3"/>
    <n v="2596"/>
    <n v="7276"/>
    <n v="3778"/>
    <n v="237771"/>
    <n v="10.07"/>
    <n v="15"/>
    <n v="3.94"/>
    <n v="21.24"/>
    <n v="68.900000000000006"/>
    <n v="2.6"/>
    <n v="4942"/>
    <n v="5250"/>
    <n v="5"/>
    <n v="8843015.7599999998"/>
    <n v="46.81693958057857"/>
    <n v="18888496"/>
    <n v="0.51972513027162637"/>
  </r>
  <r>
    <s v="P0441"/>
    <s v="Model_559"/>
    <x v="0"/>
    <x v="0"/>
    <x v="1"/>
    <s v="Q2"/>
    <n v="803"/>
    <n v="5176"/>
    <n v="13728"/>
    <n v="287199"/>
    <n v="9.31"/>
    <n v="12"/>
    <n v="8.51"/>
    <n v="13.32"/>
    <n v="71.94"/>
    <n v="4.5"/>
    <n v="17691"/>
    <n v="9175"/>
    <n v="8"/>
    <n v="-7154468.3200000003"/>
    <n v="-172.13435320792777"/>
    <n v="4156328"/>
    <n v="0.16076243436368104"/>
  </r>
  <r>
    <s v="P0442"/>
    <s v="Model_204"/>
    <x v="0"/>
    <x v="2"/>
    <x v="1"/>
    <s v="Q3"/>
    <n v="2132"/>
    <n v="4880"/>
    <n v="3639"/>
    <n v="286731"/>
    <n v="11.13"/>
    <n v="19"/>
    <n v="3.46"/>
    <n v="11.78"/>
    <n v="62.5"/>
    <n v="2.7"/>
    <n v="20595"/>
    <n v="8202"/>
    <n v="11"/>
    <n v="2359069.2200000002"/>
    <n v="22.674288169347648"/>
    <n v="10404160"/>
    <n v="0.42683127031552676"/>
  </r>
  <r>
    <s v="P0443"/>
    <s v="Model_826"/>
    <x v="2"/>
    <x v="2"/>
    <x v="0"/>
    <s v="Q1"/>
    <n v="2824"/>
    <n v="10211"/>
    <n v="4184"/>
    <n v="285841"/>
    <n v="2.5499999999999998"/>
    <n v="3"/>
    <n v="0.35"/>
    <n v="24.53"/>
    <n v="47.73"/>
    <n v="2.6"/>
    <n v="17826"/>
    <n v="4258"/>
    <n v="9"/>
    <n v="16734382.470000001"/>
    <n v="58.033227199295986"/>
    <n v="28835864"/>
    <n v="0.56537125111212361"/>
  </r>
  <r>
    <s v="P0444"/>
    <s v="Model_131"/>
    <x v="2"/>
    <x v="2"/>
    <x v="1"/>
    <s v="Q1"/>
    <n v="2946"/>
    <n v="10282"/>
    <n v="11651"/>
    <n v="161041"/>
    <n v="2.92"/>
    <n v="10"/>
    <n v="7.46"/>
    <n v="18.510000000000002"/>
    <n v="55.73"/>
    <n v="1.1000000000000001"/>
    <n v="12029"/>
    <n v="7827"/>
    <n v="9"/>
    <n v="-4194133.51"/>
    <n v="-13.846241720085576"/>
    <n v="30290772"/>
    <n v="0.58979592980747741"/>
  </r>
  <r>
    <s v="P0445"/>
    <s v="Model_497"/>
    <x v="1"/>
    <x v="1"/>
    <x v="0"/>
    <s v="Q3"/>
    <n v="4235"/>
    <n v="18934"/>
    <n v="10853"/>
    <n v="166185"/>
    <n v="13.36"/>
    <n v="16"/>
    <n v="8.02"/>
    <n v="2.95"/>
    <n v="13.71"/>
    <n v="3.2"/>
    <n v="19175"/>
    <n v="5306"/>
    <n v="5"/>
    <n v="34056847.049999997"/>
    <n v="42.472580824785126"/>
    <n v="80185490"/>
    <n v="0.8478566743837973"/>
  </r>
  <r>
    <s v="P0446"/>
    <s v="Model_746"/>
    <x v="2"/>
    <x v="3"/>
    <x v="1"/>
    <s v="Q4"/>
    <n v="825"/>
    <n v="15497"/>
    <n v="11848"/>
    <n v="227164"/>
    <n v="11.25"/>
    <n v="6"/>
    <n v="1.61"/>
    <n v="18.91"/>
    <n v="59.92"/>
    <n v="3.8"/>
    <n v="11890"/>
    <n v="403"/>
    <n v="8"/>
    <n v="2783242.09"/>
    <n v="21.769547497951706"/>
    <n v="12785025"/>
    <n v="0.16516688462022025"/>
  </r>
  <r>
    <s v="P0447"/>
    <s v="Model_103"/>
    <x v="0"/>
    <x v="3"/>
    <x v="0"/>
    <s v="Q4"/>
    <n v="1675"/>
    <n v="7842"/>
    <n v="14293"/>
    <n v="60350"/>
    <n v="13.62"/>
    <n v="13"/>
    <n v="5.37"/>
    <n v="2.38"/>
    <n v="60.09"/>
    <n v="1.5"/>
    <n v="15530"/>
    <n v="433"/>
    <n v="11"/>
    <n v="-10865777.380000001"/>
    <n v="-82.721643351718839"/>
    <n v="13135350"/>
    <n v="0.33533882635014417"/>
  </r>
  <r>
    <s v="P0448"/>
    <s v="Model_326"/>
    <x v="1"/>
    <x v="2"/>
    <x v="0"/>
    <s v="Q4"/>
    <n v="3119"/>
    <n v="18843"/>
    <n v="1485"/>
    <n v="277230"/>
    <n v="11.38"/>
    <n v="10"/>
    <n v="1.92"/>
    <n v="0.69"/>
    <n v="81.3"/>
    <n v="2.2000000000000002"/>
    <n v="6874"/>
    <n v="4606"/>
    <n v="2"/>
    <n v="53862371.310000002"/>
    <n v="91.647378448231819"/>
    <n v="58771317"/>
    <n v="0.62443092500662667"/>
  </r>
  <r>
    <s v="P0449"/>
    <s v="Model_445"/>
    <x v="1"/>
    <x v="3"/>
    <x v="1"/>
    <s v="Q4"/>
    <n v="467"/>
    <n v="7559"/>
    <n v="14939"/>
    <n v="413003"/>
    <n v="8.9600000000000009"/>
    <n v="8"/>
    <n v="7.19"/>
    <n v="10.09"/>
    <n v="50.45"/>
    <n v="4.0999999999999996"/>
    <n v="14642"/>
    <n v="2431"/>
    <n v="7"/>
    <n v="-3859473.09"/>
    <n v="-109.33187377073375"/>
    <n v="3530053"/>
    <n v="9.3494466809264071E-2"/>
  </r>
  <r>
    <s v="P0450"/>
    <s v="Model_441"/>
    <x v="0"/>
    <x v="0"/>
    <x v="0"/>
    <s v="Q1"/>
    <n v="164"/>
    <n v="10384"/>
    <n v="8331"/>
    <n v="311570"/>
    <n v="9.81"/>
    <n v="12"/>
    <n v="2.72"/>
    <n v="24.84"/>
    <n v="16.170000000000002"/>
    <n v="2.5"/>
    <n v="20539"/>
    <n v="4661"/>
    <n v="7"/>
    <n v="25097.16"/>
    <n v="1.4737236461347665"/>
    <n v="1702976"/>
    <n v="3.2833174639655904E-2"/>
  </r>
  <r>
    <s v="P0451"/>
    <s v="Model_763"/>
    <x v="0"/>
    <x v="0"/>
    <x v="0"/>
    <s v="Q1"/>
    <n v="666"/>
    <n v="7155"/>
    <n v="5083"/>
    <n v="118487"/>
    <n v="13.34"/>
    <n v="17"/>
    <n v="3.16"/>
    <n v="4.37"/>
    <n v="34.5"/>
    <n v="2"/>
    <n v="13704"/>
    <n v="179"/>
    <n v="7"/>
    <n v="1261460.6299999999"/>
    <n v="26.47218770132816"/>
    <n v="4765230"/>
    <n v="0.13333472140250507"/>
  </r>
  <r>
    <s v="P0452"/>
    <s v="Model_278"/>
    <x v="1"/>
    <x v="3"/>
    <x v="0"/>
    <s v="Q3"/>
    <n v="4024"/>
    <n v="13591"/>
    <n v="8536"/>
    <n v="198694"/>
    <n v="8.68"/>
    <n v="10"/>
    <n v="8.4499999999999993"/>
    <n v="16.82"/>
    <n v="62.45"/>
    <n v="3.7"/>
    <n v="8894"/>
    <n v="3863"/>
    <n v="13"/>
    <n v="20142609.18"/>
    <n v="36.83039204987864"/>
    <n v="54690184"/>
    <n v="0.80561399237789855"/>
  </r>
  <r>
    <s v="P0453"/>
    <s v="Model_963"/>
    <x v="1"/>
    <x v="2"/>
    <x v="1"/>
    <s v="Q1"/>
    <n v="3317"/>
    <n v="16751"/>
    <n v="8510"/>
    <n v="173853"/>
    <n v="9.49"/>
    <n v="14"/>
    <n v="4.76"/>
    <n v="4.33"/>
    <n v="29.14"/>
    <n v="1.8"/>
    <n v="18588"/>
    <n v="5296"/>
    <n v="3"/>
    <n v="27161539.670000002"/>
    <n v="48.88416197399615"/>
    <n v="55563067"/>
    <n v="0.66407097731547948"/>
  </r>
  <r>
    <s v="P0454"/>
    <s v="Model_810"/>
    <x v="2"/>
    <x v="0"/>
    <x v="1"/>
    <s v="Q3"/>
    <n v="875"/>
    <n v="2026"/>
    <n v="2419"/>
    <n v="365261"/>
    <n v="2.35"/>
    <n v="18"/>
    <n v="6.7"/>
    <n v="18.12"/>
    <n v="32.44"/>
    <n v="4.5999999999999996"/>
    <n v="2325"/>
    <n v="832"/>
    <n v="9"/>
    <n v="-709154.12"/>
    <n v="-40.003052883937386"/>
    <n v="1772750"/>
    <n v="0.17517699883962753"/>
  </r>
  <r>
    <s v="P0455"/>
    <s v="Model_303"/>
    <x v="2"/>
    <x v="3"/>
    <x v="0"/>
    <s v="Q2"/>
    <n v="1566"/>
    <n v="4724"/>
    <n v="14775"/>
    <n v="285062"/>
    <n v="7.11"/>
    <n v="0"/>
    <n v="4.0199999999999996"/>
    <n v="12.63"/>
    <n v="75.64"/>
    <n v="1.4"/>
    <n v="10696"/>
    <n v="4076"/>
    <n v="6"/>
    <n v="-16024940.630000001"/>
    <n v="-216.61812010191159"/>
    <n v="7397784"/>
    <n v="0.31351677735183625"/>
  </r>
  <r>
    <s v="P0456"/>
    <s v="Model_815"/>
    <x v="1"/>
    <x v="0"/>
    <x v="0"/>
    <s v="Q3"/>
    <n v="3196"/>
    <n v="16569"/>
    <n v="14072"/>
    <n v="283077"/>
    <n v="10.75"/>
    <n v="3"/>
    <n v="2.98"/>
    <n v="17"/>
    <n v="56.75"/>
    <n v="3.8"/>
    <n v="13152"/>
    <n v="5759"/>
    <n v="6"/>
    <n v="7697318"/>
    <n v="14.535713700306324"/>
    <n v="52954524"/>
    <n v="0.63984650090451389"/>
  </r>
  <r>
    <s v="P0457"/>
    <s v="Model_869"/>
    <x v="0"/>
    <x v="3"/>
    <x v="1"/>
    <s v="Q1"/>
    <n v="462"/>
    <n v="13036"/>
    <n v="13635"/>
    <n v="413228"/>
    <n v="4.0599999999999996"/>
    <n v="13"/>
    <n v="6.25"/>
    <n v="5.07"/>
    <n v="50.68"/>
    <n v="3"/>
    <n v="18260"/>
    <n v="1484"/>
    <n v="3"/>
    <n v="-689971.07"/>
    <n v="-11.45630465218529"/>
    <n v="6022632"/>
    <n v="9.2493455387323342E-2"/>
  </r>
  <r>
    <s v="P0458"/>
    <s v="Model_839"/>
    <x v="1"/>
    <x v="0"/>
    <x v="0"/>
    <s v="Q3"/>
    <n v="778"/>
    <n v="15047"/>
    <n v="7668"/>
    <n v="73782"/>
    <n v="3.03"/>
    <n v="13"/>
    <n v="1.55"/>
    <n v="18.64"/>
    <n v="35.479999999999997"/>
    <n v="4.5"/>
    <n v="2472"/>
    <n v="2224"/>
    <n v="5"/>
    <n v="5667061.3600000003"/>
    <n v="48.409254772065523"/>
    <n v="11706566"/>
    <n v="0.1557573772539774"/>
  </r>
  <r>
    <s v="P0459"/>
    <s v="Model_105"/>
    <x v="0"/>
    <x v="2"/>
    <x v="1"/>
    <s v="Q1"/>
    <n v="3398"/>
    <n v="19759"/>
    <n v="2231"/>
    <n v="340598"/>
    <n v="4.71"/>
    <n v="2"/>
    <n v="3.73"/>
    <n v="24.89"/>
    <n v="68.47"/>
    <n v="1.5"/>
    <n v="12768"/>
    <n v="6752"/>
    <n v="13"/>
    <n v="59219521.109999999"/>
    <n v="88.201618660241436"/>
    <n v="67141082"/>
    <n v="0.68028736235091936"/>
  </r>
  <r>
    <s v="P0460"/>
    <s v="Model_447"/>
    <x v="2"/>
    <x v="3"/>
    <x v="1"/>
    <s v="Q2"/>
    <n v="2858"/>
    <n v="3263"/>
    <n v="9867"/>
    <n v="380048"/>
    <n v="3.62"/>
    <n v="16"/>
    <n v="2.09"/>
    <n v="16.64"/>
    <n v="33.020000000000003"/>
    <n v="3.7"/>
    <n v="1943"/>
    <n v="5383"/>
    <n v="10"/>
    <n v="-19254296.640000001"/>
    <n v="-206.46591263197197"/>
    <n v="9325654"/>
    <n v="0.57217812878132057"/>
  </r>
  <r>
    <s v="P0461"/>
    <s v="Model_660"/>
    <x v="2"/>
    <x v="1"/>
    <x v="1"/>
    <s v="Q1"/>
    <n v="725"/>
    <n v="10212"/>
    <n v="5513"/>
    <n v="179936"/>
    <n v="3.22"/>
    <n v="2"/>
    <n v="6.96"/>
    <n v="12.34"/>
    <n v="68.97"/>
    <n v="3.3"/>
    <n v="2254"/>
    <n v="7276"/>
    <n v="10"/>
    <n v="3226826.66"/>
    <n v="43.583973688831264"/>
    <n v="7403700"/>
    <n v="0.14514665618140568"/>
  </r>
  <r>
    <s v="P0462"/>
    <s v="Model_915"/>
    <x v="0"/>
    <x v="0"/>
    <x v="1"/>
    <s v="Q4"/>
    <n v="3515"/>
    <n v="7297"/>
    <n v="11453"/>
    <n v="458808"/>
    <n v="6.37"/>
    <n v="15"/>
    <n v="9.44"/>
    <n v="23.08"/>
    <n v="15.61"/>
    <n v="2.9"/>
    <n v="17523"/>
    <n v="9490"/>
    <n v="7"/>
    <n v="-15067171.08"/>
    <n v="-58.743800985264315"/>
    <n v="25648955"/>
    <n v="0.70371102962433241"/>
  </r>
  <r>
    <s v="P0463"/>
    <s v="Model_995"/>
    <x v="0"/>
    <x v="2"/>
    <x v="0"/>
    <s v="Q1"/>
    <n v="2554"/>
    <n v="10708"/>
    <n v="10357"/>
    <n v="203245"/>
    <n v="13.62"/>
    <n v="13"/>
    <n v="9.9600000000000009"/>
    <n v="0.4"/>
    <n v="79.16"/>
    <n v="3"/>
    <n v="11863"/>
    <n v="6705"/>
    <n v="12"/>
    <n v="693208.6"/>
    <n v="2.5347474015870568"/>
    <n v="27348232"/>
    <n v="0.51131663432732433"/>
  </r>
  <r>
    <s v="P0464"/>
    <s v="Model_399"/>
    <x v="1"/>
    <x v="1"/>
    <x v="0"/>
    <s v="Q2"/>
    <n v="3017"/>
    <n v="6609"/>
    <n v="10235"/>
    <n v="476420"/>
    <n v="7.61"/>
    <n v="19"/>
    <n v="4.5"/>
    <n v="18.25"/>
    <n v="49.97"/>
    <n v="3.9"/>
    <n v="12397"/>
    <n v="5807"/>
    <n v="10"/>
    <n v="-11416080.25"/>
    <n v="-57.254015463791632"/>
    <n v="19939353"/>
    <n v="0.60401029199903578"/>
  </r>
  <r>
    <s v="P0465"/>
    <s v="Model_227"/>
    <x v="2"/>
    <x v="3"/>
    <x v="0"/>
    <s v="Q1"/>
    <n v="2836"/>
    <n v="18000"/>
    <n v="5798"/>
    <n v="478812"/>
    <n v="2.82"/>
    <n v="12"/>
    <n v="2.5299999999999998"/>
    <n v="22.22"/>
    <n v="45.08"/>
    <n v="4.8"/>
    <n v="6896"/>
    <n v="2392"/>
    <n v="5"/>
    <n v="34126037.780000001"/>
    <n v="66.850881092305286"/>
    <n v="51048000"/>
    <n v="0.56777367852478144"/>
  </r>
  <r>
    <s v="P0466"/>
    <s v="Model_426"/>
    <x v="2"/>
    <x v="1"/>
    <x v="1"/>
    <s v="Q3"/>
    <n v="1172"/>
    <n v="3933"/>
    <n v="962"/>
    <n v="477540"/>
    <n v="1.1499999999999999"/>
    <n v="14"/>
    <n v="4.43"/>
    <n v="1.54"/>
    <n v="58.88"/>
    <n v="1.4"/>
    <n v="4965"/>
    <n v="8476"/>
    <n v="12"/>
    <n v="3004470.46"/>
    <n v="65.180303791580656"/>
    <n v="4609476"/>
    <n v="0.23463707730290684"/>
  </r>
  <r>
    <s v="P0467"/>
    <s v="Model_390"/>
    <x v="1"/>
    <x v="2"/>
    <x v="0"/>
    <s v="Q4"/>
    <n v="4129"/>
    <n v="18467"/>
    <n v="2774"/>
    <n v="172258"/>
    <n v="10.44"/>
    <n v="13"/>
    <n v="8.4700000000000006"/>
    <n v="11.25"/>
    <n v="59.94"/>
    <n v="1.1000000000000001"/>
    <n v="4211"/>
    <n v="1097"/>
    <n v="2"/>
    <n v="64624127.75"/>
    <n v="84.75268432915027"/>
    <n v="76250243"/>
    <n v="0.82663523223865387"/>
  </r>
  <r>
    <s v="P0468"/>
    <s v="Model_562"/>
    <x v="1"/>
    <x v="0"/>
    <x v="0"/>
    <s v="Q2"/>
    <n v="1621"/>
    <n v="5667"/>
    <n v="4091"/>
    <n v="161668"/>
    <n v="5.74"/>
    <n v="18"/>
    <n v="2.06"/>
    <n v="5.12"/>
    <n v="20.56"/>
    <n v="4.2"/>
    <n v="20291"/>
    <n v="4764"/>
    <n v="3"/>
    <n v="2393022.88"/>
    <n v="26.050173700636179"/>
    <n v="9186207"/>
    <n v="0.32452790299318429"/>
  </r>
  <r>
    <s v="P0469"/>
    <s v="Model_232"/>
    <x v="2"/>
    <x v="1"/>
    <x v="0"/>
    <s v="Q3"/>
    <n v="2193"/>
    <n v="19273"/>
    <n v="9261"/>
    <n v="436328"/>
    <n v="12.33"/>
    <n v="5"/>
    <n v="9.52"/>
    <n v="14.16"/>
    <n v="70.5"/>
    <n v="1.4"/>
    <n v="7247"/>
    <n v="2457"/>
    <n v="14"/>
    <n v="21519973.84"/>
    <n v="50.915942338003759"/>
    <n v="42265689"/>
    <n v="0.43904360966320366"/>
  </r>
  <r>
    <s v="P0470"/>
    <s v="Model_298"/>
    <x v="2"/>
    <x v="1"/>
    <x v="0"/>
    <s v="Q1"/>
    <n v="1737"/>
    <n v="9857"/>
    <n v="1431"/>
    <n v="473966"/>
    <n v="9.89"/>
    <n v="9"/>
    <n v="3.42"/>
    <n v="16.239999999999998"/>
    <n v="32.07"/>
    <n v="4.9000000000000004"/>
    <n v="19607"/>
    <n v="5591"/>
    <n v="2"/>
    <n v="14161979.76"/>
    <n v="82.714070622685057"/>
    <n v="17121609"/>
    <n v="0.34775136798220918"/>
  </r>
  <r>
    <s v="P0471"/>
    <s v="Model_765"/>
    <x v="2"/>
    <x v="2"/>
    <x v="0"/>
    <s v="Q3"/>
    <n v="4182"/>
    <n v="7654"/>
    <n v="1705"/>
    <n v="328710"/>
    <n v="11.94"/>
    <n v="14"/>
    <n v="9.86"/>
    <n v="7.57"/>
    <n v="82.4"/>
    <n v="3.5"/>
    <n v="3419"/>
    <n v="1779"/>
    <n v="9"/>
    <n v="24550000.43"/>
    <n v="76.697113170696724"/>
    <n v="32009028"/>
    <n v="0.83724595331122564"/>
  </r>
  <r>
    <s v="P0472"/>
    <s v="Model_693"/>
    <x v="2"/>
    <x v="2"/>
    <x v="0"/>
    <s v="Q3"/>
    <n v="3901"/>
    <n v="10420"/>
    <n v="12463"/>
    <n v="188262"/>
    <n v="4.08"/>
    <n v="19"/>
    <n v="8.39"/>
    <n v="11.5"/>
    <n v="75.430000000000007"/>
    <n v="3.6"/>
    <n v="18802"/>
    <n v="5815"/>
    <n v="10"/>
    <n v="-8158016.5"/>
    <n v="-20.069701356165872"/>
    <n v="40648420"/>
    <n v="0.78098911139815663"/>
  </r>
  <r>
    <s v="P0473"/>
    <s v="Model_202"/>
    <x v="1"/>
    <x v="1"/>
    <x v="0"/>
    <s v="Q2"/>
    <n v="3490"/>
    <n v="19927"/>
    <n v="12245"/>
    <n v="88333"/>
    <n v="10.39"/>
    <n v="5"/>
    <n v="8.09"/>
    <n v="6.98"/>
    <n v="37.700000000000003"/>
    <n v="1.8"/>
    <n v="14973"/>
    <n v="4986"/>
    <n v="11"/>
    <n v="26721840.02"/>
    <n v="38.423684873858349"/>
    <n v="69545230"/>
    <n v="0.69870597251462874"/>
  </r>
  <r>
    <s v="P0474"/>
    <s v="Model_592"/>
    <x v="0"/>
    <x v="3"/>
    <x v="0"/>
    <s v="Q1"/>
    <n v="3816"/>
    <n v="18662"/>
    <n v="2814"/>
    <n v="434073"/>
    <n v="3.96"/>
    <n v="9"/>
    <n v="3.18"/>
    <n v="9.23"/>
    <n v="74.62"/>
    <n v="2"/>
    <n v="18465"/>
    <n v="7540"/>
    <n v="13"/>
    <n v="60041885.770000003"/>
    <n v="84.311685752188282"/>
    <n v="71214192"/>
    <n v="0.76397191722516422"/>
  </r>
  <r>
    <s v="P0475"/>
    <s v="Model_824"/>
    <x v="0"/>
    <x v="3"/>
    <x v="1"/>
    <s v="Q1"/>
    <n v="2376"/>
    <n v="1713"/>
    <n v="10633"/>
    <n v="261977"/>
    <n v="14.09"/>
    <n v="6"/>
    <n v="0.09"/>
    <n v="3.99"/>
    <n v="38.51"/>
    <n v="3.6"/>
    <n v="15735"/>
    <n v="6921"/>
    <n v="7"/>
    <n v="-21455900.989999998"/>
    <n v="-527.16061642893214"/>
    <n v="4070088"/>
    <n v="0.47568062770623437"/>
  </r>
  <r>
    <s v="P0476"/>
    <s v="Model_780"/>
    <x v="0"/>
    <x v="1"/>
    <x v="1"/>
    <s v="Q4"/>
    <n v="2964"/>
    <n v="5262"/>
    <n v="8696"/>
    <n v="139571"/>
    <n v="9.5500000000000007"/>
    <n v="16"/>
    <n v="3.82"/>
    <n v="22.14"/>
    <n v="18.079999999999998"/>
    <n v="4.5999999999999996"/>
    <n v="17210"/>
    <n v="3627"/>
    <n v="3"/>
    <n v="-10317969.140000001"/>
    <n v="-66.155382004553829"/>
    <n v="15596568"/>
    <n v="0.59339957092646411"/>
  </r>
  <r>
    <s v="P0477"/>
    <s v="Model_125"/>
    <x v="2"/>
    <x v="3"/>
    <x v="0"/>
    <s v="Q4"/>
    <n v="4002"/>
    <n v="14899"/>
    <n v="1004"/>
    <n v="170263"/>
    <n v="4.87"/>
    <n v="17"/>
    <n v="3.02"/>
    <n v="0.25"/>
    <n v="86.95"/>
    <n v="4.9000000000000004"/>
    <n v="15934"/>
    <n v="6913"/>
    <n v="7"/>
    <n v="55437526.75"/>
    <n v="92.975739712531819"/>
    <n v="59625798"/>
    <n v="0.80120954212135942"/>
  </r>
  <r>
    <s v="P0478"/>
    <s v="Model_289"/>
    <x v="0"/>
    <x v="0"/>
    <x v="0"/>
    <s v="Q3"/>
    <n v="645"/>
    <n v="11268"/>
    <n v="1381"/>
    <n v="444805"/>
    <n v="4.04"/>
    <n v="16"/>
    <n v="0.37"/>
    <n v="22.06"/>
    <n v="62.21"/>
    <n v="1.8"/>
    <n v="14978"/>
    <n v="2845"/>
    <n v="10"/>
    <n v="5932287.9400000004"/>
    <n v="81.623585759769739"/>
    <n v="7267860"/>
    <n v="0.12913047343035403"/>
  </r>
  <r>
    <s v="P0479"/>
    <s v="Model_331"/>
    <x v="2"/>
    <x v="0"/>
    <x v="0"/>
    <s v="Q1"/>
    <n v="778"/>
    <n v="12140"/>
    <n v="6475"/>
    <n v="75235"/>
    <n v="2.86"/>
    <n v="8"/>
    <n v="5.05"/>
    <n v="14.29"/>
    <n v="46.49"/>
    <n v="1.5"/>
    <n v="5381"/>
    <n v="4190"/>
    <n v="13"/>
    <n v="4332120.71"/>
    <n v="45.867203851382541"/>
    <n v="9444920"/>
    <n v="0.1557573772539774"/>
  </r>
  <r>
    <s v="P0480"/>
    <s v="Model_834"/>
    <x v="2"/>
    <x v="3"/>
    <x v="1"/>
    <s v="Q2"/>
    <n v="1415"/>
    <n v="8231"/>
    <n v="9832"/>
    <n v="50159"/>
    <n v="10.42"/>
    <n v="9"/>
    <n v="4.03"/>
    <n v="8.2899999999999991"/>
    <n v="41.82"/>
    <n v="1.2"/>
    <n v="3499"/>
    <n v="6258"/>
    <n v="4"/>
    <n v="-2315582.29"/>
    <n v="-19.881592943680555"/>
    <n v="11646865"/>
    <n v="0.28328623240922629"/>
  </r>
  <r>
    <s v="P0481"/>
    <s v="Model_765"/>
    <x v="1"/>
    <x v="0"/>
    <x v="1"/>
    <s v="Q2"/>
    <n v="4542"/>
    <n v="7291"/>
    <n v="14924"/>
    <n v="193217"/>
    <n v="3.28"/>
    <n v="9"/>
    <n v="6.35"/>
    <n v="18.079999999999998"/>
    <n v="35.979999999999997"/>
    <n v="4.5"/>
    <n v="16349"/>
    <n v="8661"/>
    <n v="10"/>
    <n v="-34862321.079999998"/>
    <n v="-105.27422920146509"/>
    <n v="33115722"/>
    <n v="0.90931877569095809"/>
  </r>
  <r>
    <s v="P0482"/>
    <s v="Model_881"/>
    <x v="0"/>
    <x v="1"/>
    <x v="1"/>
    <s v="Q1"/>
    <n v="748"/>
    <n v="17322"/>
    <n v="6147"/>
    <n v="212993"/>
    <n v="8.93"/>
    <n v="6"/>
    <n v="6.21"/>
    <n v="12.69"/>
    <n v="88.52"/>
    <n v="2.2000000000000002"/>
    <n v="12403"/>
    <n v="7571"/>
    <n v="3"/>
    <n v="8145894.3099999996"/>
    <n v="62.869374406877711"/>
    <n v="12956856"/>
    <n v="0.14975130872233303"/>
  </r>
  <r>
    <s v="P0483"/>
    <s v="Model_677"/>
    <x v="1"/>
    <x v="3"/>
    <x v="1"/>
    <s v="Q3"/>
    <n v="445"/>
    <n v="10283"/>
    <n v="10711"/>
    <n v="417003"/>
    <n v="3.97"/>
    <n v="15"/>
    <n v="1.21"/>
    <n v="12.48"/>
    <n v="20.78"/>
    <n v="1"/>
    <n v="18284"/>
    <n v="3843"/>
    <n v="12"/>
    <n v="-607475.48"/>
    <n v="-13.275439445708908"/>
    <n v="4575935"/>
    <n v="8.9090016552724874E-2"/>
  </r>
  <r>
    <s v="P0484"/>
    <s v="Model_550"/>
    <x v="1"/>
    <x v="1"/>
    <x v="1"/>
    <s v="Q4"/>
    <n v="4221"/>
    <n v="15121"/>
    <n v="14730"/>
    <n v="197309"/>
    <n v="9.93"/>
    <n v="17"/>
    <n v="9.77"/>
    <n v="2.75"/>
    <n v="35.18"/>
    <n v="1.9"/>
    <n v="16200"/>
    <n v="9995"/>
    <n v="6"/>
    <n v="1453099.25"/>
    <n v="2.2766664784980719"/>
    <n v="63825741"/>
    <n v="0.84505384240236325"/>
  </r>
  <r>
    <s v="P0485"/>
    <s v="Model_371"/>
    <x v="1"/>
    <x v="0"/>
    <x v="0"/>
    <s v="Q4"/>
    <n v="4410"/>
    <n v="17519"/>
    <n v="3443"/>
    <n v="157507"/>
    <n v="12.22"/>
    <n v="5"/>
    <n v="1.87"/>
    <n v="9.74"/>
    <n v="48.84"/>
    <n v="2.4"/>
    <n v="6945"/>
    <n v="7108"/>
    <n v="12"/>
    <n v="61917643.259999998"/>
    <n v="80.143169806309416"/>
    <n v="77258790"/>
    <n v="0.88289207415172288"/>
  </r>
  <r>
    <s v="P0486"/>
    <s v="Model_938"/>
    <x v="2"/>
    <x v="3"/>
    <x v="1"/>
    <s v="Q2"/>
    <n v="2552"/>
    <n v="4220"/>
    <n v="8817"/>
    <n v="451460"/>
    <n v="11.67"/>
    <n v="19"/>
    <n v="4.45"/>
    <n v="6.03"/>
    <n v="48.24"/>
    <n v="5"/>
    <n v="4128"/>
    <n v="3424"/>
    <n v="3"/>
    <n v="-12183010.029999999"/>
    <n v="-113.12575240681038"/>
    <n v="10769440"/>
    <n v="0.510916229758548"/>
  </r>
  <r>
    <s v="P0487"/>
    <s v="Model_744"/>
    <x v="0"/>
    <x v="1"/>
    <x v="1"/>
    <s v="Q4"/>
    <n v="1869"/>
    <n v="10405"/>
    <n v="3097"/>
    <n v="64743"/>
    <n v="11.41"/>
    <n v="0"/>
    <n v="4.88"/>
    <n v="0.39"/>
    <n v="47.71"/>
    <n v="3.1"/>
    <n v="19540"/>
    <n v="8732"/>
    <n v="8"/>
    <n v="13593908.609999999"/>
    <n v="69.902540527573862"/>
    <n v="19446945"/>
    <n v="0.37417806952144445"/>
  </r>
  <r>
    <s v="P0488"/>
    <s v="Model_585"/>
    <x v="1"/>
    <x v="0"/>
    <x v="0"/>
    <s v="Q1"/>
    <n v="767"/>
    <n v="10627"/>
    <n v="1674"/>
    <n v="278174"/>
    <n v="2.82"/>
    <n v="0"/>
    <n v="8.1300000000000008"/>
    <n v="9"/>
    <n v="24.06"/>
    <n v="1.8"/>
    <n v="18504"/>
    <n v="3357"/>
    <n v="12"/>
    <n v="6588768"/>
    <n v="80.834763337438815"/>
    <n v="8150909"/>
    <n v="0.15355515212570781"/>
  </r>
  <r>
    <s v="P0489"/>
    <s v="Model_642"/>
    <x v="2"/>
    <x v="3"/>
    <x v="0"/>
    <s v="Q1"/>
    <n v="2832"/>
    <n v="17885"/>
    <n v="6360"/>
    <n v="96101"/>
    <n v="1.33"/>
    <n v="11"/>
    <n v="0.99"/>
    <n v="2.25"/>
    <n v="21.59"/>
    <n v="2.2999999999999998"/>
    <n v="1746"/>
    <n v="326"/>
    <n v="11"/>
    <n v="32542696.75"/>
    <n v="64.249735737108864"/>
    <n v="50650320"/>
    <n v="0.5669728693872288"/>
  </r>
  <r>
    <s v="P0490"/>
    <s v="Model_783"/>
    <x v="2"/>
    <x v="2"/>
    <x v="0"/>
    <s v="Q2"/>
    <n v="4996"/>
    <n v="7868"/>
    <n v="1489"/>
    <n v="292717"/>
    <n v="10.48"/>
    <n v="1"/>
    <n v="4.29"/>
    <n v="6.42"/>
    <n v="30.38"/>
    <n v="2.2999999999999998"/>
    <n v="6712"/>
    <n v="2501"/>
    <n v="10"/>
    <n v="31576760.579999998"/>
    <n v="80.330559770643148"/>
    <n v="39308528"/>
    <n v="1.0002106128031762"/>
  </r>
  <r>
    <s v="P0491"/>
    <s v="Model_418"/>
    <x v="0"/>
    <x v="1"/>
    <x v="0"/>
    <s v="Q1"/>
    <n v="3627"/>
    <n v="15556"/>
    <n v="4800"/>
    <n v="171534"/>
    <n v="5.53"/>
    <n v="3"/>
    <n v="6.29"/>
    <n v="2.31"/>
    <n v="83.16"/>
    <n v="1.1000000000000001"/>
    <n v="4839"/>
    <n v="4818"/>
    <n v="8"/>
    <n v="38840475.689999998"/>
    <n v="68.839712856839313"/>
    <n v="56421612"/>
    <n v="0.7261336854758047"/>
  </r>
  <r>
    <s v="P0492"/>
    <s v="Model_600"/>
    <x v="2"/>
    <x v="1"/>
    <x v="0"/>
    <s v="Q1"/>
    <n v="193"/>
    <n v="13736"/>
    <n v="12133"/>
    <n v="396371"/>
    <n v="6.49"/>
    <n v="16"/>
    <n v="2.15"/>
    <n v="2.52"/>
    <n v="19.04"/>
    <n v="1.5"/>
    <n v="20894"/>
    <n v="1124"/>
    <n v="13"/>
    <n v="-86994.52"/>
    <n v="-3.2815143294274569"/>
    <n v="2651048"/>
    <n v="3.8639040886912134E-2"/>
  </r>
  <r>
    <s v="P0493"/>
    <s v="Model_931"/>
    <x v="2"/>
    <x v="1"/>
    <x v="0"/>
    <s v="Q3"/>
    <n v="3190"/>
    <n v="19833"/>
    <n v="10414"/>
    <n v="280604"/>
    <n v="0.47"/>
    <n v="3"/>
    <n v="6.27"/>
    <n v="4.9800000000000004"/>
    <n v="70.59"/>
    <n v="3.8"/>
    <n v="3868"/>
    <n v="5772"/>
    <n v="6"/>
    <n v="29766001.02"/>
    <n v="47.048025021468447"/>
    <n v="63267270"/>
    <n v="0.63864528719818503"/>
  </r>
  <r>
    <s v="P0494"/>
    <s v="Model_328"/>
    <x v="0"/>
    <x v="3"/>
    <x v="1"/>
    <s v="Q2"/>
    <n v="4541"/>
    <n v="15951"/>
    <n v="1471"/>
    <n v="237450"/>
    <n v="3.89"/>
    <n v="10"/>
    <n v="9.24"/>
    <n v="25"/>
    <n v="70.599999999999994"/>
    <n v="1.5"/>
    <n v="13686"/>
    <n v="7827"/>
    <n v="5"/>
    <n v="65516205"/>
    <n v="90.450155163721163"/>
    <n v="72433491"/>
    <n v="0.90911857340656999"/>
  </r>
  <r>
    <s v="P0495"/>
    <s v="Model_962"/>
    <x v="2"/>
    <x v="0"/>
    <x v="0"/>
    <s v="Q1"/>
    <n v="2988"/>
    <n v="18801"/>
    <n v="8727"/>
    <n v="383270"/>
    <n v="0.51"/>
    <n v="3"/>
    <n v="9.98"/>
    <n v="0.05"/>
    <n v="74.78"/>
    <n v="1.9"/>
    <n v="3339"/>
    <n v="5380"/>
    <n v="13"/>
    <n v="29717841.949999999"/>
    <n v="52.900006582719726"/>
    <n v="56177388"/>
    <n v="0.59820442575177957"/>
  </r>
  <r>
    <s v="P0496"/>
    <s v="Model_209"/>
    <x v="1"/>
    <x v="1"/>
    <x v="0"/>
    <s v="Q1"/>
    <n v="3686"/>
    <n v="11933"/>
    <n v="1971"/>
    <n v="368215"/>
    <n v="13.19"/>
    <n v="0"/>
    <n v="0.32"/>
    <n v="15.97"/>
    <n v="80.930000000000007"/>
    <n v="2.4"/>
    <n v="20787"/>
    <n v="970"/>
    <n v="5"/>
    <n v="36351701.030000001"/>
    <n v="82.645605603432699"/>
    <n v="43985038"/>
    <n v="0.73794562025470534"/>
  </r>
  <r>
    <s v="P0497"/>
    <s v="Model_728"/>
    <x v="1"/>
    <x v="2"/>
    <x v="1"/>
    <s v="Q4"/>
    <n v="3272"/>
    <n v="17025"/>
    <n v="6391"/>
    <n v="252193"/>
    <n v="3.65"/>
    <n v="6"/>
    <n v="2.36"/>
    <n v="3.53"/>
    <n v="31.04"/>
    <n v="4"/>
    <n v="7705"/>
    <n v="3299"/>
    <n v="11"/>
    <n v="34542251.469999999"/>
    <n v="62.008357244667522"/>
    <n v="55705800"/>
    <n v="0.65506187451801301"/>
  </r>
  <r>
    <s v="P0498"/>
    <s v="Model_193"/>
    <x v="1"/>
    <x v="0"/>
    <x v="1"/>
    <s v="Q4"/>
    <n v="1217"/>
    <n v="1589"/>
    <n v="12718"/>
    <n v="386907"/>
    <n v="8.36"/>
    <n v="17"/>
    <n v="3.1"/>
    <n v="23.02"/>
    <n v="27.96"/>
    <n v="3.3"/>
    <n v="5895"/>
    <n v="1845"/>
    <n v="9"/>
    <n v="-13930923.02"/>
    <n v="-720.38625347952461"/>
    <n v="1933813"/>
    <n v="0.24364618010037339"/>
  </r>
  <r>
    <s v="P0499"/>
    <s v="Model_139"/>
    <x v="1"/>
    <x v="0"/>
    <x v="1"/>
    <s v="Q3"/>
    <n v="2666"/>
    <n v="19593"/>
    <n v="9935"/>
    <n v="285422"/>
    <n v="0.57999999999999996"/>
    <n v="8"/>
    <n v="3.99"/>
    <n v="2.34"/>
    <n v="47.24"/>
    <n v="3.8"/>
    <n v="16790"/>
    <n v="5370"/>
    <n v="11"/>
    <n v="25462803.66"/>
    <n v="48.746690691965597"/>
    <n v="52234938"/>
    <n v="0.53373929017879662"/>
  </r>
  <r>
    <s v="P0500"/>
    <s v="Model_586"/>
    <x v="1"/>
    <x v="1"/>
    <x v="0"/>
    <s v="Q2"/>
    <n v="1112"/>
    <n v="11861"/>
    <n v="7142"/>
    <n v="455453"/>
    <n v="10"/>
    <n v="2"/>
    <n v="2.42"/>
    <n v="23.88"/>
    <n v="31.21"/>
    <n v="3.3"/>
    <n v="5191"/>
    <n v="8735"/>
    <n v="14"/>
    <n v="4792051.12"/>
    <n v="36.332505599937889"/>
    <n v="13189432"/>
    <n v="0.2226249402396181"/>
  </r>
  <r>
    <s v="P0501"/>
    <s v="Model_596"/>
    <x v="2"/>
    <x v="3"/>
    <x v="1"/>
    <s v="Q3"/>
    <n v="2206"/>
    <n v="17869"/>
    <n v="2249"/>
    <n v="196721"/>
    <n v="4.8499999999999996"/>
    <n v="7"/>
    <n v="2.0299999999999998"/>
    <n v="15.27"/>
    <n v="68.739999999999995"/>
    <n v="3.7"/>
    <n v="8970"/>
    <n v="5986"/>
    <n v="11"/>
    <n v="34260983.729999997"/>
    <n v="86.914867353100206"/>
    <n v="39419014"/>
    <n v="0.44164623936024955"/>
  </r>
  <r>
    <s v="P0502"/>
    <s v="Model_373"/>
    <x v="2"/>
    <x v="0"/>
    <x v="0"/>
    <s v="Q4"/>
    <n v="3032"/>
    <n v="4541"/>
    <n v="12729"/>
    <n v="218785"/>
    <n v="13.47"/>
    <n v="18"/>
    <n v="9.5500000000000007"/>
    <n v="0.03"/>
    <n v="60.88"/>
    <n v="1"/>
    <n v="5341"/>
    <n v="5690"/>
    <n v="11"/>
    <n v="-25044801.030000001"/>
    <n v="-181.90175404218033"/>
    <n v="13768312"/>
    <n v="0.60701332626485793"/>
  </r>
  <r>
    <s v="P0503"/>
    <s v="Model_909"/>
    <x v="1"/>
    <x v="0"/>
    <x v="0"/>
    <s v="Q4"/>
    <n v="3344"/>
    <n v="1605"/>
    <n v="3339"/>
    <n v="254535"/>
    <n v="13.32"/>
    <n v="3"/>
    <n v="9.19"/>
    <n v="22.35"/>
    <n v="80"/>
    <n v="4.7"/>
    <n v="5848"/>
    <n v="7997"/>
    <n v="11"/>
    <n v="-6053053.3499999996"/>
    <n v="-112.78028719313151"/>
    <n v="5367120"/>
    <n v="0.66947643899395948"/>
  </r>
  <r>
    <s v="P0504"/>
    <s v="Model_527"/>
    <x v="0"/>
    <x v="0"/>
    <x v="0"/>
    <s v="Q3"/>
    <n v="4779"/>
    <n v="10578"/>
    <n v="4759"/>
    <n v="226481"/>
    <n v="4.88"/>
    <n v="17"/>
    <n v="0.47"/>
    <n v="13.04"/>
    <n v="16.62"/>
    <n v="1.4"/>
    <n v="19276"/>
    <n v="8764"/>
    <n v="11"/>
    <n v="27582506.960000001"/>
    <n v="54.56235956365316"/>
    <n v="50552262"/>
    <n v="0.95676671709094863"/>
  </r>
  <r>
    <s v="P0505"/>
    <s v="Model_232"/>
    <x v="1"/>
    <x v="3"/>
    <x v="0"/>
    <s v="Q2"/>
    <n v="1206"/>
    <n v="19779"/>
    <n v="13983"/>
    <n v="229838"/>
    <n v="13.51"/>
    <n v="19"/>
    <n v="3.39"/>
    <n v="6.57"/>
    <n v="83.21"/>
    <n v="2.6"/>
    <n v="7560"/>
    <n v="8371"/>
    <n v="2"/>
    <n v="6760131.4299999997"/>
    <n v="28.34023853297008"/>
    <n v="23853474"/>
    <n v="0.2414439549721038"/>
  </r>
  <r>
    <s v="P0506"/>
    <s v="Model_508"/>
    <x v="2"/>
    <x v="2"/>
    <x v="0"/>
    <s v="Q4"/>
    <n v="782"/>
    <n v="7590"/>
    <n v="7085"/>
    <n v="96154"/>
    <n v="14.94"/>
    <n v="10"/>
    <n v="4.05"/>
    <n v="19.18"/>
    <n v="33.47"/>
    <n v="4.0999999999999996"/>
    <n v="17025"/>
    <n v="5258"/>
    <n v="6"/>
    <n v="298736.82"/>
    <n v="5.0331540693266481"/>
    <n v="5935380"/>
    <n v="0.15655818639152999"/>
  </r>
  <r>
    <s v="P0507"/>
    <s v="Model_134"/>
    <x v="2"/>
    <x v="0"/>
    <x v="0"/>
    <s v="Q1"/>
    <n v="4380"/>
    <n v="7582"/>
    <n v="6232"/>
    <n v="319160"/>
    <n v="12.38"/>
    <n v="13"/>
    <n v="2.39"/>
    <n v="23.17"/>
    <n v="49.26"/>
    <n v="2.7"/>
    <n v="5800"/>
    <n v="8531"/>
    <n v="3"/>
    <n v="5593816.8300000001"/>
    <n v="16.844198498245667"/>
    <n v="33209160"/>
    <n v="0.87688600562007846"/>
  </r>
  <r>
    <s v="P0508"/>
    <s v="Model_729"/>
    <x v="2"/>
    <x v="3"/>
    <x v="1"/>
    <s v="Q1"/>
    <n v="4896"/>
    <n v="18518"/>
    <n v="5060"/>
    <n v="491904"/>
    <n v="12.67"/>
    <n v="17"/>
    <n v="6.29"/>
    <n v="12.09"/>
    <n v="45.09"/>
    <n v="4.8"/>
    <n v="4838"/>
    <n v="689"/>
    <n v="14"/>
    <n v="65398451.909999996"/>
    <n v="72.132665203596275"/>
    <n v="90664128"/>
    <n v="0.98019038436436168"/>
  </r>
  <r>
    <s v="P0509"/>
    <s v="Model_186"/>
    <x v="0"/>
    <x v="1"/>
    <x v="1"/>
    <s v="Q2"/>
    <n v="1003"/>
    <n v="3425"/>
    <n v="3161"/>
    <n v="401822"/>
    <n v="3.74"/>
    <n v="15"/>
    <n v="6.4"/>
    <n v="7.89"/>
    <n v="70.819999999999993"/>
    <n v="2.9"/>
    <n v="6987"/>
    <n v="9652"/>
    <n v="12"/>
    <n v="-137037.89000000001"/>
    <n v="-3.9891388607898932"/>
    <n v="3435275"/>
    <n v="0.20080289124131021"/>
  </r>
  <r>
    <s v="P0510"/>
    <s v="Model_563"/>
    <x v="2"/>
    <x v="2"/>
    <x v="0"/>
    <s v="Q4"/>
    <n v="2589"/>
    <n v="19940"/>
    <n v="6964"/>
    <n v="424200"/>
    <n v="8.65"/>
    <n v="2"/>
    <n v="8.51"/>
    <n v="19.72"/>
    <n v="43.63"/>
    <n v="4.5"/>
    <n v="5014"/>
    <n v="1984"/>
    <n v="10"/>
    <n v="33170644.280000001"/>
    <n v="64.253487151295531"/>
    <n v="51624660"/>
    <n v="0.5183237142809094"/>
  </r>
  <r>
    <s v="P0511"/>
    <s v="Model_390"/>
    <x v="0"/>
    <x v="2"/>
    <x v="1"/>
    <s v="Q4"/>
    <n v="3374"/>
    <n v="8417"/>
    <n v="14193"/>
    <n v="104238"/>
    <n v="1.01"/>
    <n v="14"/>
    <n v="7.41"/>
    <n v="17.04"/>
    <n v="85.48"/>
    <n v="4.2"/>
    <n v="18643"/>
    <n v="5499"/>
    <n v="8"/>
    <n v="-19592479.039999999"/>
    <n v="-68.990133511236579"/>
    <n v="28398958"/>
    <n v="0.67548250752560379"/>
  </r>
  <r>
    <s v="P0512"/>
    <s v="Model_357"/>
    <x v="1"/>
    <x v="0"/>
    <x v="1"/>
    <s v="Q2"/>
    <n v="3351"/>
    <n v="2052"/>
    <n v="12644"/>
    <n v="370752"/>
    <n v="1.42"/>
    <n v="3"/>
    <n v="5.43"/>
    <n v="22.22"/>
    <n v="82.2"/>
    <n v="4.9000000000000004"/>
    <n v="12780"/>
    <n v="8603"/>
    <n v="11"/>
    <n v="-35864566.219999999"/>
    <n v="-521.57143484561072"/>
    <n v="6876252"/>
    <n v="0.67087785498467645"/>
  </r>
  <r>
    <s v="P0513"/>
    <s v="Model_363"/>
    <x v="2"/>
    <x v="3"/>
    <x v="0"/>
    <s v="Q3"/>
    <n v="1592"/>
    <n v="5411"/>
    <n v="4470"/>
    <n v="139081"/>
    <n v="14.98"/>
    <n v="4"/>
    <n v="6.54"/>
    <n v="17.309999999999999"/>
    <n v="79.77"/>
    <n v="4.7"/>
    <n v="11807"/>
    <n v="1176"/>
    <n v="9"/>
    <n v="1358973.69"/>
    <n v="15.775765841775872"/>
    <n v="8614312"/>
    <n v="0.31872203674592808"/>
  </r>
  <r>
    <s v="P0514"/>
    <s v="Model_127"/>
    <x v="2"/>
    <x v="2"/>
    <x v="0"/>
    <s v="Q3"/>
    <n v="1241"/>
    <n v="4889"/>
    <n v="2553"/>
    <n v="297644"/>
    <n v="4.9000000000000004"/>
    <n v="16"/>
    <n v="2.74"/>
    <n v="6.09"/>
    <n v="15.7"/>
    <n v="4.5999999999999996"/>
    <n v="11415"/>
    <n v="7335"/>
    <n v="7"/>
    <n v="2601325.91"/>
    <n v="42.874882998868188"/>
    <n v="6067249"/>
    <n v="0.2484510349256889"/>
  </r>
  <r>
    <s v="P0515"/>
    <s v="Model_822"/>
    <x v="2"/>
    <x v="2"/>
    <x v="1"/>
    <s v="Q3"/>
    <n v="3043"/>
    <n v="15129"/>
    <n v="8900"/>
    <n v="475113"/>
    <n v="11.22"/>
    <n v="6"/>
    <n v="5.93"/>
    <n v="23.29"/>
    <n v="78.34"/>
    <n v="3.9"/>
    <n v="12658"/>
    <n v="6937"/>
    <n v="10"/>
    <n v="18479710.710000001"/>
    <n v="40.140519889124413"/>
    <n v="46037547"/>
    <n v="0.60921555139312755"/>
  </r>
  <r>
    <s v="P0516"/>
    <s v="Model_647"/>
    <x v="0"/>
    <x v="3"/>
    <x v="0"/>
    <s v="Q2"/>
    <n v="2731"/>
    <n v="3930"/>
    <n v="11344"/>
    <n v="363105"/>
    <n v="12.1"/>
    <n v="15"/>
    <n v="4.8899999999999997"/>
    <n v="2.62"/>
    <n v="72.53"/>
    <n v="2.5"/>
    <n v="10121"/>
    <n v="133"/>
    <n v="7"/>
    <n v="-20610741.620000001"/>
    <n v="-192.03454839031272"/>
    <n v="10732830"/>
    <n v="0.54675243866402612"/>
  </r>
  <r>
    <s v="P0517"/>
    <s v="Model_655"/>
    <x v="1"/>
    <x v="0"/>
    <x v="0"/>
    <s v="Q4"/>
    <n v="1267"/>
    <n v="1958"/>
    <n v="2738"/>
    <n v="249775"/>
    <n v="12.87"/>
    <n v="13"/>
    <n v="1.33"/>
    <n v="6.7"/>
    <n v="18.28"/>
    <n v="1.4"/>
    <n v="12047"/>
    <n v="1941"/>
    <n v="8"/>
    <n v="-1238041.7"/>
    <n v="-49.905219555415101"/>
    <n v="2480786"/>
    <n v="0.25365629431978071"/>
  </r>
  <r>
    <s v="P0518"/>
    <s v="Model_437"/>
    <x v="1"/>
    <x v="0"/>
    <x v="0"/>
    <s v="Q2"/>
    <n v="1590"/>
    <n v="14895"/>
    <n v="9362"/>
    <n v="487973"/>
    <n v="14.96"/>
    <n v="15"/>
    <n v="2.4300000000000002"/>
    <n v="13"/>
    <n v="18.59"/>
    <n v="3.8"/>
    <n v="14985"/>
    <n v="4581"/>
    <n v="8"/>
    <n v="8309484"/>
    <n v="35.086207224153981"/>
    <n v="23683050"/>
    <n v="0.31832163217715176"/>
  </r>
  <r>
    <s v="P0519"/>
    <s v="Model_595"/>
    <x v="0"/>
    <x v="0"/>
    <x v="0"/>
    <s v="Q4"/>
    <n v="3286"/>
    <n v="1707"/>
    <n v="6776"/>
    <n v="339061"/>
    <n v="3.62"/>
    <n v="6"/>
    <n v="2.92"/>
    <n v="14.14"/>
    <n v="18.09"/>
    <n v="4.9000000000000004"/>
    <n v="3959"/>
    <n v="8540"/>
    <n v="10"/>
    <n v="-16995809.140000001"/>
    <n v="-302.99869999333237"/>
    <n v="5609202"/>
    <n v="0.65786470649944695"/>
  </r>
  <r>
    <s v="P0520"/>
    <s v="Model_748"/>
    <x v="0"/>
    <x v="2"/>
    <x v="0"/>
    <s v="Q4"/>
    <n v="2436"/>
    <n v="2399"/>
    <n v="13940"/>
    <n v="465952"/>
    <n v="0.61"/>
    <n v="8"/>
    <n v="9.24"/>
    <n v="0.38"/>
    <n v="10.91"/>
    <n v="3.9"/>
    <n v="6773"/>
    <n v="1234"/>
    <n v="12"/>
    <n v="-28579828.379999999"/>
    <n v="-489.04867278443191"/>
    <n v="5843964"/>
    <n v="0.48769276476952311"/>
  </r>
  <r>
    <s v="P0521"/>
    <s v="Model_224"/>
    <x v="2"/>
    <x v="3"/>
    <x v="0"/>
    <s v="Q4"/>
    <n v="3769"/>
    <n v="13153"/>
    <n v="13471"/>
    <n v="340134"/>
    <n v="6.17"/>
    <n v="3"/>
    <n v="2.2999999999999998"/>
    <n v="19.510000000000002"/>
    <n v="53.89"/>
    <n v="4.7"/>
    <n v="19602"/>
    <n v="7361"/>
    <n v="9"/>
    <n v="-1538695.51"/>
    <n v="-3.1038571755963051"/>
    <n v="49573657"/>
    <n v="0.75456240985892142"/>
  </r>
  <r>
    <s v="P0522"/>
    <s v="Model_287"/>
    <x v="1"/>
    <x v="2"/>
    <x v="0"/>
    <s v="Q2"/>
    <n v="1438"/>
    <n v="17905"/>
    <n v="10923"/>
    <n v="112551"/>
    <n v="1.95"/>
    <n v="10"/>
    <n v="2.89"/>
    <n v="9.0399999999999991"/>
    <n v="87.87"/>
    <n v="4.2"/>
    <n v="10957"/>
    <n v="5398"/>
    <n v="14"/>
    <n v="9927555.9600000009"/>
    <n v="38.557523539279131"/>
    <n v="25747390"/>
    <n v="0.28789088495015364"/>
  </r>
  <r>
    <s v="P0523"/>
    <s v="Model_278"/>
    <x v="1"/>
    <x v="1"/>
    <x v="0"/>
    <s v="Q4"/>
    <n v="1906"/>
    <n v="10101"/>
    <n v="7388"/>
    <n v="260695"/>
    <n v="0.34"/>
    <n v="1"/>
    <n v="3.69"/>
    <n v="10.16"/>
    <n v="45.09"/>
    <n v="1.7"/>
    <n v="6923"/>
    <n v="7117"/>
    <n v="2"/>
    <n v="4910272.84"/>
    <n v="25.504590623163548"/>
    <n v="19252506"/>
    <n v="0.38158555404380584"/>
  </r>
  <r>
    <s v="P0524"/>
    <s v="Model_748"/>
    <x v="1"/>
    <x v="1"/>
    <x v="0"/>
    <s v="Q4"/>
    <n v="1415"/>
    <n v="2394"/>
    <n v="9416"/>
    <n v="203512"/>
    <n v="5.41"/>
    <n v="11"/>
    <n v="6.64"/>
    <n v="20.23"/>
    <n v="53.26"/>
    <n v="2"/>
    <n v="19192"/>
    <n v="7871"/>
    <n v="5"/>
    <n v="-10139662.23"/>
    <n v="-299.32493867176777"/>
    <n v="3387510"/>
    <n v="0.28328623240922629"/>
  </r>
  <r>
    <s v="P0525"/>
    <s v="Model_652"/>
    <x v="2"/>
    <x v="2"/>
    <x v="0"/>
    <s v="Q4"/>
    <n v="549"/>
    <n v="2014"/>
    <n v="7104"/>
    <n v="216277"/>
    <n v="11.76"/>
    <n v="11"/>
    <n v="1.18"/>
    <n v="9.48"/>
    <n v="87.44"/>
    <n v="2.4"/>
    <n v="18934"/>
    <n v="8667"/>
    <n v="8"/>
    <n v="-3010696.48"/>
    <n v="-272.29217698333883"/>
    <n v="1105686"/>
    <n v="0.10991105412909202"/>
  </r>
  <r>
    <s v="P0526"/>
    <s v="Model_291"/>
    <x v="1"/>
    <x v="2"/>
    <x v="0"/>
    <s v="Q2"/>
    <n v="1730"/>
    <n v="5609"/>
    <n v="8145"/>
    <n v="130811"/>
    <n v="8.49"/>
    <n v="3"/>
    <n v="9.5399999999999991"/>
    <n v="1.18"/>
    <n v="30.41"/>
    <n v="1.7"/>
    <n v="6979"/>
    <n v="9015"/>
    <n v="12"/>
    <n v="-4518092.18"/>
    <n v="-46.561133479739929"/>
    <n v="9703570"/>
    <n v="0.34634995199149216"/>
  </r>
  <r>
    <s v="P0527"/>
    <s v="Model_390"/>
    <x v="1"/>
    <x v="2"/>
    <x v="0"/>
    <s v="Q4"/>
    <n v="560"/>
    <n v="14758"/>
    <n v="13716"/>
    <n v="304840"/>
    <n v="4.6900000000000004"/>
    <n v="17"/>
    <n v="8.66"/>
    <n v="4.41"/>
    <n v="78.680000000000007"/>
    <n v="3.3"/>
    <n v="16919"/>
    <n v="2013"/>
    <n v="9"/>
    <n v="278675.59000000003"/>
    <n v="3.3719676253073398"/>
    <n v="8264480"/>
    <n v="0.11211327925736163"/>
  </r>
  <r>
    <s v="P0528"/>
    <s v="Model_534"/>
    <x v="0"/>
    <x v="0"/>
    <x v="1"/>
    <s v="Q2"/>
    <n v="4362"/>
    <n v="16813"/>
    <n v="8675"/>
    <n v="367247"/>
    <n v="9.82"/>
    <n v="6"/>
    <n v="5.77"/>
    <n v="23.9"/>
    <n v="53.71"/>
    <n v="4.9000000000000004"/>
    <n v="3749"/>
    <n v="4397"/>
    <n v="8"/>
    <n v="35130685.100000001"/>
    <n v="47.902231475049348"/>
    <n v="73338306"/>
    <n v="0.87328236450109187"/>
  </r>
  <r>
    <s v="P0529"/>
    <s v="Model_680"/>
    <x v="0"/>
    <x v="3"/>
    <x v="1"/>
    <s v="Q4"/>
    <n v="1374"/>
    <n v="16849"/>
    <n v="9886"/>
    <n v="484843"/>
    <n v="3.48"/>
    <n v="0"/>
    <n v="6.74"/>
    <n v="1.76"/>
    <n v="55.56"/>
    <n v="4"/>
    <n v="4309"/>
    <n v="2042"/>
    <n v="13"/>
    <n v="9082317.2400000002"/>
    <n v="39.231580483311696"/>
    <n v="23150526"/>
    <n v="0.2750779387493123"/>
  </r>
  <r>
    <s v="P0530"/>
    <s v="Model_889"/>
    <x v="2"/>
    <x v="2"/>
    <x v="0"/>
    <s v="Q1"/>
    <n v="1205"/>
    <n v="8679"/>
    <n v="7433"/>
    <n v="418266"/>
    <n v="0.22"/>
    <n v="12"/>
    <n v="0.17"/>
    <n v="8.8699999999999992"/>
    <n v="37.450000000000003"/>
    <n v="2.7"/>
    <n v="4421"/>
    <n v="4104"/>
    <n v="4"/>
    <n v="1083155.1299999999"/>
    <n v="10.356998793768904"/>
    <n v="10458195"/>
    <n v="0.24124375268771564"/>
  </r>
  <r>
    <s v="P0531"/>
    <s v="Model_884"/>
    <x v="0"/>
    <x v="3"/>
    <x v="1"/>
    <s v="Q1"/>
    <n v="1877"/>
    <n v="11826"/>
    <n v="1397"/>
    <n v="284104"/>
    <n v="11.47"/>
    <n v="5"/>
    <n v="3.39"/>
    <n v="12.58"/>
    <n v="54.93"/>
    <n v="1"/>
    <n v="6176"/>
    <n v="1431"/>
    <n v="5"/>
    <n v="19291116.420000002"/>
    <n v="86.907091289331973"/>
    <n v="22197402"/>
    <n v="0.37577968779654963"/>
  </r>
  <r>
    <s v="P0532"/>
    <s v="Model_655"/>
    <x v="0"/>
    <x v="2"/>
    <x v="1"/>
    <s v="Q2"/>
    <n v="3191"/>
    <n v="13287"/>
    <n v="3862"/>
    <n v="69008"/>
    <n v="9.36"/>
    <n v="5"/>
    <n v="7.96"/>
    <n v="12.33"/>
    <n v="15.85"/>
    <n v="2.2999999999999998"/>
    <n v="3917"/>
    <n v="7990"/>
    <n v="13"/>
    <n v="30006154.670000002"/>
    <n v="70.771207295712983"/>
    <n v="42398817"/>
    <n v="0.63884548948257314"/>
  </r>
  <r>
    <s v="P0533"/>
    <s v="Model_892"/>
    <x v="0"/>
    <x v="3"/>
    <x v="0"/>
    <s v="Q4"/>
    <n v="3536"/>
    <n v="3060"/>
    <n v="3136"/>
    <n v="252346"/>
    <n v="11.43"/>
    <n v="11"/>
    <n v="0.77"/>
    <n v="0.1"/>
    <n v="71.17"/>
    <n v="3.1"/>
    <n v="18416"/>
    <n v="4688"/>
    <n v="8"/>
    <n v="-521082.1"/>
    <n v="-4.8158446825185584"/>
    <n v="10820160"/>
    <n v="0.70791527759648343"/>
  </r>
  <r>
    <s v="P0534"/>
    <s v="Model_695"/>
    <x v="1"/>
    <x v="0"/>
    <x v="1"/>
    <s v="Q4"/>
    <n v="1860"/>
    <n v="15112"/>
    <n v="13680"/>
    <n v="82402"/>
    <n v="0.57999999999999996"/>
    <n v="7"/>
    <n v="2.82"/>
    <n v="12.53"/>
    <n v="32.78"/>
    <n v="2.2999999999999998"/>
    <n v="14963"/>
    <n v="437"/>
    <n v="9"/>
    <n v="2581105.4700000002"/>
    <n v="9.1827098524564974"/>
    <n v="28108320"/>
    <n v="0.37237624896195115"/>
  </r>
  <r>
    <s v="P0535"/>
    <s v="Model_136"/>
    <x v="0"/>
    <x v="3"/>
    <x v="0"/>
    <s v="Q4"/>
    <n v="2973"/>
    <n v="19150"/>
    <n v="10679"/>
    <n v="234456"/>
    <n v="12.56"/>
    <n v="18"/>
    <n v="5.85"/>
    <n v="9.59"/>
    <n v="81.010000000000005"/>
    <n v="1.4"/>
    <n v="9667"/>
    <n v="7166"/>
    <n v="8"/>
    <n v="24949817.41"/>
    <n v="43.823159365534373"/>
    <n v="56932950"/>
    <n v="0.59520139148595741"/>
  </r>
  <r>
    <s v="P0536"/>
    <s v="Model_714"/>
    <x v="0"/>
    <x v="0"/>
    <x v="1"/>
    <s v="Q4"/>
    <n v="2264"/>
    <n v="6280"/>
    <n v="1372"/>
    <n v="309994"/>
    <n v="9.2899999999999991"/>
    <n v="4"/>
    <n v="2.56"/>
    <n v="24.3"/>
    <n v="39.43"/>
    <n v="2.8"/>
    <n v="2969"/>
    <n v="7913"/>
    <n v="7"/>
    <n v="10801693.699999999"/>
    <n v="75.972390476244058"/>
    <n v="14217920"/>
    <n v="0.45325797185476202"/>
  </r>
  <r>
    <s v="P0537"/>
    <s v="Model_761"/>
    <x v="0"/>
    <x v="2"/>
    <x v="1"/>
    <s v="Q3"/>
    <n v="4236"/>
    <n v="19811"/>
    <n v="8321"/>
    <n v="449009"/>
    <n v="8.4499999999999993"/>
    <n v="17"/>
    <n v="9.34"/>
    <n v="3.98"/>
    <n v="21.43"/>
    <n v="2"/>
    <n v="8792"/>
    <n v="9083"/>
    <n v="10"/>
    <n v="48222627.020000003"/>
    <n v="57.463029190534222"/>
    <n v="83919396"/>
    <n v="0.84805687666818552"/>
  </r>
  <r>
    <s v="P0538"/>
    <s v="Model_667"/>
    <x v="2"/>
    <x v="3"/>
    <x v="1"/>
    <s v="Q2"/>
    <n v="763"/>
    <n v="13394"/>
    <n v="6971"/>
    <n v="186643"/>
    <n v="9.3699999999999992"/>
    <n v="4"/>
    <n v="1.31"/>
    <n v="8.85"/>
    <n v="65.67"/>
    <n v="4.5999999999999996"/>
    <n v="8431"/>
    <n v="3711"/>
    <n v="10"/>
    <n v="4714097.1500000004"/>
    <n v="46.127901305938721"/>
    <n v="10219622"/>
    <n v="0.15275434298815521"/>
  </r>
  <r>
    <s v="P0539"/>
    <s v="Model_326"/>
    <x v="1"/>
    <x v="0"/>
    <x v="0"/>
    <s v="Q2"/>
    <n v="3652"/>
    <n v="3856"/>
    <n v="7897"/>
    <n v="459425"/>
    <n v="12.97"/>
    <n v="9"/>
    <n v="7.97"/>
    <n v="10.49"/>
    <n v="23.17"/>
    <n v="1.4"/>
    <n v="2591"/>
    <n v="3800"/>
    <n v="12"/>
    <n v="-15217167.49"/>
    <n v="-108.06026461087654"/>
    <n v="14082112"/>
    <n v="0.73113874258550837"/>
  </r>
  <r>
    <s v="P0540"/>
    <s v="Model_739"/>
    <x v="2"/>
    <x v="2"/>
    <x v="1"/>
    <s v="Q3"/>
    <n v="4184"/>
    <n v="6290"/>
    <n v="2890"/>
    <n v="163550"/>
    <n v="8.8000000000000007"/>
    <n v="0"/>
    <n v="5.08"/>
    <n v="9.77"/>
    <n v="70.290000000000006"/>
    <n v="1.2"/>
    <n v="17863"/>
    <n v="9808"/>
    <n v="14"/>
    <n v="14062040.23"/>
    <n v="53.432564018579377"/>
    <n v="26317360"/>
    <n v="0.83764635788000186"/>
  </r>
  <r>
    <s v="P0541"/>
    <s v="Model_948"/>
    <x v="2"/>
    <x v="2"/>
    <x v="1"/>
    <s v="Q1"/>
    <n v="3572"/>
    <n v="18190"/>
    <n v="14792"/>
    <n v="486364"/>
    <n v="8.7100000000000009"/>
    <n v="9"/>
    <n v="7.5"/>
    <n v="16.649999999999999"/>
    <n v="87.45"/>
    <n v="1"/>
    <n v="1760"/>
    <n v="6218"/>
    <n v="8"/>
    <n v="11651275.35"/>
    <n v="17.932024213124251"/>
    <n v="64974680"/>
    <n v="0.71512255983445672"/>
  </r>
  <r>
    <s v="P0542"/>
    <s v="Model_773"/>
    <x v="2"/>
    <x v="3"/>
    <x v="1"/>
    <s v="Q1"/>
    <n v="4318"/>
    <n v="11681"/>
    <n v="7366"/>
    <n v="141218"/>
    <n v="14.86"/>
    <n v="4"/>
    <n v="3.11"/>
    <n v="5.39"/>
    <n v="72.36"/>
    <n v="2.2999999999999998"/>
    <n v="11956"/>
    <n v="7205"/>
    <n v="9"/>
    <n v="18490946.609999999"/>
    <n v="36.660339516446925"/>
    <n v="50438558"/>
    <n v="0.86447346398801339"/>
  </r>
  <r>
    <s v="P0543"/>
    <s v="Model_171"/>
    <x v="2"/>
    <x v="0"/>
    <x v="0"/>
    <s v="Q4"/>
    <n v="4798"/>
    <n v="8557"/>
    <n v="12661"/>
    <n v="183296"/>
    <n v="11.35"/>
    <n v="11"/>
    <n v="5.14"/>
    <n v="5.53"/>
    <n v="11.8"/>
    <n v="3.6"/>
    <n v="14935"/>
    <n v="2773"/>
    <n v="7"/>
    <n v="-19874293.530000001"/>
    <n v="-48.407195710806818"/>
    <n v="41056486"/>
    <n v="0.96057056049432343"/>
  </r>
  <r>
    <s v="P0544"/>
    <s v="Model_295"/>
    <x v="0"/>
    <x v="0"/>
    <x v="1"/>
    <s v="Q1"/>
    <n v="4899"/>
    <n v="17582"/>
    <n v="13264"/>
    <n v="229767"/>
    <n v="6.63"/>
    <n v="6"/>
    <n v="8.57"/>
    <n v="18.23"/>
    <n v="57.99"/>
    <n v="3.9"/>
    <n v="10877"/>
    <n v="2222"/>
    <n v="2"/>
    <n v="20924096.77"/>
    <n v="24.29243250342158"/>
    <n v="86134218"/>
    <n v="0.98079099121752611"/>
  </r>
  <r>
    <s v="P0545"/>
    <s v="Model_508"/>
    <x v="2"/>
    <x v="3"/>
    <x v="1"/>
    <s v="Q2"/>
    <n v="1293"/>
    <n v="2161"/>
    <n v="5424"/>
    <n v="432923"/>
    <n v="10.61"/>
    <n v="8"/>
    <n v="4.67"/>
    <n v="12.51"/>
    <n v="65.63"/>
    <n v="2.8"/>
    <n v="17313"/>
    <n v="7182"/>
    <n v="2"/>
    <n v="-4651994.51"/>
    <n v="-166.48913685730983"/>
    <n v="2794173"/>
    <n v="0.25886155371387248"/>
  </r>
  <r>
    <s v="P0546"/>
    <s v="Model_743"/>
    <x v="0"/>
    <x v="2"/>
    <x v="1"/>
    <s v="Q4"/>
    <n v="3759"/>
    <n v="6144"/>
    <n v="2433"/>
    <n v="441858"/>
    <n v="5.84"/>
    <n v="11"/>
    <n v="3.6"/>
    <n v="10.38"/>
    <n v="76.040000000000006"/>
    <n v="3.7"/>
    <n v="5801"/>
    <n v="8350"/>
    <n v="7"/>
    <n v="13507780.619999999"/>
    <n v="58.487150889947458"/>
    <n v="23095296"/>
    <n v="0.75256038701503991"/>
  </r>
  <r>
    <s v="P0547"/>
    <s v="Model_414"/>
    <x v="1"/>
    <x v="0"/>
    <x v="1"/>
    <s v="Q1"/>
    <n v="1131"/>
    <n v="17211"/>
    <n v="14053"/>
    <n v="291060"/>
    <n v="3.43"/>
    <n v="0"/>
    <n v="5.36"/>
    <n v="4.2300000000000004"/>
    <n v="14.48"/>
    <n v="2.4"/>
    <n v="8707"/>
    <n v="2162"/>
    <n v="3"/>
    <n v="3280633.77"/>
    <n v="16.853458717336871"/>
    <n v="19465641"/>
    <n v="0.22642878364299288"/>
  </r>
  <r>
    <s v="P0548"/>
    <s v="Model_166"/>
    <x v="2"/>
    <x v="1"/>
    <x v="1"/>
    <s v="Q1"/>
    <n v="505"/>
    <n v="4420"/>
    <n v="2317"/>
    <n v="290016"/>
    <n v="8.9499999999999993"/>
    <n v="10"/>
    <n v="7.17"/>
    <n v="4.6900000000000004"/>
    <n v="48.41"/>
    <n v="3.7"/>
    <n v="17976"/>
    <n v="1354"/>
    <n v="9"/>
    <n v="771994.31"/>
    <n v="34.586009139375477"/>
    <n v="2232100"/>
    <n v="0.10110215361601362"/>
  </r>
  <r>
    <s v="P0549"/>
    <s v="Model_574"/>
    <x v="2"/>
    <x v="0"/>
    <x v="1"/>
    <s v="Q1"/>
    <n v="4974"/>
    <n v="17502"/>
    <n v="13285"/>
    <n v="82441"/>
    <n v="13.92"/>
    <n v="14"/>
    <n v="4.4400000000000004"/>
    <n v="0.26"/>
    <n v="52.83"/>
    <n v="1.2"/>
    <n v="10056"/>
    <n v="3788"/>
    <n v="2"/>
    <n v="20892916.739999998"/>
    <n v="23.999688955072372"/>
    <n v="87054948"/>
    <n v="0.99580616254663701"/>
  </r>
  <r>
    <s v="P0550"/>
    <s v="Model_190"/>
    <x v="2"/>
    <x v="1"/>
    <x v="0"/>
    <s v="Q3"/>
    <n v="944"/>
    <n v="15525"/>
    <n v="11649"/>
    <n v="288038"/>
    <n v="13.94"/>
    <n v="1"/>
    <n v="9.39"/>
    <n v="2.29"/>
    <n v="23.53"/>
    <n v="2.6"/>
    <n v="15295"/>
    <n v="3848"/>
    <n v="14"/>
    <n v="3370903.71"/>
    <n v="23.000789527552605"/>
    <n v="14655600"/>
    <n v="0.1889909564624096"/>
  </r>
  <r>
    <s v="P0551"/>
    <s v="Model_127"/>
    <x v="2"/>
    <x v="0"/>
    <x v="1"/>
    <s v="Q1"/>
    <n v="1434"/>
    <n v="10446"/>
    <n v="4448"/>
    <n v="220201"/>
    <n v="5.13"/>
    <n v="19"/>
    <n v="2.95"/>
    <n v="13.92"/>
    <n v="35.799999999999997"/>
    <n v="4.2"/>
    <n v="7625"/>
    <n v="6442"/>
    <n v="3"/>
    <n v="8380917.0800000001"/>
    <n v="55.949005458369818"/>
    <n v="14979564"/>
    <n v="0.28709007581260104"/>
  </r>
  <r>
    <s v="P0552"/>
    <s v="Model_731"/>
    <x v="0"/>
    <x v="1"/>
    <x v="1"/>
    <s v="Q4"/>
    <n v="2008"/>
    <n v="14232"/>
    <n v="13940"/>
    <n v="281324"/>
    <n v="7.92"/>
    <n v="6"/>
    <n v="4.75"/>
    <n v="22.3"/>
    <n v="45.22"/>
    <n v="4.2"/>
    <n v="3424"/>
    <n v="4230"/>
    <n v="9"/>
    <n v="304989.7"/>
    <n v="1.0672238673188081"/>
    <n v="28577856"/>
    <n v="0.40200618705139668"/>
  </r>
  <r>
    <s v="P0553"/>
    <s v="Model_590"/>
    <x v="1"/>
    <x v="3"/>
    <x v="0"/>
    <s v="Q3"/>
    <n v="3122"/>
    <n v="7736"/>
    <n v="12580"/>
    <n v="374512"/>
    <n v="3.17"/>
    <n v="11"/>
    <n v="7.57"/>
    <n v="7.18"/>
    <n v="76.66"/>
    <n v="3.9"/>
    <n v="20979"/>
    <n v="4357"/>
    <n v="13"/>
    <n v="-15497487.18"/>
    <n v="-64.167028185734623"/>
    <n v="24151792"/>
    <n v="0.6250315318597911"/>
  </r>
  <r>
    <s v="P0554"/>
    <s v="Model_802"/>
    <x v="0"/>
    <x v="1"/>
    <x v="1"/>
    <s v="Q4"/>
    <n v="2046"/>
    <n v="17809"/>
    <n v="2337"/>
    <n v="142122"/>
    <n v="14.93"/>
    <n v="17"/>
    <n v="6.89"/>
    <n v="8.19"/>
    <n v="84.35"/>
    <n v="1.8"/>
    <n v="8183"/>
    <n v="3129"/>
    <n v="7"/>
    <n v="31513581.809999999"/>
    <n v="86.48735276522514"/>
    <n v="36437214"/>
    <n v="0.40961387385814624"/>
  </r>
  <r>
    <s v="P0555"/>
    <s v="Model_564"/>
    <x v="0"/>
    <x v="3"/>
    <x v="0"/>
    <s v="Q1"/>
    <n v="4335"/>
    <n v="15018"/>
    <n v="14168"/>
    <n v="94760"/>
    <n v="14.72"/>
    <n v="2"/>
    <n v="8.64"/>
    <n v="2.89"/>
    <n v="60.27"/>
    <n v="2"/>
    <n v="20422"/>
    <n v="2946"/>
    <n v="13"/>
    <n v="3589987.11"/>
    <n v="5.5143164765142263"/>
    <n v="65103030"/>
    <n v="0.86787690282261187"/>
  </r>
  <r>
    <s v="P0556"/>
    <s v="Model_620"/>
    <x v="2"/>
    <x v="1"/>
    <x v="0"/>
    <s v="Q2"/>
    <n v="554"/>
    <n v="1852"/>
    <n v="3937"/>
    <n v="335622"/>
    <n v="9.74"/>
    <n v="6"/>
    <n v="9.9700000000000006"/>
    <n v="9.7200000000000006"/>
    <n v="41.6"/>
    <n v="5"/>
    <n v="20160"/>
    <n v="8762"/>
    <n v="11"/>
    <n v="-1490721.72"/>
    <n v="-145.29338172801772"/>
    <n v="1026008"/>
    <n v="0.11091206555103275"/>
  </r>
  <r>
    <s v="P0557"/>
    <s v="Model_249"/>
    <x v="0"/>
    <x v="0"/>
    <x v="1"/>
    <s v="Q1"/>
    <n v="1264"/>
    <n v="8505"/>
    <n v="7785"/>
    <n v="440025"/>
    <n v="12.07"/>
    <n v="10"/>
    <n v="4.2699999999999996"/>
    <n v="0.93"/>
    <n v="30.32"/>
    <n v="1.4"/>
    <n v="14831"/>
    <n v="4135"/>
    <n v="3"/>
    <n v="470054.07"/>
    <n v="4.3724658428772347"/>
    <n v="10750320"/>
    <n v="0.25305568746661627"/>
  </r>
  <r>
    <s v="P0558"/>
    <s v="Model_898"/>
    <x v="1"/>
    <x v="2"/>
    <x v="1"/>
    <s v="Q2"/>
    <n v="1581"/>
    <n v="15536"/>
    <n v="897"/>
    <n v="383998"/>
    <n v="10.73"/>
    <n v="17"/>
    <n v="1.1100000000000001"/>
    <n v="22.94"/>
    <n v="88.57"/>
    <n v="1.7"/>
    <n v="11445"/>
    <n v="2999"/>
    <n v="3"/>
    <n v="22760238.059999999"/>
    <n v="92.662863702007158"/>
    <n v="24562416"/>
    <n v="0.31651981161765846"/>
  </r>
  <r>
    <s v="P0559"/>
    <s v="Model_410"/>
    <x v="1"/>
    <x v="0"/>
    <x v="1"/>
    <s v="Q1"/>
    <n v="3490"/>
    <n v="18042"/>
    <n v="12207"/>
    <n v="406374"/>
    <n v="8.9"/>
    <n v="11"/>
    <n v="0.3"/>
    <n v="16.829999999999998"/>
    <n v="88.64"/>
    <n v="1.5"/>
    <n v="18794"/>
    <n v="9738"/>
    <n v="12"/>
    <n v="19957759.170000002"/>
    <n v="31.695796674998071"/>
    <n v="62966580"/>
    <n v="0.69870597251462874"/>
  </r>
  <r>
    <s v="P0560"/>
    <s v="Model_709"/>
    <x v="1"/>
    <x v="1"/>
    <x v="1"/>
    <s v="Q3"/>
    <n v="873"/>
    <n v="2456"/>
    <n v="14991"/>
    <n v="397860"/>
    <n v="0.8"/>
    <n v="5"/>
    <n v="7.27"/>
    <n v="24.77"/>
    <n v="84"/>
    <n v="2.2999999999999998"/>
    <n v="1806"/>
    <n v="4543"/>
    <n v="8"/>
    <n v="-11340939.77"/>
    <n v="-528.94003277850527"/>
    <n v="2144088"/>
    <n v="0.17477659427085127"/>
  </r>
  <r>
    <s v="P0561"/>
    <s v="Model_144"/>
    <x v="0"/>
    <x v="3"/>
    <x v="1"/>
    <s v="Q3"/>
    <n v="978"/>
    <n v="3571"/>
    <n v="13522"/>
    <n v="193252"/>
    <n v="6.82"/>
    <n v="4"/>
    <n v="8.74"/>
    <n v="22.07"/>
    <n v="72.849999999999994"/>
    <n v="1.8"/>
    <n v="5731"/>
    <n v="4889"/>
    <n v="6"/>
    <n v="-9925352.0700000003"/>
    <n v="-284.19551241854543"/>
    <n v="3492438"/>
    <n v="0.19579783413160656"/>
  </r>
  <r>
    <s v="P0562"/>
    <s v="Model_429"/>
    <x v="2"/>
    <x v="1"/>
    <x v="0"/>
    <s v="Q4"/>
    <n v="183"/>
    <n v="10095"/>
    <n v="13724"/>
    <n v="148538"/>
    <n v="10.119999999999999"/>
    <n v="0"/>
    <n v="2.21"/>
    <n v="11.82"/>
    <n v="36.06"/>
    <n v="3"/>
    <n v="7528"/>
    <n v="1012"/>
    <n v="6"/>
    <n v="-812656.82"/>
    <n v="-43.989575535148326"/>
    <n v="1847385"/>
    <n v="3.6637018043030677E-2"/>
  </r>
  <r>
    <s v="P0563"/>
    <s v="Model_612"/>
    <x v="2"/>
    <x v="1"/>
    <x v="0"/>
    <s v="Q4"/>
    <n v="2155"/>
    <n v="16640"/>
    <n v="4550"/>
    <n v="65372"/>
    <n v="10.16"/>
    <n v="11"/>
    <n v="1.58"/>
    <n v="12.99"/>
    <n v="75.36"/>
    <n v="2.9"/>
    <n v="13707"/>
    <n v="4342"/>
    <n v="9"/>
    <n v="25988565.010000002"/>
    <n v="72.473911883142961"/>
    <n v="35859200"/>
    <n v="0.43143592285645416"/>
  </r>
  <r>
    <s v="P0564"/>
    <s v="Model_155"/>
    <x v="2"/>
    <x v="0"/>
    <x v="0"/>
    <s v="Q2"/>
    <n v="3677"/>
    <n v="14303"/>
    <n v="12149"/>
    <n v="341940"/>
    <n v="5.6"/>
    <n v="10"/>
    <n v="0.62"/>
    <n v="4.76"/>
    <n v="42.7"/>
    <n v="4.5999999999999996"/>
    <n v="8158"/>
    <n v="7641"/>
    <n v="13"/>
    <n v="7578313.2400000002"/>
    <n v="14.409595306187537"/>
    <n v="52592131"/>
    <n v="0.73614379969521204"/>
  </r>
  <r>
    <s v="P0565"/>
    <s v="Model_392"/>
    <x v="0"/>
    <x v="1"/>
    <x v="0"/>
    <s v="Q2"/>
    <n v="4830"/>
    <n v="4953"/>
    <n v="13675"/>
    <n v="271035"/>
    <n v="14.13"/>
    <n v="3"/>
    <n v="8.23"/>
    <n v="11.55"/>
    <n v="36.14"/>
    <n v="1.1000000000000001"/>
    <n v="7836"/>
    <n v="1811"/>
    <n v="13"/>
    <n v="-42398306.549999997"/>
    <n v="-177.22829190665547"/>
    <n v="23922990"/>
    <n v="0.96697703359474407"/>
  </r>
  <r>
    <s v="P0566"/>
    <s v="Model_392"/>
    <x v="2"/>
    <x v="2"/>
    <x v="1"/>
    <s v="Q1"/>
    <n v="1902"/>
    <n v="8175"/>
    <n v="9335"/>
    <n v="410970"/>
    <n v="2.5099999999999998"/>
    <n v="17"/>
    <n v="3.11"/>
    <n v="22.58"/>
    <n v="69.59"/>
    <n v="2.2999999999999998"/>
    <n v="15396"/>
    <n v="8966"/>
    <n v="8"/>
    <n v="-2617312.58"/>
    <n v="-16.832837026532509"/>
    <n v="15548850"/>
    <n v="0.38078474490625325"/>
  </r>
  <r>
    <s v="P0567"/>
    <s v="Model_643"/>
    <x v="0"/>
    <x v="2"/>
    <x v="1"/>
    <s v="Q2"/>
    <n v="4960"/>
    <n v="2455"/>
    <n v="8974"/>
    <n v="432736"/>
    <n v="7.51"/>
    <n v="3"/>
    <n v="4.0199999999999996"/>
    <n v="1.27"/>
    <n v="16.37"/>
    <n v="3.4"/>
    <n v="11130"/>
    <n v="1539"/>
    <n v="13"/>
    <n v="-32766977.27"/>
    <n v="-269.09349968793117"/>
    <n v="12176800"/>
    <n v="0.99300333056520307"/>
  </r>
  <r>
    <s v="P0568"/>
    <s v="Model_568"/>
    <x v="1"/>
    <x v="3"/>
    <x v="1"/>
    <s v="Q1"/>
    <n v="4225"/>
    <n v="7795"/>
    <n v="8903"/>
    <n v="405779"/>
    <n v="10.36"/>
    <n v="16"/>
    <n v="5.03"/>
    <n v="21.59"/>
    <n v="13.89"/>
    <n v="3.4"/>
    <n v="18756"/>
    <n v="5713"/>
    <n v="10"/>
    <n v="-5087100.59"/>
    <n v="-15.446407657768788"/>
    <n v="32933875"/>
    <n v="0.8458546515399159"/>
  </r>
  <r>
    <s v="P0569"/>
    <s v="Model_144"/>
    <x v="0"/>
    <x v="3"/>
    <x v="0"/>
    <s v="Q4"/>
    <n v="2983"/>
    <n v="17421"/>
    <n v="6213"/>
    <n v="161022"/>
    <n v="10.46"/>
    <n v="1"/>
    <n v="8.39"/>
    <n v="8.52"/>
    <n v="45.84"/>
    <n v="2.9"/>
    <n v="2641"/>
    <n v="3730"/>
    <n v="5"/>
    <n v="33272433.48"/>
    <n v="64.026274368831679"/>
    <n v="51966843"/>
    <n v="0.59720341432983881"/>
  </r>
  <r>
    <s v="P0570"/>
    <s v="Model_315"/>
    <x v="1"/>
    <x v="1"/>
    <x v="0"/>
    <s v="Q2"/>
    <n v="3334"/>
    <n v="19596"/>
    <n v="5466"/>
    <n v="104040"/>
    <n v="9.73"/>
    <n v="1"/>
    <n v="6.51"/>
    <n v="22.49"/>
    <n v="45.65"/>
    <n v="4.3"/>
    <n v="18549"/>
    <n v="5475"/>
    <n v="11"/>
    <n v="47005357.509999998"/>
    <n v="71.947272379571842"/>
    <n v="65333064"/>
    <n v="0.66747441615007796"/>
  </r>
  <r>
    <s v="P0571"/>
    <s v="Model_413"/>
    <x v="2"/>
    <x v="2"/>
    <x v="1"/>
    <s v="Q3"/>
    <n v="4348"/>
    <n v="16782"/>
    <n v="1410"/>
    <n v="387501"/>
    <n v="4.13"/>
    <n v="11"/>
    <n v="6.15"/>
    <n v="23.52"/>
    <n v="81.650000000000006"/>
    <n v="1.3"/>
    <n v="9900"/>
    <n v="7203"/>
    <n v="5"/>
    <n v="66449931.479999997"/>
    <n v="91.067053542384585"/>
    <n v="72968136"/>
    <n v="0.87047953251965782"/>
  </r>
  <r>
    <s v="P0572"/>
    <s v="Model_845"/>
    <x v="0"/>
    <x v="3"/>
    <x v="1"/>
    <s v="Q4"/>
    <n v="2861"/>
    <n v="6203"/>
    <n v="2527"/>
    <n v="252440"/>
    <n v="2.34"/>
    <n v="5"/>
    <n v="1.76"/>
    <n v="16.77"/>
    <n v="20.09"/>
    <n v="4.3"/>
    <n v="2451"/>
    <n v="8977"/>
    <n v="3"/>
    <n v="10264579.23"/>
    <n v="57.839098105836982"/>
    <n v="17746783"/>
    <n v="0.572778735634485"/>
  </r>
  <r>
    <s v="P0573"/>
    <s v="Model_371"/>
    <x v="2"/>
    <x v="0"/>
    <x v="1"/>
    <s v="Q3"/>
    <n v="1300"/>
    <n v="8063"/>
    <n v="11282"/>
    <n v="128356"/>
    <n v="9.5399999999999991"/>
    <n v="9"/>
    <n v="5.13"/>
    <n v="16.61"/>
    <n v="19.86"/>
    <n v="3"/>
    <n v="10749"/>
    <n v="9418"/>
    <n v="4"/>
    <n v="-4313072.6100000003"/>
    <n v="-41.147812991919409"/>
    <n v="10481900"/>
    <n v="0.26026296970458951"/>
  </r>
  <r>
    <s v="P0574"/>
    <s v="Model_168"/>
    <x v="0"/>
    <x v="3"/>
    <x v="1"/>
    <s v="Q2"/>
    <n v="3562"/>
    <n v="13503"/>
    <n v="2654"/>
    <n v="328355"/>
    <n v="8.99"/>
    <n v="15"/>
    <n v="7.15"/>
    <n v="11.32"/>
    <n v="21.8"/>
    <n v="1.5"/>
    <n v="14436"/>
    <n v="4316"/>
    <n v="2"/>
    <n v="38315771.68"/>
    <n v="79.662401388707138"/>
    <n v="48097686"/>
    <n v="0.7131205369905752"/>
  </r>
  <r>
    <s v="P0575"/>
    <s v="Model_764"/>
    <x v="0"/>
    <x v="0"/>
    <x v="0"/>
    <s v="Q4"/>
    <n v="1306"/>
    <n v="12317"/>
    <n v="11600"/>
    <n v="417570"/>
    <n v="2.69"/>
    <n v="13"/>
    <n v="9.73"/>
    <n v="20.89"/>
    <n v="12.38"/>
    <n v="4.5"/>
    <n v="15955"/>
    <n v="2566"/>
    <n v="2"/>
    <n v="518811.11"/>
    <n v="3.2252334047950511"/>
    <n v="16086002"/>
    <n v="0.26146418341091837"/>
  </r>
  <r>
    <s v="P0576"/>
    <s v="Model_116"/>
    <x v="2"/>
    <x v="3"/>
    <x v="0"/>
    <s v="Q2"/>
    <n v="3426"/>
    <n v="12671"/>
    <n v="5855"/>
    <n v="317986"/>
    <n v="10.58"/>
    <n v="6"/>
    <n v="2.0099999999999998"/>
    <n v="24.04"/>
    <n v="15.74"/>
    <n v="3.6"/>
    <n v="6222"/>
    <n v="7924"/>
    <n v="8"/>
    <n v="23033605.960000001"/>
    <n v="53.059564791711267"/>
    <n v="43410846"/>
    <n v="0.68589302631378746"/>
  </r>
  <r>
    <s v="P0577"/>
    <s v="Model_106"/>
    <x v="0"/>
    <x v="2"/>
    <x v="1"/>
    <s v="Q4"/>
    <n v="3536"/>
    <n v="14082"/>
    <n v="11071"/>
    <n v="378996"/>
    <n v="6.83"/>
    <n v="18"/>
    <n v="0.1"/>
    <n v="19.38"/>
    <n v="62.79"/>
    <n v="1.7"/>
    <n v="14312"/>
    <n v="4224"/>
    <n v="6"/>
    <n v="10267880.619999999"/>
    <n v="20.620738478440114"/>
    <n v="49793952"/>
    <n v="0.70791527759648343"/>
  </r>
  <r>
    <s v="P0578"/>
    <s v="Model_403"/>
    <x v="0"/>
    <x v="2"/>
    <x v="0"/>
    <s v="Q2"/>
    <n v="3634"/>
    <n v="13701"/>
    <n v="3124"/>
    <n v="437881"/>
    <n v="10.02"/>
    <n v="16"/>
    <n v="0.75"/>
    <n v="15.55"/>
    <n v="44.53"/>
    <n v="1.1000000000000001"/>
    <n v="5508"/>
    <n v="1065"/>
    <n v="4"/>
    <n v="37998921.450000003"/>
    <n v="76.319247674114962"/>
    <n v="49789434"/>
    <n v="0.72753510146652167"/>
  </r>
  <r>
    <s v="P0579"/>
    <s v="Model_612"/>
    <x v="1"/>
    <x v="0"/>
    <x v="1"/>
    <s v="Q3"/>
    <n v="1446"/>
    <n v="19278"/>
    <n v="13619"/>
    <n v="358112"/>
    <n v="12.56"/>
    <n v="8"/>
    <n v="3.76"/>
    <n v="15.17"/>
    <n v="71.09"/>
    <n v="1.6"/>
    <n v="11560"/>
    <n v="7028"/>
    <n v="8"/>
    <n v="7824786.8300000001"/>
    <n v="28.069989232309901"/>
    <n v="27875988"/>
    <n v="0.28949250322525877"/>
  </r>
  <r>
    <s v="P0580"/>
    <s v="Model_798"/>
    <x v="1"/>
    <x v="1"/>
    <x v="1"/>
    <s v="Q2"/>
    <n v="3687"/>
    <n v="13973"/>
    <n v="10169"/>
    <n v="329652"/>
    <n v="2.5499999999999998"/>
    <n v="12"/>
    <n v="8.2100000000000009"/>
    <n v="21.24"/>
    <n v="89.41"/>
    <n v="3.4"/>
    <n v="14556"/>
    <n v="6196"/>
    <n v="3"/>
    <n v="13695674.76"/>
    <n v="26.584018917804809"/>
    <n v="51518451"/>
    <n v="0.73814582253909344"/>
  </r>
  <r>
    <s v="P0581"/>
    <s v="Model_385"/>
    <x v="0"/>
    <x v="3"/>
    <x v="0"/>
    <s v="Q3"/>
    <n v="3380"/>
    <n v="10961"/>
    <n v="10083"/>
    <n v="203077"/>
    <n v="0.28999999999999998"/>
    <n v="4"/>
    <n v="7.0000000000000007E-2"/>
    <n v="13.53"/>
    <n v="62.72"/>
    <n v="1.7"/>
    <n v="8155"/>
    <n v="6257"/>
    <n v="4"/>
    <n v="2764549.47"/>
    <n v="7.4620385400848308"/>
    <n v="37048180"/>
    <n v="0.67668372123193266"/>
  </r>
  <r>
    <s v="P0582"/>
    <s v="Model_477"/>
    <x v="1"/>
    <x v="3"/>
    <x v="0"/>
    <s v="Q4"/>
    <n v="2753"/>
    <n v="17096"/>
    <n v="14989"/>
    <n v="104575"/>
    <n v="11.69"/>
    <n v="4"/>
    <n v="4.57"/>
    <n v="20.100000000000001"/>
    <n v="14.04"/>
    <n v="1.9"/>
    <n v="18655"/>
    <n v="9211"/>
    <n v="2"/>
    <n v="5695975.9000000004"/>
    <n v="12.10228629643146"/>
    <n v="47065288"/>
    <n v="0.55115688892056536"/>
  </r>
  <r>
    <s v="P0583"/>
    <s v="Model_183"/>
    <x v="2"/>
    <x v="1"/>
    <x v="1"/>
    <s v="Q4"/>
    <n v="520"/>
    <n v="2029"/>
    <n v="13971"/>
    <n v="200043"/>
    <n v="9.15"/>
    <n v="9"/>
    <n v="3.29"/>
    <n v="12.72"/>
    <n v="18.37"/>
    <n v="1.1000000000000001"/>
    <n v="14527"/>
    <n v="8220"/>
    <n v="9"/>
    <n v="-6409895.7199999997"/>
    <n v="-607.52698563142133"/>
    <n v="1055080"/>
    <n v="0.1041051878818358"/>
  </r>
  <r>
    <s v="P0584"/>
    <s v="Model_884"/>
    <x v="1"/>
    <x v="0"/>
    <x v="1"/>
    <s v="Q3"/>
    <n v="1403"/>
    <n v="14265"/>
    <n v="6574"/>
    <n v="468815"/>
    <n v="10.49"/>
    <n v="9"/>
    <n v="0.52"/>
    <n v="1.56"/>
    <n v="80.48"/>
    <n v="3.9"/>
    <n v="5530"/>
    <n v="1608"/>
    <n v="3"/>
    <n v="10321656.439999999"/>
    <n v="51.572709923330386"/>
    <n v="20013795"/>
    <n v="0.28088380499656851"/>
  </r>
  <r>
    <s v="P0585"/>
    <s v="Model_281"/>
    <x v="0"/>
    <x v="2"/>
    <x v="0"/>
    <s v="Q3"/>
    <n v="2833"/>
    <n v="15410"/>
    <n v="7319"/>
    <n v="116914"/>
    <n v="12.57"/>
    <n v="6"/>
    <n v="4.5"/>
    <n v="9.6"/>
    <n v="52.2"/>
    <n v="4.2"/>
    <n v="2021"/>
    <n v="9504"/>
    <n v="8"/>
    <n v="22804879.399999999"/>
    <n v="52.237040827569203"/>
    <n v="43656530"/>
    <n v="0.56717307167161701"/>
  </r>
  <r>
    <s v="P0586"/>
    <s v="Model_796"/>
    <x v="2"/>
    <x v="3"/>
    <x v="1"/>
    <s v="Q2"/>
    <n v="2881"/>
    <n v="13061"/>
    <n v="11783"/>
    <n v="299134"/>
    <n v="12.04"/>
    <n v="14"/>
    <n v="2.5499999999999998"/>
    <n v="11.11"/>
    <n v="75.989999999999995"/>
    <n v="4.2"/>
    <n v="2900"/>
    <n v="971"/>
    <n v="12"/>
    <n v="3382772.89"/>
    <n v="8.9898646622272054"/>
    <n v="37628741"/>
    <n v="0.57678278132224792"/>
  </r>
  <r>
    <s v="P0587"/>
    <s v="Model_937"/>
    <x v="1"/>
    <x v="0"/>
    <x v="0"/>
    <s v="Q3"/>
    <n v="407"/>
    <n v="10631"/>
    <n v="2549"/>
    <n v="117055"/>
    <n v="14.41"/>
    <n v="6"/>
    <n v="3.52"/>
    <n v="3.54"/>
    <n v="78.53"/>
    <n v="1.5"/>
    <n v="13430"/>
    <n v="963"/>
    <n v="10"/>
    <n v="3172315.46"/>
    <n v="73.317532495596652"/>
    <n v="4326817"/>
    <n v="8.1482329745975329E-2"/>
  </r>
  <r>
    <s v="P0588"/>
    <s v="Model_624"/>
    <x v="0"/>
    <x v="0"/>
    <x v="0"/>
    <s v="Q4"/>
    <n v="3069"/>
    <n v="2025"/>
    <n v="11667"/>
    <n v="137697"/>
    <n v="8.0399999999999991"/>
    <n v="14"/>
    <n v="7.06"/>
    <n v="2.56"/>
    <n v="84.21"/>
    <n v="4.5999999999999996"/>
    <n v="5223"/>
    <n v="3155"/>
    <n v="7"/>
    <n v="-29728997.559999999"/>
    <n v="-478.36384650970069"/>
    <n v="6214725"/>
    <n v="0.61442081078721933"/>
  </r>
  <r>
    <s v="P0589"/>
    <s v="Model_208"/>
    <x v="0"/>
    <x v="3"/>
    <x v="0"/>
    <s v="Q4"/>
    <n v="717"/>
    <n v="17885"/>
    <n v="1581"/>
    <n v="156239"/>
    <n v="7.33"/>
    <n v="2"/>
    <n v="5.22"/>
    <n v="13.39"/>
    <n v="85.99"/>
    <n v="3.7"/>
    <n v="8079"/>
    <n v="5233"/>
    <n v="3"/>
    <n v="11533715.609999999"/>
    <n v="89.941709644252029"/>
    <n v="12823545"/>
    <n v="0.14354503790630052"/>
  </r>
  <r>
    <s v="P0590"/>
    <s v="Model_213"/>
    <x v="2"/>
    <x v="3"/>
    <x v="1"/>
    <s v="Q3"/>
    <n v="4518"/>
    <n v="1874"/>
    <n v="8348"/>
    <n v="285469"/>
    <n v="6.03"/>
    <n v="18"/>
    <n v="1.25"/>
    <n v="2.13"/>
    <n v="54.39"/>
    <n v="4.5999999999999996"/>
    <n v="19742"/>
    <n v="2782"/>
    <n v="3"/>
    <n v="-29535003.129999999"/>
    <n v="-348.83592784087176"/>
    <n v="8466732"/>
    <n v="0.90451392086564264"/>
  </r>
  <r>
    <s v="P0591"/>
    <s v="Model_709"/>
    <x v="1"/>
    <x v="0"/>
    <x v="1"/>
    <s v="Q2"/>
    <n v="1195"/>
    <n v="13697"/>
    <n v="12040"/>
    <n v="173106"/>
    <n v="2.31"/>
    <n v="9"/>
    <n v="9.61"/>
    <n v="7.57"/>
    <n v="37.28"/>
    <n v="2.8"/>
    <n v="6281"/>
    <n v="5378"/>
    <n v="10"/>
    <n v="1807001.43"/>
    <n v="11.039899889509446"/>
    <n v="16367915"/>
    <n v="0.23924172984383418"/>
  </r>
  <r>
    <s v="P0592"/>
    <s v="Model_506"/>
    <x v="0"/>
    <x v="3"/>
    <x v="0"/>
    <s v="Q4"/>
    <n v="4235"/>
    <n v="6148"/>
    <n v="7623"/>
    <n v="317499"/>
    <n v="8.59"/>
    <n v="14"/>
    <n v="6.36"/>
    <n v="18.61"/>
    <n v="86.95"/>
    <n v="2.7"/>
    <n v="14373"/>
    <n v="5548"/>
    <n v="11"/>
    <n v="-6564142.6100000003"/>
    <n v="-25.21103842333806"/>
    <n v="26036780"/>
    <n v="0.8478566743837973"/>
  </r>
  <r>
    <s v="P0593"/>
    <s v="Model_178"/>
    <x v="2"/>
    <x v="2"/>
    <x v="1"/>
    <s v="Q1"/>
    <n v="3769"/>
    <n v="3865"/>
    <n v="2905"/>
    <n v="366264"/>
    <n v="4.16"/>
    <n v="2"/>
    <n v="7.66"/>
    <n v="24.11"/>
    <n v="53.79"/>
    <n v="4.0999999999999996"/>
    <n v="20282"/>
    <n v="713"/>
    <n v="9"/>
    <n v="3251951.89"/>
    <n v="22.323818157042695"/>
    <n v="14567185"/>
    <n v="0.75456240985892142"/>
  </r>
  <r>
    <s v="P0594"/>
    <s v="Model_643"/>
    <x v="0"/>
    <x v="0"/>
    <x v="1"/>
    <s v="Q4"/>
    <n v="2795"/>
    <n v="19409"/>
    <n v="4667"/>
    <n v="350486"/>
    <n v="13.82"/>
    <n v="5"/>
    <n v="0.79"/>
    <n v="17.95"/>
    <n v="15.14"/>
    <n v="1.4"/>
    <n v="18026"/>
    <n v="1972"/>
    <n v="10"/>
    <n v="40853386.049999997"/>
    <n v="75.308341915038397"/>
    <n v="54248155"/>
    <n v="0.5595653848648674"/>
  </r>
  <r>
    <s v="P0595"/>
    <s v="Model_203"/>
    <x v="2"/>
    <x v="3"/>
    <x v="0"/>
    <s v="Q2"/>
    <n v="589"/>
    <n v="3146"/>
    <n v="7993"/>
    <n v="52257"/>
    <n v="8.75"/>
    <n v="11"/>
    <n v="0.47"/>
    <n v="24.82"/>
    <n v="61.42"/>
    <n v="3.1"/>
    <n v="12543"/>
    <n v="7823"/>
    <n v="5"/>
    <n v="-2907164.82"/>
    <n v="-156.890136719277"/>
    <n v="1852994"/>
    <n v="0.11791914550461786"/>
  </r>
  <r>
    <s v="P0596"/>
    <s v="Model_598"/>
    <x v="1"/>
    <x v="3"/>
    <x v="1"/>
    <s v="Q1"/>
    <n v="2829"/>
    <n v="1513"/>
    <n v="5776"/>
    <n v="339508"/>
    <n v="8.89"/>
    <n v="14"/>
    <n v="0.19"/>
    <n v="17.46"/>
    <n v="57.01"/>
    <n v="4.3"/>
    <n v="17875"/>
    <n v="7289"/>
    <n v="5"/>
    <n v="-12399552.460000001"/>
    <n v="-289.69042097041853"/>
    <n v="4280277"/>
    <n v="0.56637226253406436"/>
  </r>
  <r>
    <s v="P0597"/>
    <s v="Model_909"/>
    <x v="2"/>
    <x v="2"/>
    <x v="1"/>
    <s v="Q4"/>
    <n v="4186"/>
    <n v="6099"/>
    <n v="13534"/>
    <n v="206044"/>
    <n v="5.32"/>
    <n v="5"/>
    <n v="1.89"/>
    <n v="7.34"/>
    <n v="81.66"/>
    <n v="4.3"/>
    <n v="18601"/>
    <n v="5486"/>
    <n v="3"/>
    <n v="-31328961.34"/>
    <n v="-122.71231222494082"/>
    <n v="25530414"/>
    <n v="0.83804676244877818"/>
  </r>
  <r>
    <s v="P0598"/>
    <s v="Model_866"/>
    <x v="2"/>
    <x v="2"/>
    <x v="0"/>
    <s v="Q3"/>
    <n v="4885"/>
    <n v="3778"/>
    <n v="2913"/>
    <n v="161715"/>
    <n v="0.78"/>
    <n v="12"/>
    <n v="4.1399999999999997"/>
    <n v="16.8"/>
    <n v="62.25"/>
    <n v="4.8"/>
    <n v="2142"/>
    <n v="7042"/>
    <n v="11"/>
    <n v="4063793.2"/>
    <n v="22.019379557238398"/>
    <n v="18455530"/>
    <n v="0.97798815923609206"/>
  </r>
  <r>
    <s v="P0599"/>
    <s v="Model_127"/>
    <x v="1"/>
    <x v="2"/>
    <x v="0"/>
    <s v="Q4"/>
    <n v="3825"/>
    <n v="15796"/>
    <n v="6679"/>
    <n v="76654"/>
    <n v="0.48"/>
    <n v="18"/>
    <n v="9.36"/>
    <n v="17.55"/>
    <n v="37.92"/>
    <n v="3.8"/>
    <n v="20432"/>
    <n v="8859"/>
    <n v="2"/>
    <n v="34795853.450000003"/>
    <n v="57.59024531733855"/>
    <n v="60419700"/>
    <n v="0.76577373778465752"/>
  </r>
  <r>
    <s v="P0600"/>
    <s v="Model_446"/>
    <x v="0"/>
    <x v="1"/>
    <x v="1"/>
    <s v="Q1"/>
    <n v="2558"/>
    <n v="4655"/>
    <n v="14365"/>
    <n v="261841"/>
    <n v="6.35"/>
    <n v="2"/>
    <n v="4.57"/>
    <n v="9.2899999999999991"/>
    <n v="87.3"/>
    <n v="1.8"/>
    <n v="13385"/>
    <n v="344"/>
    <n v="11"/>
    <n v="-25100030.289999999"/>
    <n v="-210.79194935288629"/>
    <n v="11907490"/>
    <n v="0.51211744346487686"/>
  </r>
  <r>
    <s v="P0601"/>
    <s v="Model_102"/>
    <x v="2"/>
    <x v="2"/>
    <x v="0"/>
    <s v="Q4"/>
    <n v="2829"/>
    <n v="9821"/>
    <n v="4770"/>
    <n v="393567"/>
    <n v="1.27"/>
    <n v="7"/>
    <n v="2.9"/>
    <n v="0.44"/>
    <n v="74.13"/>
    <n v="1.1000000000000001"/>
    <n v="9049"/>
    <n v="120"/>
    <n v="14"/>
    <n v="13895711.560000001"/>
    <n v="50.014062463951312"/>
    <n v="27783609"/>
    <n v="0.56637226253406436"/>
  </r>
  <r>
    <s v="P0602"/>
    <s v="Model_813"/>
    <x v="2"/>
    <x v="1"/>
    <x v="1"/>
    <s v="Q1"/>
    <n v="974"/>
    <n v="5314"/>
    <n v="10983"/>
    <n v="341464"/>
    <n v="9.1"/>
    <n v="7"/>
    <n v="5.62"/>
    <n v="17.579999999999998"/>
    <n v="60.43"/>
    <n v="2.9"/>
    <n v="14897"/>
    <n v="8685"/>
    <n v="5"/>
    <n v="-5863087.5800000001"/>
    <n v="-113.27807874901754"/>
    <n v="5175836"/>
    <n v="0.19499702499405397"/>
  </r>
  <r>
    <s v="P0603"/>
    <s v="Model_571"/>
    <x v="0"/>
    <x v="3"/>
    <x v="0"/>
    <s v="Q4"/>
    <n v="3006"/>
    <n v="14625"/>
    <n v="10059"/>
    <n v="70808"/>
    <n v="13.21"/>
    <n v="19"/>
    <n v="1.1200000000000001"/>
    <n v="0.54"/>
    <n v="33.43"/>
    <n v="3.1"/>
    <n v="16574"/>
    <n v="5867"/>
    <n v="11"/>
    <n v="13654587.460000001"/>
    <n v="31.059447964469921"/>
    <n v="43962750"/>
    <n v="0.60180806687076616"/>
  </r>
  <r>
    <s v="P0604"/>
    <s v="Model_553"/>
    <x v="2"/>
    <x v="0"/>
    <x v="1"/>
    <s v="Q1"/>
    <n v="1631"/>
    <n v="4716"/>
    <n v="8064"/>
    <n v="102389"/>
    <n v="13.24"/>
    <n v="14"/>
    <n v="6.1"/>
    <n v="15.78"/>
    <n v="39.880000000000003"/>
    <n v="2"/>
    <n v="15271"/>
    <n v="3615"/>
    <n v="11"/>
    <n v="-5562992.7800000003"/>
    <n v="-72.323717113662397"/>
    <n v="7691796"/>
    <n v="0.32652992583706575"/>
  </r>
  <r>
    <s v="P0605"/>
    <s v="Model_694"/>
    <x v="1"/>
    <x v="2"/>
    <x v="0"/>
    <s v="Q1"/>
    <n v="3374"/>
    <n v="3613"/>
    <n v="2377"/>
    <n v="168581"/>
    <n v="9.89"/>
    <n v="3"/>
    <n v="5.68"/>
    <n v="4.09"/>
    <n v="63.6"/>
    <n v="1.5"/>
    <n v="2449"/>
    <n v="2010"/>
    <n v="12"/>
    <n v="4001678.91"/>
    <n v="32.826849086590592"/>
    <n v="12190262"/>
    <n v="0.67548250752560379"/>
  </r>
  <r>
    <s v="P0606"/>
    <s v="Model_347"/>
    <x v="0"/>
    <x v="1"/>
    <x v="1"/>
    <s v="Q4"/>
    <n v="4535"/>
    <n v="11738"/>
    <n v="10003"/>
    <n v="177927"/>
    <n v="3.17"/>
    <n v="18"/>
    <n v="7.92"/>
    <n v="14.14"/>
    <n v="15.76"/>
    <n v="3.3"/>
    <n v="18405"/>
    <n v="8581"/>
    <n v="9"/>
    <n v="7690283.8600000003"/>
    <n v="14.446777163212312"/>
    <n v="53231830"/>
    <n v="0.90791735970024101"/>
  </r>
  <r>
    <s v="P0607"/>
    <s v="Model_812"/>
    <x v="2"/>
    <x v="3"/>
    <x v="0"/>
    <s v="Q1"/>
    <n v="305"/>
    <n v="15260"/>
    <n v="3074"/>
    <n v="84773"/>
    <n v="12.94"/>
    <n v="2"/>
    <n v="9.8699999999999992"/>
    <n v="12.6"/>
    <n v="30.53"/>
    <n v="4.0999999999999996"/>
    <n v="16232"/>
    <n v="5982"/>
    <n v="3"/>
    <n v="3631944.4"/>
    <n v="78.034170551962703"/>
    <n v="4654300"/>
    <n v="6.1061696738384456E-2"/>
  </r>
  <r>
    <s v="P0608"/>
    <s v="Model_314"/>
    <x v="2"/>
    <x v="0"/>
    <x v="0"/>
    <s v="Q4"/>
    <n v="4854"/>
    <n v="14088"/>
    <n v="5669"/>
    <n v="232240"/>
    <n v="13.29"/>
    <n v="12"/>
    <n v="2.5099999999999998"/>
    <n v="0.34"/>
    <n v="67.11"/>
    <n v="5"/>
    <n v="18238"/>
    <n v="8652"/>
    <n v="14"/>
    <n v="40633585.659999996"/>
    <n v="59.420463186604792"/>
    <n v="68383152"/>
    <n v="0.97178188842005953"/>
  </r>
  <r>
    <s v="P0609"/>
    <s v="Model_310"/>
    <x v="2"/>
    <x v="0"/>
    <x v="1"/>
    <s v="Q2"/>
    <n v="1888"/>
    <n v="4874"/>
    <n v="10806"/>
    <n v="470963"/>
    <n v="2.95"/>
    <n v="7"/>
    <n v="5.0999999999999996"/>
    <n v="9.07"/>
    <n v="48.4"/>
    <n v="4"/>
    <n v="19366"/>
    <n v="8176"/>
    <n v="13"/>
    <n v="-11670588.07"/>
    <n v="-126.82510351971375"/>
    <n v="9202112"/>
    <n v="0.3779819129248192"/>
  </r>
  <r>
    <s v="P0610"/>
    <s v="Model_439"/>
    <x v="0"/>
    <x v="2"/>
    <x v="0"/>
    <s v="Q2"/>
    <n v="1994"/>
    <n v="7930"/>
    <n v="7544"/>
    <n v="388540"/>
    <n v="11.06"/>
    <n v="15"/>
    <n v="9.09"/>
    <n v="15.03"/>
    <n v="42.19"/>
    <n v="4.2"/>
    <n v="11339"/>
    <n v="1722"/>
    <n v="12"/>
    <n v="381128.97"/>
    <n v="2.4103139810351606"/>
    <n v="15812420"/>
    <n v="0.39920335506996268"/>
  </r>
  <r>
    <s v="P0611"/>
    <s v="Model_227"/>
    <x v="1"/>
    <x v="0"/>
    <x v="1"/>
    <s v="Q1"/>
    <n v="59"/>
    <n v="13470"/>
    <n v="3226"/>
    <n v="419836"/>
    <n v="4.3"/>
    <n v="12"/>
    <n v="7.85"/>
    <n v="21.22"/>
    <n v="22.12"/>
    <n v="3.5"/>
    <n v="14323"/>
    <n v="4414"/>
    <n v="9"/>
    <n v="184538.78"/>
    <n v="23.220311300693318"/>
    <n v="794730"/>
    <n v="1.18119347789006E-2"/>
  </r>
  <r>
    <s v="P0612"/>
    <s v="Model_435"/>
    <x v="1"/>
    <x v="0"/>
    <x v="1"/>
    <s v="Q1"/>
    <n v="2921"/>
    <n v="2129"/>
    <n v="14289"/>
    <n v="264764"/>
    <n v="12.04"/>
    <n v="2"/>
    <n v="4.87"/>
    <n v="22.22"/>
    <n v="45.35"/>
    <n v="4.9000000000000004"/>
    <n v="20099"/>
    <n v="2553"/>
    <n v="2"/>
    <n v="-35784146.219999999"/>
    <n v="-575.41799756191256"/>
    <n v="6218809"/>
    <n v="0.58479087269777374"/>
  </r>
  <r>
    <s v="P0613"/>
    <s v="Model_740"/>
    <x v="2"/>
    <x v="0"/>
    <x v="0"/>
    <s v="Q4"/>
    <n v="847"/>
    <n v="18153"/>
    <n v="6346"/>
    <n v="107505"/>
    <n v="14.96"/>
    <n v="15"/>
    <n v="9.4499999999999993"/>
    <n v="12.1"/>
    <n v="71.66"/>
    <n v="3.6"/>
    <n v="20421"/>
    <n v="2115"/>
    <n v="2"/>
    <n v="9893011.9000000004"/>
    <n v="64.34231958953643"/>
    <n v="15375591"/>
    <n v="0.16957133487675946"/>
  </r>
  <r>
    <s v="P0614"/>
    <s v="Model_652"/>
    <x v="1"/>
    <x v="0"/>
    <x v="1"/>
    <s v="Q4"/>
    <n v="1065"/>
    <n v="12331"/>
    <n v="7652"/>
    <n v="398040"/>
    <n v="0.45"/>
    <n v="8"/>
    <n v="0.56999999999999995"/>
    <n v="18.21"/>
    <n v="31.12"/>
    <n v="4.4000000000000004"/>
    <n v="16190"/>
    <n v="2900"/>
    <n v="5"/>
    <n v="4585076.79"/>
    <n v="34.913927682549762"/>
    <n v="13132515"/>
    <n v="0.21321543287337524"/>
  </r>
  <r>
    <s v="P0615"/>
    <s v="Model_411"/>
    <x v="2"/>
    <x v="0"/>
    <x v="1"/>
    <s v="Q1"/>
    <n v="1874"/>
    <n v="7224"/>
    <n v="13394"/>
    <n v="68135"/>
    <n v="13.46"/>
    <n v="13"/>
    <n v="9.31"/>
    <n v="7.91"/>
    <n v="10.43"/>
    <n v="4.8"/>
    <n v="7839"/>
    <n v="9123"/>
    <n v="8"/>
    <n v="-11630722.91"/>
    <n v="-85.913099093972306"/>
    <n v="13537776"/>
    <n v="0.37517908094338515"/>
  </r>
  <r>
    <s v="P0616"/>
    <s v="Model_586"/>
    <x v="1"/>
    <x v="2"/>
    <x v="0"/>
    <s v="Q2"/>
    <n v="4519"/>
    <n v="12583"/>
    <n v="13866"/>
    <n v="140887"/>
    <n v="9.34"/>
    <n v="12"/>
    <n v="0.51"/>
    <n v="8.5500000000000007"/>
    <n v="63.48"/>
    <n v="4.7"/>
    <n v="12456"/>
    <n v="8872"/>
    <n v="10"/>
    <n v="-5938772.5499999998"/>
    <n v="-10.444079152445026"/>
    <n v="56862577"/>
    <n v="0.90471412315003075"/>
  </r>
  <r>
    <s v="P0617"/>
    <s v="Model_301"/>
    <x v="2"/>
    <x v="2"/>
    <x v="0"/>
    <s v="Q4"/>
    <n v="3186"/>
    <n v="14649"/>
    <n v="3351"/>
    <n v="172118"/>
    <n v="14.6"/>
    <n v="6"/>
    <n v="5.47"/>
    <n v="4.8600000000000003"/>
    <n v="87.81"/>
    <n v="2.5"/>
    <n v="5265"/>
    <n v="6852"/>
    <n v="6"/>
    <n v="35823305.140000001"/>
    <n v="76.755923598606216"/>
    <n v="46671714"/>
    <n v="0.63784447806063238"/>
  </r>
  <r>
    <s v="P0618"/>
    <s v="Model_571"/>
    <x v="2"/>
    <x v="0"/>
    <x v="0"/>
    <s v="Q4"/>
    <n v="2243"/>
    <n v="10972"/>
    <n v="7211"/>
    <n v="359521"/>
    <n v="6.98"/>
    <n v="14"/>
    <n v="8.9"/>
    <n v="14.05"/>
    <n v="58.55"/>
    <n v="1.3"/>
    <n v="4327"/>
    <n v="7553"/>
    <n v="3"/>
    <n v="8076387.9500000002"/>
    <n v="32.817243511591698"/>
    <n v="24610196"/>
    <n v="0.44905372388261094"/>
  </r>
  <r>
    <s v="P0619"/>
    <s v="Model_905"/>
    <x v="2"/>
    <x v="2"/>
    <x v="0"/>
    <s v="Q1"/>
    <n v="273"/>
    <n v="7776"/>
    <n v="12649"/>
    <n v="204626"/>
    <n v="12.71"/>
    <n v="6"/>
    <n v="2.63"/>
    <n v="7.86"/>
    <n v="19.59"/>
    <n v="1.7"/>
    <n v="3558"/>
    <n v="2953"/>
    <n v="13"/>
    <n v="-1534962.86"/>
    <n v="-72.306771846123709"/>
    <n v="2122848"/>
    <n v="5.4655223637963796E-2"/>
  </r>
  <r>
    <s v="P0620"/>
    <s v="Model_542"/>
    <x v="0"/>
    <x v="1"/>
    <x v="1"/>
    <s v="Q3"/>
    <n v="4998"/>
    <n v="17135"/>
    <n v="807"/>
    <n v="374635"/>
    <n v="0.94"/>
    <n v="5"/>
    <n v="4.72"/>
    <n v="2.11"/>
    <n v="35.659999999999997"/>
    <n v="1.2"/>
    <n v="13019"/>
    <n v="2336"/>
    <n v="8"/>
    <n v="81232706.890000001"/>
    <n v="94.852889378686996"/>
    <n v="85640730"/>
    <n v="1.0006110173719525"/>
  </r>
  <r>
    <s v="P0621"/>
    <s v="Model_632"/>
    <x v="0"/>
    <x v="3"/>
    <x v="1"/>
    <s v="Q4"/>
    <n v="4208"/>
    <n v="7395"/>
    <n v="8887"/>
    <n v="498837"/>
    <n v="5.03"/>
    <n v="1"/>
    <n v="3.24"/>
    <n v="17.13"/>
    <n v="79.41"/>
    <n v="1.4"/>
    <n v="2230"/>
    <n v="4276"/>
    <n v="12"/>
    <n v="-6777190.1299999999"/>
    <n v="-21.778890943423391"/>
    <n v="31118160"/>
    <n v="0.84245121270531742"/>
  </r>
  <r>
    <s v="P0622"/>
    <s v="Model_166"/>
    <x v="0"/>
    <x v="0"/>
    <x v="1"/>
    <s v="Q3"/>
    <n v="3975"/>
    <n v="15494"/>
    <n v="3355"/>
    <n v="295739"/>
    <n v="1.01"/>
    <n v="8"/>
    <n v="9.52"/>
    <n v="17.690000000000001"/>
    <n v="28.61"/>
    <n v="1.7"/>
    <n v="3332"/>
    <n v="2255"/>
    <n v="3"/>
    <n v="47956768.310000002"/>
    <n v="77.8662437153599"/>
    <n v="61588650"/>
    <n v="0.79580408044287942"/>
  </r>
  <r>
    <s v="P0623"/>
    <s v="Model_731"/>
    <x v="2"/>
    <x v="2"/>
    <x v="0"/>
    <s v="Q3"/>
    <n v="4834"/>
    <n v="12052"/>
    <n v="1275"/>
    <n v="370427"/>
    <n v="14.63"/>
    <n v="16"/>
    <n v="8.24"/>
    <n v="9"/>
    <n v="58.62"/>
    <n v="2.4"/>
    <n v="10100"/>
    <n v="9636"/>
    <n v="10"/>
    <n v="51725582"/>
    <n v="88.785003640959516"/>
    <n v="58259368"/>
    <n v="0.96777784273229661"/>
  </r>
  <r>
    <s v="P0624"/>
    <s v="Model_981"/>
    <x v="0"/>
    <x v="1"/>
    <x v="0"/>
    <s v="Q4"/>
    <n v="4050"/>
    <n v="18459"/>
    <n v="6216"/>
    <n v="329067"/>
    <n v="12.25"/>
    <n v="4"/>
    <n v="7.09"/>
    <n v="1.92"/>
    <n v="42.21"/>
    <n v="3.2"/>
    <n v="17118"/>
    <n v="5798"/>
    <n v="10"/>
    <n v="49255081.079999998"/>
    <n v="65.885196461427014"/>
    <n v="74758950"/>
    <n v="0.81081925177199032"/>
  </r>
  <r>
    <s v="P0625"/>
    <s v="Model_575"/>
    <x v="2"/>
    <x v="3"/>
    <x v="0"/>
    <s v="Q2"/>
    <n v="1683"/>
    <n v="7599"/>
    <n v="11203"/>
    <n v="359735"/>
    <n v="12.79"/>
    <n v="11"/>
    <n v="5.88"/>
    <n v="10.66"/>
    <n v="26.63"/>
    <n v="3.8"/>
    <n v="8670"/>
    <n v="6929"/>
    <n v="4"/>
    <n v="-6425277.6600000001"/>
    <n v="-50.240197661808864"/>
    <n v="12789117"/>
    <n v="0.33694044462524936"/>
  </r>
  <r>
    <s v="P0626"/>
    <s v="Model_648"/>
    <x v="1"/>
    <x v="1"/>
    <x v="1"/>
    <s v="Q2"/>
    <n v="2202"/>
    <n v="10999"/>
    <n v="9476"/>
    <n v="112261"/>
    <n v="14.07"/>
    <n v="0"/>
    <n v="8.2100000000000009"/>
    <n v="11.06"/>
    <n v="75.069999999999993"/>
    <n v="1.8"/>
    <n v="5679"/>
    <n v="8637"/>
    <n v="14"/>
    <n v="3241373.94"/>
    <n v="13.383158439223978"/>
    <n v="24219798"/>
    <n v="0.44084543022269701"/>
  </r>
  <r>
    <s v="P0627"/>
    <s v="Model_676"/>
    <x v="2"/>
    <x v="0"/>
    <x v="0"/>
    <s v="Q3"/>
    <n v="560"/>
    <n v="4678"/>
    <n v="8039"/>
    <n v="366480"/>
    <n v="1.28"/>
    <n v="9"/>
    <n v="3.92"/>
    <n v="16.72"/>
    <n v="69.430000000000007"/>
    <n v="3.7"/>
    <n v="7799"/>
    <n v="1986"/>
    <n v="9"/>
    <n v="-2248656.7200000002"/>
    <n v="-85.837076284126312"/>
    <n v="2619680"/>
    <n v="0.11211327925736163"/>
  </r>
  <r>
    <s v="P0628"/>
    <s v="Model_975"/>
    <x v="0"/>
    <x v="3"/>
    <x v="0"/>
    <s v="Q2"/>
    <n v="434"/>
    <n v="7616"/>
    <n v="7510"/>
    <n v="386227"/>
    <n v="5.78"/>
    <n v="10"/>
    <n v="4.4800000000000004"/>
    <n v="7.89"/>
    <n v="62.93"/>
    <n v="3.8"/>
    <n v="9330"/>
    <n v="6571"/>
    <n v="12"/>
    <n v="-340230.89"/>
    <n v="-10.293357968187275"/>
    <n v="3305344"/>
    <n v="8.6887791424455268E-2"/>
  </r>
  <r>
    <s v="P0629"/>
    <s v="Model_768"/>
    <x v="2"/>
    <x v="3"/>
    <x v="1"/>
    <s v="Q4"/>
    <n v="454"/>
    <n v="17063"/>
    <n v="5800"/>
    <n v="110948"/>
    <n v="1.07"/>
    <n v="15"/>
    <n v="7.3"/>
    <n v="17.059999999999999"/>
    <n v="28.91"/>
    <n v="3.2"/>
    <n v="12939"/>
    <n v="8846"/>
    <n v="5"/>
    <n v="5002436.9400000004"/>
    <n v="64.5758868210862"/>
    <n v="7746602"/>
    <n v="9.0891837112218182E-2"/>
  </r>
  <r>
    <s v="P0630"/>
    <s v="Model_145"/>
    <x v="1"/>
    <x v="3"/>
    <x v="0"/>
    <s v="Q1"/>
    <n v="4663"/>
    <n v="5068"/>
    <n v="5454"/>
    <n v="290891"/>
    <n v="3.16"/>
    <n v="13"/>
    <n v="3.58"/>
    <n v="21.79"/>
    <n v="17.829999999999998"/>
    <n v="4.5999999999999996"/>
    <n v="6302"/>
    <n v="3870"/>
    <n v="4"/>
    <n v="-2090830.79"/>
    <n v="-8.8474245013685628"/>
    <n v="23632084"/>
    <n v="0.93354325210192368"/>
  </r>
  <r>
    <s v="P0631"/>
    <s v="Model_807"/>
    <x v="1"/>
    <x v="3"/>
    <x v="0"/>
    <s v="Q1"/>
    <n v="4621"/>
    <n v="11347"/>
    <n v="8878"/>
    <n v="214074"/>
    <n v="3.44"/>
    <n v="7"/>
    <n v="0.64"/>
    <n v="5.94"/>
    <n v="56.09"/>
    <n v="1.4"/>
    <n v="8115"/>
    <n v="8491"/>
    <n v="2"/>
    <n v="11195169.060000001"/>
    <n v="21.350774462616563"/>
    <n v="52434487"/>
    <n v="0.92513475615762164"/>
  </r>
  <r>
    <s v="P0632"/>
    <s v="Model_107"/>
    <x v="0"/>
    <x v="1"/>
    <x v="0"/>
    <s v="Q3"/>
    <n v="2050"/>
    <n v="15635"/>
    <n v="6863"/>
    <n v="338816"/>
    <n v="7.04"/>
    <n v="16"/>
    <n v="0.74"/>
    <n v="24.47"/>
    <n v="54.29"/>
    <n v="1.7"/>
    <n v="8262"/>
    <n v="3040"/>
    <n v="6"/>
    <n v="17643759.530000001"/>
    <n v="55.047726036799872"/>
    <n v="32051750"/>
    <n v="0.41041468299569883"/>
  </r>
  <r>
    <s v="P0633"/>
    <s v="Model_499"/>
    <x v="1"/>
    <x v="3"/>
    <x v="1"/>
    <s v="Q1"/>
    <n v="2806"/>
    <n v="19274"/>
    <n v="3085"/>
    <n v="316357"/>
    <n v="4.03"/>
    <n v="17"/>
    <n v="1.1499999999999999"/>
    <n v="9.66"/>
    <n v="25.07"/>
    <n v="2.7"/>
    <n v="7043"/>
    <n v="3590"/>
    <n v="14"/>
    <n v="45109967.340000004"/>
    <n v="83.409014770007289"/>
    <n v="54082844"/>
    <n v="0.56176760999313702"/>
  </r>
  <r>
    <s v="P0634"/>
    <s v="Model_808"/>
    <x v="0"/>
    <x v="3"/>
    <x v="1"/>
    <s v="Q1"/>
    <n v="1718"/>
    <n v="3242"/>
    <n v="6023"/>
    <n v="191365"/>
    <n v="1.51"/>
    <n v="11"/>
    <n v="8.6999999999999993"/>
    <n v="6.68"/>
    <n v="14.5"/>
    <n v="1.5"/>
    <n v="6383"/>
    <n v="7999"/>
    <n v="12"/>
    <n v="-4969129.68"/>
    <n v="-89.21629026478"/>
    <n v="5569756"/>
    <n v="0.34394752457883443"/>
  </r>
  <r>
    <s v="P0635"/>
    <s v="Model_968"/>
    <x v="1"/>
    <x v="0"/>
    <x v="1"/>
    <s v="Q4"/>
    <n v="1510"/>
    <n v="19809"/>
    <n v="14321"/>
    <n v="499076"/>
    <n v="2.5099999999999998"/>
    <n v="16"/>
    <n v="4.72"/>
    <n v="10.54"/>
    <n v="16.46"/>
    <n v="3.3"/>
    <n v="17239"/>
    <n v="406"/>
    <n v="5"/>
    <n v="7787793.46"/>
    <n v="26.036039742454349"/>
    <n v="29911590"/>
    <n v="0.3023054494261001"/>
  </r>
  <r>
    <s v="P0636"/>
    <s v="Model_448"/>
    <x v="0"/>
    <x v="2"/>
    <x v="1"/>
    <s v="Q3"/>
    <n v="3686"/>
    <n v="2119"/>
    <n v="7771"/>
    <n v="112507"/>
    <n v="2.21"/>
    <n v="13"/>
    <n v="7.13"/>
    <n v="2.36"/>
    <n v="89.42"/>
    <n v="2.6"/>
    <n v="2166"/>
    <n v="3175"/>
    <n v="2"/>
    <n v="-20945781.359999999"/>
    <n v="-268.17005328888797"/>
    <n v="7810634"/>
    <n v="0.73794562025470534"/>
  </r>
  <r>
    <s v="P0637"/>
    <s v="Model_562"/>
    <x v="2"/>
    <x v="2"/>
    <x v="0"/>
    <s v="Q3"/>
    <n v="2774"/>
    <n v="19158"/>
    <n v="13555"/>
    <n v="107134"/>
    <n v="14.6"/>
    <n v="15"/>
    <n v="3.93"/>
    <n v="3.14"/>
    <n v="72.69"/>
    <n v="2.1"/>
    <n v="1776"/>
    <n v="1756"/>
    <n v="11"/>
    <n v="15435584.859999999"/>
    <n v="29.044671175598687"/>
    <n v="53144292"/>
    <n v="0.55536113689271638"/>
  </r>
  <r>
    <s v="P0638"/>
    <s v="Model_679"/>
    <x v="2"/>
    <x v="1"/>
    <x v="1"/>
    <s v="Q3"/>
    <n v="4859"/>
    <n v="18840"/>
    <n v="4325"/>
    <n v="183172"/>
    <n v="11.39"/>
    <n v="13"/>
    <n v="2.59"/>
    <n v="10.36"/>
    <n v="83.76"/>
    <n v="1.7"/>
    <n v="15563"/>
    <n v="7344"/>
    <n v="9"/>
    <n v="70345202.640000001"/>
    <n v="76.843420378233048"/>
    <n v="91543560"/>
    <n v="0.97278289984200028"/>
  </r>
  <r>
    <s v="P0639"/>
    <s v="Model_276"/>
    <x v="1"/>
    <x v="2"/>
    <x v="1"/>
    <s v="Q2"/>
    <n v="4228"/>
    <n v="3439"/>
    <n v="12331"/>
    <n v="291225"/>
    <n v="14.52"/>
    <n v="8"/>
    <n v="3.47"/>
    <n v="19.059999999999999"/>
    <n v="25.6"/>
    <n v="2.2999999999999998"/>
    <n v="2381"/>
    <n v="6711"/>
    <n v="9"/>
    <n v="-37886620.060000002"/>
    <n v="-260.56657729538438"/>
    <n v="14540092"/>
    <n v="0.84645525839308033"/>
  </r>
  <r>
    <s v="P0640"/>
    <s v="Model_101"/>
    <x v="1"/>
    <x v="3"/>
    <x v="1"/>
    <s v="Q1"/>
    <n v="2098"/>
    <n v="17501"/>
    <n v="3622"/>
    <n v="243069"/>
    <n v="6.6"/>
    <n v="3"/>
    <n v="7.94"/>
    <n v="22.51"/>
    <n v="86.85"/>
    <n v="3.4"/>
    <n v="3560"/>
    <n v="6422"/>
    <n v="14"/>
    <n v="28875050.489999998"/>
    <n v="78.641973529607384"/>
    <n v="36717098"/>
    <n v="0.42002439264632985"/>
  </r>
  <r>
    <s v="P0641"/>
    <s v="Model_664"/>
    <x v="0"/>
    <x v="2"/>
    <x v="0"/>
    <s v="Q1"/>
    <n v="4196"/>
    <n v="2468"/>
    <n v="5743"/>
    <n v="340316"/>
    <n v="4.18"/>
    <n v="10"/>
    <n v="6.25"/>
    <n v="16.62"/>
    <n v="21.41"/>
    <n v="3.3"/>
    <n v="16177"/>
    <n v="2792"/>
    <n v="9"/>
    <n v="-14082232.619999999"/>
    <n v="-135.98496040065942"/>
    <n v="10355728"/>
    <n v="0.84004878529265969"/>
  </r>
  <r>
    <s v="P0642"/>
    <s v="Model_316"/>
    <x v="0"/>
    <x v="2"/>
    <x v="1"/>
    <s v="Q2"/>
    <n v="4830"/>
    <n v="16346"/>
    <n v="7330"/>
    <n v="332276"/>
    <n v="11.97"/>
    <n v="5"/>
    <n v="9.3800000000000008"/>
    <n v="2.63"/>
    <n v="50.73"/>
    <n v="1.7"/>
    <n v="19966"/>
    <n v="1864"/>
    <n v="4"/>
    <n v="43215001.369999997"/>
    <n v="54.736359063917725"/>
    <n v="78951180"/>
    <n v="0.96697703359474407"/>
  </r>
  <r>
    <s v="P0643"/>
    <s v="Model_762"/>
    <x v="2"/>
    <x v="2"/>
    <x v="1"/>
    <s v="Q2"/>
    <n v="766"/>
    <n v="1781"/>
    <n v="11916"/>
    <n v="298933"/>
    <n v="4.8899999999999997"/>
    <n v="14"/>
    <n v="6.8"/>
    <n v="16.8"/>
    <n v="76.38"/>
    <n v="1.5"/>
    <n v="8202"/>
    <n v="375"/>
    <n v="7"/>
    <n v="-8062359.7999999998"/>
    <n v="-590.97551321389255"/>
    <n v="1364246"/>
    <n v="0.15335494984131967"/>
  </r>
  <r>
    <s v="P0644"/>
    <s v="Model_548"/>
    <x v="1"/>
    <x v="1"/>
    <x v="0"/>
    <s v="Q4"/>
    <n v="4594"/>
    <n v="16860"/>
    <n v="1058"/>
    <n v="330343"/>
    <n v="4.49"/>
    <n v="4"/>
    <n v="5.7"/>
    <n v="15.89"/>
    <n v="37.979999999999997"/>
    <n v="1.1000000000000001"/>
    <n v="10929"/>
    <n v="5371"/>
    <n v="13"/>
    <n v="72264029.109999999"/>
    <n v="93.29827433637459"/>
    <n v="77454840"/>
    <n v="0.91972929447914165"/>
  </r>
  <r>
    <s v="P0645"/>
    <s v="Model_807"/>
    <x v="2"/>
    <x v="1"/>
    <x v="1"/>
    <s v="Q2"/>
    <n v="4633"/>
    <n v="7762"/>
    <n v="1082"/>
    <n v="86609"/>
    <n v="3.49"/>
    <n v="10"/>
    <n v="6.1"/>
    <n v="20.14"/>
    <n v="43.99"/>
    <n v="1"/>
    <n v="17353"/>
    <n v="7431"/>
    <n v="13"/>
    <n v="30861810.859999999"/>
    <n v="85.819398584246542"/>
    <n v="35961346"/>
    <n v="0.92753718357027937"/>
  </r>
  <r>
    <s v="P0646"/>
    <s v="Model_935"/>
    <x v="1"/>
    <x v="3"/>
    <x v="1"/>
    <s v="Q4"/>
    <n v="1873"/>
    <n v="2558"/>
    <n v="14737"/>
    <n v="224037"/>
    <n v="1.95"/>
    <n v="17"/>
    <n v="9.42"/>
    <n v="20.63"/>
    <n v="20.25"/>
    <n v="4.5"/>
    <n v="1658"/>
    <n v="9693"/>
    <n v="8"/>
    <n v="-23035324.629999999"/>
    <n v="-480.79065686745554"/>
    <n v="4791134"/>
    <n v="0.37497887865899704"/>
  </r>
  <r>
    <s v="P0647"/>
    <s v="Model_369"/>
    <x v="2"/>
    <x v="3"/>
    <x v="1"/>
    <s v="Q1"/>
    <n v="2131"/>
    <n v="12224"/>
    <n v="2698"/>
    <n v="189088"/>
    <n v="3.85"/>
    <n v="12"/>
    <n v="7.88"/>
    <n v="21.71"/>
    <n v="19.829999999999998"/>
    <n v="1.2"/>
    <n v="17496"/>
    <n v="5125"/>
    <n v="10"/>
    <n v="20110796.289999999"/>
    <n v="77.202697657184757"/>
    <n v="26049344"/>
    <n v="0.42663106803113865"/>
  </r>
  <r>
    <s v="P0648"/>
    <s v="Model_134"/>
    <x v="2"/>
    <x v="0"/>
    <x v="1"/>
    <s v="Q2"/>
    <n v="3469"/>
    <n v="6678"/>
    <n v="4935"/>
    <n v="482995"/>
    <n v="5.33"/>
    <n v="10"/>
    <n v="0.24"/>
    <n v="10.35"/>
    <n v="59.57"/>
    <n v="3.9"/>
    <n v="6729"/>
    <n v="4150"/>
    <n v="6"/>
    <n v="5563461.6500000004"/>
    <n v="24.015652131647172"/>
    <n v="23165982"/>
    <n v="0.69450172454247772"/>
  </r>
  <r>
    <s v="P0649"/>
    <s v="Model_498"/>
    <x v="0"/>
    <x v="1"/>
    <x v="1"/>
    <s v="Q1"/>
    <n v="1624"/>
    <n v="8480"/>
    <n v="7429"/>
    <n v="344025"/>
    <n v="10.11"/>
    <n v="13"/>
    <n v="5.34"/>
    <n v="17.45"/>
    <n v="64.040000000000006"/>
    <n v="4.5"/>
    <n v="9456"/>
    <n v="8180"/>
    <n v="10"/>
    <n v="1362781.55"/>
    <n v="9.8956509521098628"/>
    <n v="13771520"/>
    <n v="0.32512850984634872"/>
  </r>
  <r>
    <s v="P0650"/>
    <s v="Model_687"/>
    <x v="0"/>
    <x v="2"/>
    <x v="0"/>
    <s v="Q1"/>
    <n v="299"/>
    <n v="10700"/>
    <n v="11968"/>
    <n v="263666"/>
    <n v="0.94"/>
    <n v="17"/>
    <n v="6.88"/>
    <n v="6.71"/>
    <n v="72.19"/>
    <n v="1.4"/>
    <n v="14066"/>
    <n v="3560"/>
    <n v="7"/>
    <n v="-642804.71"/>
    <n v="-20.092042321757884"/>
    <n v="3199300"/>
    <n v="5.9860483032055586E-2"/>
  </r>
  <r>
    <s v="P0651"/>
    <s v="Model_245"/>
    <x v="0"/>
    <x v="0"/>
    <x v="0"/>
    <s v="Q3"/>
    <n v="723"/>
    <n v="2729"/>
    <n v="11259"/>
    <n v="336616"/>
    <n v="3.16"/>
    <n v="18"/>
    <n v="7.49"/>
    <n v="24.98"/>
    <n v="54.53"/>
    <n v="2.7"/>
    <n v="4026"/>
    <n v="3935"/>
    <n v="11"/>
    <n v="-6503830.9800000004"/>
    <n v="-329.63051837570652"/>
    <n v="1973067"/>
    <n v="0.14474625161262938"/>
  </r>
  <r>
    <s v="P0652"/>
    <s v="Model_354"/>
    <x v="1"/>
    <x v="2"/>
    <x v="1"/>
    <s v="Q4"/>
    <n v="4583"/>
    <n v="9967"/>
    <n v="4000"/>
    <n v="232885"/>
    <n v="12.14"/>
    <n v="14"/>
    <n v="2.13"/>
    <n v="4.38"/>
    <n v="61.66"/>
    <n v="4.8"/>
    <n v="9303"/>
    <n v="4378"/>
    <n v="11"/>
    <n v="27113871.620000001"/>
    <n v="59.357721239418041"/>
    <n v="45678761"/>
    <n v="0.91752706935087203"/>
  </r>
  <r>
    <s v="P0653"/>
    <s v="Model_994"/>
    <x v="2"/>
    <x v="0"/>
    <x v="0"/>
    <s v="Q3"/>
    <n v="2215"/>
    <n v="3789"/>
    <n v="5910"/>
    <n v="281440"/>
    <n v="2.2000000000000002"/>
    <n v="8"/>
    <n v="8.67"/>
    <n v="0.25"/>
    <n v="11.08"/>
    <n v="4.3"/>
    <n v="8074"/>
    <n v="1944"/>
    <n v="11"/>
    <n v="-4979455.25"/>
    <n v="-59.331249959041465"/>
    <n v="8392635"/>
    <n v="0.4434480599197429"/>
  </r>
  <r>
    <s v="P0654"/>
    <s v="Model_781"/>
    <x v="1"/>
    <x v="1"/>
    <x v="1"/>
    <s v="Q3"/>
    <n v="820"/>
    <n v="2739"/>
    <n v="7967"/>
    <n v="307803"/>
    <n v="5.14"/>
    <n v="7"/>
    <n v="9.56"/>
    <n v="3.72"/>
    <n v="22.97"/>
    <n v="3"/>
    <n v="10233"/>
    <n v="171"/>
    <n v="5"/>
    <n v="-4594766.72"/>
    <n v="-204.57736578242015"/>
    <n v="2245980"/>
    <n v="0.16416587319827952"/>
  </r>
  <r>
    <s v="P0655"/>
    <s v="Model_397"/>
    <x v="2"/>
    <x v="0"/>
    <x v="1"/>
    <s v="Q2"/>
    <n v="4012"/>
    <n v="6870"/>
    <n v="1412"/>
    <n v="217093"/>
    <n v="12.97"/>
    <n v="19"/>
    <n v="2.37"/>
    <n v="19.399999999999999"/>
    <n v="88.79"/>
    <n v="4.0999999999999996"/>
    <n v="19022"/>
    <n v="7486"/>
    <n v="14"/>
    <n v="21680383.600000001"/>
    <n v="78.659159348736907"/>
    <n v="27562440"/>
    <n v="0.80321156496524082"/>
  </r>
  <r>
    <s v="P0656"/>
    <s v="Model_434"/>
    <x v="1"/>
    <x v="2"/>
    <x v="0"/>
    <s v="Q4"/>
    <n v="4413"/>
    <n v="17670"/>
    <n v="1487"/>
    <n v="366275"/>
    <n v="2.3199999999999998"/>
    <n v="0"/>
    <n v="8.83"/>
    <n v="11.17"/>
    <n v="16.079999999999998"/>
    <n v="4.3"/>
    <n v="8757"/>
    <n v="6962"/>
    <n v="2"/>
    <n v="71049292.829999998"/>
    <n v="91.114874789218618"/>
    <n v="77977710"/>
    <n v="0.88349268100488731"/>
  </r>
  <r>
    <s v="P0657"/>
    <s v="Model_854"/>
    <x v="1"/>
    <x v="3"/>
    <x v="0"/>
    <s v="Q3"/>
    <n v="2034"/>
    <n v="1625"/>
    <n v="4490"/>
    <n v="205159"/>
    <n v="1.24"/>
    <n v="3"/>
    <n v="0.97"/>
    <n v="11.19"/>
    <n v="64.3"/>
    <n v="2.4"/>
    <n v="4783"/>
    <n v="7440"/>
    <n v="2"/>
    <n v="-6032580.1900000004"/>
    <n v="-182.51509537856441"/>
    <n v="3305250"/>
    <n v="0.40721144644548851"/>
  </r>
  <r>
    <s v="P0658"/>
    <s v="Model_612"/>
    <x v="1"/>
    <x v="0"/>
    <x v="0"/>
    <s v="Q3"/>
    <n v="1127"/>
    <n v="14004"/>
    <n v="9604"/>
    <n v="62828"/>
    <n v="7.27"/>
    <n v="13"/>
    <n v="0.56000000000000005"/>
    <n v="23.88"/>
    <n v="24.09"/>
    <n v="4.5999999999999996"/>
    <n v="17409"/>
    <n v="9968"/>
    <n v="11"/>
    <n v="4895948.12"/>
    <n v="31.021356808436281"/>
    <n v="15782508"/>
    <n v="0.22562797450544028"/>
  </r>
  <r>
    <s v="P0659"/>
    <s v="Model_863"/>
    <x v="2"/>
    <x v="3"/>
    <x v="1"/>
    <s v="Q4"/>
    <n v="285"/>
    <n v="16898"/>
    <n v="3107"/>
    <n v="408808"/>
    <n v="4.54"/>
    <n v="1"/>
    <n v="1.29"/>
    <n v="22.99"/>
    <n v="67.34"/>
    <n v="2.9"/>
    <n v="13302"/>
    <n v="9587"/>
    <n v="6"/>
    <n v="3521604.01"/>
    <n v="73.124069702009791"/>
    <n v="4815930"/>
    <n v="5.7057651050621543E-2"/>
  </r>
  <r>
    <s v="P0660"/>
    <s v="Model_874"/>
    <x v="1"/>
    <x v="3"/>
    <x v="0"/>
    <s v="Q3"/>
    <n v="438"/>
    <n v="8138"/>
    <n v="7933"/>
    <n v="182473"/>
    <n v="8.4499999999999993"/>
    <n v="15"/>
    <n v="0.57999999999999996"/>
    <n v="7.78"/>
    <n v="66.48"/>
    <n v="3.1"/>
    <n v="9396"/>
    <n v="7735"/>
    <n v="14"/>
    <n v="-92690.78"/>
    <n v="-2.6004274439435715"/>
    <n v="3564444"/>
    <n v="8.7688600562007848E-2"/>
  </r>
  <r>
    <s v="P0661"/>
    <s v="Model_254"/>
    <x v="1"/>
    <x v="3"/>
    <x v="0"/>
    <s v="Q1"/>
    <n v="3087"/>
    <n v="8070"/>
    <n v="12005"/>
    <n v="327337"/>
    <n v="12.06"/>
    <n v="2"/>
    <n v="8.4499999999999993"/>
    <n v="5.23"/>
    <n v="28.74"/>
    <n v="5"/>
    <n v="20303"/>
    <n v="1143"/>
    <n v="4"/>
    <n v="-12474687.23"/>
    <n v="-50.074832059453868"/>
    <n v="24912090"/>
    <n v="0.61802445190620603"/>
  </r>
  <r>
    <s v="P0662"/>
    <s v="Model_919"/>
    <x v="2"/>
    <x v="3"/>
    <x v="0"/>
    <s v="Q2"/>
    <n v="4908"/>
    <n v="4749"/>
    <n v="7309"/>
    <n v="273461"/>
    <n v="2.06"/>
    <n v="7"/>
    <n v="0.59"/>
    <n v="21.21"/>
    <n v="31.57"/>
    <n v="4.4000000000000004"/>
    <n v="15026"/>
    <n v="3142"/>
    <n v="6"/>
    <n v="-12837962.210000001"/>
    <n v="-55.079421387216087"/>
    <n v="23308092"/>
    <n v="0.9825928117770194"/>
  </r>
  <r>
    <s v="P0663"/>
    <s v="Model_753"/>
    <x v="2"/>
    <x v="3"/>
    <x v="0"/>
    <s v="Q1"/>
    <n v="1898"/>
    <n v="10610"/>
    <n v="10773"/>
    <n v="488080"/>
    <n v="8.7100000000000009"/>
    <n v="5"/>
    <n v="2.72"/>
    <n v="22.65"/>
    <n v="62.38"/>
    <n v="2.4"/>
    <n v="19640"/>
    <n v="914"/>
    <n v="6"/>
    <n v="-797476.65"/>
    <n v="-3.9601021065877173"/>
    <n v="20137780"/>
    <n v="0.37998393576870065"/>
  </r>
  <r>
    <s v="P0664"/>
    <s v="Model_895"/>
    <x v="1"/>
    <x v="0"/>
    <x v="1"/>
    <s v="Q4"/>
    <n v="4769"/>
    <n v="9095"/>
    <n v="6706"/>
    <n v="463523"/>
    <n v="7.58"/>
    <n v="15"/>
    <n v="1.04"/>
    <n v="13.54"/>
    <n v="41.21"/>
    <n v="1"/>
    <n v="12778"/>
    <n v="5722"/>
    <n v="2"/>
    <n v="10929604.460000001"/>
    <n v="25.198484347382326"/>
    <n v="43374055"/>
    <n v="0.95476469424706722"/>
  </r>
  <r>
    <s v="P0665"/>
    <s v="Model_157"/>
    <x v="1"/>
    <x v="0"/>
    <x v="0"/>
    <s v="Q3"/>
    <n v="2864"/>
    <n v="15105"/>
    <n v="3391"/>
    <n v="414662"/>
    <n v="2.16"/>
    <n v="15"/>
    <n v="2.95"/>
    <n v="15.74"/>
    <n v="25.56"/>
    <n v="3.5"/>
    <n v="14742"/>
    <n v="7432"/>
    <n v="9"/>
    <n v="33134218.260000002"/>
    <n v="76.591925099720953"/>
    <n v="43260720"/>
    <n v="0.57337934248764943"/>
  </r>
  <r>
    <s v="P0666"/>
    <s v="Model_967"/>
    <x v="2"/>
    <x v="3"/>
    <x v="0"/>
    <s v="Q1"/>
    <n v="3424"/>
    <n v="13615"/>
    <n v="11688"/>
    <n v="331755"/>
    <n v="9.36"/>
    <n v="6"/>
    <n v="0.91"/>
    <n v="6.42"/>
    <n v="68.53"/>
    <n v="3.8"/>
    <n v="20190"/>
    <n v="409"/>
    <n v="6"/>
    <n v="6266286.5800000001"/>
    <n v="13.441844009664985"/>
    <n v="46617760"/>
    <n v="0.68549262174501113"/>
  </r>
  <r>
    <s v="P0667"/>
    <s v="Model_509"/>
    <x v="2"/>
    <x v="1"/>
    <x v="0"/>
    <s v="Q1"/>
    <n v="3328"/>
    <n v="7794"/>
    <n v="14635"/>
    <n v="224863"/>
    <n v="4.0999999999999996"/>
    <n v="12"/>
    <n v="6.68"/>
    <n v="20.02"/>
    <n v="22.33"/>
    <n v="3.6"/>
    <n v="4070"/>
    <n v="6761"/>
    <n v="6"/>
    <n v="-22991731.02"/>
    <n v="-88.639633344066439"/>
    <n v="25938432"/>
    <n v="0.6662732024437491"/>
  </r>
  <r>
    <s v="P0668"/>
    <s v="Model_207"/>
    <x v="0"/>
    <x v="2"/>
    <x v="1"/>
    <s v="Q1"/>
    <n v="1302"/>
    <n v="7257"/>
    <n v="12950"/>
    <n v="455166"/>
    <n v="7.32"/>
    <n v="12"/>
    <n v="1.33"/>
    <n v="15.8"/>
    <n v="78.45"/>
    <n v="4.9000000000000004"/>
    <n v="1824"/>
    <n v="4327"/>
    <n v="10"/>
    <n v="-7867467.7999999998"/>
    <n v="-83.265839836403515"/>
    <n v="9448614"/>
    <n v="0.26066337427336578"/>
  </r>
  <r>
    <s v="P0669"/>
    <s v="Model_588"/>
    <x v="2"/>
    <x v="3"/>
    <x v="0"/>
    <s v="Q4"/>
    <n v="4031"/>
    <n v="14095"/>
    <n v="7983"/>
    <n v="388384"/>
    <n v="1.23"/>
    <n v="4"/>
    <n v="8.52"/>
    <n v="12.59"/>
    <n v="51.17"/>
    <n v="4.5"/>
    <n v="11221"/>
    <n v="1977"/>
    <n v="9"/>
    <n v="24249075.41"/>
    <n v="42.679301764640812"/>
    <n v="56816945"/>
    <n v="0.80701540836861563"/>
  </r>
  <r>
    <s v="P0670"/>
    <s v="Model_343"/>
    <x v="0"/>
    <x v="0"/>
    <x v="1"/>
    <s v="Q1"/>
    <n v="4723"/>
    <n v="3469"/>
    <n v="6048"/>
    <n v="289719"/>
    <n v="6.89"/>
    <n v="19"/>
    <n v="8.17"/>
    <n v="1.5"/>
    <n v="18.46"/>
    <n v="2.8"/>
    <n v="7145"/>
    <n v="2586"/>
    <n v="14"/>
    <n v="-12470337.5"/>
    <n v="-76.112495618461978"/>
    <n v="16384087"/>
    <n v="0.94555538916521242"/>
  </r>
  <r>
    <s v="P0671"/>
    <s v="Model_760"/>
    <x v="1"/>
    <x v="0"/>
    <x v="1"/>
    <s v="Q3"/>
    <n v="2172"/>
    <n v="12485"/>
    <n v="9566"/>
    <n v="258475"/>
    <n v="4.5999999999999996"/>
    <n v="17"/>
    <n v="0.14000000000000001"/>
    <n v="22.9"/>
    <n v="65.53"/>
    <n v="1.3"/>
    <n v="19829"/>
    <n v="6986"/>
    <n v="2"/>
    <n v="6081570.0999999996"/>
    <n v="22.426802033526787"/>
    <n v="27117420"/>
    <n v="0.43483936169105264"/>
  </r>
  <r>
    <s v="P0672"/>
    <s v="Model_245"/>
    <x v="0"/>
    <x v="0"/>
    <x v="0"/>
    <s v="Q3"/>
    <n v="4580"/>
    <n v="18775"/>
    <n v="10902"/>
    <n v="314889"/>
    <n v="12.34"/>
    <n v="14"/>
    <n v="8.9600000000000009"/>
    <n v="15.39"/>
    <n v="51.53"/>
    <n v="2.9"/>
    <n v="15904"/>
    <n v="4935"/>
    <n v="4"/>
    <n v="35743435.609999999"/>
    <n v="41.567209496508298"/>
    <n v="85989500"/>
    <n v="0.9169264624977076"/>
  </r>
  <r>
    <s v="P0673"/>
    <s v="Model_356"/>
    <x v="0"/>
    <x v="0"/>
    <x v="1"/>
    <s v="Q1"/>
    <n v="2200"/>
    <n v="5970"/>
    <n v="5908"/>
    <n v="367387"/>
    <n v="0.85"/>
    <n v="17"/>
    <n v="0.28999999999999998"/>
    <n v="4.82"/>
    <n v="33.840000000000003"/>
    <n v="3.8"/>
    <n v="5986"/>
    <n v="894"/>
    <n v="13"/>
    <n v="-230991.82"/>
    <n v="-1.7587316887467643"/>
    <n v="13134000"/>
    <n v="0.44044502565392069"/>
  </r>
  <r>
    <s v="P0674"/>
    <s v="Model_104"/>
    <x v="1"/>
    <x v="3"/>
    <x v="0"/>
    <s v="Q2"/>
    <n v="4909"/>
    <n v="11725"/>
    <n v="4404"/>
    <n v="316010"/>
    <n v="6.28"/>
    <n v="1"/>
    <n v="2.4"/>
    <n v="15.16"/>
    <n v="43.8"/>
    <n v="3.4"/>
    <n v="3930"/>
    <n v="6886"/>
    <n v="8"/>
    <n v="35622763.840000004"/>
    <n v="61.890177503484537"/>
    <n v="57558025"/>
    <n v="0.98279301406140762"/>
  </r>
  <r>
    <s v="P0675"/>
    <s v="Model_350"/>
    <x v="0"/>
    <x v="0"/>
    <x v="1"/>
    <s v="Q1"/>
    <n v="1379"/>
    <n v="11056"/>
    <n v="1469"/>
    <n v="213317"/>
    <n v="6.88"/>
    <n v="9"/>
    <n v="0.32"/>
    <n v="16.940000000000001"/>
    <n v="33.869999999999997"/>
    <n v="3.2"/>
    <n v="18729"/>
    <n v="4114"/>
    <n v="2"/>
    <n v="13007139.060000001"/>
    <n v="85.313839413614815"/>
    <n v="15246224"/>
    <n v="0.276078950171253"/>
  </r>
  <r>
    <s v="P0676"/>
    <s v="Model_701"/>
    <x v="1"/>
    <x v="0"/>
    <x v="1"/>
    <s v="Q4"/>
    <n v="1408"/>
    <n v="10706"/>
    <n v="5164"/>
    <n v="487940"/>
    <n v="10.88"/>
    <n v="12"/>
    <n v="3.36"/>
    <n v="13.14"/>
    <n v="31.04"/>
    <n v="2.9"/>
    <n v="14656"/>
    <n v="7492"/>
    <n v="2"/>
    <n v="7315182.8600000003"/>
    <n v="48.528324044078943"/>
    <n v="15074048"/>
    <n v="0.28188481641850927"/>
  </r>
  <r>
    <s v="P0677"/>
    <s v="Model_190"/>
    <x v="2"/>
    <x v="2"/>
    <x v="0"/>
    <s v="Q2"/>
    <n v="2532"/>
    <n v="11491"/>
    <n v="8129"/>
    <n v="440825"/>
    <n v="8.61"/>
    <n v="17"/>
    <n v="5.14"/>
    <n v="17.95"/>
    <n v="23.09"/>
    <n v="2.2000000000000002"/>
    <n v="2067"/>
    <n v="5453"/>
    <n v="6"/>
    <n v="8071741.0499999998"/>
    <n v="27.742506395897713"/>
    <n v="29095212"/>
    <n v="0.50691218407078509"/>
  </r>
  <r>
    <s v="P0678"/>
    <s v="Model_799"/>
    <x v="2"/>
    <x v="2"/>
    <x v="0"/>
    <s v="Q4"/>
    <n v="4592"/>
    <n v="9019"/>
    <n v="2083"/>
    <n v="121354"/>
    <n v="10.01"/>
    <n v="14"/>
    <n v="7.97"/>
    <n v="14.54"/>
    <n v="39.020000000000003"/>
    <n v="2.1"/>
    <n v="3679"/>
    <n v="3507"/>
    <n v="10"/>
    <n v="31728743.460000001"/>
    <n v="76.611260326148482"/>
    <n v="41415248"/>
    <n v="0.91932888991036532"/>
  </r>
  <r>
    <s v="P0679"/>
    <s v="Model_700"/>
    <x v="2"/>
    <x v="2"/>
    <x v="1"/>
    <s v="Q4"/>
    <n v="2067"/>
    <n v="15169"/>
    <n v="1723"/>
    <n v="101374"/>
    <n v="11.66"/>
    <n v="11"/>
    <n v="3.38"/>
    <n v="23.69"/>
    <n v="30.08"/>
    <n v="3"/>
    <n v="3519"/>
    <n v="1074"/>
    <n v="7"/>
    <n v="27691484.309999999"/>
    <n v="88.317914917187011"/>
    <n v="31354323"/>
    <n v="0.41381812183029731"/>
  </r>
  <r>
    <s v="P0680"/>
    <s v="Model_130"/>
    <x v="2"/>
    <x v="1"/>
    <x v="0"/>
    <s v="Q3"/>
    <n v="1381"/>
    <n v="6112"/>
    <n v="1925"/>
    <n v="164397"/>
    <n v="12.93"/>
    <n v="14"/>
    <n v="7.05"/>
    <n v="1.34"/>
    <n v="64.67"/>
    <n v="1.6"/>
    <n v="17419"/>
    <n v="9339"/>
    <n v="11"/>
    <n v="5617848.6600000001"/>
    <n v="66.556888598443351"/>
    <n v="8440672"/>
    <n v="0.27647935474002933"/>
  </r>
  <r>
    <s v="P0681"/>
    <s v="Model_707"/>
    <x v="1"/>
    <x v="1"/>
    <x v="0"/>
    <s v="Q4"/>
    <n v="4394"/>
    <n v="13873"/>
    <n v="2329"/>
    <n v="298552"/>
    <n v="4.71"/>
    <n v="12"/>
    <n v="1.88"/>
    <n v="2.66"/>
    <n v="64.709999999999994"/>
    <n v="2.4"/>
    <n v="20204"/>
    <n v="4337"/>
    <n v="3"/>
    <n v="50425781.340000004"/>
    <n v="82.72222312812886"/>
    <n v="60957962"/>
    <n v="0.87968883760151251"/>
  </r>
  <r>
    <s v="P0682"/>
    <s v="Model_555"/>
    <x v="1"/>
    <x v="0"/>
    <x v="1"/>
    <s v="Q1"/>
    <n v="4311"/>
    <n v="19082"/>
    <n v="14846"/>
    <n v="436721"/>
    <n v="8.07"/>
    <n v="17"/>
    <n v="7.51"/>
    <n v="4.34"/>
    <n v="50.15"/>
    <n v="2.2999999999999998"/>
    <n v="19530"/>
    <n v="7348"/>
    <n v="12"/>
    <n v="17824670.66"/>
    <n v="21.668038567560224"/>
    <n v="82262502"/>
    <n v="0.86307204799729642"/>
  </r>
  <r>
    <s v="P0683"/>
    <s v="Model_356"/>
    <x v="1"/>
    <x v="1"/>
    <x v="0"/>
    <s v="Q2"/>
    <n v="1408"/>
    <n v="17052"/>
    <n v="10586"/>
    <n v="473332"/>
    <n v="12.6"/>
    <n v="14"/>
    <n v="2.36"/>
    <n v="17.25"/>
    <n v="72.239999999999995"/>
    <n v="3.3"/>
    <n v="5409"/>
    <n v="4469"/>
    <n v="10"/>
    <n v="8630778.75"/>
    <n v="35.94777417971499"/>
    <n v="24009216"/>
    <n v="0.28188481641850927"/>
  </r>
  <r>
    <s v="P0684"/>
    <s v="Model_366"/>
    <x v="1"/>
    <x v="1"/>
    <x v="0"/>
    <s v="Q3"/>
    <n v="4687"/>
    <n v="16146"/>
    <n v="9238"/>
    <n v="393173"/>
    <n v="14.84"/>
    <n v="10"/>
    <n v="1.44"/>
    <n v="16.14"/>
    <n v="77.31"/>
    <n v="1.3"/>
    <n v="9515"/>
    <n v="8150"/>
    <n v="7"/>
    <n v="31984606.859999999"/>
    <n v="42.265023547265827"/>
    <n v="75676302"/>
    <n v="0.93834810692723924"/>
  </r>
  <r>
    <s v="P0685"/>
    <s v="Model_284"/>
    <x v="0"/>
    <x v="3"/>
    <x v="1"/>
    <s v="Q1"/>
    <n v="4904"/>
    <n v="6738"/>
    <n v="4511"/>
    <n v="405718"/>
    <n v="13.34"/>
    <n v="18"/>
    <n v="1.85"/>
    <n v="22.3"/>
    <n v="56.38"/>
    <n v="4.3"/>
    <n v="4920"/>
    <n v="564"/>
    <n v="6"/>
    <n v="10515467.699999999"/>
    <n v="31.823440148809045"/>
    <n v="33043152"/>
    <n v="0.98179200263946687"/>
  </r>
  <r>
    <s v="P0686"/>
    <s v="Model_164"/>
    <x v="2"/>
    <x v="1"/>
    <x v="1"/>
    <s v="Q1"/>
    <n v="3227"/>
    <n v="17077"/>
    <n v="8804"/>
    <n v="463663"/>
    <n v="5.57"/>
    <n v="2"/>
    <n v="1.82"/>
    <n v="18.32"/>
    <n v="59.51"/>
    <n v="3.2"/>
    <n v="16385"/>
    <n v="5427"/>
    <n v="6"/>
    <n v="26233289.68"/>
    <n v="47.603864586148099"/>
    <n v="55107479"/>
    <n v="0.64605277172054643"/>
  </r>
  <r>
    <s v="P0687"/>
    <s v="Model_501"/>
    <x v="2"/>
    <x v="3"/>
    <x v="0"/>
    <s v="Q2"/>
    <n v="2178"/>
    <n v="17004"/>
    <n v="10552"/>
    <n v="342575"/>
    <n v="2.93"/>
    <n v="6"/>
    <n v="5.13"/>
    <n v="12.71"/>
    <n v="32.630000000000003"/>
    <n v="3.7"/>
    <n v="18240"/>
    <n v="5515"/>
    <n v="13"/>
    <n v="13709868.289999999"/>
    <n v="37.018968285753104"/>
    <n v="37034712"/>
    <n v="0.4360405753973815"/>
  </r>
  <r>
    <s v="P0688"/>
    <s v="Model_558"/>
    <x v="2"/>
    <x v="2"/>
    <x v="1"/>
    <s v="Q3"/>
    <n v="2230"/>
    <n v="5219"/>
    <n v="7074"/>
    <n v="461124"/>
    <n v="7.34"/>
    <n v="13"/>
    <n v="8.4499999999999993"/>
    <n v="24.8"/>
    <n v="81.59"/>
    <n v="3.8"/>
    <n v="8985"/>
    <n v="8215"/>
    <n v="4"/>
    <n v="-4597798.8"/>
    <n v="-39.505521821354705"/>
    <n v="11638370"/>
    <n v="0.44645109418556506"/>
  </r>
  <r>
    <s v="P0689"/>
    <s v="Model_348"/>
    <x v="2"/>
    <x v="0"/>
    <x v="0"/>
    <s v="Q2"/>
    <n v="4942"/>
    <n v="1802"/>
    <n v="11392"/>
    <n v="79336"/>
    <n v="11.12"/>
    <n v="13"/>
    <n v="0.8"/>
    <n v="6.65"/>
    <n v="11.94"/>
    <n v="2.2000000000000002"/>
    <n v="20965"/>
    <n v="387"/>
    <n v="7"/>
    <n v="-47473122.649999999"/>
    <n v="-533.07740095878"/>
    <n v="8905484"/>
    <n v="0.98939968944621637"/>
  </r>
  <r>
    <s v="P0690"/>
    <s v="Model_809"/>
    <x v="0"/>
    <x v="1"/>
    <x v="0"/>
    <s v="Q3"/>
    <n v="187"/>
    <n v="13644"/>
    <n v="11235"/>
    <n v="353136"/>
    <n v="7.39"/>
    <n v="12"/>
    <n v="7.07"/>
    <n v="20.83"/>
    <n v="37.89"/>
    <n v="2.9"/>
    <n v="20164"/>
    <n v="3295"/>
    <n v="14"/>
    <n v="97326.17"/>
    <n v="3.8145763862433117"/>
    <n v="2551428"/>
    <n v="3.7437827180583257E-2"/>
  </r>
  <r>
    <s v="P0691"/>
    <s v="Model_894"/>
    <x v="0"/>
    <x v="0"/>
    <x v="0"/>
    <s v="Q2"/>
    <n v="3522"/>
    <n v="18870"/>
    <n v="4664"/>
    <n v="105350"/>
    <n v="7.25"/>
    <n v="11"/>
    <n v="6.54"/>
    <n v="10.67"/>
    <n v="67.739999999999995"/>
    <n v="4.8"/>
    <n v="5631"/>
    <n v="9167"/>
    <n v="5"/>
    <n v="49928171.329999998"/>
    <n v="75.124986691270891"/>
    <n v="66460140"/>
    <n v="0.70511244561504938"/>
  </r>
  <r>
    <s v="P0692"/>
    <s v="Model_230"/>
    <x v="2"/>
    <x v="0"/>
    <x v="1"/>
    <s v="Q1"/>
    <n v="2882"/>
    <n v="11555"/>
    <n v="10931"/>
    <n v="119561"/>
    <n v="12.57"/>
    <n v="8"/>
    <n v="8.73"/>
    <n v="16.22"/>
    <n v="16.41"/>
    <n v="4.0999999999999996"/>
    <n v="12152"/>
    <n v="2092"/>
    <n v="14"/>
    <n v="1678790.78"/>
    <n v="5.0411851594717474"/>
    <n v="33301510"/>
    <n v="0.57698298360663614"/>
  </r>
  <r>
    <s v="P0693"/>
    <s v="Model_891"/>
    <x v="1"/>
    <x v="3"/>
    <x v="0"/>
    <s v="Q3"/>
    <n v="3629"/>
    <n v="5940"/>
    <n v="14017"/>
    <n v="364099"/>
    <n v="5.42"/>
    <n v="0"/>
    <n v="2.44"/>
    <n v="18.18"/>
    <n v="24.65"/>
    <n v="4.9000000000000004"/>
    <n v="15879"/>
    <n v="7550"/>
    <n v="13"/>
    <n v="-29675550.18"/>
    <n v="-137.66557918674204"/>
    <n v="21556260"/>
    <n v="0.72653409004458103"/>
  </r>
  <r>
    <s v="P0694"/>
    <s v="Model_934"/>
    <x v="0"/>
    <x v="0"/>
    <x v="0"/>
    <s v="Q4"/>
    <n v="3081"/>
    <n v="4572"/>
    <n v="8633"/>
    <n v="111240"/>
    <n v="12.9"/>
    <n v="18"/>
    <n v="4.5"/>
    <n v="15.84"/>
    <n v="57.14"/>
    <n v="4"/>
    <n v="16403"/>
    <n v="3025"/>
    <n v="11"/>
    <n v="-12623196.84"/>
    <n v="-89.613086217192659"/>
    <n v="14086332"/>
    <n v="0.61682323819987717"/>
  </r>
  <r>
    <s v="P0695"/>
    <s v="Model_112"/>
    <x v="1"/>
    <x v="2"/>
    <x v="0"/>
    <s v="Q1"/>
    <n v="4214"/>
    <n v="15098"/>
    <n v="12061"/>
    <n v="201165"/>
    <n v="6.1"/>
    <n v="10"/>
    <n v="9.26"/>
    <n v="3.51"/>
    <n v="54.8"/>
    <n v="1.7"/>
    <n v="17413"/>
    <n v="1220"/>
    <n v="3"/>
    <n v="12596749.49"/>
    <n v="19.799058569599673"/>
    <n v="63622972"/>
    <n v="0.84365242641164628"/>
  </r>
  <r>
    <s v="P0696"/>
    <s v="Model_144"/>
    <x v="0"/>
    <x v="3"/>
    <x v="0"/>
    <s v="Q4"/>
    <n v="2643"/>
    <n v="15787"/>
    <n v="7588"/>
    <n v="449371"/>
    <n v="4.92"/>
    <n v="18"/>
    <n v="6.6"/>
    <n v="11.07"/>
    <n v="69.11"/>
    <n v="1.3"/>
    <n v="20671"/>
    <n v="5410"/>
    <n v="14"/>
    <n v="21220574.93"/>
    <n v="50.858128407830684"/>
    <n v="41725041"/>
    <n v="0.52913463763786928"/>
  </r>
  <r>
    <s v="P0697"/>
    <s v="Model_590"/>
    <x v="2"/>
    <x v="2"/>
    <x v="0"/>
    <s v="Q1"/>
    <n v="4350"/>
    <n v="15465"/>
    <n v="1026"/>
    <n v="96607"/>
    <n v="6.81"/>
    <n v="17"/>
    <n v="3.89"/>
    <n v="14.04"/>
    <n v="75.010000000000005"/>
    <n v="3.3"/>
    <n v="10970"/>
    <n v="546"/>
    <n v="4"/>
    <n v="62713028.960000001"/>
    <n v="93.222038581743732"/>
    <n v="67272750"/>
    <n v="0.87087993708843414"/>
  </r>
  <r>
    <s v="P0698"/>
    <s v="Model_750"/>
    <x v="0"/>
    <x v="1"/>
    <x v="0"/>
    <s v="Q3"/>
    <n v="3868"/>
    <n v="11019"/>
    <n v="12539"/>
    <n v="476703"/>
    <n v="11.44"/>
    <n v="11"/>
    <n v="1.31"/>
    <n v="21.23"/>
    <n v="20.29"/>
    <n v="2.4"/>
    <n v="18349"/>
    <n v="6727"/>
    <n v="10"/>
    <n v="-6356084.2300000004"/>
    <n v="-14.912861872597047"/>
    <n v="42621492"/>
    <n v="0.77438243601334789"/>
  </r>
  <r>
    <s v="P0699"/>
    <s v="Model_232"/>
    <x v="1"/>
    <x v="3"/>
    <x v="1"/>
    <s v="Q3"/>
    <n v="4188"/>
    <n v="14880"/>
    <n v="1064"/>
    <n v="236740"/>
    <n v="1.89"/>
    <n v="0"/>
    <n v="2.62"/>
    <n v="11.09"/>
    <n v="11.47"/>
    <n v="2.1"/>
    <n v="13040"/>
    <n v="2996"/>
    <n v="12"/>
    <n v="57624656.909999996"/>
    <n v="92.469550915441971"/>
    <n v="62317440"/>
    <n v="0.83844716701755451"/>
  </r>
  <r>
    <s v="P0700"/>
    <s v="Model_675"/>
    <x v="1"/>
    <x v="2"/>
    <x v="0"/>
    <s v="Q3"/>
    <n v="3873"/>
    <n v="13365"/>
    <n v="10387"/>
    <n v="464179"/>
    <n v="2.95"/>
    <n v="18"/>
    <n v="5.81"/>
    <n v="22.97"/>
    <n v="65.17"/>
    <n v="4.2"/>
    <n v="19371"/>
    <n v="821"/>
    <n v="12"/>
    <n v="11069592.029999999"/>
    <n v="21.385290550743687"/>
    <n v="51762645"/>
    <n v="0.77538344743528853"/>
  </r>
  <r>
    <s v="P0701"/>
    <s v="Model_243"/>
    <x v="0"/>
    <x v="2"/>
    <x v="1"/>
    <s v="Q3"/>
    <n v="4092"/>
    <n v="9625"/>
    <n v="12549"/>
    <n v="231196"/>
    <n v="14.27"/>
    <n v="19"/>
    <n v="7.18"/>
    <n v="11.01"/>
    <n v="34.11"/>
    <n v="2.5"/>
    <n v="6097"/>
    <n v="2263"/>
    <n v="10"/>
    <n v="-12196215.01"/>
    <n v="-30.966256642673063"/>
    <n v="39385500"/>
    <n v="0.81922774771629248"/>
  </r>
  <r>
    <s v="P0702"/>
    <s v="Model_126"/>
    <x v="0"/>
    <x v="3"/>
    <x v="0"/>
    <s v="Q4"/>
    <n v="1956"/>
    <n v="4791"/>
    <n v="14545"/>
    <n v="365014"/>
    <n v="2.63"/>
    <n v="16"/>
    <n v="1.24"/>
    <n v="13.72"/>
    <n v="60.08"/>
    <n v="2.2999999999999998"/>
    <n v="6036"/>
    <n v="9643"/>
    <n v="7"/>
    <n v="-19443851.719999999"/>
    <n v="-207.48527423820821"/>
    <n v="9371196"/>
    <n v="0.39159566826321313"/>
  </r>
  <r>
    <s v="P0703"/>
    <s v="Model_314"/>
    <x v="1"/>
    <x v="3"/>
    <x v="0"/>
    <s v="Q1"/>
    <n v="810"/>
    <n v="5533"/>
    <n v="1445"/>
    <n v="499763"/>
    <n v="8.52"/>
    <n v="4"/>
    <n v="6"/>
    <n v="19.91"/>
    <n v="22.04"/>
    <n v="4.4000000000000004"/>
    <n v="18209"/>
    <n v="4080"/>
    <n v="11"/>
    <n v="2811497.09"/>
    <n v="62.732406682241006"/>
    <n v="4481730"/>
    <n v="0.16216385035439806"/>
  </r>
  <r>
    <s v="P0704"/>
    <s v="Model_914"/>
    <x v="0"/>
    <x v="2"/>
    <x v="0"/>
    <s v="Q3"/>
    <n v="3495"/>
    <n v="6605"/>
    <n v="8344"/>
    <n v="114110"/>
    <n v="8.69"/>
    <n v="2"/>
    <n v="5.5"/>
    <n v="14.58"/>
    <n v="47.52"/>
    <n v="4.4000000000000004"/>
    <n v="11457"/>
    <n v="4602"/>
    <n v="11"/>
    <n v="-6191929.5800000001"/>
    <n v="-26.822917047063015"/>
    <n v="23084475"/>
    <n v="0.69970698393656949"/>
  </r>
  <r>
    <s v="P0705"/>
    <s v="Model_197"/>
    <x v="0"/>
    <x v="2"/>
    <x v="0"/>
    <s v="Q3"/>
    <n v="949"/>
    <n v="18587"/>
    <n v="14506"/>
    <n v="234626"/>
    <n v="7.34"/>
    <n v="1"/>
    <n v="5.14"/>
    <n v="24.01"/>
    <n v="50.35"/>
    <n v="2.4"/>
    <n v="5662"/>
    <n v="1825"/>
    <n v="10"/>
    <n v="3638218.99"/>
    <n v="20.625919812180502"/>
    <n v="17639063"/>
    <n v="0.18999196788435033"/>
  </r>
  <r>
    <s v="P0706"/>
    <s v="Model_776"/>
    <x v="0"/>
    <x v="2"/>
    <x v="0"/>
    <s v="Q1"/>
    <n v="4505"/>
    <n v="9633"/>
    <n v="6369"/>
    <n v="202008"/>
    <n v="9.67"/>
    <n v="2"/>
    <n v="6.9"/>
    <n v="16.510000000000002"/>
    <n v="56.81"/>
    <n v="4.3"/>
    <n v="1803"/>
    <n v="8985"/>
    <n v="5"/>
    <n v="14502295.49"/>
    <n v="33.417995345955731"/>
    <n v="43396665"/>
    <n v="0.9019112911685967"/>
  </r>
  <r>
    <s v="P0707"/>
    <s v="Model_616"/>
    <x v="1"/>
    <x v="0"/>
    <x v="1"/>
    <s v="Q1"/>
    <n v="2997"/>
    <n v="18458"/>
    <n v="3790"/>
    <n v="429039"/>
    <n v="3.45"/>
    <n v="7"/>
    <n v="8.3699999999999992"/>
    <n v="13.07"/>
    <n v="51.05"/>
    <n v="4.4000000000000004"/>
    <n v="6567"/>
    <n v="3513"/>
    <n v="12"/>
    <n v="43530943.93"/>
    <n v="78.691296363723865"/>
    <n v="55318626"/>
    <n v="0.60000624631127286"/>
  </r>
  <r>
    <s v="P0708"/>
    <s v="Model_546"/>
    <x v="1"/>
    <x v="1"/>
    <x v="1"/>
    <s v="Q4"/>
    <n v="1769"/>
    <n v="7204"/>
    <n v="14475"/>
    <n v="54426"/>
    <n v="8.2899999999999991"/>
    <n v="15"/>
    <n v="3.23"/>
    <n v="0.59"/>
    <n v="49.66"/>
    <n v="2.7"/>
    <n v="6524"/>
    <n v="594"/>
    <n v="6"/>
    <n v="-12916825.59"/>
    <n v="-101.35711921553536"/>
    <n v="12743876"/>
    <n v="0.35415784108262988"/>
  </r>
  <r>
    <s v="P0709"/>
    <s v="Model_422"/>
    <x v="1"/>
    <x v="0"/>
    <x v="1"/>
    <s v="Q4"/>
    <n v="330"/>
    <n v="9348"/>
    <n v="10891"/>
    <n v="269911"/>
    <n v="5.58"/>
    <n v="5"/>
    <n v="8.89"/>
    <n v="10.34"/>
    <n v="36.619999999999997"/>
    <n v="1.3"/>
    <n v="9215"/>
    <n v="1047"/>
    <n v="11"/>
    <n v="-779111.34"/>
    <n v="-25.256134515890611"/>
    <n v="3084840"/>
    <n v="6.6066753848088106E-2"/>
  </r>
  <r>
    <s v="P0710"/>
    <s v="Model_777"/>
    <x v="1"/>
    <x v="2"/>
    <x v="0"/>
    <s v="Q4"/>
    <n v="3316"/>
    <n v="14475"/>
    <n v="3304"/>
    <n v="339750"/>
    <n v="9.93"/>
    <n v="12"/>
    <n v="1.61"/>
    <n v="7.48"/>
    <n v="15.69"/>
    <n v="1"/>
    <n v="12726"/>
    <n v="122"/>
    <n v="7"/>
    <n v="36703278.520000003"/>
    <n v="76.466597332033317"/>
    <n v="47999100"/>
    <n v="0.66387077503109138"/>
  </r>
  <r>
    <s v="P0711"/>
    <s v="Model_515"/>
    <x v="2"/>
    <x v="2"/>
    <x v="1"/>
    <s v="Q3"/>
    <n v="1937"/>
    <n v="8424"/>
    <n v="11764"/>
    <n v="491048"/>
    <n v="2.12"/>
    <n v="15"/>
    <n v="1.73"/>
    <n v="18.7"/>
    <n v="17.16"/>
    <n v="3.1"/>
    <n v="4131"/>
    <n v="1228"/>
    <n v="14"/>
    <n v="-6960646.7000000002"/>
    <n v="-42.658110220276804"/>
    <n v="16317288"/>
    <n v="0.38779182485983837"/>
  </r>
  <r>
    <s v="P0712"/>
    <s v="Model_905"/>
    <x v="1"/>
    <x v="0"/>
    <x v="1"/>
    <s v="Q4"/>
    <n v="3316"/>
    <n v="1988"/>
    <n v="14337"/>
    <n v="78151"/>
    <n v="8.56"/>
    <n v="15"/>
    <n v="2.67"/>
    <n v="5.21"/>
    <n v="44.7"/>
    <n v="2.4"/>
    <n v="14912"/>
    <n v="657"/>
    <n v="10"/>
    <n v="-41027440.210000001"/>
    <n v="-622.36264708273768"/>
    <n v="6592208"/>
    <n v="0.66387077503109138"/>
  </r>
  <r>
    <s v="P0713"/>
    <s v="Model_996"/>
    <x v="0"/>
    <x v="3"/>
    <x v="0"/>
    <s v="Q3"/>
    <n v="716"/>
    <n v="8614"/>
    <n v="14069"/>
    <n v="323452"/>
    <n v="2.78"/>
    <n v="2"/>
    <n v="1.2"/>
    <n v="5.13"/>
    <n v="38.46"/>
    <n v="5"/>
    <n v="16537"/>
    <n v="9908"/>
    <n v="14"/>
    <n v="-4229237.13"/>
    <n v="-68.571578455495981"/>
    <n v="6167624"/>
    <n v="0.14334483562191236"/>
  </r>
  <r>
    <s v="P0714"/>
    <s v="Model_183"/>
    <x v="2"/>
    <x v="2"/>
    <x v="0"/>
    <s v="Q4"/>
    <n v="4238"/>
    <n v="17240"/>
    <n v="10146"/>
    <n v="290853"/>
    <n v="4.18"/>
    <n v="12"/>
    <n v="2.2999999999999998"/>
    <n v="4.74"/>
    <n v="51.29"/>
    <n v="4.0999999999999996"/>
    <n v="13147"/>
    <n v="3830"/>
    <n v="6"/>
    <n v="29773514.260000002"/>
    <n v="40.750400831500215"/>
    <n v="73063120"/>
    <n v="0.84845728123696174"/>
  </r>
  <r>
    <s v="P0715"/>
    <s v="Model_911"/>
    <x v="0"/>
    <x v="2"/>
    <x v="1"/>
    <s v="Q3"/>
    <n v="721"/>
    <n v="4673"/>
    <n v="1387"/>
    <n v="304595"/>
    <n v="3.28"/>
    <n v="13"/>
    <n v="1.06"/>
    <n v="3.14"/>
    <n v="34.39"/>
    <n v="4"/>
    <n v="14069"/>
    <n v="5441"/>
    <n v="9"/>
    <n v="2064607.86"/>
    <n v="61.278274907078256"/>
    <n v="3369233"/>
    <n v="0.14434584704385309"/>
  </r>
  <r>
    <s v="P0716"/>
    <s v="Model_772"/>
    <x v="0"/>
    <x v="3"/>
    <x v="0"/>
    <s v="Q4"/>
    <n v="2019"/>
    <n v="3167"/>
    <n v="13563"/>
    <n v="226743"/>
    <n v="2.74"/>
    <n v="7"/>
    <n v="8.2200000000000006"/>
    <n v="7.78"/>
    <n v="65.03"/>
    <n v="4.8"/>
    <n v="3869"/>
    <n v="7098"/>
    <n v="12"/>
    <n v="-21216274.780000001"/>
    <n v="-331.80639278918477"/>
    <n v="6394173"/>
    <n v="0.4042084121796663"/>
  </r>
  <r>
    <s v="P0717"/>
    <s v="Model_554"/>
    <x v="0"/>
    <x v="0"/>
    <x v="0"/>
    <s v="Q3"/>
    <n v="4206"/>
    <n v="5614"/>
    <n v="10813"/>
    <n v="140306"/>
    <n v="12.39"/>
    <n v="11"/>
    <n v="1.39"/>
    <n v="22.15"/>
    <n v="79.12"/>
    <n v="4.5999999999999996"/>
    <n v="13159"/>
    <n v="7282"/>
    <n v="2"/>
    <n v="-22007322.149999999"/>
    <n v="-93.202062730884222"/>
    <n v="23612484"/>
    <n v="0.8420508081365411"/>
  </r>
  <r>
    <s v="P0718"/>
    <s v="Model_511"/>
    <x v="2"/>
    <x v="0"/>
    <x v="0"/>
    <s v="Q4"/>
    <n v="3172"/>
    <n v="5053"/>
    <n v="9977"/>
    <n v="275180"/>
    <n v="4.29"/>
    <n v="7"/>
    <n v="7.47"/>
    <n v="19.37"/>
    <n v="33.909999999999997"/>
    <n v="2.2999999999999998"/>
    <n v="2028"/>
    <n v="7134"/>
    <n v="6"/>
    <n v="-15894127.369999999"/>
    <n v="-99.164040053116651"/>
    <n v="16028116"/>
    <n v="0.63504164607919833"/>
  </r>
  <r>
    <s v="P0719"/>
    <s v="Model_757"/>
    <x v="0"/>
    <x v="0"/>
    <x v="0"/>
    <s v="Q1"/>
    <n v="4749"/>
    <n v="9261"/>
    <n v="4879"/>
    <n v="419128"/>
    <n v="13.91"/>
    <n v="8"/>
    <n v="0.48"/>
    <n v="18.38"/>
    <n v="25.44"/>
    <n v="1.7"/>
    <n v="12002"/>
    <n v="1756"/>
    <n v="11"/>
    <n v="20390971.620000001"/>
    <n v="46.363676447526544"/>
    <n v="43980489"/>
    <n v="0.95076064855930431"/>
  </r>
  <r>
    <s v="P0720"/>
    <s v="Model_758"/>
    <x v="1"/>
    <x v="0"/>
    <x v="0"/>
    <s v="Q2"/>
    <n v="4827"/>
    <n v="2500"/>
    <n v="4148"/>
    <n v="52204"/>
    <n v="14.55"/>
    <n v="0"/>
    <n v="9.49"/>
    <n v="19.93"/>
    <n v="19.29"/>
    <n v="4"/>
    <n v="6175"/>
    <n v="4273"/>
    <n v="2"/>
    <n v="-8007119.9299999997"/>
    <n v="-66.352765112906567"/>
    <n v="12067500"/>
    <n v="0.96637642674157964"/>
  </r>
  <r>
    <s v="P0721"/>
    <s v="Model_105"/>
    <x v="0"/>
    <x v="0"/>
    <x v="0"/>
    <s v="Q1"/>
    <n v="3950"/>
    <n v="17138"/>
    <n v="7099"/>
    <n v="142769"/>
    <n v="8.57"/>
    <n v="5"/>
    <n v="7.11"/>
    <n v="6.74"/>
    <n v="59.3"/>
    <n v="2.5"/>
    <n v="19547"/>
    <n v="5541"/>
    <n v="11"/>
    <n v="39511274.259999998"/>
    <n v="58.366520265129971"/>
    <n v="67695100"/>
    <n v="0.79079902333317575"/>
  </r>
  <r>
    <s v="P0722"/>
    <s v="Model_623"/>
    <x v="0"/>
    <x v="3"/>
    <x v="0"/>
    <s v="Q4"/>
    <n v="573"/>
    <n v="19272"/>
    <n v="4631"/>
    <n v="137265"/>
    <n v="2.15"/>
    <n v="18"/>
    <n v="7.0000000000000007E-2"/>
    <n v="22.19"/>
    <n v="45.51"/>
    <n v="2.9"/>
    <n v="3841"/>
    <n v="9098"/>
    <n v="7"/>
    <n v="8252005.8099999996"/>
    <n v="74.727097863089043"/>
    <n v="11042856"/>
    <n v="0.11471590895440753"/>
  </r>
  <r>
    <s v="P0723"/>
    <s v="Model_103"/>
    <x v="0"/>
    <x v="1"/>
    <x v="1"/>
    <s v="Q2"/>
    <n v="2443"/>
    <n v="6950"/>
    <n v="10233"/>
    <n v="343275"/>
    <n v="5.62"/>
    <n v="10"/>
    <n v="7.64"/>
    <n v="3.43"/>
    <n v="25.04"/>
    <n v="3.5"/>
    <n v="15419"/>
    <n v="3412"/>
    <n v="8"/>
    <n v="-8363647.4299999997"/>
    <n v="-49.259210311652438"/>
    <n v="16978850"/>
    <n v="0.48909418076024014"/>
  </r>
  <r>
    <s v="P0724"/>
    <s v="Model_660"/>
    <x v="1"/>
    <x v="0"/>
    <x v="1"/>
    <s v="Q4"/>
    <n v="3167"/>
    <n v="5212"/>
    <n v="9181"/>
    <n v="102428"/>
    <n v="11.97"/>
    <n v="10"/>
    <n v="5.14"/>
    <n v="8.41"/>
    <n v="62.25"/>
    <n v="4.5999999999999996"/>
    <n v="16230"/>
    <n v="8745"/>
    <n v="13"/>
    <n v="-12672259.41"/>
    <n v="-76.771775427282648"/>
    <n v="16506404"/>
    <n v="0.63404063465725768"/>
  </r>
  <r>
    <s v="P0725"/>
    <s v="Model_887"/>
    <x v="2"/>
    <x v="1"/>
    <x v="1"/>
    <s v="Q2"/>
    <n v="2643"/>
    <n v="2867"/>
    <n v="14528"/>
    <n v="83870"/>
    <n v="5.51"/>
    <n v="12"/>
    <n v="7.79"/>
    <n v="14.67"/>
    <n v="21.88"/>
    <n v="2.7"/>
    <n v="16756"/>
    <n v="2424"/>
    <n v="6"/>
    <n v="-30903907.670000002"/>
    <n v="-407.8388011794421"/>
    <n v="7577481"/>
    <n v="0.52913463763786928"/>
  </r>
  <r>
    <s v="P0726"/>
    <s v="Model_811"/>
    <x v="0"/>
    <x v="2"/>
    <x v="0"/>
    <s v="Q2"/>
    <n v="2018"/>
    <n v="9689"/>
    <n v="9972"/>
    <n v="153547"/>
    <n v="1.31"/>
    <n v="10"/>
    <n v="5.22"/>
    <n v="2.57"/>
    <n v="54.34"/>
    <n v="4.0999999999999996"/>
    <n v="6405"/>
    <n v="9739"/>
    <n v="2"/>
    <n v="-724643.57"/>
    <n v="-3.7061613708637946"/>
    <n v="19552402"/>
    <n v="0.40400820989527814"/>
  </r>
  <r>
    <s v="P0727"/>
    <s v="Model_395"/>
    <x v="2"/>
    <x v="1"/>
    <x v="1"/>
    <s v="Q3"/>
    <n v="1803"/>
    <n v="10513"/>
    <n v="10690"/>
    <n v="285990"/>
    <n v="8.35"/>
    <n v="17"/>
    <n v="6.41"/>
    <n v="18.25"/>
    <n v="52.17"/>
    <n v="2.1"/>
    <n v="17039"/>
    <n v="5695"/>
    <n v="7"/>
    <n v="-605139.25"/>
    <n v="-3.1925148901824478"/>
    <n v="18954939"/>
    <n v="0.36096471875182684"/>
  </r>
  <r>
    <s v="P0728"/>
    <s v="Model_242"/>
    <x v="0"/>
    <x v="2"/>
    <x v="1"/>
    <s v="Q2"/>
    <n v="2346"/>
    <n v="18338"/>
    <n v="2515"/>
    <n v="99067"/>
    <n v="12.68"/>
    <n v="14"/>
    <n v="7.86"/>
    <n v="9.68"/>
    <n v="68.739999999999995"/>
    <n v="3.8"/>
    <n v="16755"/>
    <n v="6084"/>
    <n v="11"/>
    <n v="37021681.32"/>
    <n v="86.055010503255303"/>
    <n v="43020948"/>
    <n v="0.46967455917459"/>
  </r>
  <r>
    <s v="P0729"/>
    <s v="Model_826"/>
    <x v="1"/>
    <x v="2"/>
    <x v="1"/>
    <s v="Q1"/>
    <n v="2311"/>
    <n v="5226"/>
    <n v="11585"/>
    <n v="288083"/>
    <n v="11.94"/>
    <n v="0"/>
    <n v="4.05"/>
    <n v="19.61"/>
    <n v="14.41"/>
    <n v="1"/>
    <n v="10384"/>
    <n v="2611"/>
    <n v="6"/>
    <n v="-14983751.609999999"/>
    <n v="-124.06555255874538"/>
    <n v="12077286"/>
    <n v="0.46266747922100487"/>
  </r>
  <r>
    <s v="P0730"/>
    <s v="Model_458"/>
    <x v="1"/>
    <x v="3"/>
    <x v="0"/>
    <s v="Q1"/>
    <n v="2336"/>
    <n v="6306"/>
    <n v="13128"/>
    <n v="162217"/>
    <n v="2.63"/>
    <n v="6"/>
    <n v="0.03"/>
    <n v="12.32"/>
    <n v="81.03"/>
    <n v="4.5"/>
    <n v="10643"/>
    <n v="462"/>
    <n v="7"/>
    <n v="-16098421.32"/>
    <n v="-109.28397530727423"/>
    <n v="14730816"/>
    <n v="0.46767253633070854"/>
  </r>
  <r>
    <s v="P0731"/>
    <s v="Model_636"/>
    <x v="1"/>
    <x v="2"/>
    <x v="1"/>
    <s v="Q1"/>
    <n v="4252"/>
    <n v="3690"/>
    <n v="7250"/>
    <n v="464823"/>
    <n v="10.09"/>
    <n v="12"/>
    <n v="8.5"/>
    <n v="4.5199999999999996"/>
    <n v="66.239999999999995"/>
    <n v="1.1000000000000001"/>
    <n v="7450"/>
    <n v="3554"/>
    <n v="12"/>
    <n v="-15601947.52"/>
    <n v="-99.439559257304708"/>
    <n v="15689880"/>
    <n v="0.85126011321839579"/>
  </r>
  <r>
    <s v="P0732"/>
    <s v="Model_882"/>
    <x v="1"/>
    <x v="0"/>
    <x v="1"/>
    <s v="Q3"/>
    <n v="2928"/>
    <n v="10608"/>
    <n v="14030"/>
    <n v="468184"/>
    <n v="3.31"/>
    <n v="11"/>
    <n v="3.81"/>
    <n v="18.37"/>
    <n v="27.29"/>
    <n v="3.9"/>
    <n v="2860"/>
    <n v="2898"/>
    <n v="11"/>
    <n v="-10487818.369999999"/>
    <n v="-33.766074481626404"/>
    <n v="31060224"/>
    <n v="0.58619228868849083"/>
  </r>
  <r>
    <s v="P0733"/>
    <s v="Model_746"/>
    <x v="1"/>
    <x v="2"/>
    <x v="1"/>
    <s v="Q3"/>
    <n v="4193"/>
    <n v="13678"/>
    <n v="13425"/>
    <n v="148934"/>
    <n v="3.27"/>
    <n v="17"/>
    <n v="4.96"/>
    <n v="6.3"/>
    <n v="24.67"/>
    <n v="1.2"/>
    <n v="6627"/>
    <n v="4720"/>
    <n v="8"/>
    <n v="911888.7"/>
    <n v="1.5899899243013136"/>
    <n v="57351854"/>
    <n v="0.83944817843949526"/>
  </r>
  <r>
    <s v="P0734"/>
    <s v="Model_827"/>
    <x v="1"/>
    <x v="2"/>
    <x v="0"/>
    <s v="Q4"/>
    <n v="3694"/>
    <n v="4375"/>
    <n v="6233"/>
    <n v="192980"/>
    <n v="13.11"/>
    <n v="18"/>
    <n v="0.08"/>
    <n v="12.27"/>
    <n v="44.53"/>
    <n v="2.1"/>
    <n v="15752"/>
    <n v="3355"/>
    <n v="8"/>
    <n v="-7056444.2699999996"/>
    <n v="-43.662738154536314"/>
    <n v="16161250"/>
    <n v="0.73954723852981052"/>
  </r>
  <r>
    <s v="P0735"/>
    <s v="Model_743"/>
    <x v="2"/>
    <x v="2"/>
    <x v="1"/>
    <s v="Q4"/>
    <n v="4482"/>
    <n v="7092"/>
    <n v="1898"/>
    <n v="469639"/>
    <n v="3.75"/>
    <n v="14"/>
    <n v="4.92"/>
    <n v="1.89"/>
    <n v="75.41"/>
    <n v="3"/>
    <n v="10230"/>
    <n v="1317"/>
    <n v="3"/>
    <n v="22809867.109999999"/>
    <n v="71.75995801844968"/>
    <n v="31786344"/>
    <n v="0.89730663862766935"/>
  </r>
  <r>
    <s v="P0736"/>
    <s v="Model_831"/>
    <x v="2"/>
    <x v="0"/>
    <x v="1"/>
    <s v="Q3"/>
    <n v="2105"/>
    <n v="19324"/>
    <n v="7896"/>
    <n v="386851"/>
    <n v="3.95"/>
    <n v="7"/>
    <n v="9.86"/>
    <n v="15.45"/>
    <n v="77.44"/>
    <n v="2.7"/>
    <n v="5425"/>
    <n v="1585"/>
    <n v="13"/>
    <n v="23669073.550000001"/>
    <n v="58.187825828932404"/>
    <n v="40677020"/>
    <n v="0.42142580863704687"/>
  </r>
  <r>
    <s v="P0737"/>
    <s v="Model_629"/>
    <x v="0"/>
    <x v="0"/>
    <x v="0"/>
    <s v="Q3"/>
    <n v="4770"/>
    <n v="14092"/>
    <n v="3126"/>
    <n v="259329"/>
    <n v="0.01"/>
    <n v="18"/>
    <n v="2.78"/>
    <n v="16.649999999999999"/>
    <n v="51.64"/>
    <n v="1.8"/>
    <n v="9963"/>
    <n v="5449"/>
    <n v="4"/>
    <n v="52048474.350000001"/>
    <n v="77.431378390344136"/>
    <n v="67218840"/>
    <n v="0.95496489653145533"/>
  </r>
  <r>
    <s v="P0738"/>
    <s v="Model_154"/>
    <x v="0"/>
    <x v="1"/>
    <x v="0"/>
    <s v="Q3"/>
    <n v="1326"/>
    <n v="10427"/>
    <n v="12239"/>
    <n v="307354"/>
    <n v="13.06"/>
    <n v="9"/>
    <n v="3.95"/>
    <n v="9.4700000000000006"/>
    <n v="78.86"/>
    <n v="2.2999999999999998"/>
    <n v="18912"/>
    <n v="7295"/>
    <n v="13"/>
    <n v="-2710075.47"/>
    <n v="-19.601011687808413"/>
    <n v="13826202"/>
    <n v="0.26546822909868129"/>
  </r>
  <r>
    <s v="P0739"/>
    <s v="Model_883"/>
    <x v="0"/>
    <x v="1"/>
    <x v="1"/>
    <s v="Q2"/>
    <n v="2816"/>
    <n v="15937"/>
    <n v="9887"/>
    <n v="111215"/>
    <n v="11.89"/>
    <n v="6"/>
    <n v="6.87"/>
    <n v="23.86"/>
    <n v="10.44"/>
    <n v="3.9"/>
    <n v="2742"/>
    <n v="7850"/>
    <n v="7"/>
    <n v="16925561.140000001"/>
    <n v="37.71410907900141"/>
    <n v="44878592"/>
    <n v="0.56376963283701853"/>
  </r>
  <r>
    <s v="P0740"/>
    <s v="Model_796"/>
    <x v="1"/>
    <x v="2"/>
    <x v="0"/>
    <s v="Q2"/>
    <n v="352"/>
    <n v="13030"/>
    <n v="7216"/>
    <n v="236907"/>
    <n v="9.41"/>
    <n v="17"/>
    <n v="8.15"/>
    <n v="21.85"/>
    <n v="12.81"/>
    <n v="3.7"/>
    <n v="10284"/>
    <n v="6179"/>
    <n v="4"/>
    <n v="1809599.15"/>
    <n v="39.454387384008925"/>
    <n v="4586560"/>
    <n v="7.0471204104627316E-2"/>
  </r>
  <r>
    <s v="P0741"/>
    <s v="Model_192"/>
    <x v="2"/>
    <x v="3"/>
    <x v="1"/>
    <s v="Q2"/>
    <n v="688"/>
    <n v="8510"/>
    <n v="7780"/>
    <n v="361573"/>
    <n v="11.25"/>
    <n v="15"/>
    <n v="4.17"/>
    <n v="17.7"/>
    <n v="82.95"/>
    <n v="1.3"/>
    <n v="11297"/>
    <n v="9499"/>
    <n v="3"/>
    <n v="140649.29999999999"/>
    <n v="2.4022576039133168"/>
    <n v="5854880"/>
    <n v="0.13773917165904428"/>
  </r>
  <r>
    <s v="P0742"/>
    <s v="Model_155"/>
    <x v="1"/>
    <x v="2"/>
    <x v="0"/>
    <s v="Q1"/>
    <n v="105"/>
    <n v="12707"/>
    <n v="7563"/>
    <n v="394296"/>
    <n v="2.2799999999999998"/>
    <n v="19"/>
    <n v="3.1"/>
    <n v="17.84"/>
    <n v="72.03"/>
    <n v="4"/>
    <n v="7906"/>
    <n v="9740"/>
    <n v="5"/>
    <n v="145806.16"/>
    <n v="10.928071891383452"/>
    <n v="1334235"/>
    <n v="2.1021239860755304E-2"/>
  </r>
  <r>
    <s v="P0743"/>
    <s v="Model_309"/>
    <x v="0"/>
    <x v="1"/>
    <x v="1"/>
    <s v="Q1"/>
    <n v="4871"/>
    <n v="4489"/>
    <n v="2474"/>
    <n v="158048"/>
    <n v="6.87"/>
    <n v="5"/>
    <n v="9.3800000000000008"/>
    <n v="6.31"/>
    <n v="46.06"/>
    <n v="1.2"/>
    <n v="15465"/>
    <n v="8135"/>
    <n v="6"/>
    <n v="9657010.6899999995"/>
    <n v="44.164668724877281"/>
    <n v="21865919"/>
    <n v="0.97518532725465801"/>
  </r>
  <r>
    <s v="P0744"/>
    <s v="Model_163"/>
    <x v="2"/>
    <x v="0"/>
    <x v="0"/>
    <s v="Q4"/>
    <n v="575"/>
    <n v="13540"/>
    <n v="11901"/>
    <n v="219530"/>
    <n v="5.27"/>
    <n v="8"/>
    <n v="6.77"/>
    <n v="16.420000000000002"/>
    <n v="70.290000000000006"/>
    <n v="3.2"/>
    <n v="15233"/>
    <n v="1607"/>
    <n v="12"/>
    <n v="722878.58"/>
    <n v="9.2849345578318676"/>
    <n v="7785500"/>
    <n v="0.11511631352318381"/>
  </r>
  <r>
    <s v="P0745"/>
    <s v="Model_105"/>
    <x v="0"/>
    <x v="2"/>
    <x v="0"/>
    <s v="Q3"/>
    <n v="4619"/>
    <n v="10718"/>
    <n v="8750"/>
    <n v="227241"/>
    <n v="1.41"/>
    <n v="12"/>
    <n v="1.19"/>
    <n v="4.96"/>
    <n v="86.45"/>
    <n v="2"/>
    <n v="19324"/>
    <n v="1103"/>
    <n v="11"/>
    <n v="8862946.0399999991"/>
    <n v="17.902611623755956"/>
    <n v="49506442"/>
    <n v="0.92473435158884532"/>
  </r>
  <r>
    <s v="P0746"/>
    <s v="Model_704"/>
    <x v="2"/>
    <x v="0"/>
    <x v="1"/>
    <s v="Q1"/>
    <n v="4173"/>
    <n v="7971"/>
    <n v="9922"/>
    <n v="188731"/>
    <n v="7.29"/>
    <n v="7"/>
    <n v="0.69"/>
    <n v="3.6"/>
    <n v="71.77"/>
    <n v="3.4"/>
    <n v="5126"/>
    <n v="6503"/>
    <n v="10"/>
    <n v="-8330257.5999999996"/>
    <n v="-25.043627626542094"/>
    <n v="33262983"/>
    <n v="0.83544413275173235"/>
  </r>
  <r>
    <s v="P0747"/>
    <s v="Model_868"/>
    <x v="0"/>
    <x v="1"/>
    <x v="1"/>
    <s v="Q1"/>
    <n v="2175"/>
    <n v="4363"/>
    <n v="13376"/>
    <n v="289977"/>
    <n v="13.81"/>
    <n v="15"/>
    <n v="4.84"/>
    <n v="24.99"/>
    <n v="77.39"/>
    <n v="2"/>
    <n v="11574"/>
    <n v="1025"/>
    <n v="4"/>
    <n v="-19893276.989999998"/>
    <n v="-209.63406482410866"/>
    <n v="9489525"/>
    <n v="0.43543996854421707"/>
  </r>
  <r>
    <s v="P0748"/>
    <s v="Model_972"/>
    <x v="0"/>
    <x v="0"/>
    <x v="0"/>
    <s v="Q1"/>
    <n v="3337"/>
    <n v="12193"/>
    <n v="9715"/>
    <n v="389384"/>
    <n v="0.6"/>
    <n v="12"/>
    <n v="2.2000000000000002"/>
    <n v="15.56"/>
    <n v="70.849999999999994"/>
    <n v="4.9000000000000004"/>
    <n v="18068"/>
    <n v="8375"/>
    <n v="4"/>
    <n v="7879686.4400000004"/>
    <n v="19.366099341081576"/>
    <n v="40688041"/>
    <n v="0.6680750230032424"/>
  </r>
  <r>
    <s v="P0749"/>
    <s v="Model_597"/>
    <x v="2"/>
    <x v="3"/>
    <x v="0"/>
    <s v="Q2"/>
    <n v="414"/>
    <n v="2677"/>
    <n v="11932"/>
    <n v="476009"/>
    <n v="4.37"/>
    <n v="12"/>
    <n v="2.54"/>
    <n v="10.77"/>
    <n v="23.46"/>
    <n v="2.2000000000000002"/>
    <n v="9531"/>
    <n v="6683"/>
    <n v="7"/>
    <n v="-4307589.7699999996"/>
    <n v="-388.67412057263607"/>
    <n v="1108278"/>
    <n v="8.2883745736692355E-2"/>
  </r>
  <r>
    <s v="P0750"/>
    <s v="Model_812"/>
    <x v="0"/>
    <x v="1"/>
    <x v="1"/>
    <s v="Q4"/>
    <n v="4671"/>
    <n v="6260"/>
    <n v="6849"/>
    <n v="163688"/>
    <n v="3.11"/>
    <n v="16"/>
    <n v="8.7799999999999994"/>
    <n v="7.2"/>
    <n v="76.69"/>
    <n v="2"/>
    <n v="4688"/>
    <n v="4027"/>
    <n v="6"/>
    <n v="-2914914.2"/>
    <n v="-9.968769985150713"/>
    <n v="29240460"/>
    <n v="0.93514487037702887"/>
  </r>
  <r>
    <s v="P0751"/>
    <s v="Model_940"/>
    <x v="0"/>
    <x v="1"/>
    <x v="0"/>
    <s v="Q4"/>
    <n v="1696"/>
    <n v="1511"/>
    <n v="1889"/>
    <n v="358617"/>
    <n v="3.57"/>
    <n v="19"/>
    <n v="0.9"/>
    <n v="15.1"/>
    <n v="25.61"/>
    <n v="2.1"/>
    <n v="4445"/>
    <n v="9834"/>
    <n v="7"/>
    <n v="-999720.1"/>
    <n v="-39.01109239788719"/>
    <n v="2562656"/>
    <n v="0.33954307432229525"/>
  </r>
  <r>
    <s v="P0752"/>
    <s v="Model_685"/>
    <x v="1"/>
    <x v="2"/>
    <x v="1"/>
    <s v="Q1"/>
    <n v="968"/>
    <n v="17853"/>
    <n v="5378"/>
    <n v="408906"/>
    <n v="13.63"/>
    <n v="4"/>
    <n v="7.15"/>
    <n v="1.24"/>
    <n v="81.41"/>
    <n v="4.5999999999999996"/>
    <n v="8265"/>
    <n v="1085"/>
    <n v="8"/>
    <n v="11666892.76"/>
    <n v="67.510083264937307"/>
    <n v="17281704"/>
    <n v="0.19379581128772511"/>
  </r>
  <r>
    <s v="P0753"/>
    <s v="Model_745"/>
    <x v="2"/>
    <x v="0"/>
    <x v="1"/>
    <s v="Q2"/>
    <n v="2847"/>
    <n v="13056"/>
    <n v="9927"/>
    <n v="270460"/>
    <n v="7.02"/>
    <n v="16"/>
    <n v="2.71"/>
    <n v="2.37"/>
    <n v="46.69"/>
    <n v="3.5"/>
    <n v="20358"/>
    <n v="4331"/>
    <n v="12"/>
    <n v="8637800.6300000008"/>
    <n v="23.238364918653627"/>
    <n v="37170432"/>
    <n v="0.56997590365305095"/>
  </r>
  <r>
    <s v="P0754"/>
    <s v="Model_974"/>
    <x v="2"/>
    <x v="2"/>
    <x v="1"/>
    <s v="Q1"/>
    <n v="1581"/>
    <n v="13063"/>
    <n v="11287"/>
    <n v="419100"/>
    <n v="6.99"/>
    <n v="8"/>
    <n v="7.6"/>
    <n v="0.82"/>
    <n v="64.16"/>
    <n v="3.9"/>
    <n v="12307"/>
    <n v="5402"/>
    <n v="4"/>
    <n v="2388755.1800000002"/>
    <n v="11.566363716961007"/>
    <n v="20652603"/>
    <n v="0.31651981161765846"/>
  </r>
  <r>
    <s v="P0755"/>
    <s v="Model_963"/>
    <x v="2"/>
    <x v="2"/>
    <x v="0"/>
    <s v="Q1"/>
    <n v="3395"/>
    <n v="15551"/>
    <n v="955"/>
    <n v="430596"/>
    <n v="11.41"/>
    <n v="1"/>
    <n v="7.22"/>
    <n v="12.48"/>
    <n v="49.78"/>
    <n v="4.7"/>
    <n v="11704"/>
    <n v="5391"/>
    <n v="14"/>
    <n v="49122811.520000003"/>
    <n v="93.043302189034733"/>
    <n v="52795645"/>
    <n v="0.67968675549775492"/>
  </r>
  <r>
    <s v="P0756"/>
    <s v="Model_751"/>
    <x v="1"/>
    <x v="2"/>
    <x v="1"/>
    <s v="Q3"/>
    <n v="1956"/>
    <n v="12522"/>
    <n v="10062"/>
    <n v="236823"/>
    <n v="2.3199999999999998"/>
    <n v="17"/>
    <n v="7.0000000000000007E-2"/>
    <n v="15.02"/>
    <n v="17.52"/>
    <n v="4.5999999999999996"/>
    <n v="10852"/>
    <n v="1008"/>
    <n v="6"/>
    <n v="4574921.9800000004"/>
    <n v="18.678463246199982"/>
    <n v="24493032"/>
    <n v="0.39159566826321313"/>
  </r>
  <r>
    <s v="P0757"/>
    <s v="Model_196"/>
    <x v="0"/>
    <x v="2"/>
    <x v="0"/>
    <s v="Q3"/>
    <n v="3136"/>
    <n v="9734"/>
    <n v="2758"/>
    <n v="438455"/>
    <n v="7.31"/>
    <n v="8"/>
    <n v="5.09"/>
    <n v="1.56"/>
    <n v="33.26"/>
    <n v="4"/>
    <n v="6099"/>
    <n v="5151"/>
    <n v="9"/>
    <n v="21438279.440000001"/>
    <n v="70.22997787054004"/>
    <n v="30525824"/>
    <n v="0.62783436384122515"/>
  </r>
  <r>
    <s v="P0758"/>
    <s v="Model_775"/>
    <x v="0"/>
    <x v="0"/>
    <x v="0"/>
    <s v="Q1"/>
    <n v="4630"/>
    <n v="17673"/>
    <n v="11493"/>
    <n v="259987"/>
    <n v="6.45"/>
    <n v="5"/>
    <n v="1.39"/>
    <n v="18.03"/>
    <n v="88.7"/>
    <n v="1.8"/>
    <n v="5813"/>
    <n v="2686"/>
    <n v="5"/>
    <n v="28353394.969999999"/>
    <n v="34.650842562369242"/>
    <n v="81825990"/>
    <n v="0.92693657671711494"/>
  </r>
  <r>
    <s v="P0759"/>
    <s v="Model_547"/>
    <x v="0"/>
    <x v="2"/>
    <x v="1"/>
    <s v="Q2"/>
    <n v="2125"/>
    <n v="14678"/>
    <n v="7144"/>
    <n v="497470"/>
    <n v="8.9499999999999993"/>
    <n v="10"/>
    <n v="8.66"/>
    <n v="5.76"/>
    <n v="86.86"/>
    <n v="4.4000000000000004"/>
    <n v="3718"/>
    <n v="9435"/>
    <n v="11"/>
    <n v="15512274.24"/>
    <n v="49.733572421310804"/>
    <n v="31190750"/>
    <n v="0.42542985432480979"/>
  </r>
  <r>
    <s v="P0760"/>
    <s v="Model_599"/>
    <x v="2"/>
    <x v="0"/>
    <x v="0"/>
    <s v="Q3"/>
    <n v="763"/>
    <n v="8070"/>
    <n v="6579"/>
    <n v="319150"/>
    <n v="14.99"/>
    <n v="5"/>
    <n v="8.7200000000000006"/>
    <n v="17.13"/>
    <n v="35.64"/>
    <n v="1.8"/>
    <n v="15286"/>
    <n v="1431"/>
    <n v="3"/>
    <n v="818465.87"/>
    <n v="13.292372442309347"/>
    <n v="6157410"/>
    <n v="0.15275434298815521"/>
  </r>
  <r>
    <s v="P0761"/>
    <s v="Model_195"/>
    <x v="0"/>
    <x v="2"/>
    <x v="1"/>
    <s v="Q1"/>
    <n v="1112"/>
    <n v="1906"/>
    <n v="13211"/>
    <n v="299243"/>
    <n v="11.54"/>
    <n v="5"/>
    <n v="4.18"/>
    <n v="24.55"/>
    <n v="89.7"/>
    <n v="4"/>
    <n v="19036"/>
    <n v="6951"/>
    <n v="5"/>
    <n v="-12870427.550000001"/>
    <n v="-607.2468779960293"/>
    <n v="2119472"/>
    <n v="0.2226249402396181"/>
  </r>
  <r>
    <s v="P0762"/>
    <s v="Model_227"/>
    <x v="0"/>
    <x v="1"/>
    <x v="1"/>
    <s v="Q1"/>
    <n v="2026"/>
    <n v="10706"/>
    <n v="6944"/>
    <n v="124218"/>
    <n v="5.97"/>
    <n v="12"/>
    <n v="4.4400000000000004"/>
    <n v="17.28"/>
    <n v="77.64"/>
    <n v="3.7"/>
    <n v="1556"/>
    <n v="9845"/>
    <n v="3"/>
    <n v="7497576.7199999997"/>
    <n v="34.566406932186823"/>
    <n v="21690356"/>
    <n v="0.40560982817038332"/>
  </r>
  <r>
    <s v="P0763"/>
    <s v="Model_922"/>
    <x v="2"/>
    <x v="1"/>
    <x v="1"/>
    <s v="Q4"/>
    <n v="1346"/>
    <n v="5931"/>
    <n v="5863"/>
    <n v="246416"/>
    <n v="12.41"/>
    <n v="10"/>
    <n v="3.03"/>
    <n v="22.08"/>
    <n v="58.88"/>
    <n v="4"/>
    <n v="14033"/>
    <n v="1906"/>
    <n v="4"/>
    <n v="-154910.07999999999"/>
    <n v="-1.9404689340992487"/>
    <n v="7983126"/>
    <n v="0.2694722747864442"/>
  </r>
  <r>
    <s v="P0764"/>
    <s v="Model_783"/>
    <x v="0"/>
    <x v="1"/>
    <x v="1"/>
    <s v="Q1"/>
    <n v="175"/>
    <n v="8042"/>
    <n v="4630"/>
    <n v="477056"/>
    <n v="2.56"/>
    <n v="13"/>
    <n v="7.17"/>
    <n v="23.7"/>
    <n v="13.21"/>
    <n v="3.1"/>
    <n v="1643"/>
    <n v="905"/>
    <n v="5"/>
    <n v="120020.3"/>
    <n v="8.5281060148506054"/>
    <n v="1407350"/>
    <n v="3.503539976792551E-2"/>
  </r>
  <r>
    <s v="P0765"/>
    <s v="Model_294"/>
    <x v="1"/>
    <x v="3"/>
    <x v="1"/>
    <s v="Q3"/>
    <n v="4682"/>
    <n v="10406"/>
    <n v="9846"/>
    <n v="82430"/>
    <n v="0.46"/>
    <n v="1"/>
    <n v="3.59"/>
    <n v="12.17"/>
    <n v="82.12"/>
    <n v="3.6"/>
    <n v="8718"/>
    <n v="4247"/>
    <n v="5"/>
    <n v="2539477.83"/>
    <n v="5.2122974883136379"/>
    <n v="48720892"/>
    <n v="0.93734709550529849"/>
  </r>
  <r>
    <s v="P0766"/>
    <s v="Model_436"/>
    <x v="1"/>
    <x v="2"/>
    <x v="1"/>
    <s v="Q1"/>
    <n v="3646"/>
    <n v="5646"/>
    <n v="9631"/>
    <n v="73091"/>
    <n v="3.07"/>
    <n v="7"/>
    <n v="2.68"/>
    <n v="17.559999999999999"/>
    <n v="54.59"/>
    <n v="4.8"/>
    <n v="10059"/>
    <n v="171"/>
    <n v="11"/>
    <n v="-14602418.560000001"/>
    <n v="-70.936091338116938"/>
    <n v="20585316"/>
    <n v="0.72993752887917951"/>
  </r>
  <r>
    <s v="P0767"/>
    <s v="Model_879"/>
    <x v="1"/>
    <x v="0"/>
    <x v="1"/>
    <s v="Q1"/>
    <n v="3333"/>
    <n v="13546"/>
    <n v="11230"/>
    <n v="307125"/>
    <n v="5.1100000000000003"/>
    <n v="2"/>
    <n v="4.32"/>
    <n v="21.3"/>
    <n v="79.48"/>
    <n v="1.4"/>
    <n v="2115"/>
    <n v="127"/>
    <n v="10"/>
    <n v="7412081.7000000002"/>
    <n v="16.417000551376564"/>
    <n v="45148818"/>
    <n v="0.66727421386568986"/>
  </r>
  <r>
    <s v="P0768"/>
    <s v="Model_455"/>
    <x v="1"/>
    <x v="1"/>
    <x v="1"/>
    <s v="Q1"/>
    <n v="1653"/>
    <n v="14111"/>
    <n v="10594"/>
    <n v="476199"/>
    <n v="7.66"/>
    <n v="2"/>
    <n v="0.91"/>
    <n v="8.92"/>
    <n v="76.75"/>
    <n v="2.2000000000000002"/>
    <n v="9562"/>
    <n v="8760"/>
    <n v="11"/>
    <n v="5337393.08"/>
    <n v="22.882240337745632"/>
    <n v="23325483"/>
    <n v="0.33093437609360493"/>
  </r>
  <r>
    <s v="P0769"/>
    <s v="Model_144"/>
    <x v="2"/>
    <x v="2"/>
    <x v="1"/>
    <s v="Q4"/>
    <n v="116"/>
    <n v="14576"/>
    <n v="7459"/>
    <n v="73989"/>
    <n v="9.23"/>
    <n v="0"/>
    <n v="7.47"/>
    <n v="6.53"/>
    <n v="76.64"/>
    <n v="3.4"/>
    <n v="13020"/>
    <n v="4083"/>
    <n v="7"/>
    <n v="751576.47"/>
    <n v="44.450517974753019"/>
    <n v="1690816"/>
    <n v="2.322346498902491E-2"/>
  </r>
  <r>
    <s v="P0770"/>
    <s v="Model_220"/>
    <x v="2"/>
    <x v="0"/>
    <x v="1"/>
    <s v="Q1"/>
    <n v="282"/>
    <n v="18024"/>
    <n v="1241"/>
    <n v="125451"/>
    <n v="13.66"/>
    <n v="18"/>
    <n v="0.13"/>
    <n v="23.66"/>
    <n v="65.849999999999994"/>
    <n v="4.9000000000000004"/>
    <n v="7477"/>
    <n v="9055"/>
    <n v="10"/>
    <n v="4607331.34"/>
    <n v="90.646107396599646"/>
    <n v="5082768"/>
    <n v="5.6457044197457104E-2"/>
  </r>
  <r>
    <s v="P0771"/>
    <s v="Model_948"/>
    <x v="2"/>
    <x v="0"/>
    <x v="0"/>
    <s v="Q2"/>
    <n v="2206"/>
    <n v="6382"/>
    <n v="6840"/>
    <n v="68990"/>
    <n v="7.65"/>
    <n v="17"/>
    <n v="6.44"/>
    <n v="18.16"/>
    <n v="33.31"/>
    <n v="1.4"/>
    <n v="12919"/>
    <n v="7155"/>
    <n v="5"/>
    <n v="-1079356.1599999999"/>
    <n v="-7.6665940273428808"/>
    <n v="14078692"/>
    <n v="0.44164623936024955"/>
  </r>
  <r>
    <s v="P0772"/>
    <s v="Model_327"/>
    <x v="0"/>
    <x v="1"/>
    <x v="0"/>
    <s v="Q1"/>
    <n v="1219"/>
    <n v="15613"/>
    <n v="14926"/>
    <n v="402414"/>
    <n v="7.52"/>
    <n v="16"/>
    <n v="1.83"/>
    <n v="5.49"/>
    <n v="36.89"/>
    <n v="1.1000000000000001"/>
    <n v="11280"/>
    <n v="6790"/>
    <n v="10"/>
    <n v="435033.51"/>
    <n v="2.2857706186768172"/>
    <n v="19032247"/>
    <n v="0.24404658466914969"/>
  </r>
  <r>
    <s v="P0773"/>
    <s v="Model_262"/>
    <x v="2"/>
    <x v="1"/>
    <x v="1"/>
    <s v="Q1"/>
    <n v="2208"/>
    <n v="15145"/>
    <n v="6725"/>
    <n v="392504"/>
    <n v="0.75"/>
    <n v="19"/>
    <n v="2.3199999999999998"/>
    <n v="11.23"/>
    <n v="34.68"/>
    <n v="1.2"/>
    <n v="12181"/>
    <n v="9716"/>
    <n v="12"/>
    <n v="18198844.77"/>
    <n v="54.42212229247707"/>
    <n v="33440160"/>
    <n v="0.44204664392902587"/>
  </r>
  <r>
    <s v="P0774"/>
    <s v="Model_791"/>
    <x v="0"/>
    <x v="0"/>
    <x v="1"/>
    <s v="Q3"/>
    <n v="4256"/>
    <n v="7512"/>
    <n v="8158"/>
    <n v="300541"/>
    <n v="0.52"/>
    <n v="12"/>
    <n v="6.36"/>
    <n v="19.91"/>
    <n v="11.6"/>
    <n v="1.2"/>
    <n v="8484"/>
    <n v="3932"/>
    <n v="14"/>
    <n v="-3049936.91"/>
    <n v="-9.5396767114971937"/>
    <n v="31971072"/>
    <n v="0.85206092235594844"/>
  </r>
  <r>
    <s v="P0775"/>
    <s v="Model_662"/>
    <x v="2"/>
    <x v="2"/>
    <x v="0"/>
    <s v="Q2"/>
    <n v="1543"/>
    <n v="18847"/>
    <n v="5428"/>
    <n v="348225"/>
    <n v="8.27"/>
    <n v="2"/>
    <n v="9.93"/>
    <n v="13.68"/>
    <n v="56.61"/>
    <n v="4.5999999999999996"/>
    <n v="6471"/>
    <n v="9967"/>
    <n v="10"/>
    <n v="20357278.32"/>
    <n v="70.00217881682633"/>
    <n v="29080921"/>
    <n v="0.30891212481090891"/>
  </r>
  <r>
    <s v="P0776"/>
    <s v="Model_301"/>
    <x v="1"/>
    <x v="0"/>
    <x v="0"/>
    <s v="Q4"/>
    <n v="4768"/>
    <n v="8651"/>
    <n v="7170"/>
    <n v="192105"/>
    <n v="6.57"/>
    <n v="0"/>
    <n v="7.78"/>
    <n v="16.25"/>
    <n v="65.91"/>
    <n v="3.9"/>
    <n v="2444"/>
    <n v="659"/>
    <n v="7"/>
    <n v="6869286.75"/>
    <n v="16.653636731874887"/>
    <n v="41247968"/>
    <n v="0.95456449196267901"/>
  </r>
  <r>
    <s v="P0777"/>
    <s v="Model_421"/>
    <x v="1"/>
    <x v="1"/>
    <x v="1"/>
    <s v="Q1"/>
    <n v="4057"/>
    <n v="5110"/>
    <n v="10328"/>
    <n v="420416"/>
    <n v="12.59"/>
    <n v="3"/>
    <n v="2.2599999999999998"/>
    <n v="18.84"/>
    <n v="78.31"/>
    <n v="3.7"/>
    <n v="10614"/>
    <n v="8057"/>
    <n v="6"/>
    <n v="-21589860.84"/>
    <n v="-104.14152553123857"/>
    <n v="20731270"/>
    <n v="0.8122206677627074"/>
  </r>
  <r>
    <s v="P0778"/>
    <s v="Model_296"/>
    <x v="2"/>
    <x v="1"/>
    <x v="0"/>
    <s v="Q3"/>
    <n v="2522"/>
    <n v="11384"/>
    <n v="12692"/>
    <n v="328385"/>
    <n v="2.41"/>
    <n v="12"/>
    <n v="1.76"/>
    <n v="15.55"/>
    <n v="21.21"/>
    <n v="3.1"/>
    <n v="8578"/>
    <n v="3931"/>
    <n v="4"/>
    <n v="-3627176.55"/>
    <n v="-12.633646643201107"/>
    <n v="28710448"/>
    <n v="0.50491016122690369"/>
  </r>
  <r>
    <s v="P0779"/>
    <s v="Model_998"/>
    <x v="2"/>
    <x v="3"/>
    <x v="0"/>
    <s v="Q2"/>
    <n v="2710"/>
    <n v="8394"/>
    <n v="1748"/>
    <n v="174932"/>
    <n v="0.37"/>
    <n v="16"/>
    <n v="8.66"/>
    <n v="13.5"/>
    <n v="53.53"/>
    <n v="4.0999999999999996"/>
    <n v="19630"/>
    <n v="7444"/>
    <n v="6"/>
    <n v="17835714.5"/>
    <n v="78.4065340117304"/>
    <n v="22747740"/>
    <n v="0.54254819069187499"/>
  </r>
  <r>
    <s v="P0780"/>
    <s v="Model_789"/>
    <x v="1"/>
    <x v="3"/>
    <x v="1"/>
    <s v="Q1"/>
    <n v="2789"/>
    <n v="14967"/>
    <n v="12365"/>
    <n v="318083"/>
    <n v="6.74"/>
    <n v="10"/>
    <n v="4.4400000000000004"/>
    <n v="18.739999999999998"/>
    <n v="10.64"/>
    <n v="1.6"/>
    <n v="13812"/>
    <n v="5271"/>
    <n v="4"/>
    <n v="6938876.2599999998"/>
    <n v="16.622864696978983"/>
    <n v="41742963"/>
    <n v="0.55836417115853854"/>
  </r>
  <r>
    <s v="P0781"/>
    <s v="Model_731"/>
    <x v="2"/>
    <x v="3"/>
    <x v="1"/>
    <s v="Q2"/>
    <n v="1811"/>
    <n v="17989"/>
    <n v="8979"/>
    <n v="163000"/>
    <n v="3.56"/>
    <n v="1"/>
    <n v="1.37"/>
    <n v="18.190000000000001"/>
    <n v="17.61"/>
    <n v="2.6"/>
    <n v="7283"/>
    <n v="178"/>
    <n v="6"/>
    <n v="16154091.810000001"/>
    <n v="49.585771493770395"/>
    <n v="32578079"/>
    <n v="0.36256633702693197"/>
  </r>
  <r>
    <s v="P0782"/>
    <s v="Model_300"/>
    <x v="1"/>
    <x v="1"/>
    <x v="1"/>
    <s v="Q3"/>
    <n v="3564"/>
    <n v="11373"/>
    <n v="6915"/>
    <n v="228634"/>
    <n v="0.74"/>
    <n v="15"/>
    <n v="8.6199999999999992"/>
    <n v="15.75"/>
    <n v="14.34"/>
    <n v="3"/>
    <n v="11251"/>
    <n v="5029"/>
    <n v="6"/>
    <n v="15659662.25"/>
    <n v="38.63399830144899"/>
    <n v="40533372"/>
    <n v="0.71352094155935153"/>
  </r>
  <r>
    <s v="P0783"/>
    <s v="Model_691"/>
    <x v="2"/>
    <x v="1"/>
    <x v="1"/>
    <s v="Q3"/>
    <n v="2025"/>
    <n v="13789"/>
    <n v="1259"/>
    <n v="85063"/>
    <n v="10.87"/>
    <n v="1"/>
    <n v="8.16"/>
    <n v="8.99"/>
    <n v="68.040000000000006"/>
    <n v="1.4"/>
    <n v="8407"/>
    <n v="3747"/>
    <n v="3"/>
    <n v="25288178.010000002"/>
    <n v="90.564864317504828"/>
    <n v="27922725"/>
    <n v="0.40540962588599516"/>
  </r>
  <r>
    <s v="P0784"/>
    <s v="Model_194"/>
    <x v="0"/>
    <x v="3"/>
    <x v="0"/>
    <s v="Q4"/>
    <n v="2412"/>
    <n v="13708"/>
    <n v="8368"/>
    <n v="257793"/>
    <n v="1.67"/>
    <n v="18"/>
    <n v="9.84"/>
    <n v="10.15"/>
    <n v="16.48"/>
    <n v="2.7"/>
    <n v="20810"/>
    <n v="1131"/>
    <n v="10"/>
    <n v="12622276.85"/>
    <n v="38.175637865772778"/>
    <n v="33063696"/>
    <n v="0.48288790994420761"/>
  </r>
  <r>
    <s v="P0785"/>
    <s v="Model_739"/>
    <x v="0"/>
    <x v="0"/>
    <x v="0"/>
    <s v="Q4"/>
    <n v="926"/>
    <n v="12328"/>
    <n v="5446"/>
    <n v="208117"/>
    <n v="9.1199999999999992"/>
    <n v="18"/>
    <n v="9.1"/>
    <n v="24.26"/>
    <n v="67.319999999999993"/>
    <n v="2.2999999999999998"/>
    <n v="18973"/>
    <n v="7481"/>
    <n v="8"/>
    <n v="6164590.7400000002"/>
    <n v="54.000855136001846"/>
    <n v="11415728"/>
    <n v="0.18538731534342298"/>
  </r>
  <r>
    <s v="P0786"/>
    <s v="Model_681"/>
    <x v="2"/>
    <x v="0"/>
    <x v="0"/>
    <s v="Q1"/>
    <n v="3862"/>
    <n v="3637"/>
    <n v="1192"/>
    <n v="487985"/>
    <n v="4.22"/>
    <n v="15"/>
    <n v="8.52"/>
    <n v="2.81"/>
    <n v="29.97"/>
    <n v="1.1000000000000001"/>
    <n v="4457"/>
    <n v="2172"/>
    <n v="7"/>
    <n v="8954602.1899999995"/>
    <n v="63.751546800128203"/>
    <n v="14046094"/>
    <n v="0.77318122230701891"/>
  </r>
  <r>
    <s v="P0787"/>
    <s v="Model_756"/>
    <x v="1"/>
    <x v="3"/>
    <x v="0"/>
    <s v="Q3"/>
    <n v="3498"/>
    <n v="2786"/>
    <n v="12930"/>
    <n v="359262"/>
    <n v="2.6"/>
    <n v="18"/>
    <n v="0.53"/>
    <n v="6.71"/>
    <n v="80.22"/>
    <n v="1.5"/>
    <n v="20496"/>
    <n v="7011"/>
    <n v="6"/>
    <n v="-35842980.710000001"/>
    <n v="-367.79278149712871"/>
    <n v="9745428"/>
    <n v="0.70030759078973392"/>
  </r>
  <r>
    <s v="P0788"/>
    <s v="Model_208"/>
    <x v="0"/>
    <x v="0"/>
    <x v="0"/>
    <s v="Q3"/>
    <n v="1362"/>
    <n v="17210"/>
    <n v="2587"/>
    <n v="134703"/>
    <n v="5.7"/>
    <n v="8"/>
    <n v="1.04"/>
    <n v="12.31"/>
    <n v="75.05"/>
    <n v="4.0999999999999996"/>
    <n v="7547"/>
    <n v="6188"/>
    <n v="5"/>
    <n v="19781810.690000001"/>
    <n v="84.393318307748885"/>
    <n v="23440020"/>
    <n v="0.27267551133665452"/>
  </r>
  <r>
    <s v="P0789"/>
    <s v="Model_942"/>
    <x v="0"/>
    <x v="2"/>
    <x v="0"/>
    <s v="Q3"/>
    <n v="1510"/>
    <n v="12871"/>
    <n v="13932"/>
    <n v="464841"/>
    <n v="12.02"/>
    <n v="0"/>
    <n v="5.69"/>
    <n v="20.92"/>
    <n v="86.63"/>
    <n v="1.1000000000000001"/>
    <n v="7749"/>
    <n v="1584"/>
    <n v="9"/>
    <n v="-2066971.92"/>
    <n v="-10.63519210752032"/>
    <n v="19435210"/>
    <n v="0.3023054494261001"/>
  </r>
  <r>
    <s v="P0790"/>
    <s v="Model_629"/>
    <x v="0"/>
    <x v="1"/>
    <x v="1"/>
    <s v="Q1"/>
    <n v="2759"/>
    <n v="17445"/>
    <n v="8174"/>
    <n v="285796"/>
    <n v="5.88"/>
    <n v="9"/>
    <n v="5.31"/>
    <n v="4.09"/>
    <n v="80.7"/>
    <n v="4.7"/>
    <n v="17847"/>
    <n v="5938"/>
    <n v="3"/>
    <n v="25292888.91"/>
    <n v="52.550368075464426"/>
    <n v="48130755"/>
    <n v="0.55235810262689422"/>
  </r>
  <r>
    <s v="P0791"/>
    <s v="Model_923"/>
    <x v="2"/>
    <x v="3"/>
    <x v="0"/>
    <s v="Q4"/>
    <n v="2374"/>
    <n v="8552"/>
    <n v="11249"/>
    <n v="178557"/>
    <n v="11.26"/>
    <n v="18"/>
    <n v="4.58"/>
    <n v="6.92"/>
    <n v="84.67"/>
    <n v="1.3"/>
    <n v="5259"/>
    <n v="1650"/>
    <n v="9"/>
    <n v="-6581241.9199999999"/>
    <n v="-32.416001853569583"/>
    <n v="20302448"/>
    <n v="0.47528022313745805"/>
  </r>
  <r>
    <s v="P0792"/>
    <s v="Model_800"/>
    <x v="2"/>
    <x v="0"/>
    <x v="0"/>
    <s v="Q3"/>
    <n v="1783"/>
    <n v="5154"/>
    <n v="1938"/>
    <n v="339220"/>
    <n v="1.88"/>
    <n v="0"/>
    <n v="3.97"/>
    <n v="1.64"/>
    <n v="78.7"/>
    <n v="4.2"/>
    <n v="5763"/>
    <n v="5597"/>
    <n v="2"/>
    <n v="5394906.3600000003"/>
    <n v="58.706765552557236"/>
    <n v="9189582"/>
    <n v="0.35696067306406393"/>
  </r>
  <r>
    <s v="P0793"/>
    <s v="Model_846"/>
    <x v="1"/>
    <x v="1"/>
    <x v="0"/>
    <s v="Q1"/>
    <n v="1655"/>
    <n v="17100"/>
    <n v="12800"/>
    <n v="303317"/>
    <n v="11.59"/>
    <n v="1"/>
    <n v="4.3099999999999996"/>
    <n v="17.649999999999999"/>
    <n v="65.47"/>
    <n v="4.5999999999999996"/>
    <n v="11781"/>
    <n v="4782"/>
    <n v="11"/>
    <n v="6813165.3499999996"/>
    <n v="24.074363880496811"/>
    <n v="28300500"/>
    <n v="0.33133478066238126"/>
  </r>
  <r>
    <s v="P0794"/>
    <s v="Model_820"/>
    <x v="2"/>
    <x v="0"/>
    <x v="0"/>
    <s v="Q4"/>
    <n v="2613"/>
    <n v="10136"/>
    <n v="5541"/>
    <n v="245877"/>
    <n v="3.55"/>
    <n v="15"/>
    <n v="5.69"/>
    <n v="5.96"/>
    <n v="23.62"/>
    <n v="4.8"/>
    <n v="3402"/>
    <n v="1929"/>
    <n v="2"/>
    <n v="11760852.039999999"/>
    <n v="44.405092049315684"/>
    <n v="26485368"/>
    <n v="0.52312856910622485"/>
  </r>
  <r>
    <s v="P0795"/>
    <s v="Model_689"/>
    <x v="0"/>
    <x v="1"/>
    <x v="1"/>
    <s v="Q2"/>
    <n v="3471"/>
    <n v="7941"/>
    <n v="8218"/>
    <n v="356749"/>
    <n v="10.16"/>
    <n v="11"/>
    <n v="0.02"/>
    <n v="9.7200000000000006"/>
    <n v="31.74"/>
    <n v="4.5"/>
    <n v="4067"/>
    <n v="3851"/>
    <n v="4"/>
    <n v="-1318225.72"/>
    <n v="-4.7825549788085286"/>
    <n v="27563211"/>
    <n v="0.69490212911125393"/>
  </r>
  <r>
    <s v="P0796"/>
    <s v="Model_464"/>
    <x v="2"/>
    <x v="3"/>
    <x v="0"/>
    <s v="Q4"/>
    <n v="3567"/>
    <n v="11167"/>
    <n v="7162"/>
    <n v="396709"/>
    <n v="8.49"/>
    <n v="7"/>
    <n v="2.61"/>
    <n v="11.09"/>
    <n v="27.02"/>
    <n v="2.2000000000000002"/>
    <n v="11690"/>
    <n v="6181"/>
    <n v="6"/>
    <n v="13889114.91"/>
    <n v="34.868634929467099"/>
    <n v="39832689"/>
    <n v="0.71412154841251596"/>
  </r>
  <r>
    <s v="P0797"/>
    <s v="Model_480"/>
    <x v="2"/>
    <x v="2"/>
    <x v="1"/>
    <s v="Q3"/>
    <n v="2447"/>
    <n v="13649"/>
    <n v="3254"/>
    <n v="351265"/>
    <n v="13.94"/>
    <n v="17"/>
    <n v="5.18"/>
    <n v="22.28"/>
    <n v="58.29"/>
    <n v="2.2999999999999998"/>
    <n v="9575"/>
    <n v="6701"/>
    <n v="7"/>
    <n v="25085277.719999999"/>
    <n v="75.107639028509226"/>
    <n v="33399103"/>
    <n v="0.48989498989779268"/>
  </r>
  <r>
    <s v="P0798"/>
    <s v="Model_906"/>
    <x v="0"/>
    <x v="3"/>
    <x v="0"/>
    <s v="Q3"/>
    <n v="3785"/>
    <n v="3298"/>
    <n v="10458"/>
    <n v="343577"/>
    <n v="5.81"/>
    <n v="1"/>
    <n v="7.22"/>
    <n v="10.28"/>
    <n v="50.29"/>
    <n v="2.7"/>
    <n v="4494"/>
    <n v="4559"/>
    <n v="5"/>
    <n v="-27444187.280000001"/>
    <n v="-219.85373049436311"/>
    <n v="12482930"/>
    <n v="0.75776564640913169"/>
  </r>
  <r>
    <s v="P0799"/>
    <s v="Model_310"/>
    <x v="0"/>
    <x v="2"/>
    <x v="1"/>
    <s v="Q2"/>
    <n v="2920"/>
    <n v="11100"/>
    <n v="4474"/>
    <n v="93309"/>
    <n v="0.99"/>
    <n v="12"/>
    <n v="1.74"/>
    <n v="3.63"/>
    <n v="79.37"/>
    <n v="1.6"/>
    <n v="6729"/>
    <n v="3956"/>
    <n v="8"/>
    <n v="19254607.370000001"/>
    <n v="59.405798377144272"/>
    <n v="32412000"/>
    <n v="0.58459067041338564"/>
  </r>
  <r>
    <s v="P0800"/>
    <s v="Model_276"/>
    <x v="0"/>
    <x v="0"/>
    <x v="1"/>
    <s v="Q3"/>
    <n v="1210"/>
    <n v="6995"/>
    <n v="2177"/>
    <n v="379612"/>
    <n v="0.28999999999999998"/>
    <n v="5"/>
    <n v="5.47"/>
    <n v="13.11"/>
    <n v="86.21"/>
    <n v="1.1000000000000001"/>
    <n v="3510"/>
    <n v="6282"/>
    <n v="8"/>
    <n v="5450154.8899999997"/>
    <n v="64.392569544952423"/>
    <n v="8463950"/>
    <n v="0.24224476410965637"/>
  </r>
  <r>
    <s v="P0801"/>
    <s v="Model_392"/>
    <x v="0"/>
    <x v="2"/>
    <x v="0"/>
    <s v="Q2"/>
    <n v="4904"/>
    <n v="11400"/>
    <n v="7501"/>
    <n v="487470"/>
    <n v="12.4"/>
    <n v="5"/>
    <n v="7.14"/>
    <n v="24.07"/>
    <n v="42.39"/>
    <n v="4.5"/>
    <n v="8877"/>
    <n v="6183"/>
    <n v="3"/>
    <n v="18633201.93"/>
    <n v="33.32975932643599"/>
    <n v="55905600"/>
    <n v="0.98179200263946687"/>
  </r>
  <r>
    <s v="P0802"/>
    <s v="Model_547"/>
    <x v="1"/>
    <x v="2"/>
    <x v="1"/>
    <s v="Q3"/>
    <n v="292"/>
    <n v="15173"/>
    <n v="3397"/>
    <n v="379437"/>
    <n v="7.87"/>
    <n v="8"/>
    <n v="4.45"/>
    <n v="15.19"/>
    <n v="50.51"/>
    <n v="3.2"/>
    <n v="14536"/>
    <n v="8070"/>
    <n v="3"/>
    <n v="3059139.81"/>
    <n v="69.047032219271969"/>
    <n v="4430516"/>
    <n v="5.8459067041338568E-2"/>
  </r>
  <r>
    <s v="P0803"/>
    <s v="Model_939"/>
    <x v="2"/>
    <x v="2"/>
    <x v="1"/>
    <s v="Q4"/>
    <n v="2640"/>
    <n v="12630"/>
    <n v="941"/>
    <n v="408402"/>
    <n v="11.63"/>
    <n v="15"/>
    <n v="0.27"/>
    <n v="24.58"/>
    <n v="87.72"/>
    <n v="3.4"/>
    <n v="18714"/>
    <n v="2194"/>
    <n v="3"/>
    <n v="30450533.420000002"/>
    <n v="91.324568187816411"/>
    <n v="33343200"/>
    <n v="0.52853403078470484"/>
  </r>
  <r>
    <s v="P0804"/>
    <s v="Model_176"/>
    <x v="1"/>
    <x v="2"/>
    <x v="1"/>
    <s v="Q1"/>
    <n v="1113"/>
    <n v="16722"/>
    <n v="3459"/>
    <n v="481069"/>
    <n v="3.52"/>
    <n v="10"/>
    <n v="4.49"/>
    <n v="21.03"/>
    <n v="32.1"/>
    <n v="4.7"/>
    <n v="1548"/>
    <n v="6338"/>
    <n v="3"/>
    <n v="14280628.970000001"/>
    <n v="76.729779880124141"/>
    <n v="18611586"/>
    <n v="0.22282514252400623"/>
  </r>
  <r>
    <s v="P0805"/>
    <s v="Model_761"/>
    <x v="1"/>
    <x v="0"/>
    <x v="1"/>
    <s v="Q1"/>
    <n v="4374"/>
    <n v="2800"/>
    <n v="5396"/>
    <n v="350549"/>
    <n v="5.18"/>
    <n v="6"/>
    <n v="2.96"/>
    <n v="0.9"/>
    <n v="73.39"/>
    <n v="3.7"/>
    <n v="5710"/>
    <n v="3132"/>
    <n v="14"/>
    <n v="-11705453.9"/>
    <n v="-95.576571787837224"/>
    <n v="12247200"/>
    <n v="0.87568479191374959"/>
  </r>
  <r>
    <s v="P0806"/>
    <s v="Model_784"/>
    <x v="0"/>
    <x v="0"/>
    <x v="1"/>
    <s v="Q4"/>
    <n v="2645"/>
    <n v="10935"/>
    <n v="9831"/>
    <n v="93527"/>
    <n v="0.45"/>
    <n v="9"/>
    <n v="9.3000000000000007"/>
    <n v="16.46"/>
    <n v="28.02"/>
    <n v="3.8"/>
    <n v="19062"/>
    <n v="1648"/>
    <n v="10"/>
    <n v="2826536.54"/>
    <n v="9.7726003891356648"/>
    <n v="28923075"/>
    <n v="0.5295350422066456"/>
  </r>
  <r>
    <s v="P0807"/>
    <s v="Model_871"/>
    <x v="1"/>
    <x v="2"/>
    <x v="1"/>
    <s v="Q1"/>
    <n v="969"/>
    <n v="6116"/>
    <n v="12610"/>
    <n v="389371"/>
    <n v="14.42"/>
    <n v="9"/>
    <n v="1.25"/>
    <n v="7.17"/>
    <n v="64.52"/>
    <n v="4.0999999999999996"/>
    <n v="16338"/>
    <n v="8659"/>
    <n v="6"/>
    <n v="-6682064.1699999999"/>
    <n v="-112.75073670306648"/>
    <n v="5926404"/>
    <n v="0.19399601357211324"/>
  </r>
  <r>
    <s v="P0808"/>
    <s v="Model_731"/>
    <x v="0"/>
    <x v="3"/>
    <x v="1"/>
    <s v="Q4"/>
    <n v="55"/>
    <n v="17893"/>
    <n v="14770"/>
    <n v="443708"/>
    <n v="10.02"/>
    <n v="19"/>
    <n v="6.52"/>
    <n v="13.99"/>
    <n v="30.29"/>
    <n v="1.5"/>
    <n v="17538"/>
    <n v="164"/>
    <n v="12"/>
    <n v="-271956.99"/>
    <n v="-27.634675825487875"/>
    <n v="984115"/>
    <n v="1.1011125641348018E-2"/>
  </r>
  <r>
    <s v="P0809"/>
    <s v="Model_261"/>
    <x v="2"/>
    <x v="0"/>
    <x v="1"/>
    <s v="Q1"/>
    <n v="517"/>
    <n v="12117"/>
    <n v="6461"/>
    <n v="274490"/>
    <n v="14"/>
    <n v="17"/>
    <n v="0.53"/>
    <n v="6.98"/>
    <n v="80.7"/>
    <n v="2.4"/>
    <n v="9378"/>
    <n v="3399"/>
    <n v="9"/>
    <n v="2649655.02"/>
    <n v="42.296427050953397"/>
    <n v="6264489"/>
    <n v="0.10350458102867137"/>
  </r>
  <r>
    <s v="P0810"/>
    <s v="Model_953"/>
    <x v="0"/>
    <x v="1"/>
    <x v="1"/>
    <s v="Q3"/>
    <n v="4220"/>
    <n v="7252"/>
    <n v="6942"/>
    <n v="189883"/>
    <n v="3.98"/>
    <n v="19"/>
    <n v="4.46"/>
    <n v="8.7200000000000006"/>
    <n v="54.92"/>
    <n v="4.9000000000000004"/>
    <n v="17954"/>
    <n v="4949"/>
    <n v="6"/>
    <n v="1118308.28"/>
    <n v="3.6541914242320472"/>
    <n v="30603440"/>
    <n v="0.84485364011797515"/>
  </r>
  <r>
    <s v="P0811"/>
    <s v="Model_929"/>
    <x v="2"/>
    <x v="3"/>
    <x v="1"/>
    <s v="Q4"/>
    <n v="53"/>
    <n v="11352"/>
    <n v="12909"/>
    <n v="143344"/>
    <n v="9.17"/>
    <n v="8"/>
    <n v="5.54"/>
    <n v="23.08"/>
    <n v="24.87"/>
    <n v="4.7"/>
    <n v="16847"/>
    <n v="5739"/>
    <n v="14"/>
    <n v="-225888.08"/>
    <n v="-37.544390814684803"/>
    <n v="601656"/>
    <n v="1.0610721072571726E-2"/>
  </r>
  <r>
    <s v="P0812"/>
    <s v="Model_610"/>
    <x v="0"/>
    <x v="0"/>
    <x v="0"/>
    <s v="Q2"/>
    <n v="695"/>
    <n v="7795"/>
    <n v="6426"/>
    <n v="205344"/>
    <n v="10.18"/>
    <n v="14"/>
    <n v="2.98"/>
    <n v="5.17"/>
    <n v="27.95"/>
    <n v="4.5"/>
    <n v="9379"/>
    <n v="2135"/>
    <n v="12"/>
    <n v="746105.83"/>
    <n v="13.772079132075993"/>
    <n v="5417525"/>
    <n v="0.13914058764976131"/>
  </r>
  <r>
    <s v="P0813"/>
    <s v="Model_516"/>
    <x v="2"/>
    <x v="1"/>
    <x v="1"/>
    <s v="Q4"/>
    <n v="167"/>
    <n v="18956"/>
    <n v="9587"/>
    <n v="273564"/>
    <n v="4.76"/>
    <n v="3"/>
    <n v="4.55"/>
    <n v="21.85"/>
    <n v="49.51"/>
    <n v="2.8"/>
    <n v="19661"/>
    <n v="5774"/>
    <n v="6"/>
    <n v="1291037.1499999999"/>
    <n v="40.782661833960262"/>
    <n v="3165652"/>
    <n v="3.3433781492820343E-2"/>
  </r>
  <r>
    <s v="P0814"/>
    <s v="Model_975"/>
    <x v="0"/>
    <x v="2"/>
    <x v="1"/>
    <s v="Q3"/>
    <n v="2978"/>
    <n v="4725"/>
    <n v="10896"/>
    <n v="97153"/>
    <n v="12.72"/>
    <n v="7"/>
    <n v="1.64"/>
    <n v="0.76"/>
    <n v="86.93"/>
    <n v="4.4000000000000004"/>
    <n v="14754"/>
    <n v="2328"/>
    <n v="2"/>
    <n v="-18474391.760000002"/>
    <n v="-131.29362599095307"/>
    <n v="14071050"/>
    <n v="0.59620240290789805"/>
  </r>
  <r>
    <s v="P0815"/>
    <s v="Model_843"/>
    <x v="0"/>
    <x v="0"/>
    <x v="0"/>
    <s v="Q2"/>
    <n v="2601"/>
    <n v="2816"/>
    <n v="9272"/>
    <n v="158042"/>
    <n v="14.21"/>
    <n v="8"/>
    <n v="3.04"/>
    <n v="2.27"/>
    <n v="71.569999999999993"/>
    <n v="1.2"/>
    <n v="8880"/>
    <n v="5720"/>
    <n v="7"/>
    <n v="-16950100.27"/>
    <n v="-231.41913662468107"/>
    <n v="7324416"/>
    <n v="0.52072614169356712"/>
  </r>
  <r>
    <s v="P0816"/>
    <s v="Model_546"/>
    <x v="0"/>
    <x v="1"/>
    <x v="1"/>
    <s v="Q2"/>
    <n v="4339"/>
    <n v="13837"/>
    <n v="1223"/>
    <n v="104110"/>
    <n v="13.27"/>
    <n v="12"/>
    <n v="6.21"/>
    <n v="21.37"/>
    <n v="49.06"/>
    <n v="1.6"/>
    <n v="3728"/>
    <n v="696"/>
    <n v="5"/>
    <n v="54628014.630000003"/>
    <n v="90.987938621566414"/>
    <n v="60038743"/>
    <n v="0.86867771196016452"/>
  </r>
  <r>
    <s v="P0817"/>
    <s v="Model_906"/>
    <x v="1"/>
    <x v="0"/>
    <x v="0"/>
    <s v="Q4"/>
    <n v="896"/>
    <n v="8307"/>
    <n v="7799"/>
    <n v="195051"/>
    <n v="11.09"/>
    <n v="8"/>
    <n v="3.02"/>
    <n v="15.76"/>
    <n v="37.020000000000003"/>
    <n v="2.7"/>
    <n v="11314"/>
    <n v="3706"/>
    <n v="4"/>
    <n v="260101.24"/>
    <n v="3.4945415011436136"/>
    <n v="7443072"/>
    <n v="0.17938124681177861"/>
  </r>
  <r>
    <s v="P0818"/>
    <s v="Model_345"/>
    <x v="1"/>
    <x v="3"/>
    <x v="0"/>
    <s v="Q1"/>
    <n v="2812"/>
    <n v="5183"/>
    <n v="13357"/>
    <n v="291131"/>
    <n v="4.16"/>
    <n v="3"/>
    <n v="9"/>
    <n v="18.68"/>
    <n v="53.94"/>
    <n v="2.9"/>
    <n v="10388"/>
    <n v="3989"/>
    <n v="7"/>
    <n v="-23276437.68"/>
    <n v="-159.70554298726358"/>
    <n v="14574596"/>
    <n v="0.56296882369946588"/>
  </r>
  <r>
    <s v="P0819"/>
    <s v="Model_876"/>
    <x v="1"/>
    <x v="0"/>
    <x v="1"/>
    <s v="Q2"/>
    <n v="1191"/>
    <n v="8727"/>
    <n v="5049"/>
    <n v="289173"/>
    <n v="4.22"/>
    <n v="16"/>
    <n v="6.28"/>
    <n v="5.24"/>
    <n v="69.87"/>
    <n v="2.1"/>
    <n v="7891"/>
    <n v="3606"/>
    <n v="3"/>
    <n v="4091319.76"/>
    <n v="39.362863660718055"/>
    <n v="10393857"/>
    <n v="0.23844092070628162"/>
  </r>
  <r>
    <s v="P0820"/>
    <s v="Model_866"/>
    <x v="2"/>
    <x v="3"/>
    <x v="1"/>
    <s v="Q2"/>
    <n v="1860"/>
    <n v="4773"/>
    <n v="2550"/>
    <n v="78328"/>
    <n v="14.45"/>
    <n v="15"/>
    <n v="4.3899999999999997"/>
    <n v="13.43"/>
    <n v="72.709999999999994"/>
    <n v="2.4"/>
    <n v="10929"/>
    <n v="1495"/>
    <n v="9"/>
    <n v="4056438.57"/>
    <n v="45.692037536411128"/>
    <n v="8877780"/>
    <n v="0.37237624896195115"/>
  </r>
  <r>
    <s v="P0821"/>
    <s v="Model_986"/>
    <x v="0"/>
    <x v="2"/>
    <x v="1"/>
    <s v="Q4"/>
    <n v="773"/>
    <n v="1645"/>
    <n v="5557"/>
    <n v="162911"/>
    <n v="0.15"/>
    <n v="14"/>
    <n v="0.39"/>
    <n v="18.43"/>
    <n v="35.97"/>
    <n v="1.7"/>
    <n v="20290"/>
    <n v="9878"/>
    <n v="2"/>
    <n v="-3186905.43"/>
    <n v="-250.62464797870376"/>
    <n v="1271585"/>
    <n v="0.15475636583203667"/>
  </r>
  <r>
    <s v="P0822"/>
    <s v="Model_565"/>
    <x v="2"/>
    <x v="0"/>
    <x v="1"/>
    <s v="Q1"/>
    <n v="274"/>
    <n v="6510"/>
    <n v="2767"/>
    <n v="325011"/>
    <n v="10.74"/>
    <n v="2"/>
    <n v="5"/>
    <n v="15.68"/>
    <n v="67.69"/>
    <n v="3"/>
    <n v="2137"/>
    <n v="7629"/>
    <n v="13"/>
    <n v="700555.32"/>
    <n v="39.274519829123079"/>
    <n v="1783740"/>
    <n v="5.4855425922351944E-2"/>
  </r>
  <r>
    <s v="P0823"/>
    <s v="Model_956"/>
    <x v="0"/>
    <x v="3"/>
    <x v="0"/>
    <s v="Q3"/>
    <n v="4677"/>
    <n v="17535"/>
    <n v="4888"/>
    <n v="109234"/>
    <n v="10.59"/>
    <n v="19"/>
    <n v="7.65"/>
    <n v="11.79"/>
    <n v="62.62"/>
    <n v="4.2"/>
    <n v="18833"/>
    <n v="8403"/>
    <n v="10"/>
    <n v="59040773.210000001"/>
    <n v="71.991114396028493"/>
    <n v="82011195"/>
    <n v="0.93634608408335773"/>
  </r>
  <r>
    <s v="P0824"/>
    <s v="Model_171"/>
    <x v="1"/>
    <x v="1"/>
    <x v="0"/>
    <s v="Q1"/>
    <n v="4258"/>
    <n v="4540"/>
    <n v="4978"/>
    <n v="337995"/>
    <n v="9.34"/>
    <n v="4"/>
    <n v="2.66"/>
    <n v="23.99"/>
    <n v="86.73"/>
    <n v="3.6"/>
    <n v="11596"/>
    <n v="552"/>
    <n v="9"/>
    <n v="-2203022.9900000002"/>
    <n v="-11.396133269740504"/>
    <n v="19331320"/>
    <n v="0.85246132692472465"/>
  </r>
  <r>
    <s v="P0825"/>
    <s v="Model_324"/>
    <x v="1"/>
    <x v="0"/>
    <x v="0"/>
    <s v="Q2"/>
    <n v="4704"/>
    <n v="11154"/>
    <n v="8589"/>
    <n v="343423"/>
    <n v="14.85"/>
    <n v="4"/>
    <n v="8.07"/>
    <n v="16.899999999999999"/>
    <n v="84.49"/>
    <n v="1.4"/>
    <n v="5087"/>
    <n v="7436"/>
    <n v="2"/>
    <n v="11722320.1"/>
    <n v="22.341669510282149"/>
    <n v="52468416"/>
    <n v="0.94175154576183773"/>
  </r>
  <r>
    <s v="P0826"/>
    <s v="Model_741"/>
    <x v="2"/>
    <x v="3"/>
    <x v="1"/>
    <s v="Q4"/>
    <n v="2098"/>
    <n v="18366"/>
    <n v="3746"/>
    <n v="298503"/>
    <n v="4.68"/>
    <n v="19"/>
    <n v="2.52"/>
    <n v="22.69"/>
    <n v="73.150000000000006"/>
    <n v="3"/>
    <n v="2611"/>
    <n v="2731"/>
    <n v="11"/>
    <n v="30374234.309999999"/>
    <n v="78.828865265499189"/>
    <n v="38531868"/>
    <n v="0.42002439264632985"/>
  </r>
  <r>
    <s v="P0827"/>
    <s v="Model_835"/>
    <x v="2"/>
    <x v="1"/>
    <x v="1"/>
    <s v="Q3"/>
    <n v="4799"/>
    <n v="19133"/>
    <n v="10441"/>
    <n v="277135"/>
    <n v="5.0999999999999996"/>
    <n v="14"/>
    <n v="8.24"/>
    <n v="18.239999999999998"/>
    <n v="67.87"/>
    <n v="3.8"/>
    <n v="9867"/>
    <n v="2286"/>
    <n v="13"/>
    <n v="41435754.759999998"/>
    <n v="45.12751638498704"/>
    <n v="91819267"/>
    <n v="0.96077076277871154"/>
  </r>
  <r>
    <s v="P0828"/>
    <s v="Model_575"/>
    <x v="1"/>
    <x v="2"/>
    <x v="1"/>
    <s v="Q4"/>
    <n v="4465"/>
    <n v="18514"/>
    <n v="6194"/>
    <n v="123402"/>
    <n v="1.18"/>
    <n v="17"/>
    <n v="0.85"/>
    <n v="18.39"/>
    <n v="31.92"/>
    <n v="3.1"/>
    <n v="2222"/>
    <n v="6067"/>
    <n v="10"/>
    <n v="54885379.609999999"/>
    <n v="66.39493494284946"/>
    <n v="82665010"/>
    <n v="0.89390319979307087"/>
  </r>
  <r>
    <s v="P0829"/>
    <s v="Model_337"/>
    <x v="1"/>
    <x v="2"/>
    <x v="0"/>
    <s v="Q1"/>
    <n v="1623"/>
    <n v="16496"/>
    <n v="8680"/>
    <n v="327593"/>
    <n v="6.64"/>
    <n v="14"/>
    <n v="8.66"/>
    <n v="2"/>
    <n v="77.680000000000007"/>
    <n v="2.6"/>
    <n v="6366"/>
    <n v="6474"/>
    <n v="3"/>
    <n v="12357773"/>
    <n v="46.157581546309629"/>
    <n v="26773008"/>
    <n v="0.32492830756196056"/>
  </r>
  <r>
    <s v="P0830"/>
    <s v="Model_577"/>
    <x v="1"/>
    <x v="2"/>
    <x v="0"/>
    <s v="Q4"/>
    <n v="1878"/>
    <n v="17836"/>
    <n v="11323"/>
    <n v="388365"/>
    <n v="3.92"/>
    <n v="1"/>
    <n v="4.99"/>
    <n v="8.99"/>
    <n v="44.2"/>
    <n v="3.5"/>
    <n v="11639"/>
    <n v="5458"/>
    <n v="4"/>
    <n v="11843040.01"/>
    <n v="35.356571475621813"/>
    <n v="33496008"/>
    <n v="0.37597989008093774"/>
  </r>
  <r>
    <s v="P0831"/>
    <s v="Model_708"/>
    <x v="0"/>
    <x v="1"/>
    <x v="1"/>
    <s v="Q1"/>
    <n v="1967"/>
    <n v="10353"/>
    <n v="5875"/>
    <n v="401224"/>
    <n v="5.15"/>
    <n v="12"/>
    <n v="2.97"/>
    <n v="21.46"/>
    <n v="31.78"/>
    <n v="4.9000000000000004"/>
    <n v="18586"/>
    <n v="4448"/>
    <n v="3"/>
    <n v="8406980.5399999991"/>
    <n v="41.282830668161239"/>
    <n v="20364351"/>
    <n v="0.39379789339148275"/>
  </r>
  <r>
    <s v="P0832"/>
    <s v="Model_395"/>
    <x v="1"/>
    <x v="2"/>
    <x v="0"/>
    <s v="Q4"/>
    <n v="4284"/>
    <n v="13195"/>
    <n v="11212"/>
    <n v="55451"/>
    <n v="12.52"/>
    <n v="3"/>
    <n v="2.65"/>
    <n v="5.82"/>
    <n v="40.729999999999997"/>
    <n v="1.4"/>
    <n v="3628"/>
    <n v="1559"/>
    <n v="14"/>
    <n v="8439715.1799999997"/>
    <n v="14.930313734689276"/>
    <n v="56527380"/>
    <n v="0.85766658631881643"/>
  </r>
  <r>
    <s v="P0833"/>
    <s v="Model_225"/>
    <x v="2"/>
    <x v="1"/>
    <x v="0"/>
    <s v="Q4"/>
    <n v="2076"/>
    <n v="4352"/>
    <n v="12781"/>
    <n v="137178"/>
    <n v="14.03"/>
    <n v="9"/>
    <n v="4.32"/>
    <n v="2.89"/>
    <n v="76.87"/>
    <n v="2.6"/>
    <n v="10618"/>
    <n v="2042"/>
    <n v="9"/>
    <n v="-17635784.890000001"/>
    <n v="-195.19943535804859"/>
    <n v="9034752"/>
    <n v="0.41561994238979061"/>
  </r>
  <r>
    <s v="P0834"/>
    <s v="Model_714"/>
    <x v="0"/>
    <x v="2"/>
    <x v="0"/>
    <s v="Q1"/>
    <n v="3794"/>
    <n v="17514"/>
    <n v="8030"/>
    <n v="484532"/>
    <n v="2.79"/>
    <n v="12"/>
    <n v="9.99"/>
    <n v="8.15"/>
    <n v="21.89"/>
    <n v="2.6"/>
    <n v="4017"/>
    <n v="5522"/>
    <n v="3"/>
    <n v="35497755.850000001"/>
    <n v="53.421764207731634"/>
    <n v="66448116"/>
    <n v="0.75956746696862509"/>
  </r>
  <r>
    <s v="P0835"/>
    <s v="Model_554"/>
    <x v="0"/>
    <x v="0"/>
    <x v="0"/>
    <s v="Q2"/>
    <n v="951"/>
    <n v="2487"/>
    <n v="11802"/>
    <n v="375905"/>
    <n v="5.59"/>
    <n v="9"/>
    <n v="2.2000000000000002"/>
    <n v="5.51"/>
    <n v="46.49"/>
    <n v="3.3"/>
    <n v="19033"/>
    <n v="5296"/>
    <n v="11"/>
    <n v="-9234475.5099999998"/>
    <n v="-390.44146322179222"/>
    <n v="2365137"/>
    <n v="0.19039237245312662"/>
  </r>
  <r>
    <s v="P0836"/>
    <s v="Model_571"/>
    <x v="2"/>
    <x v="1"/>
    <x v="0"/>
    <s v="Q2"/>
    <n v="4835"/>
    <n v="9122"/>
    <n v="14747"/>
    <n v="286562"/>
    <n v="13.93"/>
    <n v="8"/>
    <n v="1.03"/>
    <n v="23.13"/>
    <n v="49.39"/>
    <n v="1.6"/>
    <n v="15728"/>
    <n v="161"/>
    <n v="3"/>
    <n v="-27483460.129999999"/>
    <n v="-62.313889894698704"/>
    <n v="44104870"/>
    <n v="0.96797804501668483"/>
  </r>
  <r>
    <s v="P0837"/>
    <s v="Model_605"/>
    <x v="0"/>
    <x v="0"/>
    <x v="0"/>
    <s v="Q4"/>
    <n v="2089"/>
    <n v="10660"/>
    <n v="14486"/>
    <n v="351014"/>
    <n v="0.93"/>
    <n v="7"/>
    <n v="5.85"/>
    <n v="21.7"/>
    <n v="12.93"/>
    <n v="1.7"/>
    <n v="15679"/>
    <n v="1594"/>
    <n v="2"/>
    <n v="-8343549.7000000002"/>
    <n v="-37.467542842567653"/>
    <n v="22268740"/>
    <n v="0.4182225720868365"/>
  </r>
  <r>
    <s v="P0838"/>
    <s v="Model_355"/>
    <x v="2"/>
    <x v="2"/>
    <x v="0"/>
    <s v="Q1"/>
    <n v="59"/>
    <n v="18984"/>
    <n v="13720"/>
    <n v="408710"/>
    <n v="1.39"/>
    <n v="2"/>
    <n v="4.8899999999999997"/>
    <n v="12.49"/>
    <n v="25.66"/>
    <n v="2.1"/>
    <n v="19762"/>
    <n v="1280"/>
    <n v="8"/>
    <n v="-98146.49"/>
    <n v="-8.7626413322191041"/>
    <n v="1120056"/>
    <n v="1.18119347789006E-2"/>
  </r>
  <r>
    <s v="P0839"/>
    <s v="Model_215"/>
    <x v="0"/>
    <x v="1"/>
    <x v="1"/>
    <s v="Q1"/>
    <n v="310"/>
    <n v="8152"/>
    <n v="2331"/>
    <n v="435893"/>
    <n v="2.44"/>
    <n v="15"/>
    <n v="5.24"/>
    <n v="1.53"/>
    <n v="76.14"/>
    <n v="4.8"/>
    <n v="11175"/>
    <n v="6368"/>
    <n v="13"/>
    <n v="1368615.47"/>
    <n v="54.157122336889415"/>
    <n v="2527120"/>
    <n v="6.2062708160325192E-2"/>
  </r>
  <r>
    <s v="P0840"/>
    <s v="Model_268"/>
    <x v="2"/>
    <x v="2"/>
    <x v="1"/>
    <s v="Q4"/>
    <n v="1723"/>
    <n v="8921"/>
    <n v="13874"/>
    <n v="173765"/>
    <n v="8.93"/>
    <n v="13"/>
    <n v="6.67"/>
    <n v="17.86"/>
    <n v="76.459999999999994"/>
    <n v="3.9"/>
    <n v="1809"/>
    <n v="2888"/>
    <n v="3"/>
    <n v="-8707801.8599999994"/>
    <n v="-56.651279305164181"/>
    <n v="15370883"/>
    <n v="0.34494853600077519"/>
  </r>
  <r>
    <s v="P0841"/>
    <s v="Model_904"/>
    <x v="0"/>
    <x v="1"/>
    <x v="1"/>
    <s v="Q1"/>
    <n v="2269"/>
    <n v="2269"/>
    <n v="3790"/>
    <n v="437025"/>
    <n v="2.2599999999999998"/>
    <n v="8"/>
    <n v="2.67"/>
    <n v="15.59"/>
    <n v="33.39"/>
    <n v="3.6"/>
    <n v="5452"/>
    <n v="4736"/>
    <n v="11"/>
    <n v="-3888189.59"/>
    <n v="-75.522862324533961"/>
    <n v="5148361"/>
    <n v="0.45425898327670278"/>
  </r>
  <r>
    <s v="P0842"/>
    <s v="Model_798"/>
    <x v="0"/>
    <x v="0"/>
    <x v="1"/>
    <s v="Q1"/>
    <n v="2110"/>
    <n v="19227"/>
    <n v="7955"/>
    <n v="474089"/>
    <n v="14.52"/>
    <n v="10"/>
    <n v="9.11"/>
    <n v="24.26"/>
    <n v="79.989999999999995"/>
    <n v="4.3"/>
    <n v="20933"/>
    <n v="4821"/>
    <n v="6"/>
    <n v="23309806.739999998"/>
    <n v="57.457230834305129"/>
    <n v="40568970"/>
    <n v="0.42242682005898757"/>
  </r>
  <r>
    <s v="P0843"/>
    <s v="Model_542"/>
    <x v="0"/>
    <x v="1"/>
    <x v="0"/>
    <s v="Q4"/>
    <n v="3763"/>
    <n v="15614"/>
    <n v="5293"/>
    <n v="178389"/>
    <n v="6.7"/>
    <n v="2"/>
    <n v="4.3600000000000003"/>
    <n v="13.97"/>
    <n v="71.739999999999995"/>
    <n v="1.5"/>
    <n v="15371"/>
    <n v="5810"/>
    <n v="6"/>
    <n v="38659520.030000001"/>
    <n v="65.797298760990515"/>
    <n v="58755482"/>
    <n v="0.75336119615259256"/>
  </r>
  <r>
    <s v="P0844"/>
    <s v="Model_277"/>
    <x v="2"/>
    <x v="3"/>
    <x v="0"/>
    <s v="Q3"/>
    <n v="1669"/>
    <n v="5858"/>
    <n v="10135"/>
    <n v="239699"/>
    <n v="7.52"/>
    <n v="4"/>
    <n v="1.29"/>
    <n v="8.41"/>
    <n v="43.43"/>
    <n v="4.4000000000000004"/>
    <n v="11192"/>
    <n v="7802"/>
    <n v="4"/>
    <n v="-7378020.4100000001"/>
    <n v="-75.463014224605857"/>
    <n v="9777002"/>
    <n v="0.33413761264381531"/>
  </r>
  <r>
    <s v="P0845"/>
    <s v="Model_244"/>
    <x v="1"/>
    <x v="1"/>
    <x v="1"/>
    <s v="Q1"/>
    <n v="370"/>
    <n v="13043"/>
    <n v="1733"/>
    <n v="247227"/>
    <n v="3.7"/>
    <n v="9"/>
    <n v="7.42"/>
    <n v="12.98"/>
    <n v="69.87"/>
    <n v="3.4"/>
    <n v="1515"/>
    <n v="205"/>
    <n v="4"/>
    <n v="3937460.02"/>
    <n v="81.590001056795501"/>
    <n v="4825910"/>
    <n v="7.4074845223613933E-2"/>
  </r>
  <r>
    <s v="P0846"/>
    <s v="Model_401"/>
    <x v="2"/>
    <x v="2"/>
    <x v="0"/>
    <s v="Q1"/>
    <n v="1392"/>
    <n v="7199"/>
    <n v="2260"/>
    <n v="337516"/>
    <n v="7.06"/>
    <n v="12"/>
    <n v="6.43"/>
    <n v="24.48"/>
    <n v="86.91"/>
    <n v="2.2999999999999998"/>
    <n v="18489"/>
    <n v="9446"/>
    <n v="14"/>
    <n v="6537547.5199999996"/>
    <n v="65.238422322385119"/>
    <n v="10021008"/>
    <n v="0.27868157986829889"/>
  </r>
  <r>
    <s v="P0847"/>
    <s v="Model_679"/>
    <x v="0"/>
    <x v="3"/>
    <x v="1"/>
    <s v="Q2"/>
    <n v="2426"/>
    <n v="19125"/>
    <n v="14940"/>
    <n v="315786"/>
    <n v="9.93"/>
    <n v="3"/>
    <n v="3.16"/>
    <n v="17.41"/>
    <n v="46.72"/>
    <n v="4.3"/>
    <n v="17505"/>
    <n v="4187"/>
    <n v="13"/>
    <n v="9837006.5899999999"/>
    <n v="21.201701803447403"/>
    <n v="46397250"/>
    <n v="0.48569074192564166"/>
  </r>
  <r>
    <s v="P0848"/>
    <s v="Model_890"/>
    <x v="2"/>
    <x v="0"/>
    <x v="0"/>
    <s v="Q3"/>
    <n v="2882"/>
    <n v="2625"/>
    <n v="3523"/>
    <n v="310220"/>
    <n v="11.27"/>
    <n v="12"/>
    <n v="6.22"/>
    <n v="16.8"/>
    <n v="29.07"/>
    <n v="4.2"/>
    <n v="15778"/>
    <n v="4025"/>
    <n v="4"/>
    <n v="-2898272.8"/>
    <n v="-38.310337397970983"/>
    <n v="7565250"/>
    <n v="0.57698298360663614"/>
  </r>
  <r>
    <s v="P0849"/>
    <s v="Model_206"/>
    <x v="1"/>
    <x v="1"/>
    <x v="0"/>
    <s v="Q2"/>
    <n v="2874"/>
    <n v="12293"/>
    <n v="11504"/>
    <n v="471217"/>
    <n v="11.31"/>
    <n v="11"/>
    <n v="2.2000000000000002"/>
    <n v="6.02"/>
    <n v="85.35"/>
    <n v="4.4000000000000004"/>
    <n v="16317"/>
    <n v="2008"/>
    <n v="7"/>
    <n v="1796362.98"/>
    <n v="5.0845140410373233"/>
    <n v="35330082"/>
    <n v="0.57538136533153095"/>
  </r>
  <r>
    <s v="P0850"/>
    <s v="Model_740"/>
    <x v="2"/>
    <x v="1"/>
    <x v="0"/>
    <s v="Q3"/>
    <n v="2044"/>
    <n v="8264"/>
    <n v="1085"/>
    <n v="346208"/>
    <n v="8.67"/>
    <n v="4"/>
    <n v="4.45"/>
    <n v="18.59"/>
    <n v="58.3"/>
    <n v="1.5"/>
    <n v="11259"/>
    <n v="2149"/>
    <n v="5"/>
    <n v="14327649.41"/>
    <n v="84.821069872770011"/>
    <n v="16891616"/>
    <n v="0.40921346928936997"/>
  </r>
  <r>
    <s v="P0851"/>
    <s v="Model_563"/>
    <x v="2"/>
    <x v="3"/>
    <x v="1"/>
    <s v="Q4"/>
    <n v="3008"/>
    <n v="13823"/>
    <n v="1064"/>
    <n v="275898"/>
    <n v="13.57"/>
    <n v="9"/>
    <n v="8.99"/>
    <n v="18.760000000000002"/>
    <n v="18.420000000000002"/>
    <n v="4.9000000000000004"/>
    <n v="17164"/>
    <n v="9566"/>
    <n v="14"/>
    <n v="38103155.240000002"/>
    <n v="91.639096822132714"/>
    <n v="41579584"/>
    <n v="0.60220847143954248"/>
  </r>
  <r>
    <s v="P0852"/>
    <s v="Model_343"/>
    <x v="1"/>
    <x v="3"/>
    <x v="1"/>
    <s v="Q4"/>
    <n v="2088"/>
    <n v="14531"/>
    <n v="11359"/>
    <n v="326266"/>
    <n v="12.26"/>
    <n v="8"/>
    <n v="1.34"/>
    <n v="7.93"/>
    <n v="55.81"/>
    <n v="4.8"/>
    <n v="7912"/>
    <n v="9237"/>
    <n v="4"/>
    <n v="6296862.0700000003"/>
    <n v="20.753826572651786"/>
    <n v="30340728"/>
    <n v="0.41802236980244839"/>
  </r>
  <r>
    <s v="P0853"/>
    <s v="Model_840"/>
    <x v="0"/>
    <x v="1"/>
    <x v="0"/>
    <s v="Q4"/>
    <n v="3540"/>
    <n v="15552"/>
    <n v="7616"/>
    <n v="468036"/>
    <n v="11.36"/>
    <n v="19"/>
    <n v="3.87"/>
    <n v="12.09"/>
    <n v="50.05"/>
    <n v="2.4"/>
    <n v="11696"/>
    <n v="8272"/>
    <n v="3"/>
    <n v="27625391.91"/>
    <n v="50.17864599680896"/>
    <n v="55054080"/>
    <n v="0.70871608673403608"/>
  </r>
  <r>
    <s v="P0854"/>
    <s v="Model_897"/>
    <x v="1"/>
    <x v="2"/>
    <x v="1"/>
    <s v="Q4"/>
    <n v="3727"/>
    <n v="14140"/>
    <n v="12439"/>
    <n v="118431"/>
    <n v="0.83"/>
    <n v="6"/>
    <n v="8.2100000000000009"/>
    <n v="7.37"/>
    <n v="78.45"/>
    <n v="1.3"/>
    <n v="10007"/>
    <n v="4004"/>
    <n v="14"/>
    <n v="6221188.6299999999"/>
    <n v="11.804961292058525"/>
    <n v="52699780"/>
    <n v="0.74615391391461927"/>
  </r>
  <r>
    <s v="P0855"/>
    <s v="Model_602"/>
    <x v="1"/>
    <x v="3"/>
    <x v="0"/>
    <s v="Q3"/>
    <n v="1168"/>
    <n v="9343"/>
    <n v="14765"/>
    <n v="105745"/>
    <n v="0.1"/>
    <n v="1"/>
    <n v="9.69"/>
    <n v="6.47"/>
    <n v="52.46"/>
    <n v="1.7"/>
    <n v="6320"/>
    <n v="3896"/>
    <n v="4"/>
    <n v="-6438647.4699999997"/>
    <n v="-59.001826416817806"/>
    <n v="10912624"/>
    <n v="0.23383626816535427"/>
  </r>
  <r>
    <s v="P0856"/>
    <s v="Model_146"/>
    <x v="2"/>
    <x v="1"/>
    <x v="1"/>
    <s v="Q2"/>
    <n v="1654"/>
    <n v="15710"/>
    <n v="14314"/>
    <n v="100081"/>
    <n v="3.19"/>
    <n v="6"/>
    <n v="4.54"/>
    <n v="0.65"/>
    <n v="30.42"/>
    <n v="5"/>
    <n v="9335"/>
    <n v="392"/>
    <n v="5"/>
    <n v="2208902.35"/>
    <n v="8.500898425744122"/>
    <n v="25984340"/>
    <n v="0.33113457837799309"/>
  </r>
  <r>
    <s v="P0857"/>
    <s v="Model_721"/>
    <x v="0"/>
    <x v="0"/>
    <x v="1"/>
    <s v="Q4"/>
    <n v="4077"/>
    <n v="17956"/>
    <n v="13908"/>
    <n v="451927"/>
    <n v="9.9499999999999993"/>
    <n v="7"/>
    <n v="5.07"/>
    <n v="7.13"/>
    <n v="64.05"/>
    <n v="3.3"/>
    <n v="3349"/>
    <n v="6366"/>
    <n v="7"/>
    <n v="16051761.869999999"/>
    <n v="21.926655846332569"/>
    <n v="73206612"/>
    <n v="0.81622471345047032"/>
  </r>
  <r>
    <s v="P0858"/>
    <s v="Model_924"/>
    <x v="0"/>
    <x v="0"/>
    <x v="1"/>
    <s v="Q2"/>
    <n v="285"/>
    <n v="11606"/>
    <n v="2562"/>
    <n v="266204"/>
    <n v="6.17"/>
    <n v="6"/>
    <n v="5.72"/>
    <n v="13.85"/>
    <n v="53.41"/>
    <n v="2.4"/>
    <n v="15087"/>
    <n v="6470"/>
    <n v="5"/>
    <n v="2311322.15"/>
    <n v="69.876807519401638"/>
    <n v="3307710"/>
    <n v="5.7057651050621543E-2"/>
  </r>
  <r>
    <s v="P0859"/>
    <s v="Model_803"/>
    <x v="1"/>
    <x v="1"/>
    <x v="0"/>
    <s v="Q4"/>
    <n v="2019"/>
    <n v="6689"/>
    <n v="12040"/>
    <n v="462009"/>
    <n v="6.04"/>
    <n v="13"/>
    <n v="9.32"/>
    <n v="0.04"/>
    <n v="28.64"/>
    <n v="2.2000000000000002"/>
    <n v="3453"/>
    <n v="4960"/>
    <n v="9"/>
    <n v="-11265678.039999999"/>
    <n v="-83.418009104862747"/>
    <n v="13505091"/>
    <n v="0.4042084121796663"/>
  </r>
  <r>
    <s v="P0860"/>
    <s v="Model_898"/>
    <x v="1"/>
    <x v="0"/>
    <x v="1"/>
    <s v="Q4"/>
    <n v="4479"/>
    <n v="3972"/>
    <n v="11373"/>
    <n v="451415"/>
    <n v="13.27"/>
    <n v="18"/>
    <n v="8.58"/>
    <n v="7.08"/>
    <n v="55.89"/>
    <n v="2"/>
    <n v="20653"/>
    <n v="3829"/>
    <n v="4"/>
    <n v="-33600501.079999998"/>
    <n v="-188.86672593396011"/>
    <n v="17790588"/>
    <n v="0.89670603177450492"/>
  </r>
  <r>
    <s v="P0861"/>
    <s v="Model_228"/>
    <x v="2"/>
    <x v="0"/>
    <x v="0"/>
    <s v="Q2"/>
    <n v="1958"/>
    <n v="18591"/>
    <n v="11261"/>
    <n v="126253"/>
    <n v="13.43"/>
    <n v="4"/>
    <n v="1.71"/>
    <n v="22.04"/>
    <n v="75.72"/>
    <n v="3.7"/>
    <n v="14231"/>
    <n v="8062"/>
    <n v="13"/>
    <n v="14225864.960000001"/>
    <n v="39.080781836236184"/>
    <n v="36401178"/>
    <n v="0.3919960728319894"/>
  </r>
  <r>
    <s v="P0862"/>
    <s v="Model_622"/>
    <x v="0"/>
    <x v="0"/>
    <x v="0"/>
    <s v="Q2"/>
    <n v="425"/>
    <n v="19688"/>
    <n v="840"/>
    <n v="348335"/>
    <n v="13.64"/>
    <n v="17"/>
    <n v="4.37"/>
    <n v="14.84"/>
    <n v="12.29"/>
    <n v="2.7"/>
    <n v="20930"/>
    <n v="5610"/>
    <n v="4"/>
    <n v="7662050.1600000001"/>
    <n v="91.570262686139074"/>
    <n v="8367400"/>
    <n v="8.5085970864961946E-2"/>
  </r>
  <r>
    <s v="P0863"/>
    <s v="Model_268"/>
    <x v="1"/>
    <x v="3"/>
    <x v="1"/>
    <s v="Q1"/>
    <n v="3580"/>
    <n v="8204"/>
    <n v="6627"/>
    <n v="322355"/>
    <n v="4.71"/>
    <n v="19"/>
    <n v="4.6399999999999997"/>
    <n v="15.2"/>
    <n v="60.47"/>
    <n v="4.9000000000000004"/>
    <n v="8340"/>
    <n v="8719"/>
    <n v="4"/>
    <n v="5323289.8"/>
    <n v="18.124725232820072"/>
    <n v="29370320"/>
    <n v="0.7167241781095619"/>
  </r>
  <r>
    <s v="P0864"/>
    <s v="Model_693"/>
    <x v="1"/>
    <x v="2"/>
    <x v="0"/>
    <s v="Q1"/>
    <n v="2685"/>
    <n v="5213"/>
    <n v="9059"/>
    <n v="161086"/>
    <n v="10.37"/>
    <n v="11"/>
    <n v="7.89"/>
    <n v="10.08"/>
    <n v="37.97"/>
    <n v="3.7"/>
    <n v="6566"/>
    <n v="6861"/>
    <n v="9"/>
    <n v="-10487606.08"/>
    <n v="-74.928036448057625"/>
    <n v="13996905"/>
    <n v="0.53754313358217143"/>
  </r>
  <r>
    <s v="P0865"/>
    <s v="Model_228"/>
    <x v="1"/>
    <x v="1"/>
    <x v="0"/>
    <s v="Q4"/>
    <n v="1620"/>
    <n v="6551"/>
    <n v="1787"/>
    <n v="499962"/>
    <n v="4.07"/>
    <n v="16"/>
    <n v="6.03"/>
    <n v="16.91"/>
    <n v="33.409999999999997"/>
    <n v="4.2"/>
    <n v="3915"/>
    <n v="6210"/>
    <n v="5"/>
    <n v="7217701.0899999999"/>
    <n v="68.01054866752979"/>
    <n v="10612620"/>
    <n v="0.32432770070879613"/>
  </r>
  <r>
    <s v="P0866"/>
    <s v="Model_688"/>
    <x v="0"/>
    <x v="1"/>
    <x v="1"/>
    <s v="Q2"/>
    <n v="2610"/>
    <n v="12256"/>
    <n v="14887"/>
    <n v="464758"/>
    <n v="2.86"/>
    <n v="12"/>
    <n v="6.54"/>
    <n v="4.75"/>
    <n v="41.41"/>
    <n v="2.2000000000000002"/>
    <n v="3889"/>
    <n v="7055"/>
    <n v="2"/>
    <n v="-7331672.75"/>
    <n v="-22.919957728109399"/>
    <n v="31988160"/>
    <n v="0.52252796225306042"/>
  </r>
  <r>
    <s v="P0867"/>
    <s v="Model_708"/>
    <x v="0"/>
    <x v="1"/>
    <x v="0"/>
    <s v="Q2"/>
    <n v="3441"/>
    <n v="3975"/>
    <n v="8604"/>
    <n v="474528"/>
    <n v="2.77"/>
    <n v="1"/>
    <n v="9.98"/>
    <n v="20.47"/>
    <n v="37.36"/>
    <n v="1.3"/>
    <n v="17711"/>
    <n v="206"/>
    <n v="3"/>
    <n v="-16402937.470000001"/>
    <n v="-119.9222653207072"/>
    <n v="13677975"/>
    <n v="0.68889606057960961"/>
  </r>
  <r>
    <s v="P0868"/>
    <s v="Model_625"/>
    <x v="1"/>
    <x v="2"/>
    <x v="0"/>
    <s v="Q3"/>
    <n v="3015"/>
    <n v="5110"/>
    <n v="8589"/>
    <n v="488458"/>
    <n v="5.13"/>
    <n v="12"/>
    <n v="0.75"/>
    <n v="2.92"/>
    <n v="76.58"/>
    <n v="3"/>
    <n v="2263"/>
    <n v="4854"/>
    <n v="14"/>
    <n v="-10977645.92"/>
    <n v="-71.252646876511122"/>
    <n v="15406650"/>
    <n v="0.60360988743025945"/>
  </r>
  <r>
    <s v="P0869"/>
    <s v="Model_207"/>
    <x v="1"/>
    <x v="2"/>
    <x v="0"/>
    <s v="Q3"/>
    <n v="3693"/>
    <n v="5755"/>
    <n v="6517"/>
    <n v="414115"/>
    <n v="6.45"/>
    <n v="6"/>
    <n v="2.23"/>
    <n v="16.399999999999999"/>
    <n v="31.98"/>
    <n v="2.2999999999999998"/>
    <n v="18699"/>
    <n v="5378"/>
    <n v="11"/>
    <n v="-3228197.4"/>
    <n v="-15.189219136963514"/>
    <n v="21253215"/>
    <n v="0.73934703624542231"/>
  </r>
  <r>
    <s v="P0870"/>
    <s v="Model_873"/>
    <x v="0"/>
    <x v="1"/>
    <x v="0"/>
    <s v="Q2"/>
    <n v="3900"/>
    <n v="15984"/>
    <n v="13000"/>
    <n v="143783"/>
    <n v="12.46"/>
    <n v="9"/>
    <n v="4.08"/>
    <n v="8.5299999999999994"/>
    <n v="68.650000000000006"/>
    <n v="1.8"/>
    <n v="7755"/>
    <n v="6508"/>
    <n v="14"/>
    <n v="11493808.470000001"/>
    <n v="18.438002858627861"/>
    <n v="62337600"/>
    <n v="0.78078890911376853"/>
  </r>
  <r>
    <s v="P0871"/>
    <s v="Model_119"/>
    <x v="1"/>
    <x v="3"/>
    <x v="0"/>
    <s v="Q3"/>
    <n v="922"/>
    <n v="3235"/>
    <n v="14743"/>
    <n v="175681"/>
    <n v="1.8"/>
    <n v="5"/>
    <n v="3.48"/>
    <n v="18.690000000000001"/>
    <n v="17.52"/>
    <n v="4.8"/>
    <n v="18761"/>
    <n v="7735"/>
    <n v="14"/>
    <n v="-10786075.689999999"/>
    <n v="-361.62484250688141"/>
    <n v="2982670"/>
    <n v="0.18458650620587039"/>
  </r>
  <r>
    <s v="P0872"/>
    <s v="Model_354"/>
    <x v="2"/>
    <x v="2"/>
    <x v="1"/>
    <s v="Q4"/>
    <n v="1302"/>
    <n v="9758"/>
    <n v="3998"/>
    <n v="137893"/>
    <n v="11.02"/>
    <n v="2"/>
    <n v="0.22"/>
    <n v="13.74"/>
    <n v="86.11"/>
    <n v="2.8"/>
    <n v="8673"/>
    <n v="1325"/>
    <n v="3"/>
    <n v="7361613.2599999998"/>
    <n v="57.943029768949273"/>
    <n v="12704916"/>
    <n v="0.26066337427336578"/>
  </r>
  <r>
    <s v="P0873"/>
    <s v="Model_195"/>
    <x v="1"/>
    <x v="3"/>
    <x v="0"/>
    <s v="Q3"/>
    <n v="1364"/>
    <n v="9479"/>
    <n v="6174"/>
    <n v="498604"/>
    <n v="7.97"/>
    <n v="2"/>
    <n v="0.92"/>
    <n v="11.31"/>
    <n v="59.79"/>
    <n v="1.7"/>
    <n v="12018"/>
    <n v="4350"/>
    <n v="4"/>
    <n v="4009404.69"/>
    <n v="31.010088128132601"/>
    <n v="12929356"/>
    <n v="0.27307591590543084"/>
  </r>
  <r>
    <s v="P0874"/>
    <s v="Model_950"/>
    <x v="0"/>
    <x v="3"/>
    <x v="0"/>
    <s v="Q1"/>
    <n v="4870"/>
    <n v="3928"/>
    <n v="5590"/>
    <n v="208763"/>
    <n v="4.32"/>
    <n v="17"/>
    <n v="6.81"/>
    <n v="4.24"/>
    <n v="66.540000000000006"/>
    <n v="1.8"/>
    <n v="11752"/>
    <n v="995"/>
    <n v="7"/>
    <n v="-8302707.2400000002"/>
    <n v="-43.402953575028121"/>
    <n v="19129360"/>
    <n v="0.9749851249702699"/>
  </r>
  <r>
    <s v="P0875"/>
    <s v="Model_163"/>
    <x v="2"/>
    <x v="1"/>
    <x v="0"/>
    <s v="Q2"/>
    <n v="2948"/>
    <n v="13845"/>
    <n v="7983"/>
    <n v="127960"/>
    <n v="7.39"/>
    <n v="10"/>
    <n v="8.7899999999999991"/>
    <n v="15.92"/>
    <n v="33.840000000000003"/>
    <n v="2.1"/>
    <n v="13947"/>
    <n v="1720"/>
    <n v="9"/>
    <n v="17153200.079999998"/>
    <n v="42.026644282772089"/>
    <n v="40815060"/>
    <n v="0.59019633437625374"/>
  </r>
  <r>
    <s v="P0876"/>
    <s v="Model_273"/>
    <x v="2"/>
    <x v="1"/>
    <x v="0"/>
    <s v="Q2"/>
    <n v="127"/>
    <n v="8926"/>
    <n v="3324"/>
    <n v="396532"/>
    <n v="4.5"/>
    <n v="19"/>
    <n v="5.14"/>
    <n v="24.37"/>
    <n v="42.97"/>
    <n v="5"/>
    <n v="16589"/>
    <n v="5188"/>
    <n v="13"/>
    <n v="314897.63"/>
    <n v="27.77849986150342"/>
    <n v="1133602"/>
    <n v="2.5425690117294512E-2"/>
  </r>
  <r>
    <s v="P0877"/>
    <s v="Model_607"/>
    <x v="2"/>
    <x v="3"/>
    <x v="1"/>
    <s v="Q1"/>
    <n v="2671"/>
    <n v="10033"/>
    <n v="10077"/>
    <n v="72601"/>
    <n v="8.94"/>
    <n v="4"/>
    <n v="5.39"/>
    <n v="20.64"/>
    <n v="27.9"/>
    <n v="2.1"/>
    <n v="10895"/>
    <n v="5519"/>
    <n v="2"/>
    <n v="-190145.64"/>
    <n v="-0.70954782202632483"/>
    <n v="26798143"/>
    <n v="0.53474030160073738"/>
  </r>
  <r>
    <s v="P0878"/>
    <s v="Model_894"/>
    <x v="1"/>
    <x v="0"/>
    <x v="0"/>
    <s v="Q3"/>
    <n v="4277"/>
    <n v="6749"/>
    <n v="3279"/>
    <n v="461236"/>
    <n v="6.51"/>
    <n v="18"/>
    <n v="2.5499999999999998"/>
    <n v="1.5"/>
    <n v="84.6"/>
    <n v="2.2999999999999998"/>
    <n v="13567"/>
    <n v="1485"/>
    <n v="10"/>
    <n v="14379952.5"/>
    <n v="49.817137934999366"/>
    <n v="28865473"/>
    <n v="0.85626517032809946"/>
  </r>
  <r>
    <s v="P0879"/>
    <s v="Model_128"/>
    <x v="1"/>
    <x v="2"/>
    <x v="1"/>
    <s v="Q1"/>
    <n v="650"/>
    <n v="11186"/>
    <n v="10685"/>
    <n v="189227"/>
    <n v="2.4700000000000002"/>
    <n v="18"/>
    <n v="7.68"/>
    <n v="9.41"/>
    <n v="49.05"/>
    <n v="3.6"/>
    <n v="20707"/>
    <n v="2533"/>
    <n v="2"/>
    <n v="136413.59"/>
    <n v="1.8761582472596239"/>
    <n v="7270900"/>
    <n v="0.13013148485229475"/>
  </r>
  <r>
    <s v="P0880"/>
    <s v="Model_935"/>
    <x v="2"/>
    <x v="1"/>
    <x v="0"/>
    <s v="Q1"/>
    <n v="1115"/>
    <n v="15609"/>
    <n v="11307"/>
    <n v="250191"/>
    <n v="1.75"/>
    <n v="14"/>
    <n v="7.52"/>
    <n v="23.14"/>
    <n v="60.44"/>
    <n v="2.2000000000000002"/>
    <n v="6787"/>
    <n v="1401"/>
    <n v="11"/>
    <n v="4546515.8600000003"/>
    <n v="26.123343580956949"/>
    <n v="17404035"/>
    <n v="0.22322554709278253"/>
  </r>
  <r>
    <s v="P0881"/>
    <s v="Model_326"/>
    <x v="1"/>
    <x v="0"/>
    <x v="1"/>
    <s v="Q3"/>
    <n v="2186"/>
    <n v="2161"/>
    <n v="5954"/>
    <n v="217849"/>
    <n v="8.1999999999999993"/>
    <n v="15"/>
    <n v="5.88"/>
    <n v="12.58"/>
    <n v="68.739999999999995"/>
    <n v="1.9"/>
    <n v="14961"/>
    <n v="6958"/>
    <n v="3"/>
    <n v="-8509359.5800000001"/>
    <n v="-180.13244816939061"/>
    <n v="4723946"/>
    <n v="0.43764219367248663"/>
  </r>
  <r>
    <s v="P0882"/>
    <s v="Model_613"/>
    <x v="1"/>
    <x v="0"/>
    <x v="1"/>
    <s v="Q2"/>
    <n v="2499"/>
    <n v="13575"/>
    <n v="1578"/>
    <n v="331854"/>
    <n v="13.54"/>
    <n v="8"/>
    <n v="2.13"/>
    <n v="16.55"/>
    <n v="39.69"/>
    <n v="1.6"/>
    <n v="14902"/>
    <n v="9050"/>
    <n v="4"/>
    <n v="29648632.449999999"/>
    <n v="87.397411856086819"/>
    <n v="33923925"/>
    <n v="0.50030550868597623"/>
  </r>
  <r>
    <s v="P0883"/>
    <s v="Model_364"/>
    <x v="2"/>
    <x v="2"/>
    <x v="0"/>
    <s v="Q1"/>
    <n v="2393"/>
    <n v="16288"/>
    <n v="13581"/>
    <n v="420858"/>
    <n v="5.16"/>
    <n v="3"/>
    <n v="0.97"/>
    <n v="22.81"/>
    <n v="67.61"/>
    <n v="2.2999999999999998"/>
    <n v="8933"/>
    <n v="9038"/>
    <n v="8"/>
    <n v="6056970.1900000004"/>
    <n v="15.539783966948459"/>
    <n v="38977184"/>
    <n v="0.47908406654083285"/>
  </r>
  <r>
    <s v="P0884"/>
    <s v="Model_153"/>
    <x v="1"/>
    <x v="3"/>
    <x v="1"/>
    <s v="Q2"/>
    <n v="1913"/>
    <n v="11560"/>
    <n v="10577"/>
    <n v="205604"/>
    <n v="11"/>
    <n v="14"/>
    <n v="0.64"/>
    <n v="21.84"/>
    <n v="64.08"/>
    <n v="1.4"/>
    <n v="12784"/>
    <n v="8884"/>
    <n v="10"/>
    <n v="1674853.16"/>
    <n v="7.5736273575264486"/>
    <n v="22114280"/>
    <n v="0.38298697003452287"/>
  </r>
  <r>
    <s v="P0885"/>
    <s v="Model_212"/>
    <x v="2"/>
    <x v="1"/>
    <x v="0"/>
    <s v="Q4"/>
    <n v="1368"/>
    <n v="17336"/>
    <n v="2292"/>
    <n v="178727"/>
    <n v="9.8800000000000008"/>
    <n v="11"/>
    <n v="5.93"/>
    <n v="12.55"/>
    <n v="66.45"/>
    <n v="1.1000000000000001"/>
    <n v="6326"/>
    <n v="5744"/>
    <n v="4"/>
    <n v="20401452.449999999"/>
    <n v="86.025279385155315"/>
    <n v="23715648"/>
    <n v="0.27387672504298344"/>
  </r>
  <r>
    <s v="P0886"/>
    <s v="Model_744"/>
    <x v="0"/>
    <x v="1"/>
    <x v="1"/>
    <s v="Q1"/>
    <n v="4761"/>
    <n v="12026"/>
    <n v="14878"/>
    <n v="461817"/>
    <n v="13.97"/>
    <n v="2"/>
    <n v="8.25"/>
    <n v="10.94"/>
    <n v="49.14"/>
    <n v="4.2"/>
    <n v="5164"/>
    <n v="5188"/>
    <n v="9"/>
    <n v="-14040199.939999999"/>
    <n v="-24.521888390458912"/>
    <n v="57255786"/>
    <n v="0.95316307597196204"/>
  </r>
  <r>
    <s v="P0887"/>
    <s v="Model_508"/>
    <x v="1"/>
    <x v="2"/>
    <x v="1"/>
    <s v="Q2"/>
    <n v="3647"/>
    <n v="4874"/>
    <n v="1460"/>
    <n v="113227"/>
    <n v="12.31"/>
    <n v="13"/>
    <n v="8.58"/>
    <n v="8.49"/>
    <n v="40.630000000000003"/>
    <n v="1.6"/>
    <n v="12028"/>
    <n v="9360"/>
    <n v="10"/>
    <n v="12337622.51"/>
    <n v="69.408105424788019"/>
    <n v="17775478"/>
    <n v="0.73013773116356762"/>
  </r>
  <r>
    <s v="P0888"/>
    <s v="Model_626"/>
    <x v="2"/>
    <x v="0"/>
    <x v="1"/>
    <s v="Q3"/>
    <n v="3812"/>
    <n v="1707"/>
    <n v="2148"/>
    <n v="186039"/>
    <n v="8.5"/>
    <n v="16"/>
    <n v="4.6399999999999997"/>
    <n v="17.98"/>
    <n v="27.77"/>
    <n v="4.0999999999999996"/>
    <n v="1997"/>
    <n v="5540"/>
    <n v="11"/>
    <n v="-1867148.98"/>
    <n v="-28.694096772071791"/>
    <n v="6507084"/>
    <n v="0.76317110808761168"/>
  </r>
  <r>
    <s v="P0889"/>
    <s v="Model_904"/>
    <x v="0"/>
    <x v="2"/>
    <x v="0"/>
    <s v="Q1"/>
    <n v="4720"/>
    <n v="4165"/>
    <n v="14415"/>
    <n v="134289"/>
    <n v="9.86"/>
    <n v="18"/>
    <n v="7.84"/>
    <n v="7.17"/>
    <n v="75.97"/>
    <n v="4.2"/>
    <n v="9141"/>
    <n v="7593"/>
    <n v="8"/>
    <n v="-48514296.170000002"/>
    <n v="-246.78157451116039"/>
    <n v="19658800"/>
    <n v="0.94495478231204799"/>
  </r>
  <r>
    <s v="P0890"/>
    <s v="Model_947"/>
    <x v="2"/>
    <x v="0"/>
    <x v="0"/>
    <s v="Q2"/>
    <n v="2240"/>
    <n v="2132"/>
    <n v="10291"/>
    <n v="201094"/>
    <n v="13.48"/>
    <n v="5"/>
    <n v="9.4700000000000006"/>
    <n v="6.25"/>
    <n v="58.67"/>
    <n v="3.2"/>
    <n v="6143"/>
    <n v="6391"/>
    <n v="5"/>
    <n v="-18477260.25"/>
    <n v="-386.90323158168047"/>
    <n v="4775680"/>
    <n v="0.44845311702944651"/>
  </r>
  <r>
    <s v="P0891"/>
    <s v="Model_930"/>
    <x v="0"/>
    <x v="1"/>
    <x v="1"/>
    <s v="Q3"/>
    <n v="1042"/>
    <n v="4583"/>
    <n v="12932"/>
    <n v="486679"/>
    <n v="5.99"/>
    <n v="3"/>
    <n v="2.75"/>
    <n v="8.91"/>
    <n v="45.55"/>
    <n v="2.2000000000000002"/>
    <n v="6556"/>
    <n v="3407"/>
    <n v="5"/>
    <n v="-9186345.9100000001"/>
    <n v="-192.36462864722043"/>
    <n v="4775486"/>
    <n v="0.2086107803324479"/>
  </r>
  <r>
    <s v="P0892"/>
    <s v="Model_295"/>
    <x v="2"/>
    <x v="3"/>
    <x v="0"/>
    <s v="Q2"/>
    <n v="2762"/>
    <n v="15211"/>
    <n v="10978"/>
    <n v="255743"/>
    <n v="4.9000000000000004"/>
    <n v="6"/>
    <n v="3.98"/>
    <n v="4.43"/>
    <n v="85.52"/>
    <n v="1.6"/>
    <n v="1631"/>
    <n v="8994"/>
    <n v="5"/>
    <n v="11435798.57"/>
    <n v="27.219807938450728"/>
    <n v="42012782"/>
    <n v="0.55295870948005865"/>
  </r>
  <r>
    <s v="P0893"/>
    <s v="Model_120"/>
    <x v="1"/>
    <x v="3"/>
    <x v="1"/>
    <s v="Q2"/>
    <n v="2242"/>
    <n v="11623"/>
    <n v="8651"/>
    <n v="317866"/>
    <n v="0.16"/>
    <n v="18"/>
    <n v="9.31"/>
    <n v="17.38"/>
    <n v="13.83"/>
    <n v="3.9"/>
    <n v="6943"/>
    <n v="4808"/>
    <n v="7"/>
    <n v="6345340.6200000001"/>
    <n v="24.350119341798457"/>
    <n v="26058766"/>
    <n v="0.44885352159822284"/>
  </r>
  <r>
    <s v="P0894"/>
    <s v="Model_269"/>
    <x v="0"/>
    <x v="1"/>
    <x v="0"/>
    <s v="Q1"/>
    <n v="1298"/>
    <n v="8623"/>
    <n v="7956"/>
    <n v="208485"/>
    <n v="12.4"/>
    <n v="16"/>
    <n v="3.38"/>
    <n v="15.41"/>
    <n v="78.010000000000005"/>
    <n v="3.4"/>
    <n v="18741"/>
    <n v="204"/>
    <n v="5"/>
    <n v="657265.59"/>
    <n v="5.8722943637853895"/>
    <n v="11192654"/>
    <n v="0.25986256513581318"/>
  </r>
  <r>
    <s v="P0895"/>
    <s v="Model_340"/>
    <x v="1"/>
    <x v="1"/>
    <x v="0"/>
    <s v="Q2"/>
    <n v="3104"/>
    <n v="12254"/>
    <n v="2844"/>
    <n v="393194"/>
    <n v="12.01"/>
    <n v="15"/>
    <n v="9.14"/>
    <n v="12.07"/>
    <n v="89.81"/>
    <n v="3.6"/>
    <n v="14943"/>
    <n v="9789"/>
    <n v="6"/>
    <n v="28815433.93"/>
    <n v="75.757489690931976"/>
    <n v="38036416"/>
    <n v="0.62142789074080451"/>
  </r>
  <r>
    <s v="P0896"/>
    <s v="Model_980"/>
    <x v="1"/>
    <x v="3"/>
    <x v="0"/>
    <s v="Q1"/>
    <n v="4648"/>
    <n v="3179"/>
    <n v="8168"/>
    <n v="283820"/>
    <n v="1.57"/>
    <n v="14"/>
    <n v="9.81"/>
    <n v="9.76"/>
    <n v="80.959999999999994"/>
    <n v="1"/>
    <n v="10212"/>
    <n v="3933"/>
    <n v="10"/>
    <n v="-23472701.760000002"/>
    <n v="-158.85702807635522"/>
    <n v="14775992"/>
    <n v="0.93054021783610152"/>
  </r>
  <r>
    <s v="P0897"/>
    <s v="Model_965"/>
    <x v="2"/>
    <x v="1"/>
    <x v="0"/>
    <s v="Q3"/>
    <n v="4083"/>
    <n v="17401"/>
    <n v="4316"/>
    <n v="286994"/>
    <n v="8.65"/>
    <n v="7"/>
    <n v="6.62"/>
    <n v="22.73"/>
    <n v="74.83"/>
    <n v="4.7"/>
    <n v="9721"/>
    <n v="495"/>
    <n v="13"/>
    <n v="53139038.270000003"/>
    <n v="74.792853572548694"/>
    <n v="71048283"/>
    <n v="0.81742592715679918"/>
  </r>
  <r>
    <s v="P0898"/>
    <s v="Model_997"/>
    <x v="2"/>
    <x v="3"/>
    <x v="1"/>
    <s v="Q3"/>
    <n v="2047"/>
    <n v="1736"/>
    <n v="14435"/>
    <n v="395740"/>
    <n v="6.96"/>
    <n v="18"/>
    <n v="8.17"/>
    <n v="0.73"/>
    <n v="39.94"/>
    <n v="1.3"/>
    <n v="17160"/>
    <n v="3617"/>
    <n v="8"/>
    <n v="-26390593.73"/>
    <n v="-742.64557467486418"/>
    <n v="3553592"/>
    <n v="0.4098140761425344"/>
  </r>
  <r>
    <s v="P0899"/>
    <s v="Model_818"/>
    <x v="1"/>
    <x v="3"/>
    <x v="0"/>
    <s v="Q4"/>
    <n v="4966"/>
    <n v="8946"/>
    <n v="10050"/>
    <n v="378876"/>
    <n v="1.78"/>
    <n v="7"/>
    <n v="7.5"/>
    <n v="19.23"/>
    <n v="28.51"/>
    <n v="2.5"/>
    <n v="7647"/>
    <n v="3391"/>
    <n v="9"/>
    <n v="-5861359.2300000004"/>
    <n v="-13.193582288468358"/>
    <n v="44425836"/>
    <n v="0.99420454427153193"/>
  </r>
  <r>
    <s v="P0900"/>
    <s v="Model_343"/>
    <x v="1"/>
    <x v="2"/>
    <x v="1"/>
    <s v="Q3"/>
    <n v="3737"/>
    <n v="5943"/>
    <n v="9968"/>
    <n v="455513"/>
    <n v="14.71"/>
    <n v="17"/>
    <n v="7"/>
    <n v="22.55"/>
    <n v="68.790000000000006"/>
    <n v="2.6"/>
    <n v="13088"/>
    <n v="2110"/>
    <n v="6"/>
    <n v="-15496960.550000001"/>
    <n v="-69.77786856683403"/>
    <n v="22208991"/>
    <n v="0.74815593675850078"/>
  </r>
  <r>
    <s v="P0901"/>
    <s v="Model_829"/>
    <x v="2"/>
    <x v="2"/>
    <x v="1"/>
    <s v="Q1"/>
    <n v="2201"/>
    <n v="16963"/>
    <n v="5377"/>
    <n v="118323"/>
    <n v="3.22"/>
    <n v="15"/>
    <n v="3.07"/>
    <n v="11.16"/>
    <n v="34.369999999999997"/>
    <n v="1"/>
    <n v="6104"/>
    <n v="4637"/>
    <n v="6"/>
    <n v="25382451.84"/>
    <n v="67.984650023892769"/>
    <n v="37335563"/>
    <n v="0.44064522793830885"/>
  </r>
  <r>
    <s v="P0902"/>
    <s v="Model_120"/>
    <x v="1"/>
    <x v="0"/>
    <x v="0"/>
    <s v="Q1"/>
    <n v="4068"/>
    <n v="10055"/>
    <n v="1527"/>
    <n v="335960"/>
    <n v="1.01"/>
    <n v="19"/>
    <n v="0.56999999999999995"/>
    <n v="13.77"/>
    <n v="24.08"/>
    <n v="3"/>
    <n v="10952"/>
    <n v="9960"/>
    <n v="14"/>
    <n v="34355930.229999997"/>
    <n v="83.992148957528073"/>
    <n v="40903740"/>
    <n v="0.81442289289097702"/>
  </r>
  <r>
    <s v="P0903"/>
    <s v="Model_840"/>
    <x v="2"/>
    <x v="1"/>
    <x v="0"/>
    <s v="Q4"/>
    <n v="3160"/>
    <n v="18169"/>
    <n v="11519"/>
    <n v="90695"/>
    <n v="8.92"/>
    <n v="18"/>
    <n v="3.43"/>
    <n v="23.61"/>
    <n v="72.92"/>
    <n v="4"/>
    <n v="19442"/>
    <n v="5068"/>
    <n v="12"/>
    <n v="20923281.390000001"/>
    <n v="36.442795856205208"/>
    <n v="57414040"/>
    <n v="0.6326392186665406"/>
  </r>
  <r>
    <s v="P0904"/>
    <s v="Model_982"/>
    <x v="2"/>
    <x v="0"/>
    <x v="0"/>
    <s v="Q2"/>
    <n v="2020"/>
    <n v="1648"/>
    <n v="12128"/>
    <n v="462918"/>
    <n v="11.08"/>
    <n v="9"/>
    <n v="6.67"/>
    <n v="5.31"/>
    <n v="35"/>
    <n v="4.3"/>
    <n v="17899"/>
    <n v="4862"/>
    <n v="8"/>
    <n v="-21632523.309999999"/>
    <n v="-649.82827399548205"/>
    <n v="3328960"/>
    <n v="0.40440861446405446"/>
  </r>
  <r>
    <s v="P0905"/>
    <s v="Model_484"/>
    <x v="2"/>
    <x v="2"/>
    <x v="0"/>
    <s v="Q2"/>
    <n v="247"/>
    <n v="14895"/>
    <n v="14119"/>
    <n v="468458"/>
    <n v="0.49"/>
    <n v="16"/>
    <n v="1.03"/>
    <n v="13"/>
    <n v="83.16"/>
    <n v="4.5"/>
    <n v="5105"/>
    <n v="1151"/>
    <n v="12"/>
    <n v="-276799"/>
    <n v="-7.5236235293478098"/>
    <n v="3679065"/>
    <n v="4.9449964243872005E-2"/>
  </r>
  <r>
    <s v="P0906"/>
    <s v="Model_419"/>
    <x v="2"/>
    <x v="0"/>
    <x v="0"/>
    <s v="Q3"/>
    <n v="2676"/>
    <n v="6395"/>
    <n v="8268"/>
    <n v="105841"/>
    <n v="9.8800000000000008"/>
    <n v="12"/>
    <n v="0.12"/>
    <n v="11.87"/>
    <n v="77.25"/>
    <n v="3"/>
    <n v="14784"/>
    <n v="2941"/>
    <n v="14"/>
    <n v="-5118000.87"/>
    <n v="-29.907058309988539"/>
    <n v="17113020"/>
    <n v="0.53574131302267813"/>
  </r>
  <r>
    <s v="P0907"/>
    <s v="Model_861"/>
    <x v="1"/>
    <x v="3"/>
    <x v="0"/>
    <s v="Q3"/>
    <n v="1252"/>
    <n v="18896"/>
    <n v="1142"/>
    <n v="440642"/>
    <n v="7.98"/>
    <n v="12"/>
    <n v="1.4"/>
    <n v="6.46"/>
    <n v="77.81"/>
    <n v="3.5"/>
    <n v="3107"/>
    <n v="6718"/>
    <n v="13"/>
    <n v="21787359.539999999"/>
    <n v="92.09379953970344"/>
    <n v="23657792"/>
    <n v="0.25065326005395849"/>
  </r>
  <r>
    <s v="P0908"/>
    <s v="Model_626"/>
    <x v="2"/>
    <x v="3"/>
    <x v="0"/>
    <s v="Q1"/>
    <n v="2085"/>
    <n v="12523"/>
    <n v="2247"/>
    <n v="248784"/>
    <n v="1.55"/>
    <n v="6"/>
    <n v="7.16"/>
    <n v="20.46"/>
    <n v="71.73"/>
    <n v="1.3"/>
    <n v="13209"/>
    <n v="4823"/>
    <n v="9"/>
    <n v="21176655.539999999"/>
    <n v="81.10412300360143"/>
    <n v="26110455"/>
    <n v="0.4174217629492839"/>
  </r>
  <r>
    <s v="P0909"/>
    <s v="Model_902"/>
    <x v="2"/>
    <x v="3"/>
    <x v="0"/>
    <s v="Q4"/>
    <n v="527"/>
    <n v="12199"/>
    <n v="11371"/>
    <n v="157096"/>
    <n v="2.59"/>
    <n v="9"/>
    <n v="9.73"/>
    <n v="22.49"/>
    <n v="80.47"/>
    <n v="3"/>
    <n v="3516"/>
    <n v="7572"/>
    <n v="10"/>
    <n v="279237.51"/>
    <n v="4.3434908420185003"/>
    <n v="6428873"/>
    <n v="0.10550660387255283"/>
  </r>
  <r>
    <s v="P0910"/>
    <s v="Model_712"/>
    <x v="0"/>
    <x v="1"/>
    <x v="1"/>
    <s v="Q4"/>
    <n v="1304"/>
    <n v="11215"/>
    <n v="7381"/>
    <n v="142764"/>
    <n v="8.52"/>
    <n v="1"/>
    <n v="9.83"/>
    <n v="19.55"/>
    <n v="74.459999999999994"/>
    <n v="1.6"/>
    <n v="5074"/>
    <n v="8013"/>
    <n v="3"/>
    <n v="4856752.45"/>
    <n v="33.210017053737737"/>
    <n v="14624360"/>
    <n v="0.2610637788421421"/>
  </r>
  <r>
    <s v="P0911"/>
    <s v="Model_563"/>
    <x v="1"/>
    <x v="0"/>
    <x v="0"/>
    <s v="Q2"/>
    <n v="972"/>
    <n v="17663"/>
    <n v="12651"/>
    <n v="496790"/>
    <n v="4.45"/>
    <n v="3"/>
    <n v="4.9400000000000004"/>
    <n v="4.88"/>
    <n v="58.2"/>
    <n v="2.5"/>
    <n v="15041"/>
    <n v="5624"/>
    <n v="4"/>
    <n v="4374869.12"/>
    <n v="25.482048102692641"/>
    <n v="17168436"/>
    <n v="0.1945966204252777"/>
  </r>
  <r>
    <s v="P0912"/>
    <s v="Model_441"/>
    <x v="2"/>
    <x v="0"/>
    <x v="1"/>
    <s v="Q4"/>
    <n v="469"/>
    <n v="7282"/>
    <n v="7117"/>
    <n v="135744"/>
    <n v="14.07"/>
    <n v="5"/>
    <n v="8.69"/>
    <n v="2.17"/>
    <n v="33.67"/>
    <n v="2.2999999999999998"/>
    <n v="8774"/>
    <n v="3684"/>
    <n v="13"/>
    <n v="-58361.17"/>
    <n v="-1.7088363455996589"/>
    <n v="3415258"/>
    <n v="9.3894871378040368E-2"/>
  </r>
  <r>
    <s v="P0913"/>
    <s v="Model_689"/>
    <x v="1"/>
    <x v="3"/>
    <x v="0"/>
    <s v="Q4"/>
    <n v="2254"/>
    <n v="18224"/>
    <n v="1326"/>
    <n v="340626"/>
    <n v="12.28"/>
    <n v="17"/>
    <n v="7.37"/>
    <n v="15.14"/>
    <n v="81.06"/>
    <n v="2.7"/>
    <n v="11435"/>
    <n v="8639"/>
    <n v="13"/>
    <n v="37747450.859999999"/>
    <n v="91.894603866854979"/>
    <n v="41076896"/>
    <n v="0.45125594901088056"/>
  </r>
  <r>
    <s v="P0914"/>
    <s v="Model_667"/>
    <x v="1"/>
    <x v="3"/>
    <x v="1"/>
    <s v="Q1"/>
    <n v="2647"/>
    <n v="4317"/>
    <n v="10888"/>
    <n v="59171"/>
    <n v="14.75"/>
    <n v="5"/>
    <n v="5.01"/>
    <n v="1.43"/>
    <n v="77.25"/>
    <n v="3.3"/>
    <n v="17248"/>
    <n v="1363"/>
    <n v="3"/>
    <n v="-17452609.43"/>
    <n v="-152.730009865146"/>
    <n v="11427099"/>
    <n v="0.52993544677542181"/>
  </r>
  <r>
    <s v="P0915"/>
    <s v="Model_221"/>
    <x v="0"/>
    <x v="3"/>
    <x v="1"/>
    <s v="Q1"/>
    <n v="1170"/>
    <n v="16596"/>
    <n v="13746"/>
    <n v="150755"/>
    <n v="3.9"/>
    <n v="16"/>
    <n v="5.73"/>
    <n v="16.82"/>
    <n v="47.83"/>
    <n v="4.5999999999999996"/>
    <n v="7906"/>
    <n v="4765"/>
    <n v="11"/>
    <n v="3183728.18"/>
    <n v="16.396331625579638"/>
    <n v="19417320"/>
    <n v="0.23423667273413054"/>
  </r>
  <r>
    <s v="P0916"/>
    <s v="Model_957"/>
    <x v="2"/>
    <x v="3"/>
    <x v="1"/>
    <s v="Q2"/>
    <n v="3118"/>
    <n v="6799"/>
    <n v="11065"/>
    <n v="158125"/>
    <n v="14.55"/>
    <n v="13"/>
    <n v="1.37"/>
    <n v="13.26"/>
    <n v="13.13"/>
    <n v="2.6"/>
    <n v="13326"/>
    <n v="8114"/>
    <n v="8"/>
    <n v="-13459526.26"/>
    <n v="-63.490481705937022"/>
    <n v="21199282"/>
    <n v="0.62423072272223856"/>
  </r>
  <r>
    <s v="P0917"/>
    <s v="Model_594"/>
    <x v="0"/>
    <x v="0"/>
    <x v="0"/>
    <s v="Q4"/>
    <n v="1000"/>
    <n v="11417"/>
    <n v="13907"/>
    <n v="442866"/>
    <n v="6.47"/>
    <n v="10"/>
    <n v="9.3800000000000008"/>
    <n v="16.57"/>
    <n v="61.08"/>
    <n v="4.9000000000000004"/>
    <n v="18972"/>
    <n v="1451"/>
    <n v="13"/>
    <n v="-2932882.57"/>
    <n v="-25.688732328983093"/>
    <n v="11417000"/>
    <n v="0.20020228438814577"/>
  </r>
  <r>
    <s v="P0918"/>
    <s v="Model_474"/>
    <x v="0"/>
    <x v="3"/>
    <x v="0"/>
    <s v="Q2"/>
    <n v="2386"/>
    <n v="19573"/>
    <n v="7548"/>
    <n v="418226"/>
    <n v="5.21"/>
    <n v="18"/>
    <n v="3.52"/>
    <n v="14.75"/>
    <n v="14.05"/>
    <n v="4"/>
    <n v="2861"/>
    <n v="7080"/>
    <n v="3"/>
    <n v="28273409.25"/>
    <n v="60.541105087327772"/>
    <n v="46701178"/>
    <n v="0.47768265055011583"/>
  </r>
  <r>
    <s v="P0919"/>
    <s v="Model_886"/>
    <x v="1"/>
    <x v="3"/>
    <x v="1"/>
    <s v="Q4"/>
    <n v="2293"/>
    <n v="4767"/>
    <n v="1205"/>
    <n v="53696"/>
    <n v="0.76"/>
    <n v="1"/>
    <n v="4.46"/>
    <n v="10.57"/>
    <n v="84.1"/>
    <n v="3"/>
    <n v="5973"/>
    <n v="7290"/>
    <n v="13"/>
    <n v="8113959.4299999997"/>
    <n v="74.23071183436862"/>
    <n v="10930731"/>
    <n v="0.45906383810201823"/>
  </r>
  <r>
    <s v="P0920"/>
    <s v="Model_244"/>
    <x v="2"/>
    <x v="3"/>
    <x v="1"/>
    <s v="Q2"/>
    <n v="2695"/>
    <n v="5906"/>
    <n v="8786"/>
    <n v="176310"/>
    <n v="0.79"/>
    <n v="2"/>
    <n v="6.72"/>
    <n v="5.0199999999999996"/>
    <n v="86.93"/>
    <n v="3.6"/>
    <n v="8819"/>
    <n v="3927"/>
    <n v="3"/>
    <n v="-7937915.0199999996"/>
    <n v="-49.871706958804822"/>
    <n v="15916670"/>
    <n v="0.53954515642605283"/>
  </r>
  <r>
    <s v="P0921"/>
    <s v="Model_357"/>
    <x v="0"/>
    <x v="0"/>
    <x v="1"/>
    <s v="Q1"/>
    <n v="1907"/>
    <n v="19326"/>
    <n v="10565"/>
    <n v="463274"/>
    <n v="10.38"/>
    <n v="10"/>
    <n v="3.34"/>
    <n v="7.64"/>
    <n v="25.16"/>
    <n v="1.4"/>
    <n v="10167"/>
    <n v="8961"/>
    <n v="3"/>
    <n v="16243945.359999999"/>
    <n v="44.075662788244927"/>
    <n v="36854682"/>
    <n v="0.381785756328194"/>
  </r>
  <r>
    <s v="P0922"/>
    <s v="Model_187"/>
    <x v="0"/>
    <x v="1"/>
    <x v="0"/>
    <s v="Q4"/>
    <n v="4662"/>
    <n v="11882"/>
    <n v="14899"/>
    <n v="201385"/>
    <n v="6.87"/>
    <n v="5"/>
    <n v="2.54"/>
    <n v="13.11"/>
    <n v="64.11"/>
    <n v="4.4000000000000004"/>
    <n v="10981"/>
    <n v="2746"/>
    <n v="13"/>
    <n v="-14266652.109999999"/>
    <n v="-25.75492289004324"/>
    <n v="55393884"/>
    <n v="0.93334304981753557"/>
  </r>
  <r>
    <s v="P0923"/>
    <s v="Model_986"/>
    <x v="2"/>
    <x v="0"/>
    <x v="1"/>
    <s v="Q4"/>
    <n v="1915"/>
    <n v="5937"/>
    <n v="13592"/>
    <n v="331293"/>
    <n v="3.4"/>
    <n v="13"/>
    <n v="6.31"/>
    <n v="16.3"/>
    <n v="17.38"/>
    <n v="3.3"/>
    <n v="10020"/>
    <n v="366"/>
    <n v="14"/>
    <n v="-14990634.300000001"/>
    <n v="-131.85122902750422"/>
    <n v="11369355"/>
    <n v="0.38338737460329914"/>
  </r>
  <r>
    <s v="P0924"/>
    <s v="Model_468"/>
    <x v="0"/>
    <x v="1"/>
    <x v="0"/>
    <s v="Q4"/>
    <n v="2962"/>
    <n v="6935"/>
    <n v="4540"/>
    <n v="442208"/>
    <n v="9.2100000000000009"/>
    <n v="18"/>
    <n v="0.25"/>
    <n v="19.489999999999998"/>
    <n v="68.36"/>
    <n v="4.9000000000000004"/>
    <n v="19070"/>
    <n v="9730"/>
    <n v="5"/>
    <n v="6651762.5099999998"/>
    <n v="32.382115350069881"/>
    <n v="20541470"/>
    <n v="0.59299916635768779"/>
  </r>
  <r>
    <s v="P0925"/>
    <s v="Model_552"/>
    <x v="1"/>
    <x v="2"/>
    <x v="1"/>
    <s v="Q2"/>
    <n v="2903"/>
    <n v="5607"/>
    <n v="13266"/>
    <n v="365665"/>
    <n v="3.79"/>
    <n v="15"/>
    <n v="7.21"/>
    <n v="19.18"/>
    <n v="37.78"/>
    <n v="3.5"/>
    <n v="5036"/>
    <n v="7534"/>
    <n v="2"/>
    <n v="-22599761.18"/>
    <n v="-138.84372537379306"/>
    <n v="16277121"/>
    <n v="0.58118723157878716"/>
  </r>
  <r>
    <s v="P0926"/>
    <s v="Model_955"/>
    <x v="0"/>
    <x v="2"/>
    <x v="1"/>
    <s v="Q3"/>
    <n v="4960"/>
    <n v="2060"/>
    <n v="13219"/>
    <n v="95740"/>
    <n v="8.66"/>
    <n v="6"/>
    <n v="5.14"/>
    <n v="24.32"/>
    <n v="64.48"/>
    <n v="4.3"/>
    <n v="3273"/>
    <n v="1122"/>
    <n v="3"/>
    <n v="-55444404.32"/>
    <n v="-542.63627779517697"/>
    <n v="10217600"/>
    <n v="0.99300333056520307"/>
  </r>
  <r>
    <s v="P0927"/>
    <s v="Model_868"/>
    <x v="0"/>
    <x v="3"/>
    <x v="1"/>
    <s v="Q4"/>
    <n v="3278"/>
    <n v="13829"/>
    <n v="2646"/>
    <n v="156611"/>
    <n v="5.39"/>
    <n v="7"/>
    <n v="6.06"/>
    <n v="7.15"/>
    <n v="39.83"/>
    <n v="4.2"/>
    <n v="11755"/>
    <n v="8047"/>
    <n v="4"/>
    <n v="36501255.850000001"/>
    <n v="80.520799990964335"/>
    <n v="45331462"/>
    <n v="0.65626308822434187"/>
  </r>
  <r>
    <s v="P0928"/>
    <s v="Model_259"/>
    <x v="2"/>
    <x v="3"/>
    <x v="1"/>
    <s v="Q4"/>
    <n v="3769"/>
    <n v="3326"/>
    <n v="2278"/>
    <n v="448172"/>
    <n v="12.35"/>
    <n v="18"/>
    <n v="6.32"/>
    <n v="1.78"/>
    <n v="21.65"/>
    <n v="2.4"/>
    <n v="4058"/>
    <n v="2137"/>
    <n v="8"/>
    <n v="3501738.22"/>
    <n v="27.934139266641324"/>
    <n v="12535694"/>
    <n v="0.75456240985892142"/>
  </r>
  <r>
    <s v="P0929"/>
    <s v="Model_325"/>
    <x v="1"/>
    <x v="3"/>
    <x v="1"/>
    <s v="Q1"/>
    <n v="3278"/>
    <n v="12921"/>
    <n v="11387"/>
    <n v="298922"/>
    <n v="12.31"/>
    <n v="19"/>
    <n v="5.27"/>
    <n v="8.64"/>
    <n v="42.49"/>
    <n v="2"/>
    <n v="6579"/>
    <n v="8856"/>
    <n v="11"/>
    <n v="4729521.3600000003"/>
    <n v="11.16637260483629"/>
    <n v="42355038"/>
    <n v="0.65626308822434187"/>
  </r>
  <r>
    <s v="P0930"/>
    <s v="Model_500"/>
    <x v="1"/>
    <x v="2"/>
    <x v="1"/>
    <s v="Q2"/>
    <n v="2421"/>
    <n v="13765"/>
    <n v="1571"/>
    <n v="378785"/>
    <n v="7.16"/>
    <n v="15"/>
    <n v="5.83"/>
    <n v="18.579999999999998"/>
    <n v="19.010000000000002"/>
    <n v="2.7"/>
    <n v="15841"/>
    <n v="7878"/>
    <n v="2"/>
    <n v="29142870.420000002"/>
    <n v="87.450303307735481"/>
    <n v="33325065"/>
    <n v="0.4846897305037009"/>
  </r>
  <r>
    <s v="P0931"/>
    <s v="Model_165"/>
    <x v="0"/>
    <x v="2"/>
    <x v="0"/>
    <s v="Q2"/>
    <n v="2941"/>
    <n v="9129"/>
    <n v="6325"/>
    <n v="113811"/>
    <n v="5.26"/>
    <n v="6"/>
    <n v="6.84"/>
    <n v="10.95"/>
    <n v="56.15"/>
    <n v="2.9"/>
    <n v="11481"/>
    <n v="1159"/>
    <n v="7"/>
    <n v="8132742.0499999998"/>
    <n v="30.291359567235116"/>
    <n v="26848389"/>
    <n v="0.58879491838553666"/>
  </r>
  <r>
    <s v="P0932"/>
    <s v="Model_468"/>
    <x v="1"/>
    <x v="0"/>
    <x v="0"/>
    <s v="Q4"/>
    <n v="3806"/>
    <n v="9825"/>
    <n v="9570"/>
    <n v="495376"/>
    <n v="5.44"/>
    <n v="8"/>
    <n v="7.53"/>
    <n v="20.440000000000001"/>
    <n v="13.28"/>
    <n v="2"/>
    <n v="5024"/>
    <n v="1524"/>
    <n v="4"/>
    <n v="475133.56"/>
    <n v="1.2706161290797042"/>
    <n v="37393950"/>
    <n v="0.76196989438128282"/>
  </r>
  <r>
    <s v="P0933"/>
    <s v="Model_455"/>
    <x v="2"/>
    <x v="3"/>
    <x v="1"/>
    <s v="Q4"/>
    <n v="4275"/>
    <n v="9193"/>
    <n v="11893"/>
    <n v="232385"/>
    <n v="12.09"/>
    <n v="12"/>
    <n v="7.27"/>
    <n v="13.73"/>
    <n v="52.19"/>
    <n v="4.5999999999999996"/>
    <n v="10498"/>
    <n v="4223"/>
    <n v="4"/>
    <n v="-11774898.73"/>
    <n v="-29.961517198122394"/>
    <n v="39300075"/>
    <n v="0.85586476575932313"/>
  </r>
  <r>
    <s v="P0934"/>
    <s v="Model_623"/>
    <x v="2"/>
    <x v="1"/>
    <x v="0"/>
    <s v="Q3"/>
    <n v="144"/>
    <n v="9764"/>
    <n v="14603"/>
    <n v="113232"/>
    <n v="4.92"/>
    <n v="0"/>
    <n v="8.6999999999999993"/>
    <n v="23.24"/>
    <n v="80.91"/>
    <n v="3.2"/>
    <n v="15197"/>
    <n v="319"/>
    <n v="5"/>
    <n v="-810071.24"/>
    <n v="-57.614653033820382"/>
    <n v="1406016"/>
    <n v="2.8829128951892991E-2"/>
  </r>
  <r>
    <s v="P0935"/>
    <s v="Model_670"/>
    <x v="2"/>
    <x v="3"/>
    <x v="1"/>
    <s v="Q1"/>
    <n v="2724"/>
    <n v="14186"/>
    <n v="993"/>
    <n v="327561"/>
    <n v="3.14"/>
    <n v="7"/>
    <n v="1.89"/>
    <n v="23.7"/>
    <n v="77.03"/>
    <n v="4.9000000000000004"/>
    <n v="20550"/>
    <n v="505"/>
    <n v="14"/>
    <n v="35610147.299999997"/>
    <n v="92.152412939232136"/>
    <n v="38642664"/>
    <n v="0.54535102267330904"/>
  </r>
  <r>
    <s v="P0936"/>
    <s v="Model_114"/>
    <x v="0"/>
    <x v="3"/>
    <x v="0"/>
    <s v="Q2"/>
    <n v="2005"/>
    <n v="15216"/>
    <n v="2807"/>
    <n v="205801"/>
    <n v="1.27"/>
    <n v="3"/>
    <n v="4.01"/>
    <n v="1.73"/>
    <n v="80.62"/>
    <n v="4.2"/>
    <n v="15106"/>
    <n v="9929"/>
    <n v="5"/>
    <n v="24674242.27"/>
    <n v="80.8777290147397"/>
    <n v="30508080"/>
    <n v="0.40140558019823225"/>
  </r>
  <r>
    <s v="P0937"/>
    <s v="Model_535"/>
    <x v="1"/>
    <x v="2"/>
    <x v="0"/>
    <s v="Q3"/>
    <n v="843"/>
    <n v="8221"/>
    <n v="1985"/>
    <n v="162492"/>
    <n v="7"/>
    <n v="2"/>
    <n v="9.48"/>
    <n v="11.41"/>
    <n v="83.76"/>
    <n v="3.2"/>
    <n v="14929"/>
    <n v="2418"/>
    <n v="8"/>
    <n v="5094444.59"/>
    <n v="73.509694886356343"/>
    <n v="6930303"/>
    <n v="0.16877052573920689"/>
  </r>
  <r>
    <s v="P0938"/>
    <s v="Model_598"/>
    <x v="1"/>
    <x v="2"/>
    <x v="0"/>
    <s v="Q1"/>
    <n v="1884"/>
    <n v="8873"/>
    <n v="3194"/>
    <n v="80099"/>
    <n v="7.23"/>
    <n v="2"/>
    <n v="3.97"/>
    <n v="15.24"/>
    <n v="18.36"/>
    <n v="4.8"/>
    <n v="17539"/>
    <n v="9966"/>
    <n v="4"/>
    <n v="10619121.76"/>
    <n v="63.523909816823043"/>
    <n v="16716732"/>
    <n v="0.3771811037872666"/>
  </r>
  <r>
    <s v="P0939"/>
    <s v="Model_292"/>
    <x v="0"/>
    <x v="3"/>
    <x v="1"/>
    <s v="Q1"/>
    <n v="2166"/>
    <n v="7407"/>
    <n v="11990"/>
    <n v="279206"/>
    <n v="12.61"/>
    <n v="12"/>
    <n v="1.25"/>
    <n v="6.4"/>
    <n v="20.3"/>
    <n v="3"/>
    <n v="8640"/>
    <n v="9083"/>
    <n v="9"/>
    <n v="-10205990.4"/>
    <n v="-63.614242273629763"/>
    <n v="16043562"/>
    <n v="0.43363814798472372"/>
  </r>
  <r>
    <s v="P0940"/>
    <s v="Model_764"/>
    <x v="1"/>
    <x v="3"/>
    <x v="0"/>
    <s v="Q3"/>
    <n v="4156"/>
    <n v="17627"/>
    <n v="14472"/>
    <n v="473177"/>
    <n v="3.32"/>
    <n v="7"/>
    <n v="5.25"/>
    <n v="10.18"/>
    <n v="54.56"/>
    <n v="4.5"/>
    <n v="10285"/>
    <n v="5158"/>
    <n v="9"/>
    <n v="12638992.82"/>
    <n v="17.252757726370536"/>
    <n v="73257812"/>
    <n v="0.83204069391713387"/>
  </r>
  <r>
    <s v="P0941"/>
    <s v="Model_258"/>
    <x v="0"/>
    <x v="1"/>
    <x v="1"/>
    <s v="Q1"/>
    <n v="3375"/>
    <n v="7156"/>
    <n v="10784"/>
    <n v="455818"/>
    <n v="5.71"/>
    <n v="6"/>
    <n v="1.0900000000000001"/>
    <n v="16.940000000000001"/>
    <n v="81.52"/>
    <n v="2.4"/>
    <n v="16401"/>
    <n v="1409"/>
    <n v="12"/>
    <n v="-12700334.939999999"/>
    <n v="-52.586112415377926"/>
    <n v="24151500"/>
    <n v="0.67568270980999201"/>
  </r>
  <r>
    <s v="P0942"/>
    <s v="Model_705"/>
    <x v="2"/>
    <x v="2"/>
    <x v="1"/>
    <s v="Q2"/>
    <n v="2969"/>
    <n v="10484"/>
    <n v="10102"/>
    <n v="168474"/>
    <n v="12.13"/>
    <n v="0"/>
    <n v="2.0299999999999998"/>
    <n v="5.67"/>
    <n v="87.95"/>
    <n v="2.5"/>
    <n v="4780"/>
    <n v="7721"/>
    <n v="14"/>
    <n v="965678.33"/>
    <n v="3.1023820287701387"/>
    <n v="31126996"/>
    <n v="0.59440058234840476"/>
  </r>
  <r>
    <s v="P0943"/>
    <s v="Model_864"/>
    <x v="0"/>
    <x v="2"/>
    <x v="0"/>
    <s v="Q1"/>
    <n v="2647"/>
    <n v="9786"/>
    <n v="4805"/>
    <n v="321400"/>
    <n v="12.35"/>
    <n v="15"/>
    <n v="9.98"/>
    <n v="15.05"/>
    <n v="13.7"/>
    <n v="2.7"/>
    <n v="3712"/>
    <n v="5029"/>
    <n v="8"/>
    <n v="12863291.949999999"/>
    <n v="49.658428758507235"/>
    <n v="25903542"/>
    <n v="0.52993544677542181"/>
  </r>
  <r>
    <s v="P0944"/>
    <s v="Model_839"/>
    <x v="2"/>
    <x v="1"/>
    <x v="0"/>
    <s v="Q1"/>
    <n v="3255"/>
    <n v="7401"/>
    <n v="8229"/>
    <n v="293588"/>
    <n v="5.77"/>
    <n v="5"/>
    <n v="5.41"/>
    <n v="17.440000000000001"/>
    <n v="38.46"/>
    <n v="3.2"/>
    <n v="16713"/>
    <n v="9622"/>
    <n v="3"/>
    <n v="-2988745.44"/>
    <n v="-12.406449993991346"/>
    <n v="24090255"/>
    <n v="0.65165843568341453"/>
  </r>
  <r>
    <s v="P0945"/>
    <s v="Model_265"/>
    <x v="1"/>
    <x v="3"/>
    <x v="0"/>
    <s v="Q4"/>
    <n v="4857"/>
    <n v="6417"/>
    <n v="3061"/>
    <n v="84681"/>
    <n v="6.89"/>
    <n v="6"/>
    <n v="2.84"/>
    <n v="2.2599999999999998"/>
    <n v="27.03"/>
    <n v="3.2"/>
    <n v="9578"/>
    <n v="8802"/>
    <n v="6"/>
    <n v="16215408.74"/>
    <n v="52.026877020001272"/>
    <n v="31167369"/>
    <n v="0.97238249527322396"/>
  </r>
  <r>
    <s v="P0946"/>
    <s v="Model_974"/>
    <x v="0"/>
    <x v="0"/>
    <x v="1"/>
    <s v="Q3"/>
    <n v="864"/>
    <n v="9929"/>
    <n v="4536"/>
    <n v="141328"/>
    <n v="4.55"/>
    <n v="11"/>
    <n v="9.9499999999999993"/>
    <n v="12.44"/>
    <n v="70.48"/>
    <n v="3"/>
    <n v="17436"/>
    <n v="8783"/>
    <n v="7"/>
    <n v="4518211.5599999996"/>
    <n v="52.668058493078632"/>
    <n v="8578656"/>
    <n v="0.17297477371135794"/>
  </r>
  <r>
    <s v="P0947"/>
    <s v="Model_714"/>
    <x v="2"/>
    <x v="1"/>
    <x v="1"/>
    <s v="Q3"/>
    <n v="395"/>
    <n v="16216"/>
    <n v="12785"/>
    <n v="268512"/>
    <n v="13.99"/>
    <n v="8"/>
    <n v="9.67"/>
    <n v="6.58"/>
    <n v="61.22"/>
    <n v="2.2000000000000002"/>
    <n v="18497"/>
    <n v="1717"/>
    <n v="13"/>
    <n v="1086726.42"/>
    <n v="16.965997327221746"/>
    <n v="6405320"/>
    <n v="7.9079902333317575E-2"/>
  </r>
  <r>
    <s v="P0948"/>
    <s v="Model_360"/>
    <x v="1"/>
    <x v="1"/>
    <x v="0"/>
    <s v="Q3"/>
    <n v="2399"/>
    <n v="17295"/>
    <n v="10928"/>
    <n v="355505"/>
    <n v="1.78"/>
    <n v="10"/>
    <n v="4.41"/>
    <n v="18.11"/>
    <n v="19.59"/>
    <n v="4.7"/>
    <n v="15774"/>
    <n v="1620"/>
    <n v="11"/>
    <n v="14918909.890000001"/>
    <n v="35.957234011810598"/>
    <n v="41490705"/>
    <n v="0.48028528024716172"/>
  </r>
  <r>
    <s v="P0949"/>
    <s v="Model_674"/>
    <x v="1"/>
    <x v="2"/>
    <x v="1"/>
    <s v="Q1"/>
    <n v="412"/>
    <n v="12638"/>
    <n v="7516"/>
    <n v="84540"/>
    <n v="14.01"/>
    <n v="9"/>
    <n v="2.6"/>
    <n v="4.74"/>
    <n v="48.68"/>
    <n v="3.4"/>
    <n v="2368"/>
    <n v="7992"/>
    <n v="5"/>
    <n v="2025719.26"/>
    <n v="38.904845073495409"/>
    <n v="5206856"/>
    <n v="8.2483341167916058E-2"/>
  </r>
  <r>
    <s v="P0950"/>
    <s v="Model_907"/>
    <x v="2"/>
    <x v="3"/>
    <x v="1"/>
    <s v="Q3"/>
    <n v="2493"/>
    <n v="4030"/>
    <n v="5675"/>
    <n v="207608"/>
    <n v="10.26"/>
    <n v="0"/>
    <n v="8.3800000000000008"/>
    <n v="22.31"/>
    <n v="64.84"/>
    <n v="2.6"/>
    <n v="18695"/>
    <n v="1683"/>
    <n v="14"/>
    <n v="-4308615.3099999996"/>
    <n v="-42.885491883477208"/>
    <n v="10046790"/>
    <n v="0.49910429497964742"/>
  </r>
  <r>
    <s v="P0951"/>
    <s v="Model_605"/>
    <x v="1"/>
    <x v="3"/>
    <x v="0"/>
    <s v="Q2"/>
    <n v="2315"/>
    <n v="19844"/>
    <n v="13349"/>
    <n v="134700"/>
    <n v="7.97"/>
    <n v="17"/>
    <n v="7.16"/>
    <n v="10.77"/>
    <n v="72.319999999999993"/>
    <n v="3.6"/>
    <n v="17542"/>
    <n v="6804"/>
    <n v="11"/>
    <n v="14901214.23"/>
    <n v="32.437057058011455"/>
    <n v="45938860"/>
    <n v="0.46346828835855747"/>
  </r>
  <r>
    <s v="P0952"/>
    <s v="Model_693"/>
    <x v="1"/>
    <x v="1"/>
    <x v="0"/>
    <s v="Q3"/>
    <n v="2238"/>
    <n v="18932"/>
    <n v="9721"/>
    <n v="390676"/>
    <n v="0.49"/>
    <n v="3"/>
    <n v="6.87"/>
    <n v="4.95"/>
    <n v="11.6"/>
    <n v="4.0999999999999996"/>
    <n v="16907"/>
    <n v="8088"/>
    <n v="6"/>
    <n v="20223537.050000001"/>
    <n v="47.731000413124285"/>
    <n v="42369816"/>
    <n v="0.44805271246067024"/>
  </r>
  <r>
    <s v="P0953"/>
    <s v="Model_765"/>
    <x v="2"/>
    <x v="2"/>
    <x v="1"/>
    <s v="Q2"/>
    <n v="3055"/>
    <n v="7272"/>
    <n v="5178"/>
    <n v="237647"/>
    <n v="7.13"/>
    <n v="4"/>
    <n v="8.93"/>
    <n v="10.95"/>
    <n v="81.239999999999995"/>
    <n v="4.8"/>
    <n v="17754"/>
    <n v="6683"/>
    <n v="10"/>
    <n v="6159512.0499999998"/>
    <n v="27.725617303956252"/>
    <n v="22215960"/>
    <n v="0.61161797880578528"/>
  </r>
  <r>
    <s v="P0954"/>
    <s v="Model_742"/>
    <x v="1"/>
    <x v="2"/>
    <x v="1"/>
    <s v="Q3"/>
    <n v="3331"/>
    <n v="16976"/>
    <n v="8615"/>
    <n v="439770"/>
    <n v="6.12"/>
    <n v="8"/>
    <n v="6.89"/>
    <n v="10.220000000000001"/>
    <n v="55.54"/>
    <n v="3"/>
    <n v="3244"/>
    <n v="1675"/>
    <n v="12"/>
    <n v="27410710.780000001"/>
    <n v="48.474160670716444"/>
    <n v="56547056"/>
    <n v="0.66687380929691353"/>
  </r>
  <r>
    <s v="P0955"/>
    <s v="Model_155"/>
    <x v="2"/>
    <x v="3"/>
    <x v="0"/>
    <s v="Q1"/>
    <n v="1034"/>
    <n v="17251"/>
    <n v="14578"/>
    <n v="446087"/>
    <n v="2.42"/>
    <n v="16"/>
    <n v="2.84"/>
    <n v="10.72"/>
    <n v="74.95"/>
    <n v="1.4"/>
    <n v="3756"/>
    <n v="7035"/>
    <n v="8"/>
    <n v="2317784.2799999998"/>
    <n v="12.993860474211289"/>
    <n v="17837534"/>
    <n v="0.20700916205734274"/>
  </r>
  <r>
    <s v="P0956"/>
    <s v="Model_967"/>
    <x v="2"/>
    <x v="0"/>
    <x v="1"/>
    <s v="Q4"/>
    <n v="1689"/>
    <n v="4464"/>
    <n v="4251"/>
    <n v="96002"/>
    <n v="9.85"/>
    <n v="2"/>
    <n v="6.94"/>
    <n v="14.64"/>
    <n v="74.64"/>
    <n v="2.8"/>
    <n v="13359"/>
    <n v="6276"/>
    <n v="3"/>
    <n v="263740.36"/>
    <n v="3.4980237930017339"/>
    <n v="7539696"/>
    <n v="0.33814165833157822"/>
  </r>
  <r>
    <s v="P0957"/>
    <s v="Model_456"/>
    <x v="1"/>
    <x v="1"/>
    <x v="1"/>
    <s v="Q3"/>
    <n v="877"/>
    <n v="8637"/>
    <n v="13449"/>
    <n v="99812"/>
    <n v="14.57"/>
    <n v="15"/>
    <n v="3.06"/>
    <n v="13.03"/>
    <n v="25.19"/>
    <n v="2.9"/>
    <n v="6923"/>
    <n v="9338"/>
    <n v="12"/>
    <n v="-4319949.03"/>
    <n v="-57.031672754737549"/>
    <n v="7574649"/>
    <n v="0.17557740340840383"/>
  </r>
  <r>
    <s v="P0958"/>
    <s v="Model_924"/>
    <x v="1"/>
    <x v="3"/>
    <x v="1"/>
    <s v="Q2"/>
    <n v="2780"/>
    <n v="18847"/>
    <n v="8416"/>
    <n v="465842"/>
    <n v="8.43"/>
    <n v="4"/>
    <n v="7.59"/>
    <n v="3.74"/>
    <n v="18.809999999999999"/>
    <n v="4.5999999999999996"/>
    <n v="6589"/>
    <n v="2713"/>
    <n v="2"/>
    <n v="28532334.260000002"/>
    <n v="54.456569161819168"/>
    <n v="52394660"/>
    <n v="0.55656235059904524"/>
  </r>
  <r>
    <s v="P0959"/>
    <s v="Model_760"/>
    <x v="0"/>
    <x v="3"/>
    <x v="1"/>
    <s v="Q1"/>
    <n v="3581"/>
    <n v="18420"/>
    <n v="13528"/>
    <n v="241051"/>
    <n v="10.72"/>
    <n v="15"/>
    <n v="6.2"/>
    <n v="1.64"/>
    <n v="67.7"/>
    <n v="2.6"/>
    <n v="8108"/>
    <n v="3992"/>
    <n v="3"/>
    <n v="17277199.359999999"/>
    <n v="26.192647465920537"/>
    <n v="65962020"/>
    <n v="0.71692438039395001"/>
  </r>
  <r>
    <s v="P0960"/>
    <s v="Model_286"/>
    <x v="1"/>
    <x v="1"/>
    <x v="0"/>
    <s v="Q2"/>
    <n v="4501"/>
    <n v="15391"/>
    <n v="11132"/>
    <n v="307906"/>
    <n v="1.03"/>
    <n v="2"/>
    <n v="0.77"/>
    <n v="18.239999999999998"/>
    <n v="22.51"/>
    <n v="4.8"/>
    <n v="11217"/>
    <n v="8753"/>
    <n v="4"/>
    <n v="18861834.760000002"/>
    <n v="27.227519939367355"/>
    <n v="69274891"/>
    <n v="0.90111048203104416"/>
  </r>
  <r>
    <s v="P0961"/>
    <s v="Model_499"/>
    <x v="1"/>
    <x v="2"/>
    <x v="0"/>
    <s v="Q2"/>
    <n v="2985"/>
    <n v="8840"/>
    <n v="10636"/>
    <n v="158946"/>
    <n v="6.27"/>
    <n v="19"/>
    <n v="5.13"/>
    <n v="13.99"/>
    <n v="77.989999999999995"/>
    <n v="2.9"/>
    <n v="19353"/>
    <n v="6833"/>
    <n v="12"/>
    <n v="-5520019.9900000002"/>
    <n v="-20.919150768927594"/>
    <n v="26387400"/>
    <n v="0.59760381889861514"/>
  </r>
  <r>
    <s v="P0962"/>
    <s v="Model_708"/>
    <x v="2"/>
    <x v="0"/>
    <x v="0"/>
    <s v="Q4"/>
    <n v="3926"/>
    <n v="9467"/>
    <n v="3600"/>
    <n v="116668"/>
    <n v="1.75"/>
    <n v="14"/>
    <n v="3.43"/>
    <n v="8.98"/>
    <n v="68.099999999999994"/>
    <n v="4.9000000000000004"/>
    <n v="20559"/>
    <n v="4531"/>
    <n v="3"/>
    <n v="22917165.02"/>
    <n v="61.659247413367858"/>
    <n v="37167442"/>
    <n v="0.7859941685078603"/>
  </r>
  <r>
    <s v="P0963"/>
    <s v="Model_153"/>
    <x v="1"/>
    <x v="2"/>
    <x v="1"/>
    <s v="Q2"/>
    <n v="176"/>
    <n v="13915"/>
    <n v="13954"/>
    <n v="149003"/>
    <n v="9.19"/>
    <n v="2"/>
    <n v="3.29"/>
    <n v="20.21"/>
    <n v="77.349999999999994"/>
    <n v="1"/>
    <n v="19397"/>
    <n v="8212"/>
    <n v="12"/>
    <n v="-155887.21"/>
    <n v="-6.3652373991441538"/>
    <n v="2449040"/>
    <n v="3.5235602052313658E-2"/>
  </r>
  <r>
    <s v="P0964"/>
    <s v="Model_991"/>
    <x v="2"/>
    <x v="2"/>
    <x v="1"/>
    <s v="Q2"/>
    <n v="3227"/>
    <n v="13371"/>
    <n v="14535"/>
    <n v="261142"/>
    <n v="14.08"/>
    <n v="19"/>
    <n v="6.02"/>
    <n v="9.6999999999999993"/>
    <n v="33.92"/>
    <n v="4.5999999999999996"/>
    <n v="6376"/>
    <n v="1481"/>
    <n v="4"/>
    <n v="-4017379.7"/>
    <n v="-9.3106505420606371"/>
    <n v="43148217"/>
    <n v="0.64605277172054643"/>
  </r>
  <r>
    <s v="P0965"/>
    <s v="Model_717"/>
    <x v="0"/>
    <x v="1"/>
    <x v="1"/>
    <s v="Q1"/>
    <n v="3106"/>
    <n v="13416"/>
    <n v="9133"/>
    <n v="270462"/>
    <n v="9.93"/>
    <n v="13"/>
    <n v="3.22"/>
    <n v="19.899999999999999"/>
    <n v="35.33"/>
    <n v="4.7"/>
    <n v="19335"/>
    <n v="9437"/>
    <n v="11"/>
    <n v="13032516.1"/>
    <n v="31.275464544166155"/>
    <n v="41670096"/>
    <n v="0.62182829530958073"/>
  </r>
  <r>
    <s v="P0966"/>
    <s v="Model_341"/>
    <x v="0"/>
    <x v="0"/>
    <x v="0"/>
    <s v="Q1"/>
    <n v="653"/>
    <n v="10234"/>
    <n v="6210"/>
    <n v="355142"/>
    <n v="1.1499999999999999"/>
    <n v="15"/>
    <n v="7.77"/>
    <n v="7.64"/>
    <n v="63.7"/>
    <n v="4.8"/>
    <n v="4507"/>
    <n v="3615"/>
    <n v="12"/>
    <n v="2272522.36"/>
    <n v="34.005531811356974"/>
    <n v="6682802"/>
    <n v="0.13073209170545919"/>
  </r>
  <r>
    <s v="P0967"/>
    <s v="Model_667"/>
    <x v="2"/>
    <x v="2"/>
    <x v="0"/>
    <s v="Q2"/>
    <n v="3499"/>
    <n v="2345"/>
    <n v="2255"/>
    <n v="244886"/>
    <n v="5.32"/>
    <n v="16"/>
    <n v="0.71"/>
    <n v="1.82"/>
    <n v="12.52"/>
    <n v="1.1000000000000001"/>
    <n v="15825"/>
    <n v="4554"/>
    <n v="12"/>
    <n v="70022.179999999993"/>
    <n v="0.85339253189001296"/>
    <n v="8205155"/>
    <n v="0.70050779307412203"/>
  </r>
  <r>
    <s v="P0968"/>
    <s v="Model_791"/>
    <x v="0"/>
    <x v="1"/>
    <x v="0"/>
    <s v="Q3"/>
    <n v="4196"/>
    <n v="3994"/>
    <n v="7692"/>
    <n v="154601"/>
    <n v="8.26"/>
    <n v="19"/>
    <n v="6.6"/>
    <n v="23.32"/>
    <n v="68.12"/>
    <n v="1.7"/>
    <n v="4624"/>
    <n v="7869"/>
    <n v="13"/>
    <n v="-15671432.32"/>
    <n v="-93.511527539163851"/>
    <n v="16758824"/>
    <n v="0.84004878529265969"/>
  </r>
  <r>
    <s v="P0969"/>
    <s v="Model_983"/>
    <x v="1"/>
    <x v="0"/>
    <x v="1"/>
    <s v="Q1"/>
    <n v="3583"/>
    <n v="14177"/>
    <n v="14963"/>
    <n v="488823"/>
    <n v="6.05"/>
    <n v="17"/>
    <n v="8.09"/>
    <n v="9.86"/>
    <n v="76.86"/>
    <n v="3.6"/>
    <n v="3253"/>
    <n v="6589"/>
    <n v="13"/>
    <n v="-3305070.86"/>
    <n v="-6.5065328618832847"/>
    <n v="50796191"/>
    <n v="0.71732478496272634"/>
  </r>
  <r>
    <s v="P0970"/>
    <s v="Model_526"/>
    <x v="0"/>
    <x v="3"/>
    <x v="0"/>
    <s v="Q1"/>
    <n v="3417"/>
    <n v="19768"/>
    <n v="14935"/>
    <n v="319956"/>
    <n v="12.5"/>
    <n v="17"/>
    <n v="6.73"/>
    <n v="19.82"/>
    <n v="43.21"/>
    <n v="1.1000000000000001"/>
    <n v="19496"/>
    <n v="8484"/>
    <n v="10"/>
    <n v="16194385.18"/>
    <n v="23.974897189013866"/>
    <n v="67547256"/>
    <n v="0.68409120575429405"/>
  </r>
  <r>
    <s v="P0971"/>
    <s v="Model_861"/>
    <x v="0"/>
    <x v="0"/>
    <x v="0"/>
    <s v="Q2"/>
    <n v="3418"/>
    <n v="13830"/>
    <n v="6608"/>
    <n v="111844"/>
    <n v="12.22"/>
    <n v="13"/>
    <n v="4.97"/>
    <n v="6.98"/>
    <n v="71.19"/>
    <n v="1.3"/>
    <n v="4775"/>
    <n v="3634"/>
    <n v="5"/>
    <n v="24572945.02"/>
    <n v="51.983195214649847"/>
    <n v="47270940"/>
    <n v="0.68429140803868227"/>
  </r>
  <r>
    <s v="P0972"/>
    <s v="Model_956"/>
    <x v="1"/>
    <x v="0"/>
    <x v="1"/>
    <s v="Q2"/>
    <n v="3847"/>
    <n v="6679"/>
    <n v="7596"/>
    <n v="251165"/>
    <n v="9.18"/>
    <n v="17"/>
    <n v="9.5"/>
    <n v="16.16"/>
    <n v="23.97"/>
    <n v="1.9"/>
    <n v="10247"/>
    <n v="855"/>
    <n v="13"/>
    <n v="-3778880.16"/>
    <n v="-14.707182769843039"/>
    <n v="25694113"/>
    <n v="0.77017818804119675"/>
  </r>
  <r>
    <s v="P0973"/>
    <s v="Model_538"/>
    <x v="2"/>
    <x v="3"/>
    <x v="1"/>
    <s v="Q4"/>
    <n v="1842"/>
    <n v="8110"/>
    <n v="5596"/>
    <n v="445395"/>
    <n v="5.6"/>
    <n v="14"/>
    <n v="3"/>
    <n v="21.83"/>
    <n v="35.78"/>
    <n v="3"/>
    <n v="13943"/>
    <n v="9976"/>
    <n v="10"/>
    <n v="4185371.17"/>
    <n v="28.017120523850263"/>
    <n v="14938620"/>
    <n v="0.36877260784296451"/>
  </r>
  <r>
    <s v="P0974"/>
    <s v="Model_312"/>
    <x v="0"/>
    <x v="0"/>
    <x v="0"/>
    <s v="Q1"/>
    <n v="2911"/>
    <n v="7930"/>
    <n v="5893"/>
    <n v="224870"/>
    <n v="3.83"/>
    <n v="14"/>
    <n v="0.19"/>
    <n v="1.04"/>
    <n v="87.94"/>
    <n v="3.2"/>
    <n v="19933"/>
    <n v="2625"/>
    <n v="12"/>
    <n v="5704835.96"/>
    <n v="24.713130825676231"/>
    <n v="23084230"/>
    <n v="0.58278884985389234"/>
  </r>
  <r>
    <s v="P0975"/>
    <s v="Model_149"/>
    <x v="0"/>
    <x v="3"/>
    <x v="1"/>
    <s v="Q1"/>
    <n v="3526"/>
    <n v="8654"/>
    <n v="11088"/>
    <n v="124601"/>
    <n v="1.59"/>
    <n v="5"/>
    <n v="4.32"/>
    <n v="20.77"/>
    <n v="88.91"/>
    <n v="1.1000000000000001"/>
    <n v="2324"/>
    <n v="927"/>
    <n v="4"/>
    <n v="-8706905.7699999996"/>
    <n v="-28.534130656861677"/>
    <n v="30514004"/>
    <n v="0.70591325475260203"/>
  </r>
  <r>
    <s v="P0976"/>
    <s v="Model_137"/>
    <x v="1"/>
    <x v="2"/>
    <x v="1"/>
    <s v="Q4"/>
    <n v="3467"/>
    <n v="15328"/>
    <n v="2125"/>
    <n v="451491"/>
    <n v="5.32"/>
    <n v="14"/>
    <n v="0.33"/>
    <n v="14.28"/>
    <n v="51.01"/>
    <n v="1.7"/>
    <n v="15380"/>
    <n v="9181"/>
    <n v="13"/>
    <n v="45323295.719999999"/>
    <n v="85.286864655297506"/>
    <n v="53142176"/>
    <n v="0.69410131997370139"/>
  </r>
  <r>
    <s v="P0977"/>
    <s v="Model_299"/>
    <x v="2"/>
    <x v="0"/>
    <x v="0"/>
    <s v="Q3"/>
    <n v="1695"/>
    <n v="11645"/>
    <n v="5776"/>
    <n v="493790"/>
    <n v="6.2"/>
    <n v="17"/>
    <n v="9.5399999999999991"/>
    <n v="15.19"/>
    <n v="84.74"/>
    <n v="3"/>
    <n v="12541"/>
    <n v="4848"/>
    <n v="2"/>
    <n v="9454149.8100000005"/>
    <n v="47.897548341990372"/>
    <n v="19738275"/>
    <n v="0.33934287203790708"/>
  </r>
  <r>
    <s v="P0978"/>
    <s v="Model_288"/>
    <x v="1"/>
    <x v="3"/>
    <x v="0"/>
    <s v="Q3"/>
    <n v="1255"/>
    <n v="7988"/>
    <n v="10205"/>
    <n v="360001"/>
    <n v="10.14"/>
    <n v="3"/>
    <n v="2.1"/>
    <n v="13.08"/>
    <n v="51.82"/>
    <n v="3.4"/>
    <n v="20914"/>
    <n v="2433"/>
    <n v="12"/>
    <n v="-3142349.08"/>
    <n v="-31.345315582936156"/>
    <n v="10024940"/>
    <n v="0.25125386690712292"/>
  </r>
  <r>
    <s v="P0979"/>
    <s v="Model_123"/>
    <x v="1"/>
    <x v="2"/>
    <x v="0"/>
    <s v="Q1"/>
    <n v="3080"/>
    <n v="5350"/>
    <n v="1959"/>
    <n v="437699"/>
    <n v="9.8699999999999992"/>
    <n v="7"/>
    <n v="7.89"/>
    <n v="21.86"/>
    <n v="33.33"/>
    <n v="1.6"/>
    <n v="2581"/>
    <n v="5046"/>
    <n v="6"/>
    <n v="10006559.140000001"/>
    <n v="60.726782012380141"/>
    <n v="16478000"/>
    <n v="0.61662303591548895"/>
  </r>
  <r>
    <s v="P0980"/>
    <s v="Model_159"/>
    <x v="0"/>
    <x v="2"/>
    <x v="1"/>
    <s v="Q2"/>
    <n v="2922"/>
    <n v="18573"/>
    <n v="5450"/>
    <n v="332844"/>
    <n v="1.05"/>
    <n v="14"/>
    <n v="7.75"/>
    <n v="1.0900000000000001"/>
    <n v="31.35"/>
    <n v="2.6"/>
    <n v="13017"/>
    <n v="8402"/>
    <n v="11"/>
    <n v="38012560.909999996"/>
    <n v="70.043019307832893"/>
    <n v="54270306"/>
    <n v="0.58499107498216196"/>
  </r>
  <r>
    <s v="P0981"/>
    <s v="Model_370"/>
    <x v="0"/>
    <x v="2"/>
    <x v="0"/>
    <s v="Q4"/>
    <n v="3122"/>
    <n v="15064"/>
    <n v="13491"/>
    <n v="307927"/>
    <n v="5.93"/>
    <n v="2"/>
    <n v="2.1800000000000002"/>
    <n v="6.53"/>
    <n v="84.36"/>
    <n v="4.5999999999999996"/>
    <n v="18376"/>
    <n v="8146"/>
    <n v="11"/>
    <n v="4602972.47"/>
    <n v="9.7873511837428726"/>
    <n v="47029808"/>
    <n v="0.6250315318597911"/>
  </r>
  <r>
    <s v="P0982"/>
    <s v="Model_145"/>
    <x v="0"/>
    <x v="0"/>
    <x v="0"/>
    <s v="Q3"/>
    <n v="1904"/>
    <n v="6578"/>
    <n v="5787"/>
    <n v="482680"/>
    <n v="2.73"/>
    <n v="14"/>
    <n v="6.21"/>
    <n v="21.89"/>
    <n v="23.8"/>
    <n v="5"/>
    <n v="6264"/>
    <n v="9084"/>
    <n v="3"/>
    <n v="1023362.11"/>
    <n v="8.170874122680388"/>
    <n v="12524512"/>
    <n v="0.38118514947502957"/>
  </r>
  <r>
    <s v="P0983"/>
    <s v="Model_138"/>
    <x v="0"/>
    <x v="2"/>
    <x v="0"/>
    <s v="Q2"/>
    <n v="4071"/>
    <n v="13668"/>
    <n v="5497"/>
    <n v="223423"/>
    <n v="2.35"/>
    <n v="12"/>
    <n v="0.48"/>
    <n v="18.809999999999999"/>
    <n v="56.37"/>
    <n v="4.9000000000000004"/>
    <n v="9766"/>
    <n v="7281"/>
    <n v="5"/>
    <n v="33040699.190000001"/>
    <n v="59.380405164921989"/>
    <n v="55642428"/>
    <n v="0.81502349974414146"/>
  </r>
  <r>
    <s v="P0984"/>
    <s v="Model_357"/>
    <x v="1"/>
    <x v="2"/>
    <x v="0"/>
    <s v="Q2"/>
    <n v="4712"/>
    <n v="6948"/>
    <n v="14918"/>
    <n v="143330"/>
    <n v="12.41"/>
    <n v="8"/>
    <n v="4.84"/>
    <n v="0.44"/>
    <n v="54.44"/>
    <n v="4.5"/>
    <n v="12683"/>
    <n v="3514"/>
    <n v="3"/>
    <n v="-37697970.439999998"/>
    <n v="-115.14706642015926"/>
    <n v="32738976"/>
    <n v="0.94335316403694291"/>
  </r>
  <r>
    <s v="P0985"/>
    <s v="Model_700"/>
    <x v="2"/>
    <x v="1"/>
    <x v="0"/>
    <s v="Q3"/>
    <n v="2758"/>
    <n v="19063"/>
    <n v="1140"/>
    <n v="275391"/>
    <n v="0.63"/>
    <n v="1"/>
    <n v="0.15"/>
    <n v="12.93"/>
    <n v="69.17"/>
    <n v="2.6"/>
    <n v="18212"/>
    <n v="9601"/>
    <n v="3"/>
    <n v="49156230.07"/>
    <n v="93.496005915578507"/>
    <n v="52575754"/>
    <n v="0.552157900342506"/>
  </r>
  <r>
    <s v="P0986"/>
    <s v="Model_924"/>
    <x v="1"/>
    <x v="2"/>
    <x v="1"/>
    <s v="Q2"/>
    <n v="3552"/>
    <n v="10574"/>
    <n v="4628"/>
    <n v="263606"/>
    <n v="6.29"/>
    <n v="7"/>
    <n v="9.2100000000000009"/>
    <n v="13.24"/>
    <n v="49.94"/>
    <n v="3.7"/>
    <n v="14377"/>
    <n v="6557"/>
    <n v="14"/>
    <n v="20856572.760000002"/>
    <n v="55.53038463799529"/>
    <n v="37558848"/>
    <n v="0.7111185141466938"/>
  </r>
  <r>
    <s v="P0987"/>
    <s v="Model_565"/>
    <x v="2"/>
    <x v="1"/>
    <x v="0"/>
    <s v="Q1"/>
    <n v="1382"/>
    <n v="7906"/>
    <n v="2768"/>
    <n v="457085"/>
    <n v="2.52"/>
    <n v="19"/>
    <n v="9.76"/>
    <n v="10.02"/>
    <n v="31.78"/>
    <n v="2.7"/>
    <n v="11482"/>
    <n v="6849"/>
    <n v="4"/>
    <n v="6643620.9800000004"/>
    <n v="60.805098291319538"/>
    <n v="10926092"/>
    <n v="0.27667955702441743"/>
  </r>
  <r>
    <s v="P0988"/>
    <s v="Model_732"/>
    <x v="1"/>
    <x v="0"/>
    <x v="0"/>
    <s v="Q2"/>
    <n v="251"/>
    <n v="10300"/>
    <n v="1503"/>
    <n v="241387"/>
    <n v="13.19"/>
    <n v="16"/>
    <n v="2.2200000000000002"/>
    <n v="7.43"/>
    <n v="23.55"/>
    <n v="3.6"/>
    <n v="10468"/>
    <n v="396"/>
    <n v="6"/>
    <n v="1966652.57"/>
    <n v="76.070574788225741"/>
    <n v="2585300"/>
    <n v="5.0250773381424585E-2"/>
  </r>
  <r>
    <s v="P0989"/>
    <s v="Model_356"/>
    <x v="0"/>
    <x v="1"/>
    <x v="1"/>
    <s v="Q4"/>
    <n v="3557"/>
    <n v="15583"/>
    <n v="13405"/>
    <n v="291133"/>
    <n v="8.36"/>
    <n v="12"/>
    <n v="2.08"/>
    <n v="17.04"/>
    <n v="59.67"/>
    <n v="2.2000000000000002"/>
    <n v="16139"/>
    <n v="9921"/>
    <n v="5"/>
    <n v="7455995.96"/>
    <n v="13.451500378025974"/>
    <n v="55428731"/>
    <n v="0.71211952556863445"/>
  </r>
  <r>
    <s v="P0990"/>
    <s v="Model_524"/>
    <x v="1"/>
    <x v="2"/>
    <x v="1"/>
    <s v="Q4"/>
    <n v="4262"/>
    <n v="3138"/>
    <n v="6282"/>
    <n v="464170"/>
    <n v="3.47"/>
    <n v="0"/>
    <n v="7.54"/>
    <n v="5.19"/>
    <n v="67.52"/>
    <n v="3.4"/>
    <n v="6174"/>
    <n v="668"/>
    <n v="3"/>
    <n v="-13863903.189999999"/>
    <n v="-103.66189230931657"/>
    <n v="13374156"/>
    <n v="0.8532621360622773"/>
  </r>
  <r>
    <s v="P0991"/>
    <s v="Model_414"/>
    <x v="2"/>
    <x v="3"/>
    <x v="0"/>
    <s v="Q3"/>
    <n v="624"/>
    <n v="11840"/>
    <n v="11421"/>
    <n v="212627"/>
    <n v="7.54"/>
    <n v="1"/>
    <n v="2.5299999999999998"/>
    <n v="19.97"/>
    <n v="55.56"/>
    <n v="3.1"/>
    <n v="5816"/>
    <n v="5383"/>
    <n v="12"/>
    <n v="48809.03"/>
    <n v="0.66063850809944558"/>
    <n v="7388160"/>
    <n v="0.12492622545820296"/>
  </r>
  <r>
    <s v="P0992"/>
    <s v="Model_830"/>
    <x v="1"/>
    <x v="1"/>
    <x v="0"/>
    <s v="Q4"/>
    <n v="586"/>
    <n v="2882"/>
    <n v="7176"/>
    <n v="375497"/>
    <n v="10.97"/>
    <n v="14"/>
    <n v="8.9499999999999993"/>
    <n v="20.079999999999998"/>
    <n v="69.069999999999993"/>
    <n v="1.1000000000000001"/>
    <n v="16814"/>
    <n v="7764"/>
    <n v="11"/>
    <n v="-2891801.08"/>
    <n v="-171.22880394492827"/>
    <n v="1688852"/>
    <n v="0.11731853865145342"/>
  </r>
  <r>
    <s v="P0993"/>
    <s v="Model_146"/>
    <x v="1"/>
    <x v="0"/>
    <x v="0"/>
    <s v="Q1"/>
    <n v="1675"/>
    <n v="2903"/>
    <n v="2600"/>
    <n v="488242"/>
    <n v="14.37"/>
    <n v="11"/>
    <n v="5.74"/>
    <n v="10.38"/>
    <n v="21.32"/>
    <n v="4.2"/>
    <n v="11195"/>
    <n v="7611"/>
    <n v="3"/>
    <n v="19272.62"/>
    <n v="0.396350044472779"/>
    <n v="4862525"/>
    <n v="0.33533882635014417"/>
  </r>
  <r>
    <s v="P0994"/>
    <s v="Model_377"/>
    <x v="2"/>
    <x v="2"/>
    <x v="1"/>
    <s v="Q1"/>
    <n v="2172"/>
    <n v="10511"/>
    <n v="6263"/>
    <n v="412916"/>
    <n v="3.31"/>
    <n v="13"/>
    <n v="3.51"/>
    <n v="7.09"/>
    <n v="80.599999999999994"/>
    <n v="1"/>
    <n v="17314"/>
    <n v="5565"/>
    <n v="7"/>
    <n v="8813732.9100000001"/>
    <n v="38.606108649134214"/>
    <n v="22829892"/>
    <n v="0.43483936169105264"/>
  </r>
  <r>
    <s v="P0995"/>
    <s v="Model_775"/>
    <x v="0"/>
    <x v="3"/>
    <x v="0"/>
    <s v="Q4"/>
    <n v="435"/>
    <n v="4792"/>
    <n v="14660"/>
    <n v="228048"/>
    <n v="13.29"/>
    <n v="1"/>
    <n v="8.33"/>
    <n v="7.1"/>
    <n v="56.59"/>
    <n v="2.2000000000000002"/>
    <n v="9879"/>
    <n v="8363"/>
    <n v="8"/>
    <n v="-4520635.0999999996"/>
    <n v="-216.86695738107571"/>
    <n v="2084520"/>
    <n v="8.7087993708843403E-2"/>
  </r>
  <r>
    <s v="P0996"/>
    <s v="Model_562"/>
    <x v="2"/>
    <x v="3"/>
    <x v="0"/>
    <s v="Q2"/>
    <n v="3331"/>
    <n v="10511"/>
    <n v="5712"/>
    <n v="403646"/>
    <n v="14.01"/>
    <n v="17"/>
    <n v="4.93"/>
    <n v="12.06"/>
    <n v="20.149999999999999"/>
    <n v="1"/>
    <n v="2714"/>
    <n v="4482"/>
    <n v="13"/>
    <n v="15581810.939999999"/>
    <n v="44.504022019104745"/>
    <n v="35012141"/>
    <n v="0.66687380929691353"/>
  </r>
  <r>
    <s v="P0997"/>
    <s v="Model_765"/>
    <x v="0"/>
    <x v="3"/>
    <x v="1"/>
    <s v="Q2"/>
    <n v="524"/>
    <n v="1919"/>
    <n v="5448"/>
    <n v="426087"/>
    <n v="13.75"/>
    <n v="6"/>
    <n v="9.1199999999999992"/>
    <n v="17.989999999999998"/>
    <n v="46.95"/>
    <n v="2.5"/>
    <n v="13138"/>
    <n v="165"/>
    <n v="11"/>
    <n v="-2275300.9900000002"/>
    <n v="-226.27292661970097"/>
    <n v="1005556"/>
    <n v="0.10490599701938838"/>
  </r>
  <r>
    <s v="P0998"/>
    <s v="Model_514"/>
    <x v="0"/>
    <x v="1"/>
    <x v="0"/>
    <s v="Q1"/>
    <n v="467"/>
    <n v="13911"/>
    <n v="1655"/>
    <n v="421994"/>
    <n v="9.5299999999999994"/>
    <n v="5"/>
    <n v="9.2799999999999994"/>
    <n v="8.9700000000000006"/>
    <n v="77.58"/>
    <n v="1.3"/>
    <n v="12213"/>
    <n v="979"/>
    <n v="7"/>
    <n v="5301549.03"/>
    <n v="81.607025974391817"/>
    <n v="6496437"/>
    <n v="9.3494466809264071E-2"/>
  </r>
  <r>
    <s v="P0999"/>
    <s v="Model_271"/>
    <x v="0"/>
    <x v="0"/>
    <x v="1"/>
    <s v="Q3"/>
    <n v="3650"/>
    <n v="6017"/>
    <n v="10804"/>
    <n v="95095"/>
    <n v="9.4499999999999993"/>
    <n v="13"/>
    <n v="1.65"/>
    <n v="15.25"/>
    <n v="81.8"/>
    <n v="4.7"/>
    <n v="17477"/>
    <n v="8359"/>
    <n v="8"/>
    <n v="-17567660.25"/>
    <n v="-79.990985586500358"/>
    <n v="21962050"/>
    <n v="0.73073833801673205"/>
  </r>
  <r>
    <s v="P1000"/>
    <s v="Model_210"/>
    <x v="2"/>
    <x v="0"/>
    <x v="0"/>
    <s v="Q3"/>
    <n v="1004"/>
    <n v="16922"/>
    <n v="3666"/>
    <n v="195342"/>
    <n v="6.05"/>
    <n v="7"/>
    <n v="0.02"/>
    <n v="9.56"/>
    <n v="31.17"/>
    <n v="2.7"/>
    <n v="13571"/>
    <n v="9508"/>
    <n v="2"/>
    <n v="13113672.439999999"/>
    <n v="77.18606980893351"/>
    <n v="16989688"/>
    <n v="0.2010030935256983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Model_567"/>
    <x v="0"/>
    <x v="0"/>
    <n v="2024"/>
    <s v="Q3"/>
    <n v="910"/>
    <n v="6471"/>
    <n v="10500"/>
    <n v="487818"/>
    <n v="4.9800000000000004"/>
    <n v="9"/>
    <n v="3.97"/>
    <n v="24.6"/>
    <n v="34.36"/>
    <n v="3.8"/>
    <n v="2476"/>
    <n v="8822"/>
    <n v="8"/>
    <n v="-4154232.6"/>
    <n v="-70.546913448165185"/>
    <n v="5888610"/>
    <n v="0.18218407879321266"/>
    <n v="-8.5158973223620293"/>
  </r>
  <r>
    <s v="P0002"/>
    <s v="Model_264"/>
    <x v="1"/>
    <x v="1"/>
    <n v="2023"/>
    <s v="Q3"/>
    <n v="3822"/>
    <n v="14990"/>
    <n v="8670"/>
    <n v="426742"/>
    <n v="10.4"/>
    <n v="5"/>
    <n v="4.74"/>
    <n v="22.65"/>
    <n v="11.99"/>
    <n v="1.4"/>
    <n v="20164"/>
    <n v="9362"/>
    <n v="5"/>
    <n v="23728275.350000001"/>
    <n v="41.416544135999963"/>
    <n v="57291780"/>
    <n v="0.76517313093149308"/>
    <n v="55.603380965548268"/>
  </r>
  <r>
    <s v="P0003"/>
    <s v="Model_677"/>
    <x v="0"/>
    <x v="2"/>
    <n v="2024"/>
    <s v="Q3"/>
    <n v="3142"/>
    <n v="19089"/>
    <n v="6493"/>
    <n v="361478"/>
    <n v="11.57"/>
    <n v="17"/>
    <n v="4.51"/>
    <n v="1.39"/>
    <n v="10.31"/>
    <n v="1.1000000000000001"/>
    <n v="7397"/>
    <n v="3236"/>
    <n v="12"/>
    <n v="39215152.609999999"/>
    <n v="65.382955911001361"/>
    <n v="59977638"/>
    <n v="0.62903557754755401"/>
    <n v="108.48558971776983"/>
  </r>
  <r>
    <s v="P0004"/>
    <s v="Model_344"/>
    <x v="0"/>
    <x v="2"/>
    <n v="2023"/>
    <s v="Q2"/>
    <n v="516"/>
    <n v="14451"/>
    <n v="1567"/>
    <n v="380792"/>
    <n v="9.82"/>
    <n v="17"/>
    <n v="8.69"/>
    <n v="20.83"/>
    <n v="28.18"/>
    <n v="3.2"/>
    <n v="17457"/>
    <n v="9254"/>
    <n v="9"/>
    <n v="6267331.1699999999"/>
    <n v="84.049481970347259"/>
    <n v="7456716"/>
    <n v="0.10330437874428322"/>
    <n v="16.458728124540432"/>
  </r>
  <r>
    <s v="P0005"/>
    <s v="Model_433"/>
    <x v="2"/>
    <x v="0"/>
    <n v="2024"/>
    <s v="Q1"/>
    <n v="4476"/>
    <n v="13812"/>
    <n v="2844"/>
    <n v="72054"/>
    <n v="2.27"/>
    <n v="4"/>
    <n v="5.3"/>
    <n v="11.45"/>
    <n v="42.51"/>
    <n v="3.8"/>
    <n v="16859"/>
    <n v="6718"/>
    <n v="10"/>
    <n v="49020702.549999997"/>
    <n v="79.292641085176214"/>
    <n v="61822512"/>
    <n v="0.89610542492134049"/>
    <n v="680.33300024981259"/>
  </r>
  <r>
    <s v="P0006"/>
    <s v="Model_349"/>
    <x v="2"/>
    <x v="3"/>
    <n v="2024"/>
    <s v="Q1"/>
    <n v="3494"/>
    <n v="3490"/>
    <n v="11131"/>
    <n v="120028"/>
    <n v="13.14"/>
    <n v="6"/>
    <n v="4.68"/>
    <n v="6.47"/>
    <n v="78.099999999999994"/>
    <n v="4.2"/>
    <n v="14740"/>
    <n v="5365"/>
    <n v="13"/>
    <n v="-26817688.469999999"/>
    <n v="-219.92419645302709"/>
    <n v="12194060"/>
    <n v="0.69950678165218128"/>
    <n v="-223.42855000499884"/>
  </r>
  <r>
    <s v="P0007"/>
    <s v="Model_740"/>
    <x v="2"/>
    <x v="2"/>
    <n v="2024"/>
    <s v="Q4"/>
    <n v="3221"/>
    <n v="6799"/>
    <n v="12021"/>
    <n v="72207"/>
    <n v="8.09"/>
    <n v="1"/>
    <n v="4.1100000000000003"/>
    <n v="21.97"/>
    <n v="73.88"/>
    <n v="2.4"/>
    <n v="1607"/>
    <n v="7189"/>
    <n v="10"/>
    <n v="-16892290.969999999"/>
    <n v="-77.135231549428411"/>
    <n v="21899579"/>
    <n v="0.64485155801421756"/>
    <n v="-233.94226321547774"/>
  </r>
  <r>
    <s v="P0008"/>
    <s v="Model_777"/>
    <x v="1"/>
    <x v="1"/>
    <n v="2023"/>
    <s v="Q1"/>
    <n v="2969"/>
    <n v="14497"/>
    <n v="2349"/>
    <n v="280893"/>
    <n v="4.24"/>
    <n v="10"/>
    <n v="8.18"/>
    <n v="4.92"/>
    <n v="31.37"/>
    <n v="1"/>
    <n v="17024"/>
    <n v="8065"/>
    <n v="4"/>
    <n v="35786514.079999998"/>
    <n v="83.144027870901525"/>
    <n v="43041593"/>
    <n v="0.59440058234840476"/>
    <n v="127.40267290391715"/>
  </r>
  <r>
    <s v="P0009"/>
    <s v="Model_910"/>
    <x v="2"/>
    <x v="3"/>
    <n v="2024"/>
    <s v="Q1"/>
    <n v="180"/>
    <n v="14972"/>
    <n v="10756"/>
    <n v="131554"/>
    <n v="6.38"/>
    <n v="12"/>
    <n v="8.9499999999999993"/>
    <n v="23.68"/>
    <n v="29.56"/>
    <n v="2.9"/>
    <n v="3126"/>
    <n v="9697"/>
    <n v="6"/>
    <n v="627302.31999999995"/>
    <n v="23.276869415501526"/>
    <n v="2694960"/>
    <n v="3.6036411189866238E-2"/>
    <n v="4.768581723094699"/>
  </r>
  <r>
    <s v="P0010"/>
    <s v="Model_504"/>
    <x v="2"/>
    <x v="1"/>
    <n v="2024"/>
    <s v="Q1"/>
    <n v="1735"/>
    <n v="5880"/>
    <n v="6940"/>
    <n v="202458"/>
    <n v="0.56000000000000005"/>
    <n v="4"/>
    <n v="8.5299999999999994"/>
    <n v="5.14"/>
    <n v="28.19"/>
    <n v="1.1000000000000001"/>
    <n v="7729"/>
    <n v="8808"/>
    <n v="7"/>
    <n v="-2041563.14"/>
    <n v="-20.011793409006255"/>
    <n v="10201800"/>
    <n v="0.34735096341343291"/>
    <n v="-10.083859368362821"/>
  </r>
  <r>
    <s v="P0011"/>
    <s v="Model_189"/>
    <x v="1"/>
    <x v="1"/>
    <n v="2024"/>
    <s v="Q2"/>
    <n v="819"/>
    <n v="6257"/>
    <n v="11637"/>
    <n v="133276"/>
    <n v="1.92"/>
    <n v="5"/>
    <n v="6.74"/>
    <n v="15.34"/>
    <n v="37.14"/>
    <n v="1.4"/>
    <n v="8377"/>
    <n v="6669"/>
    <n v="7"/>
    <n v="-4539511.34"/>
    <n v="-88.5847672828654"/>
    <n v="5124483"/>
    <n v="0.16396567091389139"/>
    <n v="-34.060866172454155"/>
  </r>
  <r>
    <s v="P0012"/>
    <s v="Model_789"/>
    <x v="2"/>
    <x v="0"/>
    <n v="2023"/>
    <s v="Q1"/>
    <n v="2441"/>
    <n v="11895"/>
    <n v="4516"/>
    <n v="364925"/>
    <n v="11.48"/>
    <n v="13"/>
    <n v="1.37"/>
    <n v="5.58"/>
    <n v="49.86"/>
    <n v="2.2999999999999998"/>
    <n v="2374"/>
    <n v="1591"/>
    <n v="11"/>
    <n v="17647208.420000002"/>
    <n v="60.777633943323906"/>
    <n v="29035695"/>
    <n v="0.48869377619146381"/>
    <n v="48.358468178392819"/>
  </r>
  <r>
    <s v="P0013"/>
    <s v="Model_372"/>
    <x v="2"/>
    <x v="1"/>
    <n v="2024"/>
    <s v="Q2"/>
    <n v="2483"/>
    <n v="17741"/>
    <n v="13597"/>
    <n v="233852"/>
    <n v="0"/>
    <n v="11"/>
    <n v="2.77"/>
    <n v="13.64"/>
    <n v="45.09"/>
    <n v="2.7"/>
    <n v="7043"/>
    <n v="5313"/>
    <n v="9"/>
    <n v="10055686.359999999"/>
    <n v="22.827423900935695"/>
    <n v="44050903"/>
    <n v="0.49710227213576597"/>
    <n v="43.00027367736859"/>
  </r>
  <r>
    <s v="P0014"/>
    <s v="Model_314"/>
    <x v="1"/>
    <x v="1"/>
    <n v="2023"/>
    <s v="Q4"/>
    <n v="1234"/>
    <n v="7088"/>
    <n v="14294"/>
    <n v="242512"/>
    <n v="6.25"/>
    <n v="3"/>
    <n v="0.46"/>
    <n v="17.100000000000001"/>
    <n v="27.46"/>
    <n v="2.1"/>
    <n v="5309"/>
    <n v="4328"/>
    <n v="7"/>
    <n v="-9134733.0999999996"/>
    <n v="-104.43762667791066"/>
    <n v="8746592"/>
    <n v="0.24704961893497188"/>
    <n v="-37.667068021376259"/>
  </r>
  <r>
    <s v="P0015"/>
    <s v="Model_972"/>
    <x v="1"/>
    <x v="1"/>
    <n v="2024"/>
    <s v="Q1"/>
    <n v="4605"/>
    <n v="18850"/>
    <n v="5281"/>
    <n v="487415"/>
    <n v="7.84"/>
    <n v="5"/>
    <n v="9.31"/>
    <n v="4.76"/>
    <n v="20.440000000000001"/>
    <n v="3.3"/>
    <n v="12103"/>
    <n v="7608"/>
    <n v="7"/>
    <n v="61997825.240000002"/>
    <n v="71.422568871915843"/>
    <n v="86804250"/>
    <n v="0.92193151960741127"/>
    <n v="127.19721387318815"/>
  </r>
  <r>
    <s v="P0016"/>
    <s v="Model_585"/>
    <x v="1"/>
    <x v="3"/>
    <n v="2023"/>
    <s v="Q4"/>
    <n v="3435"/>
    <n v="6444"/>
    <n v="14685"/>
    <n v="373179"/>
    <n v="0.82"/>
    <n v="9"/>
    <n v="6.61"/>
    <n v="13.02"/>
    <n v="11.01"/>
    <n v="1.2"/>
    <n v="3607"/>
    <n v="4509"/>
    <n v="5"/>
    <n v="-28681027.02"/>
    <n v="-129.57237686321389"/>
    <n v="22135140"/>
    <n v="0.68769484687328075"/>
    <n v="-76.85591632969701"/>
  </r>
  <r>
    <s v="P0017"/>
    <s v="Model_844"/>
    <x v="2"/>
    <x v="2"/>
    <n v="2024"/>
    <s v="Q1"/>
    <n v="4167"/>
    <n v="14895"/>
    <n v="8698"/>
    <n v="58210"/>
    <n v="14.6"/>
    <n v="17"/>
    <n v="7.46"/>
    <n v="11.73"/>
    <n v="22.32"/>
    <n v="1.6"/>
    <n v="13245"/>
    <n v="690"/>
    <n v="8"/>
    <n v="25764677.27"/>
    <n v="41.510761346544442"/>
    <n v="62067465"/>
    <n v="0.83424291904540337"/>
    <n v="442.61619996564167"/>
  </r>
  <r>
    <s v="P0018"/>
    <s v="Model_757"/>
    <x v="2"/>
    <x v="0"/>
    <n v="2024"/>
    <s v="Q4"/>
    <n v="4893"/>
    <n v="18572"/>
    <n v="7348"/>
    <n v="94363"/>
    <n v="3.39"/>
    <n v="14"/>
    <n v="3.12"/>
    <n v="1.78"/>
    <n v="66.430000000000007"/>
    <n v="3.8"/>
    <n v="10965"/>
    <n v="7479"/>
    <n v="9"/>
    <n v="54824667.219999999"/>
    <n v="60.331220819925022"/>
    <n v="90872796"/>
    <n v="0.97958977751119725"/>
    <n v="580.99752021449081"/>
  </r>
  <r>
    <s v="P0019"/>
    <s v="Model_208"/>
    <x v="0"/>
    <x v="1"/>
    <n v="2024"/>
    <s v="Q1"/>
    <n v="2954"/>
    <n v="5743"/>
    <n v="3093"/>
    <n v="292247"/>
    <n v="4.5599999999999996"/>
    <n v="7"/>
    <n v="8.4600000000000009"/>
    <n v="20.46"/>
    <n v="29.49"/>
    <n v="1.6"/>
    <n v="2059"/>
    <n v="9835"/>
    <n v="4"/>
    <n v="7535832.54"/>
    <n v="44.420345465457878"/>
    <n v="16964822"/>
    <n v="0.5913975480825826"/>
    <n v="25.785903704742907"/>
  </r>
  <r>
    <s v="P0020"/>
    <s v="Model_249"/>
    <x v="1"/>
    <x v="0"/>
    <n v="2024"/>
    <s v="Q3"/>
    <n v="524"/>
    <n v="11416"/>
    <n v="5637"/>
    <n v="128279"/>
    <n v="4.5599999999999996"/>
    <n v="8"/>
    <n v="2.6"/>
    <n v="8.39"/>
    <n v="47.49"/>
    <n v="3.6"/>
    <n v="9808"/>
    <n v="3156"/>
    <n v="8"/>
    <n v="2899908.61"/>
    <n v="48.477371554320435"/>
    <n v="5981984"/>
    <n v="0.10490599701938838"/>
    <n v="22.606326834477972"/>
  </r>
  <r>
    <s v="P0021"/>
    <s v="Model_819"/>
    <x v="0"/>
    <x v="3"/>
    <n v="2023"/>
    <s v="Q1"/>
    <n v="1132"/>
    <n v="11484"/>
    <n v="8558"/>
    <n v="241420"/>
    <n v="3.46"/>
    <n v="4"/>
    <n v="0.02"/>
    <n v="14.36"/>
    <n v="57.3"/>
    <n v="1.2"/>
    <n v="16750"/>
    <n v="2306"/>
    <n v="4"/>
    <n v="3070797.64"/>
    <n v="23.621723817928277"/>
    <n v="12999888"/>
    <n v="0.22662898592738101"/>
    <n v="12.719791235191781"/>
  </r>
  <r>
    <s v="P0022"/>
    <s v="Model_308"/>
    <x v="0"/>
    <x v="3"/>
    <n v="2024"/>
    <s v="Q1"/>
    <n v="2608"/>
    <n v="3259"/>
    <n v="11700"/>
    <n v="236356"/>
    <n v="0.02"/>
    <n v="9"/>
    <n v="3.76"/>
    <n v="12.87"/>
    <n v="80.95"/>
    <n v="2.6"/>
    <n v="14755"/>
    <n v="2808"/>
    <n v="9"/>
    <n v="-22250496.870000001"/>
    <n v="-261.78681299261888"/>
    <n v="8499472"/>
    <n v="0.5221275576842842"/>
    <n v="-94.139704513530432"/>
  </r>
  <r>
    <s v="P0023"/>
    <s v="Model_409"/>
    <x v="2"/>
    <x v="0"/>
    <n v="2023"/>
    <s v="Q2"/>
    <n v="2097"/>
    <n v="10681"/>
    <n v="7593"/>
    <n v="253196"/>
    <n v="10.94"/>
    <n v="19"/>
    <n v="5.71"/>
    <n v="12.83"/>
    <n v="81.11"/>
    <n v="1.7"/>
    <n v="4546"/>
    <n v="6081"/>
    <n v="2"/>
    <n v="6222327.1699999999"/>
    <n v="27.780656018510889"/>
    <n v="22398057"/>
    <n v="0.41982419036194168"/>
    <n v="24.575190761307447"/>
  </r>
  <r>
    <s v="P0024"/>
    <s v="Model_779"/>
    <x v="0"/>
    <x v="0"/>
    <n v="2023"/>
    <s v="Q3"/>
    <n v="2797"/>
    <n v="3982"/>
    <n v="8438"/>
    <n v="249919"/>
    <n v="14.5"/>
    <n v="5"/>
    <n v="4.79"/>
    <n v="2.68"/>
    <n v="69.66"/>
    <n v="1.4"/>
    <n v="15356"/>
    <n v="5822"/>
    <n v="2"/>
    <n v="-12713353.68"/>
    <n v="-114.14750072142661"/>
    <n v="11137654"/>
    <n v="0.55996578943364372"/>
    <n v="-50.869885843013137"/>
  </r>
  <r>
    <s v="P0025"/>
    <s v="Model_343"/>
    <x v="0"/>
    <x v="1"/>
    <n v="2023"/>
    <s v="Q3"/>
    <n v="1025"/>
    <n v="2451"/>
    <n v="8793"/>
    <n v="465648"/>
    <n v="3.36"/>
    <n v="15"/>
    <n v="8.6199999999999992"/>
    <n v="10.59"/>
    <n v="12.81"/>
    <n v="3.3"/>
    <n v="17927"/>
    <n v="847"/>
    <n v="7"/>
    <n v="-6966208.5899999999"/>
    <n v="-277.28686509239628"/>
    <n v="2512275"/>
    <n v="0.20520734149784942"/>
    <n v="-14.960223172868776"/>
  </r>
  <r>
    <s v="P0026"/>
    <s v="Model_179"/>
    <x v="0"/>
    <x v="0"/>
    <n v="2023"/>
    <s v="Q4"/>
    <n v="1856"/>
    <n v="3579"/>
    <n v="6807"/>
    <n v="307324"/>
    <n v="9.9499999999999993"/>
    <n v="2"/>
    <n v="1.05"/>
    <n v="11.31"/>
    <n v="56.01"/>
    <n v="4.7"/>
    <n v="2008"/>
    <n v="9092"/>
    <n v="11"/>
    <n v="-6298503.3099999996"/>
    <n v="-94.819506719031509"/>
    <n v="6642624"/>
    <n v="0.37157543982439856"/>
    <n v="-20.494631073394853"/>
  </r>
  <r>
    <s v="P0027"/>
    <s v="Model_887"/>
    <x v="1"/>
    <x v="2"/>
    <n v="2023"/>
    <s v="Q1"/>
    <n v="239"/>
    <n v="4217"/>
    <n v="6342"/>
    <n v="245161"/>
    <n v="11.13"/>
    <n v="9"/>
    <n v="5.54"/>
    <n v="18.34"/>
    <n v="72.930000000000007"/>
    <n v="1.2"/>
    <n v="7607"/>
    <n v="6653"/>
    <n v="10"/>
    <n v="-753054.34"/>
    <n v="-74.717926940467109"/>
    <n v="1007863"/>
    <n v="4.7848345968766838E-2"/>
    <n v="-3.0715978479448198"/>
  </r>
  <r>
    <s v="P0028"/>
    <s v="Model_698"/>
    <x v="1"/>
    <x v="0"/>
    <n v="2023"/>
    <s v="Q2"/>
    <n v="2784"/>
    <n v="11192"/>
    <n v="9892"/>
    <n v="498614"/>
    <n v="12.73"/>
    <n v="10"/>
    <n v="5.13"/>
    <n v="21"/>
    <n v="11.38"/>
    <n v="2.7"/>
    <n v="14976"/>
    <n v="1597"/>
    <n v="13"/>
    <n v="3120565"/>
    <n v="10.015123307493859"/>
    <n v="31158528"/>
    <n v="0.55736315973659778"/>
    <n v="6.2585206191563012"/>
  </r>
  <r>
    <s v="P0029"/>
    <s v="Model_358"/>
    <x v="2"/>
    <x v="1"/>
    <n v="2023"/>
    <s v="Q1"/>
    <n v="3055"/>
    <n v="8811"/>
    <n v="12076"/>
    <n v="280363"/>
    <n v="6.34"/>
    <n v="10"/>
    <n v="2.81"/>
    <n v="13.62"/>
    <n v="53.97"/>
    <n v="3.8"/>
    <n v="4939"/>
    <n v="1479"/>
    <n v="5"/>
    <n v="-10254951.619999999"/>
    <n v="-38.097563360484706"/>
    <n v="26917605"/>
    <n v="0.61161797880578528"/>
    <n v="-36.577358638622073"/>
  </r>
  <r>
    <s v="P0030"/>
    <s v="Model_793"/>
    <x v="0"/>
    <x v="2"/>
    <n v="2023"/>
    <s v="Q4"/>
    <n v="4708"/>
    <n v="19949"/>
    <n v="7156"/>
    <n v="184393"/>
    <n v="4.54"/>
    <n v="16"/>
    <n v="8.2200000000000006"/>
    <n v="2.17"/>
    <n v="78.62"/>
    <n v="2.9"/>
    <n v="14636"/>
    <n v="8971"/>
    <n v="7"/>
    <n v="60045048.829999998"/>
    <n v="63.932195354313222"/>
    <n v="93919892"/>
    <n v="0.94255235489939027"/>
    <n v="325.6362822883732"/>
  </r>
  <r>
    <s v="P0031"/>
    <s v="Model_341"/>
    <x v="2"/>
    <x v="0"/>
    <n v="2023"/>
    <s v="Q4"/>
    <n v="1949"/>
    <n v="2268"/>
    <n v="11001"/>
    <n v="393492"/>
    <n v="4.88"/>
    <n v="3"/>
    <n v="7.53"/>
    <n v="5.92"/>
    <n v="47.93"/>
    <n v="4.2"/>
    <n v="15667"/>
    <n v="7460"/>
    <n v="13"/>
    <n v="-17414114.920000002"/>
    <n v="-393.95490926925856"/>
    <n v="4420332"/>
    <n v="0.3901942522724961"/>
    <n v="-44.255306334055078"/>
  </r>
  <r>
    <s v="P0032"/>
    <s v="Model_579"/>
    <x v="2"/>
    <x v="2"/>
    <n v="2024"/>
    <s v="Q2"/>
    <n v="1317"/>
    <n v="6990"/>
    <n v="9233"/>
    <n v="480599"/>
    <n v="10.69"/>
    <n v="3"/>
    <n v="7.33"/>
    <n v="4.12"/>
    <n v="10.33"/>
    <n v="1.7"/>
    <n v="18800"/>
    <n v="3870"/>
    <n v="6"/>
    <n v="-3434634.12"/>
    <n v="-37.309336800701296"/>
    <n v="9205830"/>
    <n v="0.26366640853918799"/>
    <n v="-7.1465608542672792"/>
  </r>
  <r>
    <s v="P0033"/>
    <s v="Model_360"/>
    <x v="2"/>
    <x v="3"/>
    <n v="2023"/>
    <s v="Q4"/>
    <n v="1578"/>
    <n v="17034"/>
    <n v="8180"/>
    <n v="425960"/>
    <n v="12.25"/>
    <n v="16"/>
    <n v="8.76"/>
    <n v="3.12"/>
    <n v="10.88"/>
    <n v="4.8"/>
    <n v="18682"/>
    <n v="3442"/>
    <n v="13"/>
    <n v="13545648.880000001"/>
    <n v="50.393691406421482"/>
    <n v="26879652"/>
    <n v="0.31591920476449403"/>
    <n v="31.800291107146212"/>
  </r>
  <r>
    <s v="P0034"/>
    <s v="Model_854"/>
    <x v="0"/>
    <x v="2"/>
    <n v="2024"/>
    <s v="Q4"/>
    <n v="3252"/>
    <n v="8145"/>
    <n v="3185"/>
    <n v="259754"/>
    <n v="2.72"/>
    <n v="8"/>
    <n v="7.23"/>
    <n v="9.15"/>
    <n v="43.33"/>
    <n v="2.5"/>
    <n v="6471"/>
    <n v="9188"/>
    <n v="2"/>
    <n v="15870156.85"/>
    <n v="59.915555955743713"/>
    <n v="26487540"/>
    <n v="0.6510578288302501"/>
    <n v="61.096907073615803"/>
  </r>
  <r>
    <s v="P0035"/>
    <s v="Model_326"/>
    <x v="2"/>
    <x v="0"/>
    <n v="2024"/>
    <s v="Q2"/>
    <n v="3606"/>
    <n v="6732"/>
    <n v="5068"/>
    <n v="173053"/>
    <n v="5.56"/>
    <n v="18"/>
    <n v="2.3199999999999998"/>
    <n v="5.73"/>
    <n v="22.4"/>
    <n v="2.4"/>
    <n v="19644"/>
    <n v="1646"/>
    <n v="7"/>
    <n v="5827325.2699999996"/>
    <n v="24.004873990302684"/>
    <n v="24275592"/>
    <n v="0.72192943750365368"/>
    <n v="33.67367800615996"/>
  </r>
  <r>
    <s v="P0036"/>
    <s v="Model_908"/>
    <x v="2"/>
    <x v="2"/>
    <n v="2024"/>
    <s v="Q1"/>
    <n v="3940"/>
    <n v="12985"/>
    <n v="1471"/>
    <n v="233965"/>
    <n v="13.53"/>
    <n v="4"/>
    <n v="7.06"/>
    <n v="5.46"/>
    <n v="63.16"/>
    <n v="4.5"/>
    <n v="17383"/>
    <n v="3226"/>
    <n v="10"/>
    <n v="45131189.539999999"/>
    <n v="88.214221290086755"/>
    <n v="51160900"/>
    <n v="0.78879700048929435"/>
    <n v="192.89720684717798"/>
  </r>
  <r>
    <s v="P0037"/>
    <s v="Model_396"/>
    <x v="0"/>
    <x v="1"/>
    <n v="2023"/>
    <s v="Q2"/>
    <n v="696"/>
    <n v="7297"/>
    <n v="963"/>
    <n v="216892"/>
    <n v="12.1"/>
    <n v="5"/>
    <n v="3.08"/>
    <n v="1.37"/>
    <n v="66.7"/>
    <n v="3.3"/>
    <n v="2318"/>
    <n v="5989"/>
    <n v="13"/>
    <n v="4191570.63"/>
    <n v="82.532158350384904"/>
    <n v="5078712"/>
    <n v="0.13934078993414944"/>
    <n v="19.325618280065655"/>
  </r>
  <r>
    <s v="P0038"/>
    <s v="Model_876"/>
    <x v="2"/>
    <x v="0"/>
    <n v="2024"/>
    <s v="Q1"/>
    <n v="2938"/>
    <n v="13842"/>
    <n v="9456"/>
    <n v="378406"/>
    <n v="14.77"/>
    <n v="2"/>
    <n v="2.42"/>
    <n v="0.44"/>
    <n v="24.23"/>
    <n v="3.1"/>
    <n v="11860"/>
    <n v="6308"/>
    <n v="4"/>
    <n v="12507661.560000001"/>
    <n v="30.755690719015117"/>
    <n v="40667796"/>
    <n v="0.58819431153237223"/>
    <n v="33.053550947923661"/>
  </r>
  <r>
    <s v="P0039"/>
    <s v="Model_455"/>
    <x v="2"/>
    <x v="1"/>
    <n v="2024"/>
    <s v="Q2"/>
    <n v="2485"/>
    <n v="9538"/>
    <n v="12034"/>
    <n v="184832"/>
    <n v="11.31"/>
    <n v="0"/>
    <n v="0.73"/>
    <n v="2.57"/>
    <n v="81.08"/>
    <n v="3.9"/>
    <n v="13427"/>
    <n v="8975"/>
    <n v="12"/>
    <n v="-6387394.5700000003"/>
    <n v="-26.948837373159062"/>
    <n v="23701930"/>
    <n v="0.49750267670454223"/>
    <n v="-34.557825484764543"/>
  </r>
  <r>
    <s v="P0040"/>
    <s v="Model_886"/>
    <x v="0"/>
    <x v="2"/>
    <n v="2023"/>
    <s v="Q1"/>
    <n v="650"/>
    <n v="17502"/>
    <n v="5392"/>
    <n v="203262"/>
    <n v="5.9"/>
    <n v="19"/>
    <n v="7.44"/>
    <n v="4.3"/>
    <n v="45.35"/>
    <n v="3.3"/>
    <n v="17523"/>
    <n v="1395"/>
    <n v="4"/>
    <n v="7668233.7000000002"/>
    <n v="67.405340049049343"/>
    <n v="11376300"/>
    <n v="0.13013148485229475"/>
    <n v="37.725880882801505"/>
  </r>
  <r>
    <s v="P0041"/>
    <s v="Model_412"/>
    <x v="2"/>
    <x v="3"/>
    <n v="2023"/>
    <s v="Q1"/>
    <n v="2413"/>
    <n v="14587"/>
    <n v="5595"/>
    <n v="117411"/>
    <n v="8.86"/>
    <n v="15"/>
    <n v="7.11"/>
    <n v="10.77"/>
    <n v="21.43"/>
    <n v="1.7"/>
    <n v="4565"/>
    <n v="1485"/>
    <n v="3"/>
    <n v="21580274.23"/>
    <n v="61.31033008261079"/>
    <n v="35198431"/>
    <n v="0.48308811222859577"/>
    <n v="183.80121964722215"/>
  </r>
  <r>
    <s v="P0042"/>
    <s v="Model_273"/>
    <x v="1"/>
    <x v="3"/>
    <n v="2023"/>
    <s v="Q3"/>
    <n v="2111"/>
    <n v="6373"/>
    <n v="11434"/>
    <n v="335521"/>
    <n v="9.92"/>
    <n v="10"/>
    <n v="2.34"/>
    <n v="12.76"/>
    <n v="71.14"/>
    <n v="3.7"/>
    <n v="4759"/>
    <n v="1042"/>
    <n v="14"/>
    <n v="-11019304.76"/>
    <n v="-81.907192997935169"/>
    <n v="13453403"/>
    <n v="0.42262702234337574"/>
    <n v="-32.842331776550502"/>
  </r>
  <r>
    <s v="P0043"/>
    <s v="Model_739"/>
    <x v="1"/>
    <x v="3"/>
    <n v="2023"/>
    <s v="Q2"/>
    <n v="291"/>
    <n v="2981"/>
    <n v="5598"/>
    <n v="489953"/>
    <n v="1.18"/>
    <n v="12"/>
    <n v="7.49"/>
    <n v="3.51"/>
    <n v="73.2"/>
    <n v="1.5"/>
    <n v="18790"/>
    <n v="3380"/>
    <n v="5"/>
    <n v="-1251503.51"/>
    <n v="-144.27035716467756"/>
    <n v="867471"/>
    <n v="5.8258864756950419E-2"/>
    <n v="-2.5543266394939921"/>
  </r>
  <r>
    <s v="P0044"/>
    <s v="Model_402"/>
    <x v="0"/>
    <x v="1"/>
    <n v="2023"/>
    <s v="Q2"/>
    <n v="2091"/>
    <n v="11593"/>
    <n v="6836"/>
    <n v="88211"/>
    <n v="8.17"/>
    <n v="9"/>
    <n v="9.18"/>
    <n v="10.62"/>
    <n v="61.14"/>
    <n v="4.2"/>
    <n v="13800"/>
    <n v="1133"/>
    <n v="11"/>
    <n v="9858665.3800000008"/>
    <n v="40.66944609420014"/>
    <n v="24240963"/>
    <n v="0.41862297665561282"/>
    <n v="111.76243325662332"/>
  </r>
  <r>
    <s v="P0045"/>
    <s v="Model_414"/>
    <x v="2"/>
    <x v="1"/>
    <n v="2024"/>
    <s v="Q1"/>
    <n v="2874"/>
    <n v="15922"/>
    <n v="3155"/>
    <n v="263981"/>
    <n v="10.64"/>
    <n v="2"/>
    <n v="1.08"/>
    <n v="8.5399999999999991"/>
    <n v="78.28"/>
    <n v="5"/>
    <n v="2102"/>
    <n v="2886"/>
    <n v="4"/>
    <n v="36428368.460000001"/>
    <n v="79.607747782618418"/>
    <n v="45759828"/>
    <n v="0.57538136533153095"/>
    <n v="137.99620806042859"/>
  </r>
  <r>
    <s v="P0046"/>
    <s v="Model_133"/>
    <x v="2"/>
    <x v="3"/>
    <n v="2023"/>
    <s v="Q2"/>
    <n v="2662"/>
    <n v="17938"/>
    <n v="6687"/>
    <n v="315888"/>
    <n v="2.5099999999999998"/>
    <n v="8"/>
    <n v="2.33"/>
    <n v="4.59"/>
    <n v="68.989999999999995"/>
    <n v="2.5"/>
    <n v="5795"/>
    <n v="2333"/>
    <n v="13"/>
    <n v="29634269.41"/>
    <n v="62.060054692936404"/>
    <n v="47750956"/>
    <n v="0.53293848104124408"/>
    <n v="93.812598136048223"/>
  </r>
  <r>
    <s v="P0047"/>
    <s v="Model_720"/>
    <x v="0"/>
    <x v="3"/>
    <n v="2024"/>
    <s v="Q4"/>
    <n v="1413"/>
    <n v="9143"/>
    <n v="13270"/>
    <n v="306638"/>
    <n v="11.71"/>
    <n v="11"/>
    <n v="7.5"/>
    <n v="0.17"/>
    <n v="80.58"/>
    <n v="2.8"/>
    <n v="11483"/>
    <n v="1720"/>
    <n v="3"/>
    <n v="-6138089.1699999999"/>
    <n v="-47.51189053320369"/>
    <n v="12919059"/>
    <n v="0.28288582784044997"/>
    <n v="-20.017378798452899"/>
  </r>
  <r>
    <s v="P0048"/>
    <s v="Model_404"/>
    <x v="0"/>
    <x v="0"/>
    <n v="2023"/>
    <s v="Q2"/>
    <n v="1528"/>
    <n v="17208"/>
    <n v="13716"/>
    <n v="337139"/>
    <n v="8.76"/>
    <n v="13"/>
    <n v="2.75"/>
    <n v="11.68"/>
    <n v="44.71"/>
    <n v="1.2"/>
    <n v="5027"/>
    <n v="3635"/>
    <n v="2"/>
    <n v="4998625.32"/>
    <n v="19.010644172563111"/>
    <n v="26293824"/>
    <n v="0.30590909054508675"/>
    <n v="14.826635304725944"/>
  </r>
  <r>
    <s v="P0049"/>
    <s v="Model_496"/>
    <x v="2"/>
    <x v="0"/>
    <n v="2024"/>
    <s v="Q2"/>
    <n v="2606"/>
    <n v="12771"/>
    <n v="8761"/>
    <n v="198049"/>
    <n v="14.28"/>
    <n v="0"/>
    <n v="6.25"/>
    <n v="17.14"/>
    <n v="69.81"/>
    <n v="1.1000000000000001"/>
    <n v="3311"/>
    <n v="3305"/>
    <n v="4"/>
    <n v="10251993.859999999"/>
    <n v="30.80413522025901"/>
    <n v="33281226"/>
    <n v="0.52172715311550788"/>
    <n v="51.765022797388525"/>
  </r>
  <r>
    <s v="P0050"/>
    <s v="Model_900"/>
    <x v="2"/>
    <x v="1"/>
    <n v="2023"/>
    <s v="Q2"/>
    <n v="825"/>
    <n v="18716"/>
    <n v="11549"/>
    <n v="279010"/>
    <n v="0.64"/>
    <n v="17"/>
    <n v="0.81"/>
    <n v="5.66"/>
    <n v="89.98"/>
    <n v="4.7"/>
    <n v="13603"/>
    <n v="2982"/>
    <n v="11"/>
    <n v="5633759.3399999999"/>
    <n v="36.486424449668732"/>
    <n v="15440700"/>
    <n v="0.16516688462022025"/>
    <n v="20.191982366223431"/>
  </r>
  <r>
    <s v="P0051"/>
    <s v="Model_371"/>
    <x v="1"/>
    <x v="1"/>
    <n v="2023"/>
    <s v="Q3"/>
    <n v="4064"/>
    <n v="14100"/>
    <n v="6627"/>
    <n v="84542"/>
    <n v="3.98"/>
    <n v="16"/>
    <n v="4.5199999999999996"/>
    <n v="3.3"/>
    <n v="67.989999999999995"/>
    <n v="1.5"/>
    <n v="10532"/>
    <n v="270"/>
    <n v="7"/>
    <n v="30285726.699999999"/>
    <n v="52.852457663204333"/>
    <n v="57302400"/>
    <n v="0.81362208375342437"/>
    <n v="358.23294930330485"/>
  </r>
  <r>
    <s v="P0052"/>
    <s v="Model_781"/>
    <x v="2"/>
    <x v="1"/>
    <n v="2023"/>
    <s v="Q2"/>
    <n v="84"/>
    <n v="12498"/>
    <n v="9537"/>
    <n v="60651"/>
    <n v="9.02"/>
    <n v="8"/>
    <n v="7.39"/>
    <n v="22.18"/>
    <n v="19.13"/>
    <n v="2.8"/>
    <n v="14377"/>
    <n v="8240"/>
    <n v="10"/>
    <n v="188050.82"/>
    <n v="17.912467899625845"/>
    <n v="1049832"/>
    <n v="1.6816991888604246E-2"/>
    <n v="3.1009051788099122"/>
  </r>
  <r>
    <s v="P0053"/>
    <s v="Model_366"/>
    <x v="0"/>
    <x v="1"/>
    <n v="2023"/>
    <s v="Q3"/>
    <n v="3202"/>
    <n v="15795"/>
    <n v="14675"/>
    <n v="149239"/>
    <n v="4.45"/>
    <n v="8"/>
    <n v="6.87"/>
    <n v="6.88"/>
    <n v="51.47"/>
    <n v="4.3"/>
    <n v="9463"/>
    <n v="9845"/>
    <n v="12"/>
    <n v="3436994.12"/>
    <n v="6.7957568463363458"/>
    <n v="50575590"/>
    <n v="0.64104771461084276"/>
    <n v="23.030179778744163"/>
  </r>
  <r>
    <s v="P0054"/>
    <s v="Model_237"/>
    <x v="2"/>
    <x v="1"/>
    <n v="2023"/>
    <s v="Q2"/>
    <n v="2005"/>
    <n v="12182"/>
    <n v="5519"/>
    <n v="391075"/>
    <n v="10.72"/>
    <n v="9"/>
    <n v="8.15"/>
    <n v="5.59"/>
    <n v="56.99"/>
    <n v="4.5999999999999996"/>
    <n v="16724"/>
    <n v="3997"/>
    <n v="6"/>
    <n v="12968234.41"/>
    <n v="53.094297624842838"/>
    <n v="24424910"/>
    <n v="0.40140558019823225"/>
    <n v="33.160493511474783"/>
  </r>
  <r>
    <s v="P0055"/>
    <s v="Model_403"/>
    <x v="0"/>
    <x v="0"/>
    <n v="2023"/>
    <s v="Q1"/>
    <n v="1635"/>
    <n v="17880"/>
    <n v="12827"/>
    <n v="276416"/>
    <n v="11.39"/>
    <n v="18"/>
    <n v="8.77"/>
    <n v="21.43"/>
    <n v="23.94"/>
    <n v="3.1"/>
    <n v="10416"/>
    <n v="9887"/>
    <n v="4"/>
    <n v="7985217.5700000003"/>
    <n v="27.31501744555959"/>
    <n v="29233800"/>
    <n v="0.32733073497461834"/>
    <n v="28.888483300532531"/>
  </r>
  <r>
    <s v="P0056"/>
    <s v="Model_664"/>
    <x v="0"/>
    <x v="1"/>
    <n v="2023"/>
    <s v="Q3"/>
    <n v="3993"/>
    <n v="10019"/>
    <n v="1393"/>
    <n v="414256"/>
    <n v="1.54"/>
    <n v="14"/>
    <n v="7.73"/>
    <n v="20.43"/>
    <n v="87.03"/>
    <n v="3.3"/>
    <n v="8266"/>
    <n v="9915"/>
    <n v="6"/>
    <n v="34029341.57"/>
    <n v="85.060877620774974"/>
    <n v="40005867"/>
    <n v="0.79940772156186601"/>
    <n v="82.145731142095713"/>
  </r>
  <r>
    <s v="P0057"/>
    <s v="Model_521"/>
    <x v="0"/>
    <x v="0"/>
    <n v="2023"/>
    <s v="Q1"/>
    <n v="3123"/>
    <n v="4800"/>
    <n v="5639"/>
    <n v="328859"/>
    <n v="7.71"/>
    <n v="4"/>
    <n v="6.72"/>
    <n v="11.21"/>
    <n v="24.05"/>
    <n v="3.7"/>
    <n v="18686"/>
    <n v="4222"/>
    <n v="6"/>
    <n v="-2949067.21"/>
    <n v="-19.673038811506029"/>
    <n v="14990400"/>
    <n v="0.62523173414417921"/>
    <n v="-8.9675392797521134"/>
  </r>
  <r>
    <s v="P0058"/>
    <s v="Model_264"/>
    <x v="0"/>
    <x v="1"/>
    <n v="2023"/>
    <s v="Q4"/>
    <n v="1071"/>
    <n v="8222"/>
    <n v="8194"/>
    <n v="487625"/>
    <n v="7.63"/>
    <n v="14"/>
    <n v="0.32"/>
    <n v="12.23"/>
    <n v="24.2"/>
    <n v="4.8"/>
    <n v="20466"/>
    <n v="5209"/>
    <n v="6"/>
    <n v="-457649.23"/>
    <n v="-5.1971564754986561"/>
    <n v="8805762"/>
    <n v="0.21441664657970411"/>
    <n v="-0.93850192258395282"/>
  </r>
  <r>
    <s v="P0059"/>
    <s v="Model_432"/>
    <x v="1"/>
    <x v="1"/>
    <n v="2024"/>
    <s v="Q1"/>
    <n v="3511"/>
    <n v="8718"/>
    <n v="14856"/>
    <n v="205378"/>
    <n v="5.54"/>
    <n v="19"/>
    <n v="5.35"/>
    <n v="5.44"/>
    <n v="83.21"/>
    <n v="3.4"/>
    <n v="3165"/>
    <n v="9383"/>
    <n v="13"/>
    <n v="-21755901.440000001"/>
    <n v="-71.077049033258248"/>
    <n v="30608898"/>
    <n v="0.70291022048677976"/>
    <n v="-105.9309955301931"/>
  </r>
  <r>
    <s v="P0060"/>
    <s v="Model_349"/>
    <x v="0"/>
    <x v="3"/>
    <n v="2024"/>
    <s v="Q3"/>
    <n v="2663"/>
    <n v="4554"/>
    <n v="12796"/>
    <n v="200158"/>
    <n v="13.99"/>
    <n v="1"/>
    <n v="0.38"/>
    <n v="1.96"/>
    <n v="47.22"/>
    <n v="3.2"/>
    <n v="17432"/>
    <n v="2937"/>
    <n v="13"/>
    <n v="-22148605.960000001"/>
    <n v="-182.63424098781411"/>
    <n v="12127302"/>
    <n v="0.53313868332563219"/>
    <n v="-110.65560207436125"/>
  </r>
  <r>
    <s v="P0061"/>
    <s v="Model_306"/>
    <x v="0"/>
    <x v="1"/>
    <n v="2023"/>
    <s v="Q3"/>
    <n v="3893"/>
    <n v="15075"/>
    <n v="10451"/>
    <n v="457592"/>
    <n v="12.41"/>
    <n v="12"/>
    <n v="8.08"/>
    <n v="14.34"/>
    <n v="15.06"/>
    <n v="1.1000000000000001"/>
    <n v="8475"/>
    <n v="8699"/>
    <n v="8"/>
    <n v="17543625.66"/>
    <n v="29.893559277846578"/>
    <n v="58686975"/>
    <n v="0.77938749312305144"/>
    <n v="38.33904438888792"/>
  </r>
  <r>
    <s v="P0062"/>
    <s v="Model_171"/>
    <x v="0"/>
    <x v="2"/>
    <n v="2024"/>
    <s v="Q4"/>
    <n v="1550"/>
    <n v="9470"/>
    <n v="4293"/>
    <n v="373494"/>
    <n v="10.46"/>
    <n v="15"/>
    <n v="3.21"/>
    <n v="2.46"/>
    <n v="57.85"/>
    <n v="1.3"/>
    <n v="4052"/>
    <n v="5328"/>
    <n v="6"/>
    <n v="7650853.54"/>
    <n v="52.122856831420108"/>
    <n v="14678500"/>
    <n v="0.31031354080162593"/>
    <n v="20.484548613900088"/>
  </r>
  <r>
    <s v="P0063"/>
    <s v="Model_171"/>
    <x v="1"/>
    <x v="1"/>
    <n v="2024"/>
    <s v="Q1"/>
    <n v="4848"/>
    <n v="3643"/>
    <n v="11593"/>
    <n v="383569"/>
    <n v="10.71"/>
    <n v="14"/>
    <n v="5.62"/>
    <n v="11.23"/>
    <n v="58.15"/>
    <n v="3.3"/>
    <n v="14719"/>
    <n v="4269"/>
    <n v="8"/>
    <n v="-38925180.229999997"/>
    <n v="-220.39860923884041"/>
    <n v="17661264"/>
    <n v="0.97058067471373066"/>
    <n v="-101.48153005065582"/>
  </r>
  <r>
    <s v="P0064"/>
    <s v="Model_743"/>
    <x v="2"/>
    <x v="0"/>
    <n v="2024"/>
    <s v="Q3"/>
    <n v="211"/>
    <n v="11003"/>
    <n v="6964"/>
    <n v="479852"/>
    <n v="6.93"/>
    <n v="9"/>
    <n v="2.79"/>
    <n v="23.51"/>
    <n v="15.16"/>
    <n v="4.7"/>
    <n v="15774"/>
    <n v="6821"/>
    <n v="10"/>
    <n v="372353.49"/>
    <n v="16.038430277309118"/>
    <n v="2321633"/>
    <n v="4.2242682005898757E-2"/>
    <n v="0.77602469094637516"/>
  </r>
  <r>
    <s v="P0065"/>
    <s v="Model_794"/>
    <x v="0"/>
    <x v="3"/>
    <n v="2023"/>
    <s v="Q4"/>
    <n v="4347"/>
    <n v="16649"/>
    <n v="11436"/>
    <n v="398264"/>
    <n v="13.81"/>
    <n v="13"/>
    <n v="7.83"/>
    <n v="23.82"/>
    <n v="87.8"/>
    <n v="4.5"/>
    <n v="14112"/>
    <n v="779"/>
    <n v="6"/>
    <n v="22262623.18"/>
    <n v="30.760864874254633"/>
    <n v="72373203"/>
    <n v="0.87027933023526971"/>
    <n v="55.899220115300402"/>
  </r>
  <r>
    <s v="P0066"/>
    <s v="Model_970"/>
    <x v="0"/>
    <x v="2"/>
    <n v="2023"/>
    <s v="Q2"/>
    <n v="2031"/>
    <n v="13675"/>
    <n v="3472"/>
    <n v="427033"/>
    <n v="10.42"/>
    <n v="9"/>
    <n v="8.8699999999999992"/>
    <n v="5.98"/>
    <n v="53.52"/>
    <n v="4.9000000000000004"/>
    <n v="4308"/>
    <n v="7529"/>
    <n v="3"/>
    <n v="20295254.02"/>
    <n v="73.073049703993945"/>
    <n v="27773925"/>
    <n v="0.40661083959232408"/>
    <n v="47.526209918203044"/>
  </r>
  <r>
    <s v="P0067"/>
    <s v="Model_998"/>
    <x v="1"/>
    <x v="3"/>
    <n v="2024"/>
    <s v="Q3"/>
    <n v="1045"/>
    <n v="9856"/>
    <n v="5000"/>
    <n v="494865"/>
    <n v="10.93"/>
    <n v="13"/>
    <n v="3.99"/>
    <n v="15.6"/>
    <n v="54.78"/>
    <n v="3.1"/>
    <n v="12590"/>
    <n v="5587"/>
    <n v="6"/>
    <n v="4579639.4000000004"/>
    <n v="44.464590582862115"/>
    <n v="10299520"/>
    <n v="0.20921138718561233"/>
    <n v="9.2543521970638452"/>
  </r>
  <r>
    <s v="P0068"/>
    <s v="Model_931"/>
    <x v="2"/>
    <x v="0"/>
    <n v="2023"/>
    <s v="Q3"/>
    <n v="4961"/>
    <n v="16570"/>
    <n v="816"/>
    <n v="477826"/>
    <n v="12.93"/>
    <n v="8"/>
    <n v="8.6300000000000008"/>
    <n v="11.85"/>
    <n v="51.61"/>
    <n v="4.2"/>
    <n v="13760"/>
    <n v="336"/>
    <n v="9"/>
    <n v="77677756.150000006"/>
    <n v="94.494152944566906"/>
    <n v="82203770"/>
    <n v="0.99320353284959118"/>
    <n v="162.56496716377927"/>
  </r>
  <r>
    <s v="P0069"/>
    <s v="Model_522"/>
    <x v="2"/>
    <x v="0"/>
    <n v="2024"/>
    <s v="Q1"/>
    <n v="3392"/>
    <n v="2322"/>
    <n v="3991"/>
    <n v="191130"/>
    <n v="4.1100000000000003"/>
    <n v="13"/>
    <n v="2.67"/>
    <n v="21.89"/>
    <n v="58.86"/>
    <n v="4.4000000000000004"/>
    <n v="16795"/>
    <n v="6904"/>
    <n v="13"/>
    <n v="-5852399.8899999997"/>
    <n v="-74.304640015316977"/>
    <n v="7876224"/>
    <n v="0.67908614864459049"/>
    <n v="-30.619881755872967"/>
  </r>
  <r>
    <s v="P0070"/>
    <s v="Model_271"/>
    <x v="0"/>
    <x v="1"/>
    <n v="2024"/>
    <s v="Q4"/>
    <n v="4601"/>
    <n v="18827"/>
    <n v="1192"/>
    <n v="305948"/>
    <n v="12.11"/>
    <n v="2"/>
    <n v="5.35"/>
    <n v="6.79"/>
    <n v="31.14"/>
    <n v="3.6"/>
    <n v="16337"/>
    <n v="2523"/>
    <n v="5"/>
    <n v="80832680.209999993"/>
    <n v="93.315464732027891"/>
    <n v="86623027"/>
    <n v="0.92113071046985873"/>
    <n v="264.2040052557951"/>
  </r>
  <r>
    <s v="P0071"/>
    <s v="Model_988"/>
    <x v="1"/>
    <x v="2"/>
    <n v="2024"/>
    <s v="Q3"/>
    <n v="3848"/>
    <n v="15789"/>
    <n v="9416"/>
    <n v="386781"/>
    <n v="2.93"/>
    <n v="19"/>
    <n v="8.59"/>
    <n v="0.09"/>
    <n v="32.979999999999997"/>
    <n v="2.4"/>
    <n v="16169"/>
    <n v="1132"/>
    <n v="3"/>
    <n v="24136522.91"/>
    <n v="39.726931178170965"/>
    <n v="60756072"/>
    <n v="0.77037839032558497"/>
    <n v="62.403590145327719"/>
  </r>
  <r>
    <s v="P0072"/>
    <s v="Model_898"/>
    <x v="0"/>
    <x v="0"/>
    <n v="2024"/>
    <s v="Q4"/>
    <n v="1325"/>
    <n v="7650"/>
    <n v="7072"/>
    <n v="382338"/>
    <n v="5.18"/>
    <n v="15"/>
    <n v="3.26"/>
    <n v="4.0599999999999996"/>
    <n v="50.91"/>
    <n v="2.9"/>
    <n v="12023"/>
    <n v="6439"/>
    <n v="11"/>
    <n v="383507.94"/>
    <n v="3.7835288198298187"/>
    <n v="10136250"/>
    <n v="0.26526802681429312"/>
    <n v="1.0030705815273397"/>
  </r>
  <r>
    <s v="P0073"/>
    <s v="Model_279"/>
    <x v="1"/>
    <x v="0"/>
    <n v="2024"/>
    <s v="Q3"/>
    <n v="1066"/>
    <n v="5925"/>
    <n v="1371"/>
    <n v="389061"/>
    <n v="5.03"/>
    <n v="1"/>
    <n v="9.5399999999999991"/>
    <n v="8.74"/>
    <n v="74.53"/>
    <n v="4.4000000000000004"/>
    <n v="14262"/>
    <n v="3040"/>
    <n v="4"/>
    <n v="4465494.26"/>
    <n v="70.700742711029832"/>
    <n v="6316050"/>
    <n v="0.21341563515776338"/>
    <n v="11.477642323440284"/>
  </r>
  <r>
    <s v="P0074"/>
    <s v="Model_339"/>
    <x v="1"/>
    <x v="1"/>
    <n v="2024"/>
    <s v="Q2"/>
    <n v="387"/>
    <n v="17532"/>
    <n v="4431"/>
    <n v="114200"/>
    <n v="14.68"/>
    <n v="9"/>
    <n v="1.22"/>
    <n v="7.89"/>
    <n v="13.99"/>
    <n v="2.2000000000000002"/>
    <n v="15269"/>
    <n v="5509"/>
    <n v="10"/>
    <n v="4955879.1100000003"/>
    <n v="73.042945317856578"/>
    <n v="6784884"/>
    <n v="7.7478284058212415E-2"/>
    <n v="43.396558669001749"/>
  </r>
  <r>
    <s v="P0075"/>
    <s v="Model_416"/>
    <x v="2"/>
    <x v="0"/>
    <n v="2024"/>
    <s v="Q4"/>
    <n v="928"/>
    <n v="3698"/>
    <n v="6972"/>
    <n v="155848"/>
    <n v="12.85"/>
    <n v="2"/>
    <n v="0.18"/>
    <n v="19.78"/>
    <n v="58.27"/>
    <n v="4.7"/>
    <n v="15231"/>
    <n v="3232"/>
    <n v="10"/>
    <n v="-3194139.78"/>
    <n v="-93.076283662184593"/>
    <n v="3431744"/>
    <n v="0.18578771991219928"/>
    <n v="-20.495097787587905"/>
  </r>
  <r>
    <s v="P0076"/>
    <s v="Model_493"/>
    <x v="0"/>
    <x v="1"/>
    <n v="2023"/>
    <s v="Q2"/>
    <n v="1126"/>
    <n v="4952"/>
    <n v="10112"/>
    <n v="156022"/>
    <n v="10.52"/>
    <n v="10"/>
    <n v="9.0399999999999991"/>
    <n v="17.010000000000002"/>
    <n v="74.540000000000006"/>
    <n v="1.9"/>
    <n v="13377"/>
    <n v="7180"/>
    <n v="9"/>
    <n v="-5966199.0099999998"/>
    <n v="-106.99875124463051"/>
    <n v="5575952"/>
    <n v="0.22542777222105215"/>
    <n v="-38.239363679481102"/>
  </r>
  <r>
    <s v="P0077"/>
    <s v="Model_635"/>
    <x v="0"/>
    <x v="3"/>
    <n v="2023"/>
    <s v="Q1"/>
    <n v="4937"/>
    <n v="10606"/>
    <n v="7977"/>
    <n v="227691"/>
    <n v="10.91"/>
    <n v="10"/>
    <n v="0.69"/>
    <n v="7.49"/>
    <n v="22.55"/>
    <n v="4"/>
    <n v="3956"/>
    <n v="5042"/>
    <n v="9"/>
    <n v="12751674.51"/>
    <n v="24.352999996829748"/>
    <n v="52361822"/>
    <n v="0.98839867802427561"/>
    <n v="56.00433043027612"/>
  </r>
  <r>
    <s v="P0078"/>
    <s v="Model_364"/>
    <x v="2"/>
    <x v="0"/>
    <n v="2023"/>
    <s v="Q1"/>
    <n v="4043"/>
    <n v="15359"/>
    <n v="9233"/>
    <n v="460370"/>
    <n v="8.43"/>
    <n v="12"/>
    <n v="9.92"/>
    <n v="11.44"/>
    <n v="11.2"/>
    <n v="3.5"/>
    <n v="6923"/>
    <n v="7061"/>
    <n v="9"/>
    <n v="24307036.559999999"/>
    <n v="39.144011692651546"/>
    <n v="62096437"/>
    <n v="0.80941783578127335"/>
    <n v="52.798939983057103"/>
  </r>
  <r>
    <s v="P0079"/>
    <s v="Model_416"/>
    <x v="1"/>
    <x v="2"/>
    <n v="2023"/>
    <s v="Q4"/>
    <n v="4909"/>
    <n v="19192"/>
    <n v="4697"/>
    <n v="462755"/>
    <n v="14.21"/>
    <n v="6"/>
    <n v="9.51"/>
    <n v="2.39"/>
    <n v="35.020000000000003"/>
    <n v="4"/>
    <n v="15746"/>
    <n v="7830"/>
    <n v="9"/>
    <n v="70693197.609999999"/>
    <n v="75.035081596774518"/>
    <n v="94213528"/>
    <n v="0.98279301406140762"/>
    <n v="152.76593445775842"/>
  </r>
  <r>
    <s v="P0080"/>
    <s v="Model_697"/>
    <x v="2"/>
    <x v="2"/>
    <n v="2024"/>
    <s v="Q3"/>
    <n v="429"/>
    <n v="10205"/>
    <n v="13087"/>
    <n v="306453"/>
    <n v="7.44"/>
    <n v="16"/>
    <n v="1.37"/>
    <n v="22.45"/>
    <n v="57.05"/>
    <n v="2.7"/>
    <n v="14346"/>
    <n v="733"/>
    <n v="9"/>
    <n v="-1542853.45"/>
    <n v="-35.241499150857308"/>
    <n v="4377945"/>
    <n v="8.588678000251454E-2"/>
    <n v="-5.0344783702557976"/>
  </r>
  <r>
    <s v="P0081"/>
    <s v="Model_780"/>
    <x v="0"/>
    <x v="0"/>
    <n v="2023"/>
    <s v="Q3"/>
    <n v="542"/>
    <n v="11612"/>
    <n v="8923"/>
    <n v="372202"/>
    <n v="5.71"/>
    <n v="1"/>
    <n v="5.38"/>
    <n v="23.39"/>
    <n v="21.06"/>
    <n v="4.7"/>
    <n v="5817"/>
    <n v="6922"/>
    <n v="2"/>
    <n v="1085212.6100000001"/>
    <n v="17.242828865164299"/>
    <n v="6293704"/>
    <n v="0.10850963813837501"/>
    <n v="2.915717809146646"/>
  </r>
  <r>
    <s v="P0082"/>
    <s v="Model_998"/>
    <x v="1"/>
    <x v="0"/>
    <n v="2023"/>
    <s v="Q1"/>
    <n v="2112"/>
    <n v="6341"/>
    <n v="3079"/>
    <n v="112068"/>
    <n v="2.4500000000000002"/>
    <n v="11"/>
    <n v="1.85"/>
    <n v="24.5"/>
    <n v="44.09"/>
    <n v="3.5"/>
    <n v="19440"/>
    <n v="4203"/>
    <n v="7"/>
    <n v="6777251.5"/>
    <n v="50.605991162611765"/>
    <n v="13392192"/>
    <n v="0.42282722462776384"/>
    <n v="60.474676089517082"/>
  </r>
  <r>
    <s v="P0083"/>
    <s v="Model_721"/>
    <x v="2"/>
    <x v="0"/>
    <n v="2023"/>
    <s v="Q1"/>
    <n v="3934"/>
    <n v="16858"/>
    <n v="9780"/>
    <n v="412076"/>
    <n v="11.79"/>
    <n v="9"/>
    <n v="4.28"/>
    <n v="21.71"/>
    <n v="54.19"/>
    <n v="2.2000000000000002"/>
    <n v="20089"/>
    <n v="9684"/>
    <n v="13"/>
    <n v="27432754.289999999"/>
    <n v="41.364617098605819"/>
    <n v="66319372"/>
    <n v="0.78759578678296549"/>
    <n v="66.572127471631447"/>
  </r>
  <r>
    <s v="P0084"/>
    <s v="Model_784"/>
    <x v="2"/>
    <x v="2"/>
    <n v="2023"/>
    <s v="Q1"/>
    <n v="114"/>
    <n v="2909"/>
    <n v="8251"/>
    <n v="211445"/>
    <n v="11.02"/>
    <n v="17"/>
    <n v="0.61"/>
    <n v="4.3499999999999996"/>
    <n v="57.91"/>
    <n v="3.6"/>
    <n v="14135"/>
    <n v="6587"/>
    <n v="10"/>
    <n v="-820437.35"/>
    <n v="-247.39837949979795"/>
    <n v="331626"/>
    <n v="2.2823060420248616E-2"/>
    <n v="-3.8801248551632814"/>
  </r>
  <r>
    <s v="P0085"/>
    <s v="Model_158"/>
    <x v="2"/>
    <x v="2"/>
    <n v="2024"/>
    <s v="Q3"/>
    <n v="2618"/>
    <n v="6066"/>
    <n v="9706"/>
    <n v="214226"/>
    <n v="5.77"/>
    <n v="10"/>
    <n v="2.2400000000000002"/>
    <n v="1.1499999999999999"/>
    <n v="31.95"/>
    <n v="2.1"/>
    <n v="14970"/>
    <n v="3546"/>
    <n v="9"/>
    <n v="-9743747.1500000004"/>
    <n v="-61.35556466089718"/>
    <n v="15880788"/>
    <n v="0.52412958052816561"/>
    <n v="-45.483489399045865"/>
  </r>
  <r>
    <s v="P0086"/>
    <s v="Model_578"/>
    <x v="0"/>
    <x v="3"/>
    <n v="2023"/>
    <s v="Q2"/>
    <n v="2077"/>
    <n v="12882"/>
    <n v="13846"/>
    <n v="187103"/>
    <n v="0.38"/>
    <n v="15"/>
    <n v="3.63"/>
    <n v="14.49"/>
    <n v="42"/>
    <n v="2.2000000000000002"/>
    <n v="14676"/>
    <n v="5838"/>
    <n v="4"/>
    <n v="-2189345.4900000002"/>
    <n v="-8.182660065359757"/>
    <n v="26755914"/>
    <n v="0.41582014467417877"/>
    <n v="-11.7012073563759"/>
  </r>
  <r>
    <s v="P0087"/>
    <s v="Model_333"/>
    <x v="1"/>
    <x v="0"/>
    <n v="2023"/>
    <s v="Q1"/>
    <n v="2745"/>
    <n v="19439"/>
    <n v="11841"/>
    <n v="274605"/>
    <n v="12.58"/>
    <n v="16"/>
    <n v="4.3899999999999997"/>
    <n v="22.82"/>
    <n v="72.27"/>
    <n v="2.6"/>
    <n v="10613"/>
    <n v="3198"/>
    <n v="12"/>
    <n v="20581882.18"/>
    <n v="38.571703458701457"/>
    <n v="53360055"/>
    <n v="0.54955527064546017"/>
    <n v="74.950947724913974"/>
  </r>
  <r>
    <s v="P0088"/>
    <s v="Model_536"/>
    <x v="0"/>
    <x v="2"/>
    <n v="2023"/>
    <s v="Q1"/>
    <n v="1545"/>
    <n v="16096"/>
    <n v="1575"/>
    <n v="253047"/>
    <n v="0.17"/>
    <n v="18"/>
    <n v="9.77"/>
    <n v="4.43"/>
    <n v="85.3"/>
    <n v="4.4000000000000004"/>
    <n v="15046"/>
    <n v="8197"/>
    <n v="2"/>
    <n v="22181893.57"/>
    <n v="89.197394797879397"/>
    <n v="24868320"/>
    <n v="0.30931252937968523"/>
    <n v="87.659201650286306"/>
  </r>
  <r>
    <s v="P0089"/>
    <s v="Model_946"/>
    <x v="1"/>
    <x v="0"/>
    <n v="2024"/>
    <s v="Q1"/>
    <n v="441"/>
    <n v="2304"/>
    <n v="13018"/>
    <n v="334929"/>
    <n v="10.56"/>
    <n v="17"/>
    <n v="8.08"/>
    <n v="0.18"/>
    <n v="78.95"/>
    <n v="3"/>
    <n v="8305"/>
    <n v="5576"/>
    <n v="3"/>
    <n v="-5059803.18"/>
    <n v="-497.98075514928189"/>
    <n v="1016064"/>
    <n v="8.828920741517228E-2"/>
    <n v="-15.107091353689887"/>
  </r>
  <r>
    <s v="P0090"/>
    <s v="Model_595"/>
    <x v="1"/>
    <x v="0"/>
    <n v="2024"/>
    <s v="Q1"/>
    <n v="4564"/>
    <n v="14721"/>
    <n v="7669"/>
    <n v="299768"/>
    <n v="14.55"/>
    <n v="2"/>
    <n v="7.37"/>
    <n v="20.14"/>
    <n v="55.14"/>
    <n v="3.7"/>
    <n v="18288"/>
    <n v="8353"/>
    <n v="12"/>
    <n v="31885539.859999999"/>
    <n v="47.458152337538991"/>
    <n v="67186644"/>
    <n v="0.91372322594749733"/>
    <n v="106.36745750046703"/>
  </r>
  <r>
    <s v="P0091"/>
    <s v="Model_199"/>
    <x v="1"/>
    <x v="0"/>
    <n v="2024"/>
    <s v="Q2"/>
    <n v="4524"/>
    <n v="2779"/>
    <n v="3047"/>
    <n v="209741"/>
    <n v="6.56"/>
    <n v="15"/>
    <n v="5.37"/>
    <n v="1.92"/>
    <n v="42.82"/>
    <n v="2.6"/>
    <n v="19504"/>
    <n v="5281"/>
    <n v="3"/>
    <n v="-1422174.92"/>
    <n v="-11.312064495335578"/>
    <n v="12572196"/>
    <n v="0.9057151345719715"/>
    <n v="-6.7806151396245848"/>
  </r>
  <r>
    <s v="P0092"/>
    <s v="Model_232"/>
    <x v="2"/>
    <x v="1"/>
    <n v="2023"/>
    <s v="Q3"/>
    <n v="3611"/>
    <n v="14692"/>
    <n v="7888"/>
    <n v="144475"/>
    <n v="3.52"/>
    <n v="5"/>
    <n v="8.4"/>
    <n v="10.34"/>
    <n v="36.64"/>
    <n v="2.1"/>
    <n v="20836"/>
    <n v="1917"/>
    <n v="8"/>
    <n v="24424758.66"/>
    <n v="46.038575033496812"/>
    <n v="53052812"/>
    <n v="0.72293044892559433"/>
    <n v="169.05879217857762"/>
  </r>
  <r>
    <s v="P0093"/>
    <s v="Model_486"/>
    <x v="2"/>
    <x v="1"/>
    <n v="2024"/>
    <s v="Q2"/>
    <n v="2328"/>
    <n v="8583"/>
    <n v="878"/>
    <n v="52282"/>
    <n v="10.57"/>
    <n v="11"/>
    <n v="3.39"/>
    <n v="16.97"/>
    <n v="20"/>
    <n v="4.8"/>
    <n v="9580"/>
    <n v="8924"/>
    <n v="13"/>
    <n v="17884941.030000001"/>
    <n v="89.508735951311095"/>
    <n v="19981224"/>
    <n v="0.46607091805560336"/>
    <n v="342.08633946673808"/>
  </r>
  <r>
    <s v="P0094"/>
    <s v="Model_275"/>
    <x v="0"/>
    <x v="1"/>
    <n v="2024"/>
    <s v="Q2"/>
    <n v="3149"/>
    <n v="12593"/>
    <n v="8880"/>
    <n v="215696"/>
    <n v="12.26"/>
    <n v="10"/>
    <n v="7.09"/>
    <n v="5.92"/>
    <n v="18.52"/>
    <n v="3.4"/>
    <n v="4618"/>
    <n v="4987"/>
    <n v="7"/>
    <n v="11476535.08"/>
    <n v="28.940692880409575"/>
    <n v="39655357"/>
    <n v="0.63043699353827098"/>
    <n v="53.207018210815221"/>
  </r>
  <r>
    <s v="P0095"/>
    <s v="Model_681"/>
    <x v="1"/>
    <x v="2"/>
    <n v="2023"/>
    <s v="Q4"/>
    <n v="250"/>
    <n v="19271"/>
    <n v="7899"/>
    <n v="229510"/>
    <n v="8.1999999999999993"/>
    <n v="14"/>
    <n v="9.94"/>
    <n v="2.1"/>
    <n v="65.069999999999993"/>
    <n v="4.7"/>
    <n v="8130"/>
    <n v="2698"/>
    <n v="12"/>
    <n v="2613487.9"/>
    <n v="54.247063463234909"/>
    <n v="4817750"/>
    <n v="5.0050571097036443E-2"/>
    <n v="11.387259814387173"/>
  </r>
  <r>
    <s v="P0096"/>
    <s v="Model_361"/>
    <x v="2"/>
    <x v="0"/>
    <n v="2023"/>
    <s v="Q3"/>
    <n v="4925"/>
    <n v="14380"/>
    <n v="4726"/>
    <n v="270972"/>
    <n v="14.51"/>
    <n v="14"/>
    <n v="3.15"/>
    <n v="19.25"/>
    <n v="30.78"/>
    <n v="1.8"/>
    <n v="2065"/>
    <n v="9592"/>
    <n v="3"/>
    <n v="47274958.75"/>
    <n v="66.752269790953306"/>
    <n v="70821500"/>
    <n v="0.98599625061161789"/>
    <n v="174.46443913024223"/>
  </r>
  <r>
    <s v="P0097"/>
    <s v="Model_145"/>
    <x v="2"/>
    <x v="3"/>
    <n v="2023"/>
    <s v="Q1"/>
    <n v="3154"/>
    <n v="17017"/>
    <n v="9847"/>
    <n v="379678"/>
    <n v="0.78"/>
    <n v="15"/>
    <n v="6.74"/>
    <n v="15.75"/>
    <n v="30.37"/>
    <n v="1.6"/>
    <n v="17201"/>
    <n v="2753"/>
    <n v="9"/>
    <n v="22234486.25"/>
    <n v="41.426897638897344"/>
    <n v="53671618"/>
    <n v="0.63143800496021174"/>
    <n v="58.561470509220975"/>
  </r>
  <r>
    <s v="P0098"/>
    <s v="Model_506"/>
    <x v="0"/>
    <x v="3"/>
    <n v="2023"/>
    <s v="Q3"/>
    <n v="4648"/>
    <n v="3606"/>
    <n v="8140"/>
    <n v="212777"/>
    <n v="7.57"/>
    <n v="9"/>
    <n v="8.44"/>
    <n v="24.71"/>
    <n v="89.86"/>
    <n v="4.4000000000000004"/>
    <n v="16359"/>
    <n v="1554"/>
    <n v="10"/>
    <n v="-21286833.710000001"/>
    <n v="-127.00453412174966"/>
    <n v="16760688"/>
    <n v="0.93054021783610152"/>
    <n v="-100.04281007815695"/>
  </r>
  <r>
    <s v="P0099"/>
    <s v="Model_232"/>
    <x v="1"/>
    <x v="3"/>
    <n v="2024"/>
    <s v="Q1"/>
    <n v="2504"/>
    <n v="17586"/>
    <n v="14527"/>
    <n v="481460"/>
    <n v="10.78"/>
    <n v="11"/>
    <n v="9.16"/>
    <n v="8.61"/>
    <n v="25.03"/>
    <n v="3.7"/>
    <n v="9170"/>
    <n v="1238"/>
    <n v="8"/>
    <n v="7178267.3899999997"/>
    <n v="16.301149799124993"/>
    <n v="44035344"/>
    <n v="0.50130652010791699"/>
    <n v="14.90939226519337"/>
  </r>
  <r>
    <s v="P0100"/>
    <s v="Model_384"/>
    <x v="0"/>
    <x v="1"/>
    <n v="2023"/>
    <s v="Q3"/>
    <n v="3695"/>
    <n v="6331"/>
    <n v="7883"/>
    <n v="387108"/>
    <n v="12.94"/>
    <n v="12"/>
    <n v="7.18"/>
    <n v="1.54"/>
    <n v="21.84"/>
    <n v="1.7"/>
    <n v="20752"/>
    <n v="5907"/>
    <n v="5"/>
    <n v="-6121749.54"/>
    <n v="-26.169100858823636"/>
    <n v="23393045"/>
    <n v="0.73974744081419863"/>
    <n v="-15.814057059011954"/>
  </r>
  <r>
    <s v="P0101"/>
    <s v="Model_444"/>
    <x v="1"/>
    <x v="1"/>
    <n v="2024"/>
    <s v="Q3"/>
    <n v="854"/>
    <n v="4686"/>
    <n v="7030"/>
    <n v="218509"/>
    <n v="2.69"/>
    <n v="3"/>
    <n v="2.84"/>
    <n v="18.36"/>
    <n v="17.89"/>
    <n v="2.1"/>
    <n v="10976"/>
    <n v="3292"/>
    <n v="14"/>
    <n v="-2220303.3599999999"/>
    <n v="-55.482006794867566"/>
    <n v="4001844"/>
    <n v="0.17097275086747649"/>
    <n v="-10.161068880458012"/>
  </r>
  <r>
    <s v="P0102"/>
    <s v="Model_690"/>
    <x v="0"/>
    <x v="3"/>
    <n v="2023"/>
    <s v="Q2"/>
    <n v="2781"/>
    <n v="4073"/>
    <n v="11140"/>
    <n v="258944"/>
    <n v="12"/>
    <n v="6"/>
    <n v="3.26"/>
    <n v="13.04"/>
    <n v="56.38"/>
    <n v="4.2"/>
    <n v="10276"/>
    <n v="6216"/>
    <n v="14"/>
    <n v="-19912284.039999999"/>
    <n v="-175.79466042812874"/>
    <n v="11327013"/>
    <n v="0.55676255288343335"/>
    <n v="-76.897981803015327"/>
  </r>
  <r>
    <s v="P0103"/>
    <s v="Model_461"/>
    <x v="2"/>
    <x v="2"/>
    <n v="2024"/>
    <s v="Q4"/>
    <n v="2823"/>
    <n v="14308"/>
    <n v="10023"/>
    <n v="169006"/>
    <n v="8.2899999999999991"/>
    <n v="1"/>
    <n v="0.21"/>
    <n v="5.33"/>
    <n v="60.23"/>
    <n v="2.8"/>
    <n v="16521"/>
    <n v="3859"/>
    <n v="2"/>
    <n v="11927543.67"/>
    <n v="29.529847603519592"/>
    <n v="40391484"/>
    <n v="0.5651710488277355"/>
    <n v="70.574707406837632"/>
  </r>
  <r>
    <s v="P0104"/>
    <s v="Model_270"/>
    <x v="1"/>
    <x v="2"/>
    <n v="2024"/>
    <s v="Q3"/>
    <n v="1620"/>
    <n v="4099"/>
    <n v="5740"/>
    <n v="286440"/>
    <n v="5.95"/>
    <n v="14"/>
    <n v="7.61"/>
    <n v="19.54"/>
    <n v="39.22"/>
    <n v="3.7"/>
    <n v="5827"/>
    <n v="3129"/>
    <n v="5"/>
    <n v="-2944879.54"/>
    <n v="-44.348057490685775"/>
    <n v="6640380"/>
    <n v="0.32432770070879613"/>
    <n v="-10.280896522832007"/>
  </r>
  <r>
    <s v="P0105"/>
    <s v="Model_692"/>
    <x v="1"/>
    <x v="1"/>
    <n v="2024"/>
    <s v="Q2"/>
    <n v="2740"/>
    <n v="5533"/>
    <n v="4071"/>
    <n v="254054"/>
    <n v="1.98"/>
    <n v="7"/>
    <n v="0.43"/>
    <n v="5.09"/>
    <n v="52.83"/>
    <n v="2.2999999999999998"/>
    <n v="16775"/>
    <n v="9652"/>
    <n v="5"/>
    <n v="3751820.91"/>
    <n v="24.747473420921057"/>
    <n v="15160420"/>
    <n v="0.54855425922351941"/>
    <n v="14.767828886772104"/>
  </r>
  <r>
    <s v="P0106"/>
    <s v="Model_157"/>
    <x v="1"/>
    <x v="0"/>
    <n v="2024"/>
    <s v="Q2"/>
    <n v="3890"/>
    <n v="9928"/>
    <n v="12568"/>
    <n v="362727"/>
    <n v="12.98"/>
    <n v="6"/>
    <n v="8.65"/>
    <n v="6.52"/>
    <n v="73.069999999999993"/>
    <n v="2.5"/>
    <n v="9114"/>
    <n v="5195"/>
    <n v="9"/>
    <n v="-10632333.52"/>
    <n v="-27.530697940337522"/>
    <n v="38619920"/>
    <n v="0.77878688626988701"/>
    <n v="-29.312201738497549"/>
  </r>
  <r>
    <s v="P0107"/>
    <s v="Model_574"/>
    <x v="0"/>
    <x v="1"/>
    <n v="2023"/>
    <s v="Q1"/>
    <n v="1078"/>
    <n v="2804"/>
    <n v="13174"/>
    <n v="350536"/>
    <n v="2.36"/>
    <n v="14"/>
    <n v="1.19"/>
    <n v="2.31"/>
    <n v="75.45"/>
    <n v="5"/>
    <n v="2745"/>
    <n v="163"/>
    <n v="5"/>
    <n v="-11529398.310000001"/>
    <n v="-381.42563069190845"/>
    <n v="3022712"/>
    <n v="0.21581806257042113"/>
    <n v="-32.890761576557047"/>
  </r>
  <r>
    <s v="P0108"/>
    <s v="Model_240"/>
    <x v="0"/>
    <x v="3"/>
    <n v="2023"/>
    <s v="Q3"/>
    <n v="552"/>
    <n v="19185"/>
    <n v="4256"/>
    <n v="57461"/>
    <n v="4.6500000000000004"/>
    <n v="13"/>
    <n v="1.72"/>
    <n v="9.99"/>
    <n v="86.63"/>
    <n v="2"/>
    <n v="9743"/>
    <n v="1445"/>
    <n v="5"/>
    <n v="8183337.0099999998"/>
    <n v="77.273317110665403"/>
    <n v="10590120"/>
    <n v="0.11051166098225647"/>
    <n v="142.41567323924053"/>
  </r>
  <r>
    <s v="P0109"/>
    <s v="Model_902"/>
    <x v="2"/>
    <x v="2"/>
    <n v="2023"/>
    <s v="Q1"/>
    <n v="4543"/>
    <n v="19935"/>
    <n v="8588"/>
    <n v="150123"/>
    <n v="4.3499999999999996"/>
    <n v="7"/>
    <n v="4.7699999999999996"/>
    <n v="10.47"/>
    <n v="75.94"/>
    <n v="3"/>
    <n v="11855"/>
    <n v="1074"/>
    <n v="14"/>
    <n v="51399287.530000001"/>
    <n v="56.754215154789058"/>
    <n v="90564705"/>
    <n v="0.9095189779753462"/>
    <n v="342.38123405474175"/>
  </r>
  <r>
    <s v="P0110"/>
    <s v="Model_875"/>
    <x v="1"/>
    <x v="1"/>
    <n v="2023"/>
    <s v="Q1"/>
    <n v="920"/>
    <n v="10133"/>
    <n v="12498"/>
    <n v="322660"/>
    <n v="13.07"/>
    <n v="11"/>
    <n v="7.38"/>
    <n v="12.86"/>
    <n v="55.19"/>
    <n v="4.4000000000000004"/>
    <n v="2037"/>
    <n v="4261"/>
    <n v="3"/>
    <n v="-2498472.86"/>
    <n v="-26.800862228019511"/>
    <n v="9322360"/>
    <n v="0.18418610163709412"/>
    <n v="-7.7433211429988225"/>
  </r>
  <r>
    <s v="P0111"/>
    <s v="Model_140"/>
    <x v="1"/>
    <x v="0"/>
    <n v="2023"/>
    <s v="Q3"/>
    <n v="4538"/>
    <n v="12872"/>
    <n v="9399"/>
    <n v="198586"/>
    <n v="10.09"/>
    <n v="12"/>
    <n v="1.39"/>
    <n v="17.72"/>
    <n v="24.37"/>
    <n v="2"/>
    <n v="17424"/>
    <n v="6062"/>
    <n v="13"/>
    <n v="15561870.279999999"/>
    <n v="26.641045740122564"/>
    <n v="58413136"/>
    <n v="0.90851796655340555"/>
    <n v="78.363469730998162"/>
  </r>
  <r>
    <s v="P0112"/>
    <s v="Model_951"/>
    <x v="0"/>
    <x v="1"/>
    <n v="2023"/>
    <s v="Q2"/>
    <n v="256"/>
    <n v="10496"/>
    <n v="8450"/>
    <n v="433395"/>
    <n v="11.95"/>
    <n v="10"/>
    <n v="4.4000000000000004"/>
    <n v="22.65"/>
    <n v="17.98"/>
    <n v="2.7"/>
    <n v="17736"/>
    <n v="9914"/>
    <n v="11"/>
    <n v="90358.35"/>
    <n v="3.3628268358184075"/>
    <n v="2686976"/>
    <n v="5.125178480336532E-2"/>
    <n v="0.20854186135050012"/>
  </r>
  <r>
    <s v="P0113"/>
    <s v="Model_639"/>
    <x v="1"/>
    <x v="2"/>
    <n v="2023"/>
    <s v="Q2"/>
    <n v="1534"/>
    <n v="17958"/>
    <n v="3511"/>
    <n v="479484"/>
    <n v="3.76"/>
    <n v="16"/>
    <n v="4.83"/>
    <n v="3.44"/>
    <n v="14.36"/>
    <n v="3.5"/>
    <n v="18424"/>
    <n v="8749"/>
    <n v="8"/>
    <n v="21682210.559999999"/>
    <n v="78.708245358247893"/>
    <n v="27547572"/>
    <n v="0.30711030425141561"/>
    <n v="45.219890549006848"/>
  </r>
  <r>
    <s v="P0114"/>
    <s v="Model_806"/>
    <x v="1"/>
    <x v="3"/>
    <n v="2023"/>
    <s v="Q1"/>
    <n v="913"/>
    <n v="6975"/>
    <n v="12080"/>
    <n v="281496"/>
    <n v="9.3699999999999992"/>
    <n v="16"/>
    <n v="2.12"/>
    <n v="1.36"/>
    <n v="63.32"/>
    <n v="2.9"/>
    <n v="18698"/>
    <n v="6696"/>
    <n v="5"/>
    <n v="-4942362.3600000003"/>
    <n v="-77.610341424348434"/>
    <n v="6368175"/>
    <n v="0.18278468564637709"/>
    <n v="-17.557482166709296"/>
  </r>
  <r>
    <s v="P0115"/>
    <s v="Model_407"/>
    <x v="1"/>
    <x v="0"/>
    <n v="2024"/>
    <s v="Q4"/>
    <n v="2840"/>
    <n v="8684"/>
    <n v="2468"/>
    <n v="217860"/>
    <n v="8.58"/>
    <n v="3"/>
    <n v="1.1599999999999999"/>
    <n v="0.46"/>
    <n v="74.599999999999994"/>
    <n v="2.8"/>
    <n v="2915"/>
    <n v="3430"/>
    <n v="12"/>
    <n v="17435579.539999999"/>
    <n v="70.696551939458033"/>
    <n v="24662560"/>
    <n v="0.56857448766233398"/>
    <n v="80.031120903332422"/>
  </r>
  <r>
    <s v="P0116"/>
    <s v="Model_428"/>
    <x v="0"/>
    <x v="0"/>
    <n v="2023"/>
    <s v="Q3"/>
    <n v="613"/>
    <n v="14375"/>
    <n v="947"/>
    <n v="256821"/>
    <n v="12.49"/>
    <n v="7"/>
    <n v="8.36"/>
    <n v="3.59"/>
    <n v="50.69"/>
    <n v="2.5"/>
    <n v="12530"/>
    <n v="1840"/>
    <n v="7"/>
    <n v="7974539.4100000001"/>
    <n v="90.497645620256762"/>
    <n v="8811875"/>
    <n v="0.12272400032993336"/>
    <n v="31.050977139719883"/>
  </r>
  <r>
    <s v="P0117"/>
    <s v="Model_868"/>
    <x v="1"/>
    <x v="3"/>
    <n v="2024"/>
    <s v="Q1"/>
    <n v="4241"/>
    <n v="3122"/>
    <n v="7220"/>
    <n v="242121"/>
    <n v="13.59"/>
    <n v="4"/>
    <n v="5.0199999999999996"/>
    <n v="16.45"/>
    <n v="14.38"/>
    <n v="3.3"/>
    <n v="3152"/>
    <n v="6155"/>
    <n v="4"/>
    <n v="-17621755.449999999"/>
    <n v="-133.0907887086812"/>
    <n v="13240402"/>
    <n v="0.84905788809012617"/>
    <n v="-72.78071294931047"/>
  </r>
  <r>
    <s v="P0118"/>
    <s v="Model_674"/>
    <x v="2"/>
    <x v="3"/>
    <n v="2023"/>
    <s v="Q1"/>
    <n v="1807"/>
    <n v="17488"/>
    <n v="13319"/>
    <n v="374637"/>
    <n v="0.18"/>
    <n v="15"/>
    <n v="0.14000000000000001"/>
    <n v="18.190000000000001"/>
    <n v="52.84"/>
    <n v="3.5"/>
    <n v="12357"/>
    <n v="6421"/>
    <n v="8"/>
    <n v="7158727.8099999996"/>
    <n v="22.653616950904052"/>
    <n v="31600816"/>
    <n v="0.36176552788937938"/>
    <n v="19.108486348118312"/>
  </r>
  <r>
    <s v="P0119"/>
    <s v="Model_774"/>
    <x v="0"/>
    <x v="1"/>
    <n v="2024"/>
    <s v="Q3"/>
    <n v="1728"/>
    <n v="9541"/>
    <n v="12889"/>
    <n v="86027"/>
    <n v="10.11"/>
    <n v="3"/>
    <n v="8.0299999999999994"/>
    <n v="19.66"/>
    <n v="84.86"/>
    <n v="3.6"/>
    <n v="20240"/>
    <n v="2054"/>
    <n v="7"/>
    <n v="-5871390.6600000001"/>
    <n v="-35.612572275792196"/>
    <n v="16486848"/>
    <n v="0.34594954742271589"/>
    <n v="-68.250328385274386"/>
  </r>
  <r>
    <s v="P0120"/>
    <s v="Model_184"/>
    <x v="0"/>
    <x v="1"/>
    <n v="2023"/>
    <s v="Q1"/>
    <n v="3292"/>
    <n v="18225"/>
    <n v="10942"/>
    <n v="405691"/>
    <n v="0.78"/>
    <n v="14"/>
    <n v="9.81"/>
    <n v="6.09"/>
    <n v="57.81"/>
    <n v="1.3"/>
    <n v="5310"/>
    <n v="379"/>
    <n v="4"/>
    <n v="23569938.91"/>
    <n v="39.285392213238396"/>
    <n v="59996700"/>
    <n v="0.65906592020577592"/>
    <n v="58.09826937250272"/>
  </r>
  <r>
    <s v="P0121"/>
    <s v="Model_715"/>
    <x v="0"/>
    <x v="1"/>
    <n v="2024"/>
    <s v="Q4"/>
    <n v="4686"/>
    <n v="19958"/>
    <n v="1165"/>
    <n v="223921"/>
    <n v="8.23"/>
    <n v="11"/>
    <n v="6.06"/>
    <n v="7.65"/>
    <n v="74.75"/>
    <n v="3.5"/>
    <n v="18069"/>
    <n v="2491"/>
    <n v="5"/>
    <n v="87840069.349999994"/>
    <n v="93.923305255590734"/>
    <n v="93523188"/>
    <n v="0.93814790464285103"/>
    <n v="392.2815501895758"/>
  </r>
  <r>
    <s v="P0122"/>
    <s v="Model_936"/>
    <x v="0"/>
    <x v="2"/>
    <n v="2023"/>
    <s v="Q3"/>
    <n v="1109"/>
    <n v="9492"/>
    <n v="10666"/>
    <n v="412271"/>
    <n v="4.3099999999999996"/>
    <n v="4"/>
    <n v="5.04"/>
    <n v="12.08"/>
    <n v="74.010000000000005"/>
    <n v="4.8"/>
    <n v="3051"/>
    <n v="9332"/>
    <n v="11"/>
    <n v="-1714249.08"/>
    <n v="-16.284883250362796"/>
    <n v="10526628"/>
    <n v="0.22202433338645367"/>
    <n v="-4.1580343997031077"/>
  </r>
  <r>
    <s v="P0123"/>
    <s v="Model_720"/>
    <x v="1"/>
    <x v="0"/>
    <n v="2023"/>
    <s v="Q2"/>
    <n v="1772"/>
    <n v="17146"/>
    <n v="5331"/>
    <n v="198930"/>
    <n v="4.5999999999999996"/>
    <n v="15"/>
    <n v="8.7799999999999994"/>
    <n v="1.58"/>
    <n v="84.57"/>
    <n v="3.2"/>
    <n v="15084"/>
    <n v="6539"/>
    <n v="6"/>
    <n v="20737248.420000002"/>
    <n v="68.253447618500957"/>
    <n v="30382712"/>
    <n v="0.35475844793579431"/>
    <n v="104.24395516010657"/>
  </r>
  <r>
    <s v="P0124"/>
    <s v="Model_651"/>
    <x v="0"/>
    <x v="2"/>
    <n v="2023"/>
    <s v="Q3"/>
    <n v="3364"/>
    <n v="18529"/>
    <n v="13486"/>
    <n v="265234"/>
    <n v="5.29"/>
    <n v="13"/>
    <n v="9.5299999999999994"/>
    <n v="15.28"/>
    <n v="71.62"/>
    <n v="3.9"/>
    <n v="2261"/>
    <n v="1061"/>
    <n v="10"/>
    <n v="16699402.720000001"/>
    <n v="26.791249555842949"/>
    <n v="62331556"/>
    <n v="0.67348048468172239"/>
    <n v="62.961075880166192"/>
  </r>
  <r>
    <s v="P0125"/>
    <s v="Model_366"/>
    <x v="0"/>
    <x v="0"/>
    <n v="2023"/>
    <s v="Q2"/>
    <n v="3207"/>
    <n v="5763"/>
    <n v="6130"/>
    <n v="129003"/>
    <n v="9.32"/>
    <n v="9"/>
    <n v="7.55"/>
    <n v="24.59"/>
    <n v="69.819999999999993"/>
    <n v="3.2"/>
    <n v="14011"/>
    <n v="6927"/>
    <n v="7"/>
    <n v="-1305996.5900000001"/>
    <n v="-7.0663389197054576"/>
    <n v="18481941"/>
    <n v="0.64204872603278351"/>
    <n v="-10.123578521429733"/>
  </r>
  <r>
    <s v="P0126"/>
    <s v="Model_301"/>
    <x v="0"/>
    <x v="0"/>
    <n v="2023"/>
    <s v="Q3"/>
    <n v="2675"/>
    <n v="15560"/>
    <n v="6310"/>
    <n v="233467"/>
    <n v="5.01"/>
    <n v="6"/>
    <n v="4.45"/>
    <n v="9.02"/>
    <n v="28.73"/>
    <n v="4.4000000000000004"/>
    <n v="10971"/>
    <n v="1317"/>
    <n v="14"/>
    <n v="24510273.98"/>
    <n v="58.886370468250725"/>
    <n v="41623000"/>
    <n v="0.53554111073828992"/>
    <n v="104.98392920626898"/>
  </r>
  <r>
    <s v="P0127"/>
    <s v="Model_607"/>
    <x v="2"/>
    <x v="3"/>
    <n v="2023"/>
    <s v="Q4"/>
    <n v="2779"/>
    <n v="16656"/>
    <n v="11538"/>
    <n v="89758"/>
    <n v="10.99"/>
    <n v="12"/>
    <n v="5.92"/>
    <n v="18.82"/>
    <n v="14.79"/>
    <n v="4.7"/>
    <n v="13967"/>
    <n v="8666"/>
    <n v="5"/>
    <n v="14133145.18"/>
    <n v="30.533708928878212"/>
    <n v="46287024"/>
    <n v="0.55636214831465713"/>
    <n v="157.45854408520688"/>
  </r>
  <r>
    <s v="P0128"/>
    <s v="Model_816"/>
    <x v="0"/>
    <x v="1"/>
    <n v="2023"/>
    <s v="Q1"/>
    <n v="1647"/>
    <n v="10146"/>
    <n v="9554"/>
    <n v="366456"/>
    <n v="6.07"/>
    <n v="19"/>
    <n v="7.01"/>
    <n v="12.5"/>
    <n v="51.41"/>
    <n v="1.7"/>
    <n v="7663"/>
    <n v="6107"/>
    <n v="12"/>
    <n v="608555.5"/>
    <n v="3.6417634653069437"/>
    <n v="16710462"/>
    <n v="0.32973316238727607"/>
    <n v="1.6606850481367477"/>
  </r>
  <r>
    <s v="P0129"/>
    <s v="Model_719"/>
    <x v="2"/>
    <x v="0"/>
    <n v="2023"/>
    <s v="Q4"/>
    <n v="3110"/>
    <n v="13164"/>
    <n v="12554"/>
    <n v="380814"/>
    <n v="1.03"/>
    <n v="4"/>
    <n v="1.94"/>
    <n v="3.2"/>
    <n v="19.95"/>
    <n v="2.7"/>
    <n v="17565"/>
    <n v="4230"/>
    <n v="12"/>
    <n v="1516282.8"/>
    <n v="3.7036671190355461"/>
    <n v="40940040"/>
    <n v="0.62262910444713337"/>
    <n v="3.9816971014721099"/>
  </r>
  <r>
    <s v="P0130"/>
    <s v="Model_899"/>
    <x v="0"/>
    <x v="0"/>
    <n v="2024"/>
    <s v="Q4"/>
    <n v="2743"/>
    <n v="4469"/>
    <n v="11481"/>
    <n v="132279"/>
    <n v="11.76"/>
    <n v="2"/>
    <n v="4.47"/>
    <n v="14.56"/>
    <n v="86.98"/>
    <n v="2.6"/>
    <n v="13386"/>
    <n v="1492"/>
    <n v="8"/>
    <n v="-19366209.559999999"/>
    <n v="-157.9823118176196"/>
    <n v="12258467"/>
    <n v="0.54915486607668385"/>
    <n v="-146.40415334255627"/>
  </r>
  <r>
    <s v="P0131"/>
    <s v="Model_295"/>
    <x v="0"/>
    <x v="3"/>
    <n v="2023"/>
    <s v="Q2"/>
    <n v="4941"/>
    <n v="4528"/>
    <n v="14372"/>
    <n v="65434"/>
    <n v="4.29"/>
    <n v="14"/>
    <n v="8.3000000000000007"/>
    <n v="7.5"/>
    <n v="33.19"/>
    <n v="2.6"/>
    <n v="19420"/>
    <n v="2176"/>
    <n v="3"/>
    <n v="-48704645.5"/>
    <n v="-217.69533096546314"/>
    <n v="22372848"/>
    <n v="0.98919948716182826"/>
    <n v="-744.33227374147998"/>
  </r>
  <r>
    <s v="P0132"/>
    <s v="Model_482"/>
    <x v="0"/>
    <x v="0"/>
    <n v="2023"/>
    <s v="Q1"/>
    <n v="3677"/>
    <n v="5129"/>
    <n v="9764"/>
    <n v="245119"/>
    <n v="6.49"/>
    <n v="3"/>
    <n v="6.55"/>
    <n v="0.86"/>
    <n v="78.239999999999995"/>
    <n v="1.5"/>
    <n v="7701"/>
    <n v="9066"/>
    <n v="5"/>
    <n v="-17288014.859999999"/>
    <n v="-91.668219973633214"/>
    <n v="18859333"/>
    <n v="0.73614379969521204"/>
    <n v="-70.529065474320632"/>
  </r>
  <r>
    <s v="P0133"/>
    <s v="Model_385"/>
    <x v="1"/>
    <x v="3"/>
    <n v="2024"/>
    <s v="Q1"/>
    <n v="1413"/>
    <n v="4567"/>
    <n v="7293"/>
    <n v="490991"/>
    <n v="10.28"/>
    <n v="14"/>
    <n v="4.1100000000000003"/>
    <n v="15.87"/>
    <n v="41.01"/>
    <n v="4.3"/>
    <n v="17080"/>
    <n v="4416"/>
    <n v="6"/>
    <n v="-4342844.87"/>
    <n v="-67.297842719494028"/>
    <n v="6453171"/>
    <n v="0.28288582784044997"/>
    <n v="-8.8450277092655458"/>
  </r>
  <r>
    <s v="P0134"/>
    <s v="Model_819"/>
    <x v="0"/>
    <x v="1"/>
    <n v="2024"/>
    <s v="Q4"/>
    <n v="2031"/>
    <n v="7441"/>
    <n v="11029"/>
    <n v="387913"/>
    <n v="4.99"/>
    <n v="13"/>
    <n v="6.63"/>
    <n v="21.47"/>
    <n v="35.86"/>
    <n v="1.1000000000000001"/>
    <n v="20654"/>
    <n v="6296"/>
    <n v="5"/>
    <n v="-7675162.4699999997"/>
    <n v="-50.786273783105585"/>
    <n v="15112671"/>
    <n v="0.40661083959232408"/>
    <n v="-19.785727727609025"/>
  </r>
  <r>
    <s v="P0135"/>
    <s v="Model_409"/>
    <x v="2"/>
    <x v="2"/>
    <n v="2024"/>
    <s v="Q1"/>
    <n v="1713"/>
    <n v="19270"/>
    <n v="12415"/>
    <n v="295754"/>
    <n v="0.85"/>
    <n v="19"/>
    <n v="1.18"/>
    <n v="8.6199999999999992"/>
    <n v="84.81"/>
    <n v="3.1"/>
    <n v="8899"/>
    <n v="4689"/>
    <n v="5"/>
    <n v="11446852.380000001"/>
    <n v="34.677438047399072"/>
    <n v="33009510"/>
    <n v="0.34294651315689373"/>
    <n v="38.70399385976183"/>
  </r>
  <r>
    <s v="P0136"/>
    <s v="Model_821"/>
    <x v="2"/>
    <x v="2"/>
    <n v="2024"/>
    <s v="Q1"/>
    <n v="1579"/>
    <n v="13055"/>
    <n v="11559"/>
    <n v="378821"/>
    <n v="5.61"/>
    <n v="18"/>
    <n v="4.01"/>
    <n v="9.76"/>
    <n v="39.07"/>
    <n v="3.6"/>
    <n v="18445"/>
    <n v="8242"/>
    <n v="12"/>
    <n v="1983353.24"/>
    <n v="9.621461886416629"/>
    <n v="20613845"/>
    <n v="0.31611940704888219"/>
    <n v="5.2356205173419639"/>
  </r>
  <r>
    <s v="P0137"/>
    <s v="Model_278"/>
    <x v="1"/>
    <x v="2"/>
    <n v="2023"/>
    <s v="Q4"/>
    <n v="2088"/>
    <n v="14581"/>
    <n v="6239"/>
    <n v="133555"/>
    <n v="14.17"/>
    <n v="12"/>
    <n v="7.93"/>
    <n v="22.28"/>
    <n v="41.22"/>
    <n v="1.8"/>
    <n v="9123"/>
    <n v="6360"/>
    <n v="14"/>
    <n v="17284518.719999999"/>
    <n v="56.772691906567118"/>
    <n v="30445128"/>
    <n v="0.41802236980244839"/>
    <n v="129.41889858110892"/>
  </r>
  <r>
    <s v="P0138"/>
    <s v="Model_167"/>
    <x v="2"/>
    <x v="1"/>
    <n v="2023"/>
    <s v="Q1"/>
    <n v="3352"/>
    <n v="8319"/>
    <n v="10565"/>
    <n v="178379"/>
    <n v="9.6300000000000008"/>
    <n v="9"/>
    <n v="2.21"/>
    <n v="20.34"/>
    <n v="18.489999999999998"/>
    <n v="4.5999999999999996"/>
    <n v="11827"/>
    <n v="8571"/>
    <n v="10"/>
    <n v="-7706991.3399999999"/>
    <n v="-27.638198823695131"/>
    <n v="27885288"/>
    <n v="0.67107805726906467"/>
    <n v="-43.205595950195928"/>
  </r>
  <r>
    <s v="P0139"/>
    <s v="Model_641"/>
    <x v="2"/>
    <x v="0"/>
    <n v="2024"/>
    <s v="Q2"/>
    <n v="2287"/>
    <n v="12546"/>
    <n v="12686"/>
    <n v="266992"/>
    <n v="10.07"/>
    <n v="4"/>
    <n v="1.86"/>
    <n v="17.87"/>
    <n v="63.64"/>
    <n v="4.4000000000000004"/>
    <n v="8687"/>
    <n v="7997"/>
    <n v="12"/>
    <n v="-587189.87"/>
    <n v="-2.0464781253435107"/>
    <n v="28692702"/>
    <n v="0.45786262439568937"/>
    <n v="-2.1992119614070833"/>
  </r>
  <r>
    <s v="P0140"/>
    <s v="Model_572"/>
    <x v="1"/>
    <x v="1"/>
    <n v="2024"/>
    <s v="Q3"/>
    <n v="1356"/>
    <n v="19217"/>
    <n v="14079"/>
    <n v="289511"/>
    <n v="9.48"/>
    <n v="19"/>
    <n v="9.51"/>
    <n v="6.22"/>
    <n v="33.11"/>
    <n v="2.9"/>
    <n v="3680"/>
    <n v="4941"/>
    <n v="14"/>
    <n v="6677610.7800000003"/>
    <n v="25.62570497821573"/>
    <n v="26058252"/>
    <n v="0.27147429763032566"/>
    <n v="23.065158145977183"/>
  </r>
  <r>
    <s v="P0141"/>
    <s v="Model_569"/>
    <x v="1"/>
    <x v="1"/>
    <n v="2024"/>
    <s v="Q2"/>
    <n v="4079"/>
    <n v="4211"/>
    <n v="7311"/>
    <n v="226806"/>
    <n v="2.98"/>
    <n v="19"/>
    <n v="2.1"/>
    <n v="22.76"/>
    <n v="56.85"/>
    <n v="2.6"/>
    <n v="3460"/>
    <n v="7261"/>
    <n v="3"/>
    <n v="-12871728.76"/>
    <n v="-74.937281262158578"/>
    <n v="17176669"/>
    <n v="0.81662511801924664"/>
    <n v="-56.752052414839113"/>
  </r>
  <r>
    <s v="P0142"/>
    <s v="Model_288"/>
    <x v="2"/>
    <x v="3"/>
    <n v="2024"/>
    <s v="Q4"/>
    <n v="2725"/>
    <n v="6353"/>
    <n v="12283"/>
    <n v="413809"/>
    <n v="6.28"/>
    <n v="5"/>
    <n v="2.61"/>
    <n v="3.86"/>
    <n v="57.31"/>
    <n v="1.9"/>
    <n v="6653"/>
    <n v="9766"/>
    <n v="7"/>
    <n v="-16573062.859999999"/>
    <n v="-95.7320624944944"/>
    <n v="17311925"/>
    <n v="0.54555122495769726"/>
    <n v="-40.050020661706249"/>
  </r>
  <r>
    <s v="P0143"/>
    <s v="Model_106"/>
    <x v="0"/>
    <x v="3"/>
    <n v="2023"/>
    <s v="Q3"/>
    <n v="1332"/>
    <n v="9215"/>
    <n v="8304"/>
    <n v="483819"/>
    <n v="11.26"/>
    <n v="3"/>
    <n v="9.6999999999999993"/>
    <n v="15.67"/>
    <n v="67.540000000000006"/>
    <n v="3.9"/>
    <n v="8535"/>
    <n v="1159"/>
    <n v="9"/>
    <n v="729617.33"/>
    <n v="5.9442296067092597"/>
    <n v="12274380"/>
    <n v="0.26666944280501015"/>
    <n v="1.5080701667359075"/>
  </r>
  <r>
    <s v="P0144"/>
    <s v="Model_135"/>
    <x v="0"/>
    <x v="3"/>
    <n v="2023"/>
    <s v="Q3"/>
    <n v="759"/>
    <n v="10442"/>
    <n v="2046"/>
    <n v="118803"/>
    <n v="1.52"/>
    <n v="1"/>
    <n v="7.35"/>
    <n v="0.72"/>
    <n v="69.62"/>
    <n v="1.5"/>
    <n v="12971"/>
    <n v="2022"/>
    <n v="9"/>
    <n v="6253760.2800000003"/>
    <n v="78.907042326027536"/>
    <n v="7925478"/>
    <n v="0.15195353385060265"/>
    <n v="52.639756571803744"/>
  </r>
  <r>
    <s v="P0145"/>
    <s v="Model_288"/>
    <x v="1"/>
    <x v="1"/>
    <n v="2024"/>
    <s v="Q3"/>
    <n v="4794"/>
    <n v="17007"/>
    <n v="12711"/>
    <n v="482548"/>
    <n v="4.17"/>
    <n v="15"/>
    <n v="7"/>
    <n v="16.09"/>
    <n v="51.16"/>
    <n v="3.7"/>
    <n v="2082"/>
    <n v="6201"/>
    <n v="12"/>
    <n v="20112459.91"/>
    <n v="24.668312986242704"/>
    <n v="81531558"/>
    <n v="0.95976975135677078"/>
    <n v="41.679741704452198"/>
  </r>
  <r>
    <s v="P0146"/>
    <s v="Model_390"/>
    <x v="2"/>
    <x v="3"/>
    <n v="2024"/>
    <s v="Q2"/>
    <n v="4463"/>
    <n v="17326"/>
    <n v="4639"/>
    <n v="403847"/>
    <n v="4.1399999999999997"/>
    <n v="17"/>
    <n v="8.5299999999999994"/>
    <n v="6.93"/>
    <n v="36.479999999999997"/>
    <n v="4.4000000000000004"/>
    <n v="17014"/>
    <n v="4692"/>
    <n v="8"/>
    <n v="56218227.07"/>
    <n v="72.702935811784144"/>
    <n v="77325938"/>
    <n v="0.89350279522429454"/>
    <n v="139.20676394773267"/>
  </r>
  <r>
    <s v="P0147"/>
    <s v="Model_741"/>
    <x v="2"/>
    <x v="1"/>
    <n v="2023"/>
    <s v="Q1"/>
    <n v="3798"/>
    <n v="3262"/>
    <n v="9351"/>
    <n v="333456"/>
    <n v="6.48"/>
    <n v="4"/>
    <n v="1.1599999999999999"/>
    <n v="11.24"/>
    <n v="77"/>
    <n v="1.9"/>
    <n v="17031"/>
    <n v="6449"/>
    <n v="11"/>
    <n v="-23459489.239999998"/>
    <n v="-189.35624609938625"/>
    <n v="12389076"/>
    <n v="0.76036827610617763"/>
    <n v="-70.352544263710953"/>
  </r>
  <r>
    <s v="P0148"/>
    <s v="Model_574"/>
    <x v="1"/>
    <x v="0"/>
    <n v="2024"/>
    <s v="Q2"/>
    <n v="4829"/>
    <n v="17350"/>
    <n v="14008"/>
    <n v="274448"/>
    <n v="14.71"/>
    <n v="3"/>
    <n v="7.06"/>
    <n v="8.6300000000000008"/>
    <n v="34.79"/>
    <n v="4.5"/>
    <n v="18172"/>
    <n v="2573"/>
    <n v="12"/>
    <n v="15864061.369999999"/>
    <n v="18.934668092569925"/>
    <n v="83783150"/>
    <n v="0.96677683131035597"/>
    <n v="57.803554771760041"/>
  </r>
  <r>
    <s v="P0149"/>
    <s v="Model_647"/>
    <x v="1"/>
    <x v="0"/>
    <n v="2023"/>
    <s v="Q3"/>
    <n v="713"/>
    <n v="13612"/>
    <n v="3176"/>
    <n v="225251"/>
    <n v="1.01"/>
    <n v="12"/>
    <n v="5.04"/>
    <n v="4.32"/>
    <n v="50.6"/>
    <n v="1.1000000000000001"/>
    <n v="9479"/>
    <n v="8208"/>
    <n v="5"/>
    <n v="7215612.6799999997"/>
    <n v="74.346707941470669"/>
    <n v="9705356"/>
    <n v="0.14274422876874793"/>
    <n v="32.033673546399349"/>
  </r>
  <r>
    <s v="P0150"/>
    <s v="Model_457"/>
    <x v="0"/>
    <x v="3"/>
    <n v="2023"/>
    <s v="Q4"/>
    <n v="2048"/>
    <n v="14152"/>
    <n v="3809"/>
    <n v="252514"/>
    <n v="7.78"/>
    <n v="18"/>
    <n v="8.2899999999999991"/>
    <n v="15.55"/>
    <n v="42.1"/>
    <n v="4.7"/>
    <n v="4560"/>
    <n v="8196"/>
    <n v="8"/>
    <n v="20929934.449999999"/>
    <n v="72.213782897569686"/>
    <n v="28983296"/>
    <n v="0.41001427842692256"/>
    <n v="82.886295413323623"/>
  </r>
  <r>
    <s v="P0151"/>
    <s v="Model_570"/>
    <x v="0"/>
    <x v="0"/>
    <n v="2023"/>
    <s v="Q1"/>
    <n v="3495"/>
    <n v="7622"/>
    <n v="11985"/>
    <n v="295404"/>
    <n v="2.69"/>
    <n v="1"/>
    <n v="5.08"/>
    <n v="22.05"/>
    <n v="78.41"/>
    <n v="1.5"/>
    <n v="15231"/>
    <n v="6848"/>
    <n v="14"/>
    <n v="-15544111.050000001"/>
    <n v="-58.351196502556981"/>
    <n v="26638890"/>
    <n v="0.69970698393656949"/>
    <n v="-52.619764796685217"/>
  </r>
  <r>
    <s v="P0152"/>
    <s v="Model_962"/>
    <x v="2"/>
    <x v="1"/>
    <n v="2024"/>
    <s v="Q4"/>
    <n v="3793"/>
    <n v="1981"/>
    <n v="9954"/>
    <n v="167961"/>
    <n v="14.56"/>
    <n v="12"/>
    <n v="6.2"/>
    <n v="23.98"/>
    <n v="44.55"/>
    <n v="3.6"/>
    <n v="13794"/>
    <n v="4649"/>
    <n v="11"/>
    <n v="-30409573.98"/>
    <n v="-404.70914473152743"/>
    <n v="7513933"/>
    <n v="0.75936726468423688"/>
    <n v="-181.05125594632088"/>
  </r>
  <r>
    <s v="P0153"/>
    <s v="Model_858"/>
    <x v="2"/>
    <x v="1"/>
    <n v="2024"/>
    <s v="Q3"/>
    <n v="1545"/>
    <n v="16036"/>
    <n v="12624"/>
    <n v="352523"/>
    <n v="1.7"/>
    <n v="10"/>
    <n v="4.78"/>
    <n v="4.8099999999999996"/>
    <n v="40.89"/>
    <n v="2"/>
    <n v="19067"/>
    <n v="694"/>
    <n v="7"/>
    <n v="4919012.1900000004"/>
    <n v="19.854244575917779"/>
    <n v="24775620"/>
    <n v="0.30931252937968523"/>
    <n v="13.953747698731714"/>
  </r>
  <r>
    <s v="P0154"/>
    <s v="Model_420"/>
    <x v="0"/>
    <x v="0"/>
    <n v="2023"/>
    <s v="Q2"/>
    <n v="3354"/>
    <n v="1653"/>
    <n v="2627"/>
    <n v="67297"/>
    <n v="6.05"/>
    <n v="3"/>
    <n v="4.78"/>
    <n v="17.93"/>
    <n v="65.19"/>
    <n v="4.3"/>
    <n v="15774"/>
    <n v="5552"/>
    <n v="12"/>
    <n v="-3334110.93"/>
    <n v="-60.137328779353851"/>
    <n v="5544162"/>
    <n v="0.67147846183784088"/>
    <n v="-49.542966254067792"/>
  </r>
  <r>
    <s v="P0155"/>
    <s v="Model_569"/>
    <x v="0"/>
    <x v="3"/>
    <n v="2024"/>
    <s v="Q1"/>
    <n v="3813"/>
    <n v="9117"/>
    <n v="7779"/>
    <n v="314155"/>
    <n v="11.07"/>
    <n v="19"/>
    <n v="7.68"/>
    <n v="16.61"/>
    <n v="58.2"/>
    <n v="3"/>
    <n v="19330"/>
    <n v="606"/>
    <n v="7"/>
    <n v="4787622.3899999997"/>
    <n v="13.772130500020408"/>
    <n v="34763121"/>
    <n v="0.76337131037199979"/>
    <n v="15.239735162578981"/>
  </r>
  <r>
    <s v="P0156"/>
    <s v="Model_975"/>
    <x v="1"/>
    <x v="2"/>
    <n v="2024"/>
    <s v="Q3"/>
    <n v="1903"/>
    <n v="3024"/>
    <n v="10605"/>
    <n v="170234"/>
    <n v="10.57"/>
    <n v="19"/>
    <n v="6.29"/>
    <n v="8.58"/>
    <n v="18.579999999999998"/>
    <n v="1.5"/>
    <n v="17848"/>
    <n v="4989"/>
    <n v="3"/>
    <n v="-14596885.58"/>
    <n v="-253.65278125321478"/>
    <n v="5754672"/>
    <n v="0.38098494719064141"/>
    <n v="-85.745955567043012"/>
  </r>
  <r>
    <s v="P0157"/>
    <s v="Model_539"/>
    <x v="0"/>
    <x v="0"/>
    <n v="2024"/>
    <s v="Q4"/>
    <n v="4709"/>
    <n v="3620"/>
    <n v="10632"/>
    <n v="94014"/>
    <n v="6.34"/>
    <n v="14"/>
    <n v="6.33"/>
    <n v="0.48"/>
    <n v="50.65"/>
    <n v="3.3"/>
    <n v="3403"/>
    <n v="7737"/>
    <n v="9"/>
    <n v="-33113522.48"/>
    <n v="-194.25317265985319"/>
    <n v="17046580"/>
    <n v="0.94275255718377848"/>
    <n v="-352.2190524815453"/>
  </r>
  <r>
    <s v="P0158"/>
    <s v="Model_957"/>
    <x v="1"/>
    <x v="3"/>
    <n v="2024"/>
    <s v="Q3"/>
    <n v="1341"/>
    <n v="16548"/>
    <n v="11208"/>
    <n v="293166"/>
    <n v="5.2"/>
    <n v="3"/>
    <n v="4.5"/>
    <n v="17.239999999999998"/>
    <n v="68.84"/>
    <n v="2.6"/>
    <n v="16051"/>
    <n v="8312"/>
    <n v="9"/>
    <n v="6867756.7599999998"/>
    <n v="30.948571998175105"/>
    <n v="22190868"/>
    <n v="0.2684712633645035"/>
    <n v="23.42622950819672"/>
  </r>
  <r>
    <s v="P0159"/>
    <s v="Model_147"/>
    <x v="1"/>
    <x v="2"/>
    <n v="2024"/>
    <s v="Q4"/>
    <n v="3631"/>
    <n v="3843"/>
    <n v="13304"/>
    <n v="454954"/>
    <n v="5.96"/>
    <n v="8"/>
    <n v="5.31"/>
    <n v="23.64"/>
    <n v="89.37"/>
    <n v="3.6"/>
    <n v="16641"/>
    <n v="1499"/>
    <n v="12"/>
    <n v="-34807868.640000001"/>
    <n v="-249.448443245356"/>
    <n v="13953933"/>
    <n v="0.72693449461335724"/>
    <n v="-76.508493166342092"/>
  </r>
  <r>
    <s v="P0160"/>
    <s v="Model_693"/>
    <x v="0"/>
    <x v="2"/>
    <n v="2024"/>
    <s v="Q3"/>
    <n v="3507"/>
    <n v="6636"/>
    <n v="9369"/>
    <n v="406477"/>
    <n v="3.96"/>
    <n v="6"/>
    <n v="7.46"/>
    <n v="15.8"/>
    <n v="60.33"/>
    <n v="4.5"/>
    <n v="3877"/>
    <n v="3301"/>
    <n v="8"/>
    <n v="-9991123.8000000007"/>
    <n v="-42.931117872753596"/>
    <n v="23272452"/>
    <n v="0.70210941134922722"/>
    <n v="-24.579762200567313"/>
  </r>
  <r>
    <s v="P0161"/>
    <s v="Model_271"/>
    <x v="1"/>
    <x v="3"/>
    <n v="2023"/>
    <s v="Q3"/>
    <n v="1686"/>
    <n v="2740"/>
    <n v="13206"/>
    <n v="228570"/>
    <n v="3.08"/>
    <n v="18"/>
    <n v="8.26"/>
    <n v="10.88"/>
    <n v="39.619999999999997"/>
    <n v="2.6"/>
    <n v="2347"/>
    <n v="7954"/>
    <n v="12"/>
    <n v="-17874256.879999999"/>
    <n v="-386.91882657523092"/>
    <n v="4619640"/>
    <n v="0.33754105147841379"/>
    <n v="-78.200315001968761"/>
  </r>
  <r>
    <s v="P0162"/>
    <s v="Model_354"/>
    <x v="2"/>
    <x v="0"/>
    <n v="2024"/>
    <s v="Q1"/>
    <n v="3746"/>
    <n v="1560"/>
    <n v="5085"/>
    <n v="308864"/>
    <n v="7.25"/>
    <n v="18"/>
    <n v="6.97"/>
    <n v="13.13"/>
    <n v="28.09"/>
    <n v="2.2000000000000002"/>
    <n v="15880"/>
    <n v="6863"/>
    <n v="10"/>
    <n v="-13513527.130000001"/>
    <n v="-231.24712736320453"/>
    <n v="5843760"/>
    <n v="0.74995775731799408"/>
    <n v="-43.752311697057607"/>
  </r>
  <r>
    <s v="P0163"/>
    <s v="Model_831"/>
    <x v="2"/>
    <x v="2"/>
    <n v="2023"/>
    <s v="Q2"/>
    <n v="3049"/>
    <n v="10630"/>
    <n v="7710"/>
    <n v="323264"/>
    <n v="4.03"/>
    <n v="5"/>
    <n v="9.24"/>
    <n v="4.99"/>
    <n v="79.83"/>
    <n v="1.1000000000000001"/>
    <n v="19123"/>
    <n v="8062"/>
    <n v="9"/>
    <n v="8579811.0099999998"/>
    <n v="26.472016980722824"/>
    <n v="32410870"/>
    <n v="0.61041676509945642"/>
    <n v="26.541204711938231"/>
  </r>
  <r>
    <s v="P0164"/>
    <s v="Model_838"/>
    <x v="1"/>
    <x v="0"/>
    <n v="2024"/>
    <s v="Q4"/>
    <n v="3202"/>
    <n v="19523"/>
    <n v="9361"/>
    <n v="451983"/>
    <n v="4.3099999999999996"/>
    <n v="5"/>
    <n v="8.1999999999999993"/>
    <n v="18.760000000000002"/>
    <n v="75.17"/>
    <n v="3.3"/>
    <n v="11024"/>
    <n v="5290"/>
    <n v="10"/>
    <n v="32086722.239999998"/>
    <n v="51.328370006926271"/>
    <n v="62512646"/>
    <n v="0.64104771461084276"/>
    <n v="70.991035061053182"/>
  </r>
  <r>
    <s v="P0165"/>
    <s v="Model_597"/>
    <x v="1"/>
    <x v="3"/>
    <n v="2023"/>
    <s v="Q3"/>
    <n v="748"/>
    <n v="13812"/>
    <n v="14889"/>
    <n v="334996"/>
    <n v="9.85"/>
    <n v="19"/>
    <n v="5.62"/>
    <n v="18.66"/>
    <n v="28.71"/>
    <n v="2.6"/>
    <n v="16731"/>
    <n v="5781"/>
    <n v="10"/>
    <n v="-1140610.6599999999"/>
    <n v="-11.040258916140502"/>
    <n v="10331376"/>
    <n v="0.14975130872233303"/>
    <n v="-3.4047928930494691"/>
  </r>
  <r>
    <s v="P0166"/>
    <s v="Model_348"/>
    <x v="1"/>
    <x v="3"/>
    <n v="2024"/>
    <s v="Q1"/>
    <n v="2210"/>
    <n v="14850"/>
    <n v="2996"/>
    <n v="391383"/>
    <n v="14.53"/>
    <n v="14"/>
    <n v="6.71"/>
    <n v="3.64"/>
    <n v="26.05"/>
    <n v="2.5"/>
    <n v="13198"/>
    <n v="3778"/>
    <n v="7"/>
    <n v="25805953.359999999"/>
    <n v="78.632336517512996"/>
    <n v="32818500"/>
    <n v="0.44244704849780214"/>
    <n v="65.93530378171765"/>
  </r>
  <r>
    <s v="P0167"/>
    <s v="Model_892"/>
    <x v="2"/>
    <x v="3"/>
    <n v="2024"/>
    <s v="Q2"/>
    <n v="4147"/>
    <n v="13918"/>
    <n v="4547"/>
    <n v="444145"/>
    <n v="9.0500000000000007"/>
    <n v="14"/>
    <n v="9.26"/>
    <n v="21.95"/>
    <n v="67.209999999999994"/>
    <n v="1.7"/>
    <n v="12071"/>
    <n v="436"/>
    <n v="3"/>
    <n v="38417370.049999997"/>
    <n v="66.560528765178162"/>
    <n v="57717946"/>
    <n v="0.83023887335764046"/>
    <n v="86.49740962973803"/>
  </r>
  <r>
    <s v="P0168"/>
    <s v="Model_439"/>
    <x v="0"/>
    <x v="2"/>
    <n v="2024"/>
    <s v="Q3"/>
    <n v="4787"/>
    <n v="2752"/>
    <n v="9643"/>
    <n v="258559"/>
    <n v="1.1499999999999999"/>
    <n v="19"/>
    <n v="6.19"/>
    <n v="6.73"/>
    <n v="35.200000000000003"/>
    <n v="2.7"/>
    <n v="13814"/>
    <n v="1767"/>
    <n v="13"/>
    <n v="-33245782.73"/>
    <n v="-252.36243273023837"/>
    <n v="13173824"/>
    <n v="0.95836833536605381"/>
    <n v="-128.58100472232644"/>
  </r>
  <r>
    <s v="P0169"/>
    <s v="Model_831"/>
    <x v="2"/>
    <x v="2"/>
    <n v="2024"/>
    <s v="Q3"/>
    <n v="904"/>
    <n v="9863"/>
    <n v="6778"/>
    <n v="141575"/>
    <n v="1.1299999999999999"/>
    <n v="8"/>
    <n v="8.25"/>
    <n v="24.56"/>
    <n v="34.51"/>
    <n v="4.9000000000000004"/>
    <n v="12929"/>
    <n v="1009"/>
    <n v="8"/>
    <n v="2647240.44"/>
    <n v="29.690391550076761"/>
    <n v="8916152"/>
    <n v="0.18098286508688377"/>
    <n v="18.69867561363235"/>
  </r>
  <r>
    <s v="P0170"/>
    <s v="Model_431"/>
    <x v="1"/>
    <x v="0"/>
    <n v="2024"/>
    <s v="Q3"/>
    <n v="3524"/>
    <n v="11150"/>
    <n v="6407"/>
    <n v="145040"/>
    <n v="14.27"/>
    <n v="3"/>
    <n v="6.89"/>
    <n v="9.57"/>
    <n v="22.18"/>
    <n v="2.2000000000000002"/>
    <n v="3865"/>
    <n v="8567"/>
    <n v="4"/>
    <n v="16569282.43"/>
    <n v="42.168964207000812"/>
    <n v="39292600"/>
    <n v="0.7055128501838257"/>
    <n v="114.23946497517926"/>
  </r>
  <r>
    <s v="P0171"/>
    <s v="Model_244"/>
    <x v="0"/>
    <x v="3"/>
    <n v="2023"/>
    <s v="Q1"/>
    <n v="1757"/>
    <n v="17814"/>
    <n v="1569"/>
    <n v="198510"/>
    <n v="4.46"/>
    <n v="17"/>
    <n v="5.52"/>
    <n v="4.45"/>
    <n v="31.12"/>
    <n v="3.4"/>
    <n v="12104"/>
    <n v="9183"/>
    <n v="14"/>
    <n v="28343950.550000001"/>
    <n v="90.558072925702447"/>
    <n v="31299198"/>
    <n v="0.35175541366997209"/>
    <n v="142.78351216563397"/>
  </r>
  <r>
    <s v="P0172"/>
    <s v="Model_650"/>
    <x v="1"/>
    <x v="2"/>
    <n v="2023"/>
    <s v="Q4"/>
    <n v="2827"/>
    <n v="5590"/>
    <n v="11413"/>
    <n v="229587"/>
    <n v="1.38"/>
    <n v="17"/>
    <n v="2.42"/>
    <n v="8.7899999999999991"/>
    <n v="44.2"/>
    <n v="4.0999999999999996"/>
    <n v="12866"/>
    <n v="8304"/>
    <n v="8"/>
    <n v="-16691216.789999999"/>
    <n v="-105.62102591101777"/>
    <n v="15802930"/>
    <n v="0.56597185796528804"/>
    <n v="-72.70101530138902"/>
  </r>
  <r>
    <s v="P0173"/>
    <s v="Model_420"/>
    <x v="0"/>
    <x v="1"/>
    <n v="2024"/>
    <s v="Q2"/>
    <n v="1783"/>
    <n v="8460"/>
    <n v="1580"/>
    <n v="55744"/>
    <n v="8.99"/>
    <n v="4"/>
    <n v="4.26"/>
    <n v="11"/>
    <n v="68.63"/>
    <n v="4"/>
    <n v="6555"/>
    <n v="5222"/>
    <n v="10"/>
    <n v="12211285"/>
    <n v="80.954251407766293"/>
    <n v="15084180"/>
    <n v="0.35696067306406393"/>
    <n v="219.06027554535018"/>
  </r>
  <r>
    <s v="P0174"/>
    <s v="Model_777"/>
    <x v="2"/>
    <x v="0"/>
    <n v="2023"/>
    <s v="Q2"/>
    <n v="4981"/>
    <n v="4504"/>
    <n v="10708"/>
    <n v="264892"/>
    <n v="9.35"/>
    <n v="19"/>
    <n v="9.68"/>
    <n v="1.73"/>
    <n v="36.9"/>
    <n v="2.2999999999999998"/>
    <n v="7122"/>
    <n v="8253"/>
    <n v="11"/>
    <n v="-31167017.73"/>
    <n v="-138.92497409338435"/>
    <n v="22434424"/>
    <n v="0.99720757853735409"/>
    <n v="-117.65933286018453"/>
  </r>
  <r>
    <s v="P0175"/>
    <s v="Model_666"/>
    <x v="1"/>
    <x v="3"/>
    <n v="2024"/>
    <s v="Q2"/>
    <n v="3560"/>
    <n v="18213"/>
    <n v="7103"/>
    <n v="485633"/>
    <n v="9.73"/>
    <n v="10"/>
    <n v="6.58"/>
    <n v="14.46"/>
    <n v="36.29"/>
    <n v="3.4"/>
    <n v="18256"/>
    <n v="1073"/>
    <n v="11"/>
    <n v="39065952.539999999"/>
    <n v="60.251370856845675"/>
    <n v="64838280"/>
    <n v="0.71272013242179899"/>
    <n v="80.4433944974909"/>
  </r>
  <r>
    <s v="P0176"/>
    <s v="Model_725"/>
    <x v="1"/>
    <x v="0"/>
    <n v="2023"/>
    <s v="Q1"/>
    <n v="252"/>
    <n v="5140"/>
    <n v="4783"/>
    <n v="450285"/>
    <n v="4.01"/>
    <n v="4"/>
    <n v="5.64"/>
    <n v="14.94"/>
    <n v="32.79"/>
    <n v="4.5"/>
    <n v="9283"/>
    <n v="4370"/>
    <n v="3"/>
    <n v="-360335.94"/>
    <n v="-27.819154159718362"/>
    <n v="1295280"/>
    <n v="5.0450975665812733E-2"/>
    <n v="-0.80020653586062163"/>
  </r>
  <r>
    <s v="P0177"/>
    <s v="Model_637"/>
    <x v="2"/>
    <x v="0"/>
    <n v="2024"/>
    <s v="Q4"/>
    <n v="3305"/>
    <n v="2841"/>
    <n v="10303"/>
    <n v="354503"/>
    <n v="0.23"/>
    <n v="3"/>
    <n v="9.33"/>
    <n v="18.47"/>
    <n v="48.26"/>
    <n v="1.1000000000000001"/>
    <n v="3449"/>
    <n v="1508"/>
    <n v="14"/>
    <n v="-25016431.469999999"/>
    <n v="-266.42971562398657"/>
    <n v="9389505"/>
    <n v="0.66166854990282176"/>
    <n v="-70.567563603128889"/>
  </r>
  <r>
    <s v="P0178"/>
    <s v="Model_703"/>
    <x v="0"/>
    <x v="3"/>
    <n v="2023"/>
    <s v="Q4"/>
    <n v="4268"/>
    <n v="13355"/>
    <n v="12351"/>
    <n v="200871"/>
    <n v="14.48"/>
    <n v="11"/>
    <n v="5.87"/>
    <n v="0.73"/>
    <n v="24.45"/>
    <n v="2.7"/>
    <n v="18128"/>
    <n v="2388"/>
    <n v="7"/>
    <n v="4084200.27"/>
    <n v="7.1653717406964388"/>
    <n v="56999140"/>
    <n v="0.85446334976860616"/>
    <n v="20.332457149115601"/>
  </r>
  <r>
    <s v="P0179"/>
    <s v="Model_543"/>
    <x v="1"/>
    <x v="1"/>
    <n v="2023"/>
    <s v="Q2"/>
    <n v="4546"/>
    <n v="1838"/>
    <n v="14337"/>
    <n v="410890"/>
    <n v="3.76"/>
    <n v="1"/>
    <n v="5.26"/>
    <n v="13.53"/>
    <n v="48.85"/>
    <n v="1.9"/>
    <n v="11532"/>
    <n v="8838"/>
    <n v="14"/>
    <n v="-57231357.530000001"/>
    <n v="-684.95037704289416"/>
    <n v="8355548"/>
    <n v="0.91011958482851063"/>
    <n v="-139.28629073474653"/>
  </r>
  <r>
    <s v="P0180"/>
    <s v="Model_295"/>
    <x v="1"/>
    <x v="3"/>
    <n v="2024"/>
    <s v="Q3"/>
    <n v="816"/>
    <n v="7395"/>
    <n v="9514"/>
    <n v="274834"/>
    <n v="10.14"/>
    <n v="12"/>
    <n v="7.59"/>
    <n v="1.32"/>
    <n v="66.33"/>
    <n v="2.6"/>
    <n v="13119"/>
    <n v="1318"/>
    <n v="7"/>
    <n v="-2003939.32"/>
    <n v="-33.209032997918577"/>
    <n v="6034320"/>
    <n v="0.16336506406072696"/>
    <n v="-7.2914486562797904"/>
  </r>
  <r>
    <s v="P0181"/>
    <s v="Model_109"/>
    <x v="1"/>
    <x v="2"/>
    <n v="2024"/>
    <s v="Q4"/>
    <n v="4439"/>
    <n v="13754"/>
    <n v="1321"/>
    <n v="170906"/>
    <n v="10.6"/>
    <n v="9"/>
    <n v="7.13"/>
    <n v="17.53"/>
    <n v="12.38"/>
    <n v="2.7"/>
    <n v="18008"/>
    <n v="1520"/>
    <n v="10"/>
    <n v="55019163.469999999"/>
    <n v="90.115566650941787"/>
    <n v="61054006"/>
    <n v="0.88869794039897909"/>
    <n v="321.92656196973775"/>
  </r>
  <r>
    <s v="P0182"/>
    <s v="Model_523"/>
    <x v="0"/>
    <x v="0"/>
    <n v="2023"/>
    <s v="Q2"/>
    <n v="2377"/>
    <n v="12844"/>
    <n v="13870"/>
    <n v="251260"/>
    <n v="9.15"/>
    <n v="8"/>
    <n v="1.93"/>
    <n v="1.39"/>
    <n v="10.78"/>
    <n v="4"/>
    <n v="14324"/>
    <n v="9746"/>
    <n v="14"/>
    <n v="-2690063.39"/>
    <n v="-8.8111589420936429"/>
    <n v="30530188"/>
    <n v="0.47588082999062248"/>
    <n v="-10.706288306933057"/>
  </r>
  <r>
    <s v="P0183"/>
    <s v="Model_353"/>
    <x v="2"/>
    <x v="2"/>
    <n v="2023"/>
    <s v="Q1"/>
    <n v="2981"/>
    <n v="3250"/>
    <n v="11312"/>
    <n v="270931"/>
    <n v="4.6900000000000004"/>
    <n v="9"/>
    <n v="4.71"/>
    <n v="22.79"/>
    <n v="16.010000000000002"/>
    <n v="1.4"/>
    <n v="12445"/>
    <n v="3477"/>
    <n v="10"/>
    <n v="-24303775.789999999"/>
    <n v="-250.85826428921632"/>
    <n v="9688250"/>
    <n v="0.59680300976106249"/>
    <n v="-89.70458530031631"/>
  </r>
  <r>
    <s v="P0184"/>
    <s v="Model_382"/>
    <x v="2"/>
    <x v="2"/>
    <n v="2023"/>
    <s v="Q4"/>
    <n v="247"/>
    <n v="3921"/>
    <n v="9927"/>
    <n v="303593"/>
    <n v="4.07"/>
    <n v="6"/>
    <n v="4.7300000000000004"/>
    <n v="17.55"/>
    <n v="52.85"/>
    <n v="3.1"/>
    <n v="3419"/>
    <n v="7601"/>
    <n v="14"/>
    <n v="-1787092.55"/>
    <n v="-184.5241650120239"/>
    <n v="968487"/>
    <n v="4.9449964243872005E-2"/>
    <n v="-5.8864170122499528"/>
  </r>
  <r>
    <s v="P0185"/>
    <s v="Model_961"/>
    <x v="1"/>
    <x v="1"/>
    <n v="2023"/>
    <s v="Q3"/>
    <n v="1980"/>
    <n v="8619"/>
    <n v="8369"/>
    <n v="288746"/>
    <n v="8.9700000000000006"/>
    <n v="3"/>
    <n v="3.78"/>
    <n v="12.68"/>
    <n v="78.36"/>
    <n v="3.3"/>
    <n v="11327"/>
    <n v="4198"/>
    <n v="6"/>
    <n v="206241.32"/>
    <n v="1.2085193506007987"/>
    <n v="17065620"/>
    <n v="0.39640052308852863"/>
    <n v="0.71430946229558157"/>
  </r>
  <r>
    <s v="P0186"/>
    <s v="Model_105"/>
    <x v="2"/>
    <x v="2"/>
    <n v="2024"/>
    <s v="Q4"/>
    <n v="3632"/>
    <n v="6819"/>
    <n v="11222"/>
    <n v="57597"/>
    <n v="12.99"/>
    <n v="18"/>
    <n v="5.17"/>
    <n v="11.04"/>
    <n v="10.39"/>
    <n v="3"/>
    <n v="11117"/>
    <n v="2838"/>
    <n v="6"/>
    <n v="-16049304.039999999"/>
    <n v="-64.802188656597622"/>
    <n v="24766608"/>
    <n v="0.72713469689774546"/>
    <n v="-278.64807194819173"/>
  </r>
  <r>
    <s v="P0187"/>
    <s v="Model_695"/>
    <x v="2"/>
    <x v="0"/>
    <n v="2024"/>
    <s v="Q2"/>
    <n v="658"/>
    <n v="17396"/>
    <n v="13032"/>
    <n v="359237"/>
    <n v="14.2"/>
    <n v="9"/>
    <n v="4.13"/>
    <n v="3.27"/>
    <n v="84.93"/>
    <n v="3.9"/>
    <n v="11232"/>
    <n v="7719"/>
    <n v="10"/>
    <n v="2512271.73"/>
    <n v="21.947816410997603"/>
    <n v="11446568"/>
    <n v="0.13173310312739991"/>
    <n v="6.9933637125351789"/>
  </r>
  <r>
    <s v="P0188"/>
    <s v="Model_602"/>
    <x v="0"/>
    <x v="0"/>
    <n v="2024"/>
    <s v="Q4"/>
    <n v="3322"/>
    <n v="13418"/>
    <n v="6584"/>
    <n v="480442"/>
    <n v="1.59"/>
    <n v="2"/>
    <n v="1.99"/>
    <n v="7.27"/>
    <n v="18.5"/>
    <n v="2.5"/>
    <n v="2030"/>
    <n v="1942"/>
    <n v="9"/>
    <n v="22222098.73"/>
    <n v="49.85372998108609"/>
    <n v="44574596"/>
    <n v="0.66507198873742024"/>
    <n v="46.253462436672898"/>
  </r>
  <r>
    <s v="P0189"/>
    <s v="Model_772"/>
    <x v="2"/>
    <x v="3"/>
    <n v="2024"/>
    <s v="Q3"/>
    <n v="1197"/>
    <n v="15349"/>
    <n v="5383"/>
    <n v="253199"/>
    <n v="2.3199999999999998"/>
    <n v="18"/>
    <n v="4.12"/>
    <n v="21.72"/>
    <n v="77.36"/>
    <n v="4.8"/>
    <n v="9349"/>
    <n v="9038"/>
    <n v="8"/>
    <n v="11676081.279999999"/>
    <n v="63.551070871088285"/>
    <n v="18372753"/>
    <n v="0.23964213441261048"/>
    <n v="46.114332994996033"/>
  </r>
  <r>
    <s v="P0190"/>
    <s v="Model_869"/>
    <x v="1"/>
    <x v="0"/>
    <n v="2024"/>
    <s v="Q4"/>
    <n v="4332"/>
    <n v="6373"/>
    <n v="6746"/>
    <n v="426794"/>
    <n v="14.17"/>
    <n v="1"/>
    <n v="0.72"/>
    <n v="22.61"/>
    <n v="48.63"/>
    <n v="2.9"/>
    <n v="8429"/>
    <n v="2916"/>
    <n v="9"/>
    <n v="-2042652.61"/>
    <n v="-7.3988146336424201"/>
    <n v="27607836"/>
    <n v="0.86727629596944744"/>
    <n v="-4.7859857448792624"/>
  </r>
  <r>
    <s v="P0191"/>
    <s v="Model_762"/>
    <x v="0"/>
    <x v="2"/>
    <n v="2024"/>
    <s v="Q4"/>
    <n v="3447"/>
    <n v="6306"/>
    <n v="5741"/>
    <n v="258434"/>
    <n v="11.05"/>
    <n v="19"/>
    <n v="5.76"/>
    <n v="0.02"/>
    <n v="62.75"/>
    <n v="3.3"/>
    <n v="5849"/>
    <n v="9163"/>
    <n v="7"/>
    <n v="1689120.98"/>
    <n v="7.7707959715472148"/>
    <n v="21736782"/>
    <n v="0.69009727428593848"/>
    <n v="6.5359859770773197"/>
  </r>
  <r>
    <s v="P0192"/>
    <s v="Model_545"/>
    <x v="1"/>
    <x v="0"/>
    <n v="2024"/>
    <s v="Q2"/>
    <n v="2561"/>
    <n v="10092"/>
    <n v="7067"/>
    <n v="207489"/>
    <n v="13.24"/>
    <n v="9"/>
    <n v="8.5399999999999991"/>
    <n v="14.85"/>
    <n v="50.85"/>
    <n v="4.3"/>
    <n v="15956"/>
    <n v="594"/>
    <n v="4"/>
    <n v="7539521.1500000004"/>
    <n v="29.171377911267882"/>
    <n v="25845612"/>
    <n v="0.5127180503180413"/>
    <n v="36.337039553904063"/>
  </r>
  <r>
    <s v="P0193"/>
    <s v="Model_143"/>
    <x v="1"/>
    <x v="2"/>
    <n v="2023"/>
    <s v="Q1"/>
    <n v="1844"/>
    <n v="13682"/>
    <n v="7928"/>
    <n v="461909"/>
    <n v="3.04"/>
    <n v="1"/>
    <n v="7.25"/>
    <n v="17.98"/>
    <n v="48.16"/>
    <n v="2.1"/>
    <n v="12795"/>
    <n v="6660"/>
    <n v="8"/>
    <n v="10148449.02"/>
    <n v="40.224362661520544"/>
    <n v="25229608"/>
    <n v="0.36917301241174078"/>
    <n v="21.970706351251003"/>
  </r>
  <r>
    <s v="P0194"/>
    <s v="Model_453"/>
    <x v="0"/>
    <x v="0"/>
    <n v="2023"/>
    <s v="Q1"/>
    <n v="709"/>
    <n v="18274"/>
    <n v="12689"/>
    <n v="433100"/>
    <n v="8.81"/>
    <n v="1"/>
    <n v="3.6"/>
    <n v="15.47"/>
    <n v="76.790000000000006"/>
    <n v="1.3"/>
    <n v="19685"/>
    <n v="5610"/>
    <n v="9"/>
    <n v="3526649.53"/>
    <n v="27.219644379020931"/>
    <n v="12956266"/>
    <n v="0.14194341963119536"/>
    <n v="8.1428422996998382"/>
  </r>
  <r>
    <s v="P0195"/>
    <s v="Model_572"/>
    <x v="2"/>
    <x v="3"/>
    <n v="2023"/>
    <s v="Q4"/>
    <n v="2861"/>
    <n v="13545"/>
    <n v="11829"/>
    <n v="165598"/>
    <n v="10.52"/>
    <n v="16"/>
    <n v="0.87"/>
    <n v="2.04"/>
    <n v="70.47"/>
    <n v="3.8"/>
    <n v="6656"/>
    <n v="3544"/>
    <n v="9"/>
    <n v="4743875.96"/>
    <n v="12.241551321736328"/>
    <n v="38752245"/>
    <n v="0.572778735634485"/>
    <n v="28.646952257877512"/>
  </r>
  <r>
    <s v="P0196"/>
    <s v="Model_774"/>
    <x v="2"/>
    <x v="3"/>
    <n v="2023"/>
    <s v="Q4"/>
    <n v="1419"/>
    <n v="5930"/>
    <n v="13075"/>
    <n v="300100"/>
    <n v="10.199999999999999"/>
    <n v="15"/>
    <n v="2.02"/>
    <n v="5.44"/>
    <n v="48.67"/>
    <n v="2.9"/>
    <n v="10728"/>
    <n v="9367"/>
    <n v="2"/>
    <n v="-10438860.439999999"/>
    <n v="-124.0554940360109"/>
    <n v="8414670"/>
    <n v="0.28408704154677883"/>
    <n v="-34.784588470509831"/>
  </r>
  <r>
    <s v="P0197"/>
    <s v="Model_348"/>
    <x v="2"/>
    <x v="3"/>
    <n v="2023"/>
    <s v="Q3"/>
    <n v="2036"/>
    <n v="10320"/>
    <n v="3261"/>
    <n v="308589"/>
    <n v="6.12"/>
    <n v="15"/>
    <n v="5.45"/>
    <n v="6.26"/>
    <n v="18.93"/>
    <n v="4.5999999999999996"/>
    <n v="13420"/>
    <n v="7643"/>
    <n v="8"/>
    <n v="14063528.74"/>
    <n v="66.932467237020461"/>
    <n v="21011520"/>
    <n v="0.40761185101426478"/>
    <n v="45.573675665691262"/>
  </r>
  <r>
    <s v="P0198"/>
    <s v="Model_958"/>
    <x v="0"/>
    <x v="2"/>
    <n v="2024"/>
    <s v="Q2"/>
    <n v="196"/>
    <n v="5732"/>
    <n v="14836"/>
    <n v="234233"/>
    <n v="0.23"/>
    <n v="13"/>
    <n v="2.0699999999999998"/>
    <n v="20.79"/>
    <n v="19.23"/>
    <n v="4.9000000000000004"/>
    <n v="8932"/>
    <n v="7662"/>
    <n v="4"/>
    <n v="-2018637.79"/>
    <n v="-179.67851357221184"/>
    <n v="1123472"/>
    <n v="3.9239647740076572E-2"/>
    <n v="-8.617987217855724"/>
  </r>
  <r>
    <s v="P0199"/>
    <s v="Model_230"/>
    <x v="0"/>
    <x v="1"/>
    <n v="2024"/>
    <s v="Q2"/>
    <n v="3269"/>
    <n v="12622"/>
    <n v="12235"/>
    <n v="302388"/>
    <n v="8.74"/>
    <n v="6"/>
    <n v="5.44"/>
    <n v="11.58"/>
    <n v="74.12"/>
    <n v="2.6"/>
    <n v="13703"/>
    <n v="4094"/>
    <n v="3"/>
    <n v="962703.42"/>
    <n v="2.3331863029678308"/>
    <n v="41261318"/>
    <n v="0.65446126766484847"/>
    <n v="3.1837076868129688"/>
  </r>
  <r>
    <s v="P0200"/>
    <s v="Model_371"/>
    <x v="2"/>
    <x v="2"/>
    <n v="2024"/>
    <s v="Q3"/>
    <n v="2961"/>
    <n v="16523"/>
    <n v="12351"/>
    <n v="183241"/>
    <n v="3.8"/>
    <n v="10"/>
    <n v="2.3199999999999998"/>
    <n v="12.17"/>
    <n v="52.35"/>
    <n v="2.7"/>
    <n v="7689"/>
    <n v="7353"/>
    <n v="3"/>
    <n v="12170038.83"/>
    <n v="24.87508959449298"/>
    <n v="48924603"/>
    <n v="0.59279896407329957"/>
    <n v="66.415545647535211"/>
  </r>
  <r>
    <s v="P0201"/>
    <s v="Model_799"/>
    <x v="2"/>
    <x v="3"/>
    <n v="2024"/>
    <s v="Q2"/>
    <n v="1784"/>
    <n v="9507"/>
    <n v="1485"/>
    <n v="265164"/>
    <n v="6.75"/>
    <n v="0"/>
    <n v="8.49"/>
    <n v="23.37"/>
    <n v="48.53"/>
    <n v="2.6"/>
    <n v="2642"/>
    <n v="145"/>
    <n v="9"/>
    <n v="14046060.630000001"/>
    <n v="82.81637079074612"/>
    <n v="16960488"/>
    <n v="0.35716087534845203"/>
    <n v="52.971308322396709"/>
  </r>
  <r>
    <s v="P0202"/>
    <s v="Model_269"/>
    <x v="1"/>
    <x v="2"/>
    <n v="2023"/>
    <s v="Q4"/>
    <n v="1893"/>
    <n v="19405"/>
    <n v="2960"/>
    <n v="203124"/>
    <n v="14.36"/>
    <n v="10"/>
    <n v="3.97"/>
    <n v="15.93"/>
    <n v="64.45"/>
    <n v="2.2999999999999998"/>
    <n v="9114"/>
    <n v="2157"/>
    <n v="10"/>
    <n v="30927245.07"/>
    <n v="84.19319191265015"/>
    <n v="36733665"/>
    <n v="0.37898292434675995"/>
    <n v="152.25803450109294"/>
  </r>
  <r>
    <s v="P0203"/>
    <s v="Model_337"/>
    <x v="2"/>
    <x v="2"/>
    <n v="2023"/>
    <s v="Q3"/>
    <n v="538"/>
    <n v="10518"/>
    <n v="7831"/>
    <n v="254923"/>
    <n v="5.99"/>
    <n v="3"/>
    <n v="2.46"/>
    <n v="22.47"/>
    <n v="78.709999999999994"/>
    <n v="4.0999999999999996"/>
    <n v="15753"/>
    <n v="763"/>
    <n v="4"/>
    <n v="1190660.53"/>
    <n v="21.041297411200201"/>
    <n v="5658684"/>
    <n v="0.10770882900082242"/>
    <n v="4.6707554830282083"/>
  </r>
  <r>
    <s v="P0204"/>
    <s v="Model_421"/>
    <x v="0"/>
    <x v="3"/>
    <n v="2024"/>
    <s v="Q2"/>
    <n v="3026"/>
    <n v="3000"/>
    <n v="12980"/>
    <n v="58036"/>
    <n v="12.6"/>
    <n v="6"/>
    <n v="8.1199999999999992"/>
    <n v="11.41"/>
    <n v="60.31"/>
    <n v="4"/>
    <n v="19513"/>
    <n v="4768"/>
    <n v="4"/>
    <n v="-30257527.41"/>
    <n v="-333.30609616655653"/>
    <n v="9078000"/>
    <n v="0.60581211255852907"/>
    <n v="-521.35770900820182"/>
  </r>
  <r>
    <s v="P0205"/>
    <s v="Model_955"/>
    <x v="0"/>
    <x v="1"/>
    <n v="2024"/>
    <s v="Q1"/>
    <n v="2009"/>
    <n v="8237"/>
    <n v="13058"/>
    <n v="81778"/>
    <n v="2.83"/>
    <n v="14"/>
    <n v="3.43"/>
    <n v="3.74"/>
    <n v="71.03"/>
    <n v="2.9"/>
    <n v="18646"/>
    <n v="2129"/>
    <n v="7"/>
    <n v="-9767170.7400000002"/>
    <n v="-59.022795743785714"/>
    <n v="16548133"/>
    <n v="0.40220638933578484"/>
    <n v="-119.4351414805938"/>
  </r>
  <r>
    <s v="P0206"/>
    <s v="Model_216"/>
    <x v="0"/>
    <x v="2"/>
    <n v="2023"/>
    <s v="Q3"/>
    <n v="2435"/>
    <n v="4794"/>
    <n v="10559"/>
    <n v="470950"/>
    <n v="10.09"/>
    <n v="17"/>
    <n v="1.1100000000000001"/>
    <n v="23.25"/>
    <n v="71.22"/>
    <n v="1.2"/>
    <n v="8405"/>
    <n v="5817"/>
    <n v="12"/>
    <n v="-14508748.25"/>
    <n v="-124.28907326834792"/>
    <n v="11673390"/>
    <n v="0.48749256248513495"/>
    <n v="-30.807357468945749"/>
  </r>
  <r>
    <s v="P0207"/>
    <s v="Model_216"/>
    <x v="2"/>
    <x v="1"/>
    <n v="2023"/>
    <s v="Q1"/>
    <n v="2969"/>
    <n v="5997"/>
    <n v="6141"/>
    <n v="204245"/>
    <n v="14.66"/>
    <n v="11"/>
    <n v="5.7"/>
    <n v="11.47"/>
    <n v="38.5"/>
    <n v="2.2000000000000002"/>
    <n v="6389"/>
    <n v="2796"/>
    <n v="11"/>
    <n v="-631792.47"/>
    <n v="-3.5483806234541988"/>
    <n v="17805093"/>
    <n v="0.59440058234840476"/>
    <n v="-3.0932507527724056"/>
  </r>
  <r>
    <s v="P0208"/>
    <s v="Model_832"/>
    <x v="1"/>
    <x v="1"/>
    <n v="2023"/>
    <s v="Q1"/>
    <n v="4786"/>
    <n v="19350"/>
    <n v="838"/>
    <n v="211475"/>
    <n v="1.53"/>
    <n v="16"/>
    <n v="5.82"/>
    <n v="4.54"/>
    <n v="31.93"/>
    <n v="2.2000000000000002"/>
    <n v="6339"/>
    <n v="8931"/>
    <n v="2"/>
    <n v="88386952.459999993"/>
    <n v="95.44089345431496"/>
    <n v="92609100"/>
    <n v="0.95816813308166571"/>
    <n v="417.95463766402651"/>
  </r>
  <r>
    <s v="P0209"/>
    <s v="Model_927"/>
    <x v="1"/>
    <x v="1"/>
    <n v="2024"/>
    <s v="Q1"/>
    <n v="1852"/>
    <n v="2114"/>
    <n v="11536"/>
    <n v="252747"/>
    <n v="0.12"/>
    <n v="0"/>
    <n v="7.15"/>
    <n v="7.56"/>
    <n v="74.09"/>
    <n v="4.2"/>
    <n v="5457"/>
    <n v="2763"/>
    <n v="7"/>
    <n v="-17702298.559999999"/>
    <n v="-452.15120833852677"/>
    <n v="3915128"/>
    <n v="0.37077463068684596"/>
    <n v="-70.039569213482253"/>
  </r>
  <r>
    <s v="P0210"/>
    <s v="Model_943"/>
    <x v="2"/>
    <x v="0"/>
    <n v="2023"/>
    <s v="Q1"/>
    <n v="4111"/>
    <n v="10874"/>
    <n v="5675"/>
    <n v="449560"/>
    <n v="6.5"/>
    <n v="10"/>
    <n v="2.4"/>
    <n v="1.27"/>
    <n v="40.17"/>
    <n v="1.4"/>
    <n v="2057"/>
    <n v="2845"/>
    <n v="13"/>
    <n v="20923527.73"/>
    <n v="46.805630891017778"/>
    <n v="44703014"/>
    <n v="0.82303159111966728"/>
    <n v="46.542239078209803"/>
  </r>
  <r>
    <s v="P0211"/>
    <s v="Model_938"/>
    <x v="2"/>
    <x v="3"/>
    <n v="2024"/>
    <s v="Q4"/>
    <n v="3419"/>
    <n v="4167"/>
    <n v="2056"/>
    <n v="68800"/>
    <n v="1.39"/>
    <n v="0"/>
    <n v="4.4400000000000004"/>
    <n v="11.71"/>
    <n v="82.27"/>
    <n v="4.2"/>
    <n v="6121"/>
    <n v="5104"/>
    <n v="4"/>
    <n v="7148697.29"/>
    <n v="50.176955413616632"/>
    <n v="14246973"/>
    <n v="0.68449161032307038"/>
    <n v="103.90565406976744"/>
  </r>
  <r>
    <s v="P0212"/>
    <s v="Model_973"/>
    <x v="1"/>
    <x v="3"/>
    <n v="2023"/>
    <s v="Q4"/>
    <n v="312"/>
    <n v="14909"/>
    <n v="11982"/>
    <n v="337516"/>
    <n v="11.23"/>
    <n v="14"/>
    <n v="2.82"/>
    <n v="21.33"/>
    <n v="15.58"/>
    <n v="3.7"/>
    <n v="16432"/>
    <n v="6421"/>
    <n v="12"/>
    <n v="575686.67000000004"/>
    <n v="12.376078766740449"/>
    <n v="4651608"/>
    <n v="6.2463112729101482E-2"/>
    <n v="1.7057206176892354"/>
  </r>
  <r>
    <s v="P0213"/>
    <s v="Model_475"/>
    <x v="2"/>
    <x v="2"/>
    <n v="2023"/>
    <s v="Q1"/>
    <n v="673"/>
    <n v="18014"/>
    <n v="8497"/>
    <n v="373660"/>
    <n v="13.72"/>
    <n v="9"/>
    <n v="0.81"/>
    <n v="23.34"/>
    <n v="14.66"/>
    <n v="3.9"/>
    <n v="2339"/>
    <n v="5225"/>
    <n v="5"/>
    <n v="6031257.6600000001"/>
    <n v="49.748805741481242"/>
    <n v="12123422"/>
    <n v="0.1347361373932221"/>
    <n v="16.141093507466682"/>
  </r>
  <r>
    <s v="P0214"/>
    <s v="Model_466"/>
    <x v="1"/>
    <x v="1"/>
    <n v="2023"/>
    <s v="Q4"/>
    <n v="1066"/>
    <n v="4483"/>
    <n v="2996"/>
    <n v="332682"/>
    <n v="6.51"/>
    <n v="6"/>
    <n v="8.77"/>
    <n v="23.32"/>
    <n v="84.16"/>
    <n v="2.7"/>
    <n v="10743"/>
    <n v="5048"/>
    <n v="10"/>
    <n v="1252436.68"/>
    <n v="26.207755879099654"/>
    <n v="4778878"/>
    <n v="0.21341563515776338"/>
    <n v="3.7647362947198828"/>
  </r>
  <r>
    <s v="P0215"/>
    <s v="Model_414"/>
    <x v="0"/>
    <x v="3"/>
    <n v="2024"/>
    <s v="Q3"/>
    <n v="3693"/>
    <n v="14151"/>
    <n v="12460"/>
    <n v="376062"/>
    <n v="3.88"/>
    <n v="1"/>
    <n v="7.29"/>
    <n v="3.13"/>
    <n v="61.88"/>
    <n v="3.7"/>
    <n v="11096"/>
    <n v="4502"/>
    <n v="4"/>
    <n v="5868797.8700000001"/>
    <n v="11.230076466461894"/>
    <n v="52259643"/>
    <n v="0.73934703624542231"/>
    <n v="15.605939977982354"/>
  </r>
  <r>
    <s v="P0216"/>
    <s v="Model_174"/>
    <x v="1"/>
    <x v="2"/>
    <n v="2024"/>
    <s v="Q1"/>
    <n v="2099"/>
    <n v="9730"/>
    <n v="7965"/>
    <n v="458189"/>
    <n v="6.52"/>
    <n v="9"/>
    <n v="3.01"/>
    <n v="9.5500000000000007"/>
    <n v="40.369999999999997"/>
    <n v="3.4"/>
    <n v="8498"/>
    <n v="3527"/>
    <n v="2"/>
    <n v="3246536.45"/>
    <n v="15.896261715190565"/>
    <n v="20423270"/>
    <n v="0.42022459493071795"/>
    <n v="7.0856044121530637"/>
  </r>
  <r>
    <s v="P0217"/>
    <s v="Model_911"/>
    <x v="0"/>
    <x v="1"/>
    <n v="2024"/>
    <s v="Q3"/>
    <n v="3773"/>
    <n v="8140"/>
    <n v="11700"/>
    <n v="383299"/>
    <n v="10.85"/>
    <n v="3"/>
    <n v="5.99"/>
    <n v="0.71"/>
    <n v="70.400000000000006"/>
    <n v="4.0999999999999996"/>
    <n v="11629"/>
    <n v="6012"/>
    <n v="4"/>
    <n v="-13815179.710000001"/>
    <n v="-44.982680216539215"/>
    <n v="30712220"/>
    <n v="0.75536321899647396"/>
    <n v="-36.042825574812355"/>
  </r>
  <r>
    <s v="P0218"/>
    <s v="Model_566"/>
    <x v="0"/>
    <x v="3"/>
    <n v="2024"/>
    <s v="Q4"/>
    <n v="4598"/>
    <n v="13279"/>
    <n v="1101"/>
    <n v="281312"/>
    <n v="0.14000000000000001"/>
    <n v="11"/>
    <n v="2.0099999999999998"/>
    <n v="21.38"/>
    <n v="63.79"/>
    <n v="2.8"/>
    <n v="2010"/>
    <n v="494"/>
    <n v="8"/>
    <n v="55713110.619999997"/>
    <n v="91.247940108006233"/>
    <n v="61056842"/>
    <n v="0.9205301036166943"/>
    <n v="198.04747753384143"/>
  </r>
  <r>
    <s v="P0219"/>
    <s v="Model_998"/>
    <x v="1"/>
    <x v="1"/>
    <n v="2024"/>
    <s v="Q2"/>
    <n v="3158"/>
    <n v="16817"/>
    <n v="8327"/>
    <n v="109500"/>
    <n v="8.84"/>
    <n v="18"/>
    <n v="8.9"/>
    <n v="8.9700000000000006"/>
    <n v="52.5"/>
    <n v="2.9"/>
    <n v="13096"/>
    <n v="3697"/>
    <n v="14"/>
    <n v="26701911.030000001"/>
    <n v="50.278428467559536"/>
    <n v="53108086"/>
    <n v="0.63223881409776439"/>
    <n v="243.85315068493151"/>
  </r>
  <r>
    <s v="P0220"/>
    <s v="Model_814"/>
    <x v="2"/>
    <x v="0"/>
    <n v="2024"/>
    <s v="Q4"/>
    <n v="4140"/>
    <n v="18804"/>
    <n v="7181"/>
    <n v="217647"/>
    <n v="9.1999999999999993"/>
    <n v="10"/>
    <n v="1.1499999999999999"/>
    <n v="15.78"/>
    <n v="17.91"/>
    <n v="3.6"/>
    <n v="14474"/>
    <n v="429"/>
    <n v="8"/>
    <n v="47901557.219999999"/>
    <n v="61.531719045284838"/>
    <n v="77848560"/>
    <n v="0.82883745736692349"/>
    <n v="220.08836786172105"/>
  </r>
  <r>
    <s v="P0221"/>
    <s v="Model_639"/>
    <x v="0"/>
    <x v="2"/>
    <n v="2023"/>
    <s v="Q1"/>
    <n v="2106"/>
    <n v="9064"/>
    <n v="1446"/>
    <n v="286527"/>
    <n v="9.57"/>
    <n v="7"/>
    <n v="0.04"/>
    <n v="17.87"/>
    <n v="74.97"/>
    <n v="1.4"/>
    <n v="2637"/>
    <n v="872"/>
    <n v="12"/>
    <n v="15756963.130000001"/>
    <n v="82.545662049505097"/>
    <n v="19088784"/>
    <n v="0.42162601092143498"/>
    <n v="54.993005894732434"/>
  </r>
  <r>
    <s v="P0222"/>
    <s v="Model_108"/>
    <x v="0"/>
    <x v="2"/>
    <n v="2023"/>
    <s v="Q3"/>
    <n v="3220"/>
    <n v="17020"/>
    <n v="13750"/>
    <n v="485477"/>
    <n v="3.63"/>
    <n v="17"/>
    <n v="5.0199999999999996"/>
    <n v="10.75"/>
    <n v="79.28"/>
    <n v="2.7"/>
    <n v="15200"/>
    <n v="8235"/>
    <n v="6"/>
    <n v="10043912.25"/>
    <n v="18.326835527804334"/>
    <n v="54804400"/>
    <n v="0.64465135572982935"/>
    <n v="20.688772073651275"/>
  </r>
  <r>
    <s v="P0223"/>
    <s v="Model_849"/>
    <x v="0"/>
    <x v="3"/>
    <n v="2023"/>
    <s v="Q3"/>
    <n v="1732"/>
    <n v="15237"/>
    <n v="10751"/>
    <n v="160659"/>
    <n v="10.71"/>
    <n v="10"/>
    <n v="5.83"/>
    <n v="7.66"/>
    <n v="23.77"/>
    <n v="4.9000000000000004"/>
    <n v="6166"/>
    <n v="1745"/>
    <n v="2"/>
    <n v="7609085.3399999999"/>
    <n v="28.832685827209538"/>
    <n v="26390484"/>
    <n v="0.34675035656026848"/>
    <n v="47.361760000995901"/>
  </r>
  <r>
    <s v="P0224"/>
    <s v="Model_934"/>
    <x v="2"/>
    <x v="1"/>
    <n v="2023"/>
    <s v="Q4"/>
    <n v="2305"/>
    <n v="10823"/>
    <n v="13343"/>
    <n v="77716"/>
    <n v="1.37"/>
    <n v="10"/>
    <n v="5.79"/>
    <n v="24.06"/>
    <n v="78.040000000000006"/>
    <n v="1.2"/>
    <n v="10406"/>
    <n v="1887"/>
    <n v="12"/>
    <n v="-5886340.0599999996"/>
    <n v="-23.595368263497654"/>
    <n v="24947015"/>
    <n v="0.46146626551467601"/>
    <n v="-75.741365999279424"/>
  </r>
  <r>
    <s v="P0225"/>
    <s v="Model_388"/>
    <x v="0"/>
    <x v="2"/>
    <n v="2023"/>
    <s v="Q1"/>
    <n v="1204"/>
    <n v="16729"/>
    <n v="9589"/>
    <n v="446452"/>
    <n v="2.99"/>
    <n v="12"/>
    <n v="0.55000000000000004"/>
    <n v="24.11"/>
    <n v="80.23"/>
    <n v="2.2999999999999998"/>
    <n v="11978"/>
    <n v="9915"/>
    <n v="9"/>
    <n v="8150083.8899999997"/>
    <n v="40.463701752124791"/>
    <n v="20141716"/>
    <n v="0.24104355040332751"/>
    <n v="18.255283882701836"/>
  </r>
  <r>
    <s v="P0226"/>
    <s v="Model_893"/>
    <x v="2"/>
    <x v="1"/>
    <n v="2023"/>
    <s v="Q3"/>
    <n v="4549"/>
    <n v="13213"/>
    <n v="9653"/>
    <n v="459064"/>
    <n v="13.16"/>
    <n v="2"/>
    <n v="3.14"/>
    <n v="7.24"/>
    <n v="53.95"/>
    <n v="2.2999999999999998"/>
    <n v="4154"/>
    <n v="1099"/>
    <n v="11"/>
    <n v="15735368.76"/>
    <n v="26.179391829462702"/>
    <n v="60105937"/>
    <n v="0.91072019168167506"/>
    <n v="34.277085547984598"/>
  </r>
  <r>
    <s v="P0227"/>
    <s v="Model_347"/>
    <x v="2"/>
    <x v="1"/>
    <n v="2024"/>
    <s v="Q1"/>
    <n v="3241"/>
    <n v="10002"/>
    <n v="5130"/>
    <n v="52352"/>
    <n v="11.08"/>
    <n v="11"/>
    <n v="4.99"/>
    <n v="11.99"/>
    <n v="62.49"/>
    <n v="3.5"/>
    <n v="2490"/>
    <n v="1948"/>
    <n v="9"/>
    <n v="15737788.01"/>
    <n v="48.548722868817165"/>
    <n v="32416482"/>
    <n v="0.64885560370198048"/>
    <n v="300.61506723716383"/>
  </r>
  <r>
    <s v="P0228"/>
    <s v="Model_941"/>
    <x v="0"/>
    <x v="2"/>
    <n v="2023"/>
    <s v="Q4"/>
    <n v="1746"/>
    <n v="2045"/>
    <n v="10360"/>
    <n v="183004"/>
    <n v="0.21"/>
    <n v="2"/>
    <n v="2.17"/>
    <n v="24.32"/>
    <n v="40.58"/>
    <n v="1.4"/>
    <n v="3660"/>
    <n v="1661"/>
    <n v="11"/>
    <n v="-14701018.32"/>
    <n v="-411.72749224913667"/>
    <n v="3570570"/>
    <n v="0.34955318854170253"/>
    <n v="-80.331544665690373"/>
  </r>
  <r>
    <s v="P0229"/>
    <s v="Model_529"/>
    <x v="0"/>
    <x v="0"/>
    <n v="2024"/>
    <s v="Q1"/>
    <n v="4041"/>
    <n v="5846"/>
    <n v="11573"/>
    <n v="388593"/>
    <n v="3.73"/>
    <n v="9"/>
    <n v="8.73"/>
    <n v="0.12"/>
    <n v="32.54"/>
    <n v="3.5"/>
    <n v="16636"/>
    <n v="873"/>
    <n v="13"/>
    <n v="-23531400.120000001"/>
    <n v="-99.609350208938608"/>
    <n v="23623686"/>
    <n v="0.80901743121249703"/>
    <n v="-60.555388285429743"/>
  </r>
  <r>
    <s v="P0230"/>
    <s v="Model_992"/>
    <x v="1"/>
    <x v="1"/>
    <n v="2023"/>
    <s v="Q3"/>
    <n v="4773"/>
    <n v="11496"/>
    <n v="7803"/>
    <n v="58556"/>
    <n v="3.22"/>
    <n v="16"/>
    <n v="0.87"/>
    <n v="10.32"/>
    <n v="67.760000000000005"/>
    <n v="1.4"/>
    <n v="11836"/>
    <n v="7411"/>
    <n v="11"/>
    <n v="17568122.68"/>
    <n v="32.017481408193646"/>
    <n v="54870408"/>
    <n v="0.95556550338461976"/>
    <n v="300.02276453309651"/>
  </r>
  <r>
    <s v="P0231"/>
    <s v="Model_796"/>
    <x v="2"/>
    <x v="2"/>
    <n v="2023"/>
    <s v="Q4"/>
    <n v="4732"/>
    <n v="17275"/>
    <n v="12860"/>
    <n v="311973"/>
    <n v="4.0599999999999996"/>
    <n v="1"/>
    <n v="4.87"/>
    <n v="2.5099999999999998"/>
    <n v="78.95"/>
    <n v="1.4"/>
    <n v="15769"/>
    <n v="5279"/>
    <n v="14"/>
    <n v="20579804.489999998"/>
    <n v="25.175520170578615"/>
    <n v="81745300"/>
    <n v="0.94735720972470583"/>
    <n v="65.966628522340073"/>
  </r>
  <r>
    <s v="P0232"/>
    <s v="Model_316"/>
    <x v="0"/>
    <x v="3"/>
    <n v="2023"/>
    <s v="Q1"/>
    <n v="1698"/>
    <n v="15419"/>
    <n v="4337"/>
    <n v="398980"/>
    <n v="3.71"/>
    <n v="16"/>
    <n v="6.91"/>
    <n v="12.73"/>
    <n v="62.33"/>
    <n v="3.9"/>
    <n v="17706"/>
    <n v="1903"/>
    <n v="11"/>
    <n v="18418243.27"/>
    <n v="70.3484139655761"/>
    <n v="26181462"/>
    <n v="0.33994347889107152"/>
    <n v="46.163356559226024"/>
  </r>
  <r>
    <s v="P0233"/>
    <s v="Model_366"/>
    <x v="2"/>
    <x v="1"/>
    <n v="2024"/>
    <s v="Q4"/>
    <n v="1495"/>
    <n v="5310"/>
    <n v="13857"/>
    <n v="186570"/>
    <n v="0.94"/>
    <n v="15"/>
    <n v="2.62"/>
    <n v="0.62"/>
    <n v="50.93"/>
    <n v="2.2999999999999998"/>
    <n v="3563"/>
    <n v="9390"/>
    <n v="3"/>
    <n v="-12964335.619999999"/>
    <n v="-163.31066669186049"/>
    <n v="7938450"/>
    <n v="0.29930241516027795"/>
    <n v="-69.487779385753342"/>
  </r>
  <r>
    <s v="P0234"/>
    <s v="Model_917"/>
    <x v="2"/>
    <x v="2"/>
    <n v="2023"/>
    <s v="Q3"/>
    <n v="4249"/>
    <n v="8706"/>
    <n v="13300"/>
    <n v="257190"/>
    <n v="6.88"/>
    <n v="1"/>
    <n v="6.24"/>
    <n v="10.17"/>
    <n v="22.71"/>
    <n v="4.9000000000000004"/>
    <n v="12295"/>
    <n v="2150"/>
    <n v="11"/>
    <n v="-19777106.170000002"/>
    <n v="-53.463495633653245"/>
    <n v="36991794"/>
    <n v="0.85065950636523135"/>
    <n v="-76.896831136513867"/>
  </r>
  <r>
    <s v="P0235"/>
    <s v="Model_325"/>
    <x v="2"/>
    <x v="3"/>
    <n v="2024"/>
    <s v="Q4"/>
    <n v="3973"/>
    <n v="10505"/>
    <n v="5358"/>
    <n v="100098"/>
    <n v="10.99"/>
    <n v="19"/>
    <n v="8.2899999999999991"/>
    <n v="5.52"/>
    <n v="14.28"/>
    <n v="1.1000000000000001"/>
    <n v="19861"/>
    <n v="9890"/>
    <n v="4"/>
    <n v="20348927.48"/>
    <n v="48.75586908443033"/>
    <n v="41736365"/>
    <n v="0.7954036758741031"/>
    <n v="203.2901056964175"/>
  </r>
  <r>
    <s v="P0236"/>
    <s v="Model_601"/>
    <x v="1"/>
    <x v="3"/>
    <n v="2023"/>
    <s v="Q3"/>
    <n v="303"/>
    <n v="17871"/>
    <n v="7379"/>
    <n v="424313"/>
    <n v="9.1"/>
    <n v="5"/>
    <n v="1.9"/>
    <n v="13.33"/>
    <n v="45.66"/>
    <n v="2.8"/>
    <n v="10067"/>
    <n v="847"/>
    <n v="5"/>
    <n v="2754749.67"/>
    <n v="50.873387439465787"/>
    <n v="5414913"/>
    <n v="6.0661292169608166E-2"/>
    <n v="6.4922898897747654"/>
  </r>
  <r>
    <s v="P0237"/>
    <s v="Model_485"/>
    <x v="1"/>
    <x v="0"/>
    <n v="2023"/>
    <s v="Q4"/>
    <n v="3233"/>
    <n v="13816"/>
    <n v="9274"/>
    <n v="190641"/>
    <n v="10.09"/>
    <n v="9"/>
    <n v="9.17"/>
    <n v="24.9"/>
    <n v="13.95"/>
    <n v="1.5"/>
    <n v="10433"/>
    <n v="8225"/>
    <n v="2"/>
    <n v="14493620.1"/>
    <n v="32.448068073684972"/>
    <n v="44667128"/>
    <n v="0.64725398542687529"/>
    <n v="76.025854879065889"/>
  </r>
  <r>
    <s v="P0238"/>
    <s v="Model_818"/>
    <x v="0"/>
    <x v="1"/>
    <n v="2023"/>
    <s v="Q3"/>
    <n v="2607"/>
    <n v="19916"/>
    <n v="12670"/>
    <n v="297199"/>
    <n v="1.22"/>
    <n v="9"/>
    <n v="5.54"/>
    <n v="20.010000000000002"/>
    <n v="55.55"/>
    <n v="2.4"/>
    <n v="20551"/>
    <n v="5960"/>
    <n v="5"/>
    <n v="18593102.989999998"/>
    <n v="35.810363230208218"/>
    <n v="51921012"/>
    <n v="0.52192735539989599"/>
    <n v="62.561189640611175"/>
  </r>
  <r>
    <s v="P0239"/>
    <s v="Model_135"/>
    <x v="1"/>
    <x v="3"/>
    <n v="2023"/>
    <s v="Q4"/>
    <n v="148"/>
    <n v="9936"/>
    <n v="10478"/>
    <n v="176060"/>
    <n v="14.27"/>
    <n v="7"/>
    <n v="2.99"/>
    <n v="21.14"/>
    <n v="40.619999999999997"/>
    <n v="5"/>
    <n v="17119"/>
    <n v="4073"/>
    <n v="6"/>
    <n v="-256297.14"/>
    <n v="-17.428919408538977"/>
    <n v="1470528"/>
    <n v="2.9629938089445574E-2"/>
    <n v="-1.4556174031580142"/>
  </r>
  <r>
    <s v="P0240"/>
    <s v="Model_215"/>
    <x v="2"/>
    <x v="2"/>
    <n v="2024"/>
    <s v="Q4"/>
    <n v="2250"/>
    <n v="14484"/>
    <n v="4882"/>
    <n v="237954"/>
    <n v="12.58"/>
    <n v="0"/>
    <n v="4.3099999999999996"/>
    <n v="15.88"/>
    <n v="70.58"/>
    <n v="4.5999999999999996"/>
    <n v="6419"/>
    <n v="9845"/>
    <n v="4"/>
    <n v="21366530.120000001"/>
    <n v="65.56362613151677"/>
    <n v="32589000"/>
    <n v="0.45045513987332797"/>
    <n v="89.79275826420232"/>
  </r>
  <r>
    <s v="P0241"/>
    <s v="Model_732"/>
    <x v="1"/>
    <x v="1"/>
    <n v="2024"/>
    <s v="Q1"/>
    <n v="3011"/>
    <n v="1771"/>
    <n v="14518"/>
    <n v="251465"/>
    <n v="12.08"/>
    <n v="12"/>
    <n v="3.12"/>
    <n v="1.04"/>
    <n v="34.450000000000003"/>
    <n v="1.2"/>
    <n v="13241"/>
    <n v="1715"/>
    <n v="12"/>
    <n v="-38632683.039999999"/>
    <n v="-724.47858773430221"/>
    <n v="5332481"/>
    <n v="0.60280907829270691"/>
    <n v="-153.63045354224246"/>
  </r>
  <r>
    <s v="P0242"/>
    <s v="Model_903"/>
    <x v="0"/>
    <x v="2"/>
    <n v="2023"/>
    <s v="Q4"/>
    <n v="4483"/>
    <n v="19655"/>
    <n v="4983"/>
    <n v="180544"/>
    <n v="12.34"/>
    <n v="8"/>
    <n v="7.25"/>
    <n v="5.17"/>
    <n v="57.44"/>
    <n v="3.3"/>
    <n v="10298"/>
    <n v="3854"/>
    <n v="11"/>
    <n v="65594026.829999998"/>
    <n v="74.442766803878158"/>
    <n v="88113365"/>
    <n v="0.89750684091205746"/>
    <n v="363.31327543424317"/>
  </r>
  <r>
    <s v="P0243"/>
    <s v="Model_952"/>
    <x v="2"/>
    <x v="2"/>
    <n v="2024"/>
    <s v="Q1"/>
    <n v="3827"/>
    <n v="12116"/>
    <n v="14155"/>
    <n v="50340"/>
    <n v="13.99"/>
    <n v="9"/>
    <n v="7.96"/>
    <n v="23.13"/>
    <n v="53.01"/>
    <n v="3.6"/>
    <n v="18427"/>
    <n v="5606"/>
    <n v="3"/>
    <n v="-7853616.1299999999"/>
    <n v="-16.937602759596871"/>
    <n v="46367932"/>
    <n v="0.76617414235343384"/>
    <n v="-156.01098529996028"/>
  </r>
  <r>
    <s v="P0244"/>
    <s v="Model_393"/>
    <x v="0"/>
    <x v="3"/>
    <n v="2024"/>
    <s v="Q4"/>
    <n v="2919"/>
    <n v="5861"/>
    <n v="9452"/>
    <n v="225021"/>
    <n v="8.16"/>
    <n v="14"/>
    <n v="8.33"/>
    <n v="9.15"/>
    <n v="10.38"/>
    <n v="1.8"/>
    <n v="16066"/>
    <n v="4321"/>
    <n v="14"/>
    <n v="-10707159.15"/>
    <n v="-62.584738458775966"/>
    <n v="17108259"/>
    <n v="0.58439046812899753"/>
    <n v="-47.58289226338875"/>
  </r>
  <r>
    <s v="P0245"/>
    <s v="Model_727"/>
    <x v="2"/>
    <x v="2"/>
    <n v="2024"/>
    <s v="Q2"/>
    <n v="3284"/>
    <n v="8569"/>
    <n v="11317"/>
    <n v="132302"/>
    <n v="3"/>
    <n v="4"/>
    <n v="9.86"/>
    <n v="2.59"/>
    <n v="15.79"/>
    <n v="1.6"/>
    <n v="2383"/>
    <n v="5391"/>
    <n v="7"/>
    <n v="-9156736.5899999999"/>
    <n v="-32.539241848324743"/>
    <n v="28140596"/>
    <n v="0.65746430193067074"/>
    <n v="-69.210850931958703"/>
  </r>
  <r>
    <s v="P0246"/>
    <s v="Model_331"/>
    <x v="1"/>
    <x v="0"/>
    <n v="2023"/>
    <s v="Q4"/>
    <n v="3841"/>
    <n v="18804"/>
    <n v="4554"/>
    <n v="272740"/>
    <n v="9.25"/>
    <n v="15"/>
    <n v="7.91"/>
    <n v="17.559999999999999"/>
    <n v="33.229999999999997"/>
    <n v="4.5999999999999996"/>
    <n v="10915"/>
    <n v="5954"/>
    <n v="9"/>
    <n v="54461492.439999998"/>
    <n v="75.404104861501438"/>
    <n v="72226164"/>
    <n v="0.76897697433486789"/>
    <n v="199.68288479870938"/>
  </r>
  <r>
    <s v="P0247"/>
    <s v="Model_317"/>
    <x v="1"/>
    <x v="0"/>
    <n v="2023"/>
    <s v="Q2"/>
    <n v="1006"/>
    <n v="4930"/>
    <n v="11460"/>
    <n v="50138"/>
    <n v="11.14"/>
    <n v="12"/>
    <n v="6.01"/>
    <n v="7.49"/>
    <n v="80.58"/>
    <n v="4.9000000000000004"/>
    <n v="12585"/>
    <n v="316"/>
    <n v="8"/>
    <n v="-6619325.4900000002"/>
    <n v="-133.46544445295771"/>
    <n v="4959580"/>
    <n v="0.20140349809447464"/>
    <n v="-132.02197933702979"/>
  </r>
  <r>
    <s v="P0248"/>
    <s v="Model_884"/>
    <x v="1"/>
    <x v="0"/>
    <n v="2024"/>
    <s v="Q2"/>
    <n v="4117"/>
    <n v="14176"/>
    <n v="2524"/>
    <n v="443574"/>
    <n v="11.07"/>
    <n v="19"/>
    <n v="3.39"/>
    <n v="6.72"/>
    <n v="21.76"/>
    <n v="5"/>
    <n v="16508"/>
    <n v="1459"/>
    <n v="12"/>
    <n v="47527703.280000001"/>
    <n v="81.435216722382719"/>
    <n v="58362592"/>
    <n v="0.82423280482599615"/>
    <n v="107.14719528195972"/>
  </r>
  <r>
    <s v="P0249"/>
    <s v="Model_189"/>
    <x v="2"/>
    <x v="3"/>
    <n v="2023"/>
    <s v="Q3"/>
    <n v="210"/>
    <n v="12316"/>
    <n v="2176"/>
    <n v="169619"/>
    <n v="7.82"/>
    <n v="17"/>
    <n v="5.45"/>
    <n v="24.95"/>
    <n v="66.87"/>
    <n v="4.2"/>
    <n v="19952"/>
    <n v="3874"/>
    <n v="2"/>
    <n v="1959756.05"/>
    <n v="75.772748186640683"/>
    <n v="2586360"/>
    <n v="4.2042479721510609E-2"/>
    <n v="11.554018122969714"/>
  </r>
  <r>
    <s v="P0250"/>
    <s v="Model_281"/>
    <x v="0"/>
    <x v="3"/>
    <n v="2023"/>
    <s v="Q1"/>
    <n v="4543"/>
    <n v="3550"/>
    <n v="11735"/>
    <n v="397520"/>
    <n v="1.03"/>
    <n v="10"/>
    <n v="0.41"/>
    <n v="21.45"/>
    <n v="87.87"/>
    <n v="3.7"/>
    <n v="9620"/>
    <n v="5517"/>
    <n v="5"/>
    <n v="-37581996.450000003"/>
    <n v="-233.02834851946815"/>
    <n v="16127650"/>
    <n v="0.9095189779753462"/>
    <n v="-94.541092272086942"/>
  </r>
  <r>
    <s v="P0251"/>
    <s v="Model_115"/>
    <x v="1"/>
    <x v="0"/>
    <n v="2024"/>
    <s v="Q4"/>
    <n v="1350"/>
    <n v="13192"/>
    <n v="9506"/>
    <n v="149931"/>
    <n v="5.57"/>
    <n v="8"/>
    <n v="7.45"/>
    <n v="10.199999999999999"/>
    <n v="73.25"/>
    <n v="2.4"/>
    <n v="9320"/>
    <n v="5027"/>
    <n v="4"/>
    <n v="4826158.8"/>
    <n v="27.099245333872378"/>
    <n v="17809200"/>
    <n v="0.27027308392399679"/>
    <n v="32.189267062848913"/>
  </r>
  <r>
    <s v="P0252"/>
    <s v="Model_162"/>
    <x v="0"/>
    <x v="3"/>
    <n v="2024"/>
    <s v="Q1"/>
    <n v="4961"/>
    <n v="2665"/>
    <n v="9694"/>
    <n v="473870"/>
    <n v="13.81"/>
    <n v="15"/>
    <n v="4.46"/>
    <n v="24.51"/>
    <n v="29.44"/>
    <n v="1.7"/>
    <n v="13401"/>
    <n v="4529"/>
    <n v="7"/>
    <n v="-35344763.509999998"/>
    <n v="-267.33673505122317"/>
    <n v="13221065"/>
    <n v="0.99320353284959118"/>
    <n v="-74.587416380019832"/>
  </r>
  <r>
    <s v="P0253"/>
    <s v="Model_383"/>
    <x v="1"/>
    <x v="1"/>
    <n v="2024"/>
    <s v="Q4"/>
    <n v="4037"/>
    <n v="3533"/>
    <n v="2453"/>
    <n v="206951"/>
    <n v="8.77"/>
    <n v="1"/>
    <n v="0.2"/>
    <n v="16.25"/>
    <n v="82.67"/>
    <n v="1.3"/>
    <n v="19670"/>
    <n v="4706"/>
    <n v="10"/>
    <n v="4152992.75"/>
    <n v="29.117815247174782"/>
    <n v="14262721"/>
    <n v="0.80821662207494449"/>
    <n v="20.06759571106204"/>
  </r>
  <r>
    <s v="P0254"/>
    <s v="Model_456"/>
    <x v="2"/>
    <x v="0"/>
    <n v="2024"/>
    <s v="Q2"/>
    <n v="1577"/>
    <n v="1645"/>
    <n v="2866"/>
    <n v="393676"/>
    <n v="8.07"/>
    <n v="1"/>
    <n v="0.63"/>
    <n v="18.55"/>
    <n v="17.45"/>
    <n v="3.8"/>
    <n v="17759"/>
    <n v="4578"/>
    <n v="10"/>
    <n v="-2319211.5499999998"/>
    <n v="-89.401080887298988"/>
    <n v="2594165"/>
    <n v="0.31571900248010587"/>
    <n v="-5.8911211249860287"/>
  </r>
  <r>
    <s v="P0255"/>
    <s v="Model_223"/>
    <x v="2"/>
    <x v="3"/>
    <n v="2023"/>
    <s v="Q2"/>
    <n v="1268"/>
    <n v="15769"/>
    <n v="822"/>
    <n v="367922"/>
    <n v="4.03"/>
    <n v="11"/>
    <n v="3.87"/>
    <n v="0.79"/>
    <n v="47.45"/>
    <n v="4.0999999999999996"/>
    <n v="11149"/>
    <n v="1996"/>
    <n v="8"/>
    <n v="18584873.210000001"/>
    <n v="92.94717528681538"/>
    <n v="19995092"/>
    <n v="0.25385649660416881"/>
    <n v="50.5130815770734"/>
  </r>
  <r>
    <s v="P0256"/>
    <s v="Model_160"/>
    <x v="2"/>
    <x v="0"/>
    <n v="2024"/>
    <s v="Q3"/>
    <n v="4546"/>
    <n v="9332"/>
    <n v="3260"/>
    <n v="87772"/>
    <n v="5.53"/>
    <n v="7"/>
    <n v="5.83"/>
    <n v="3.04"/>
    <n v="81"/>
    <n v="4.3"/>
    <n v="9769"/>
    <n v="7466"/>
    <n v="13"/>
    <n v="27515536.960000001"/>
    <n v="64.859535021249656"/>
    <n v="42423272"/>
    <n v="0.91011958482851063"/>
    <n v="313.48881192179738"/>
  </r>
  <r>
    <s v="P0257"/>
    <s v="Model_139"/>
    <x v="0"/>
    <x v="1"/>
    <n v="2024"/>
    <s v="Q1"/>
    <n v="4785"/>
    <n v="15786"/>
    <n v="14141"/>
    <n v="108478"/>
    <n v="13.43"/>
    <n v="8"/>
    <n v="4.6399999999999997"/>
    <n v="15.83"/>
    <n v="61.3"/>
    <n v="4.7"/>
    <n v="13305"/>
    <n v="4527"/>
    <n v="10"/>
    <n v="7762831.1699999999"/>
    <n v="10.276993939711669"/>
    <n v="75536010"/>
    <n v="0.95796793079727749"/>
    <n v="71.561487121812718"/>
  </r>
  <r>
    <s v="P0258"/>
    <s v="Model_157"/>
    <x v="0"/>
    <x v="0"/>
    <n v="2023"/>
    <s v="Q2"/>
    <n v="3154"/>
    <n v="4132"/>
    <n v="6726"/>
    <n v="76762"/>
    <n v="10"/>
    <n v="11"/>
    <n v="6.19"/>
    <n v="22.48"/>
    <n v="43.09"/>
    <n v="4.5"/>
    <n v="19192"/>
    <n v="5461"/>
    <n v="9"/>
    <n v="-8258260.4800000004"/>
    <n v="-63.367500265493625"/>
    <n v="13032328"/>
    <n v="0.63143800496021174"/>
    <n v="-107.58237148589146"/>
  </r>
  <r>
    <s v="P0259"/>
    <s v="Model_221"/>
    <x v="1"/>
    <x v="0"/>
    <n v="2023"/>
    <s v="Q1"/>
    <n v="2785"/>
    <n v="5994"/>
    <n v="7051"/>
    <n v="194355"/>
    <n v="11.81"/>
    <n v="8"/>
    <n v="4.8"/>
    <n v="15.59"/>
    <n v="33.43"/>
    <n v="5"/>
    <n v="11879"/>
    <n v="9191"/>
    <n v="6"/>
    <n v="-3138115.59"/>
    <n v="-18.798664553242649"/>
    <n v="16693290"/>
    <n v="0.557563362020986"/>
    <n v="-16.14622726454169"/>
  </r>
  <r>
    <s v="P0260"/>
    <s v="Model_546"/>
    <x v="2"/>
    <x v="2"/>
    <n v="2023"/>
    <s v="Q1"/>
    <n v="4605"/>
    <n v="16652"/>
    <n v="10296"/>
    <n v="244994"/>
    <n v="6.82"/>
    <n v="9"/>
    <n v="6.62"/>
    <n v="3.35"/>
    <n v="40.01"/>
    <n v="2"/>
    <n v="10244"/>
    <n v="741"/>
    <n v="10"/>
    <n v="29024382.649999999"/>
    <n v="37.850093293824948"/>
    <n v="76682460"/>
    <n v="0.92193151960741127"/>
    <n v="118.4697829334596"/>
  </r>
  <r>
    <s v="P0261"/>
    <s v="Model_874"/>
    <x v="0"/>
    <x v="2"/>
    <n v="2024"/>
    <s v="Q4"/>
    <n v="1004"/>
    <n v="10655"/>
    <n v="8095"/>
    <n v="220492"/>
    <n v="9.4499999999999993"/>
    <n v="1"/>
    <n v="2.19"/>
    <n v="2.89"/>
    <n v="50.72"/>
    <n v="4.0999999999999996"/>
    <n v="14785"/>
    <n v="5446"/>
    <n v="8"/>
    <n v="2349745.11"/>
    <n v="21.965120372568851"/>
    <n v="10697620"/>
    <n v="0.20100309352569834"/>
    <n v="10.65684015746603"/>
  </r>
  <r>
    <s v="P0262"/>
    <s v="Model_788"/>
    <x v="2"/>
    <x v="1"/>
    <n v="2024"/>
    <s v="Q4"/>
    <n v="4615"/>
    <n v="11926"/>
    <n v="4100"/>
    <n v="367712"/>
    <n v="3.73"/>
    <n v="15"/>
    <n v="1.1299999999999999"/>
    <n v="21.1"/>
    <n v="35.520000000000003"/>
    <n v="3.3"/>
    <n v="9973"/>
    <n v="4829"/>
    <n v="6"/>
    <n v="35749256.899999999"/>
    <n v="64.953193483324128"/>
    <n v="55038490"/>
    <n v="0.92393354245129278"/>
    <n v="97.220863066747896"/>
  </r>
  <r>
    <s v="P0263"/>
    <s v="Model_553"/>
    <x v="2"/>
    <x v="3"/>
    <n v="2024"/>
    <s v="Q2"/>
    <n v="3496"/>
    <n v="11733"/>
    <n v="14222"/>
    <n v="397234"/>
    <n v="10.58"/>
    <n v="19"/>
    <n v="5.96"/>
    <n v="3.48"/>
    <n v="87.52"/>
    <n v="2"/>
    <n v="12179"/>
    <n v="3727"/>
    <n v="9"/>
    <n v="-9098781.4800000004"/>
    <n v="-22.182104163168251"/>
    <n v="41018568"/>
    <n v="0.6999071862209576"/>
    <n v="-22.905335394251246"/>
  </r>
  <r>
    <s v="P0264"/>
    <s v="Model_144"/>
    <x v="0"/>
    <x v="2"/>
    <n v="2023"/>
    <s v="Q3"/>
    <n v="1095"/>
    <n v="3328"/>
    <n v="7079"/>
    <n v="332363"/>
    <n v="6.41"/>
    <n v="6"/>
    <n v="4.8499999999999996"/>
    <n v="13.01"/>
    <n v="84.65"/>
    <n v="4.9000000000000004"/>
    <n v="16105"/>
    <n v="6694"/>
    <n v="8"/>
    <n v="-4439721.01"/>
    <n v="-121.83112184975413"/>
    <n v="3644160"/>
    <n v="0.21922150140501961"/>
    <n v="-13.358009164678379"/>
  </r>
  <r>
    <s v="P0265"/>
    <s v="Model_656"/>
    <x v="1"/>
    <x v="0"/>
    <n v="2024"/>
    <s v="Q4"/>
    <n v="1743"/>
    <n v="13760"/>
    <n v="9353"/>
    <n v="369313"/>
    <n v="6.64"/>
    <n v="1"/>
    <n v="0.27"/>
    <n v="0.93"/>
    <n v="79.650000000000006"/>
    <n v="4.5999999999999996"/>
    <n v="12485"/>
    <n v="8487"/>
    <n v="10"/>
    <n v="7312087.0700000003"/>
    <n v="30.48776113590575"/>
    <n v="23983680"/>
    <n v="0.3489525816885381"/>
    <n v="19.799162228245418"/>
  </r>
  <r>
    <s v="P0266"/>
    <s v="Model_654"/>
    <x v="2"/>
    <x v="2"/>
    <n v="2024"/>
    <s v="Q3"/>
    <n v="3486"/>
    <n v="10630"/>
    <n v="8153"/>
    <n v="124965"/>
    <n v="9.74"/>
    <n v="0"/>
    <n v="3.8"/>
    <n v="2.02"/>
    <n v="43.75"/>
    <n v="1.5"/>
    <n v="13891"/>
    <n v="3375"/>
    <n v="11"/>
    <n v="8509854.9800000004"/>
    <n v="22.964738891056768"/>
    <n v="37056180"/>
    <n v="0.6979051633770762"/>
    <n v="68.097923418557201"/>
  </r>
  <r>
    <s v="P0267"/>
    <s v="Model_386"/>
    <x v="1"/>
    <x v="1"/>
    <n v="2024"/>
    <s v="Q3"/>
    <n v="612"/>
    <n v="6305"/>
    <n v="4527"/>
    <n v="227912"/>
    <n v="14.04"/>
    <n v="18"/>
    <n v="1.06"/>
    <n v="16.809999999999999"/>
    <n v="65.3"/>
    <n v="1.1000000000000001"/>
    <n v="6361"/>
    <n v="4150"/>
    <n v="2"/>
    <n v="860207.19"/>
    <n v="22.292899348478485"/>
    <n v="3858660"/>
    <n v="0.12252379804554521"/>
    <n v="3.7743690547228756"/>
  </r>
  <r>
    <s v="P0268"/>
    <s v="Model_815"/>
    <x v="0"/>
    <x v="3"/>
    <n v="2023"/>
    <s v="Q3"/>
    <n v="2535"/>
    <n v="2306"/>
    <n v="7072"/>
    <n v="225767"/>
    <n v="0.96"/>
    <n v="3"/>
    <n v="5.31"/>
    <n v="17.23"/>
    <n v="82.23"/>
    <n v="3.8"/>
    <n v="20660"/>
    <n v="4653"/>
    <n v="14"/>
    <n v="-12307594.23"/>
    <n v="-210.54062261042711"/>
    <n v="5845710"/>
    <n v="0.50751279092394952"/>
    <n v="-54.514508320525145"/>
  </r>
  <r>
    <s v="P0269"/>
    <s v="Model_698"/>
    <x v="1"/>
    <x v="1"/>
    <n v="2023"/>
    <s v="Q1"/>
    <n v="3404"/>
    <n v="9702"/>
    <n v="6795"/>
    <n v="286281"/>
    <n v="12.37"/>
    <n v="1"/>
    <n v="3.96"/>
    <n v="8.5399999999999991"/>
    <n v="78.03"/>
    <n v="3.4"/>
    <n v="3096"/>
    <n v="5025"/>
    <n v="10"/>
    <n v="9609138.4600000009"/>
    <n v="29.096022880184375"/>
    <n v="33025608"/>
    <n v="0.68148857605724822"/>
    <n v="33.565437454808389"/>
  </r>
  <r>
    <s v="P0270"/>
    <s v="Model_599"/>
    <x v="1"/>
    <x v="1"/>
    <n v="2024"/>
    <s v="Q4"/>
    <n v="275"/>
    <n v="3368"/>
    <n v="10276"/>
    <n v="134754"/>
    <n v="4.3899999999999997"/>
    <n v="13"/>
    <n v="6.13"/>
    <n v="5.39"/>
    <n v="43.15"/>
    <n v="4.7"/>
    <n v="18363"/>
    <n v="2404"/>
    <n v="8"/>
    <n v="-2034459.39"/>
    <n v="-219.65659576765276"/>
    <n v="926200"/>
    <n v="5.5055628206740086E-2"/>
    <n v="-15.097540703801"/>
  </r>
  <r>
    <s v="P0271"/>
    <s v="Model_313"/>
    <x v="1"/>
    <x v="1"/>
    <n v="2024"/>
    <s v="Q3"/>
    <n v="4943"/>
    <n v="16061"/>
    <n v="1314"/>
    <n v="127988"/>
    <n v="6.66"/>
    <n v="1"/>
    <n v="8.06"/>
    <n v="20.34"/>
    <n v="18.989999999999998"/>
    <n v="1.9"/>
    <n v="11655"/>
    <n v="3443"/>
    <n v="2"/>
    <n v="72766412.659999996"/>
    <n v="91.657450391785318"/>
    <n v="79389523"/>
    <n v="0.98959989173060459"/>
    <n v="568.54105853673786"/>
  </r>
  <r>
    <s v="P0272"/>
    <s v="Model_509"/>
    <x v="1"/>
    <x v="0"/>
    <n v="2024"/>
    <s v="Q1"/>
    <n v="1009"/>
    <n v="17012"/>
    <n v="1248"/>
    <n v="200023"/>
    <n v="0.33"/>
    <n v="14"/>
    <n v="3"/>
    <n v="5.43"/>
    <n v="16.05"/>
    <n v="1.3"/>
    <n v="9419"/>
    <n v="2156"/>
    <n v="2"/>
    <n v="15705847.57"/>
    <n v="91.498681919158329"/>
    <n v="17165108"/>
    <n v="0.20200410494763907"/>
    <n v="78.520235172955111"/>
  </r>
  <r>
    <s v="P0273"/>
    <s v="Model_502"/>
    <x v="0"/>
    <x v="0"/>
    <n v="2023"/>
    <s v="Q3"/>
    <n v="4598"/>
    <n v="16399"/>
    <n v="6819"/>
    <n v="182379"/>
    <n v="4.5199999999999996"/>
    <n v="11"/>
    <n v="9.6199999999999992"/>
    <n v="13.55"/>
    <n v="56.17"/>
    <n v="2"/>
    <n v="11834"/>
    <n v="2908"/>
    <n v="6"/>
    <n v="43866447.450000003"/>
    <n v="58.176304645295929"/>
    <n v="75402602"/>
    <n v="0.9205301036166943"/>
    <n v="240.52364033139781"/>
  </r>
  <r>
    <s v="P0274"/>
    <s v="Model_317"/>
    <x v="1"/>
    <x v="2"/>
    <n v="2023"/>
    <s v="Q2"/>
    <n v="3117"/>
    <n v="17720"/>
    <n v="14594"/>
    <n v="130388"/>
    <n v="7.54"/>
    <n v="4"/>
    <n v="5.36"/>
    <n v="24.21"/>
    <n v="61.41"/>
    <n v="1.1000000000000001"/>
    <n v="16128"/>
    <n v="7192"/>
    <n v="9"/>
    <n v="9613329.7899999991"/>
    <n v="17.404971698202022"/>
    <n v="55233240"/>
    <n v="0.62403052043785034"/>
    <n v="73.728824738472866"/>
  </r>
  <r>
    <s v="P0275"/>
    <s v="Model_992"/>
    <x v="2"/>
    <x v="0"/>
    <n v="2023"/>
    <s v="Q3"/>
    <n v="865"/>
    <n v="17434"/>
    <n v="6143"/>
    <n v="402912"/>
    <n v="0.84"/>
    <n v="19"/>
    <n v="6.18"/>
    <n v="3.7"/>
    <n v="77.989999999999995"/>
    <n v="1.1000000000000001"/>
    <n v="3572"/>
    <n v="9516"/>
    <n v="10"/>
    <n v="9363799.3000000007"/>
    <n v="62.092471623782117"/>
    <n v="15080410"/>
    <n v="0.17317497599574608"/>
    <n v="23.2403179850687"/>
  </r>
  <r>
    <s v="P0276"/>
    <s v="Model_872"/>
    <x v="1"/>
    <x v="1"/>
    <n v="2024"/>
    <s v="Q4"/>
    <n v="4804"/>
    <n v="6929"/>
    <n v="10847"/>
    <n v="347572"/>
    <n v="7.37"/>
    <n v="6"/>
    <n v="6.81"/>
    <n v="23.52"/>
    <n v="33.4"/>
    <n v="4.7"/>
    <n v="10987"/>
    <n v="7326"/>
    <n v="13"/>
    <n v="-19169667.52"/>
    <n v="-57.589196668144325"/>
    <n v="33286916"/>
    <n v="0.9617717742006523"/>
    <n v="-55.153015778025846"/>
  </r>
  <r>
    <s v="P0277"/>
    <s v="Model_197"/>
    <x v="2"/>
    <x v="3"/>
    <n v="2023"/>
    <s v="Q4"/>
    <n v="4692"/>
    <n v="10576"/>
    <n v="13961"/>
    <n v="289779"/>
    <n v="13.91"/>
    <n v="9"/>
    <n v="6.67"/>
    <n v="4.57"/>
    <n v="23.4"/>
    <n v="2.4"/>
    <n v="7124"/>
    <n v="986"/>
    <n v="7"/>
    <n v="-16172203.57"/>
    <n v="-32.590404729361985"/>
    <n v="49622592"/>
    <n v="0.93934911834918"/>
    <n v="-55.808733552120756"/>
  </r>
  <r>
    <s v="P0278"/>
    <s v="Model_864"/>
    <x v="2"/>
    <x v="0"/>
    <n v="2023"/>
    <s v="Q1"/>
    <n v="3170"/>
    <n v="5064"/>
    <n v="8833"/>
    <n v="404165"/>
    <n v="1.58"/>
    <n v="13"/>
    <n v="5.1100000000000003"/>
    <n v="14.19"/>
    <n v="40.32"/>
    <n v="2.6"/>
    <n v="2438"/>
    <n v="8684"/>
    <n v="13"/>
    <n v="-12351909.189999999"/>
    <n v="-76.945128786859428"/>
    <n v="16052880"/>
    <n v="0.63464124151042212"/>
    <n v="-30.561515717590588"/>
  </r>
  <r>
    <s v="P0279"/>
    <s v="Model_699"/>
    <x v="0"/>
    <x v="1"/>
    <n v="2024"/>
    <s v="Q1"/>
    <n v="66"/>
    <n v="2889"/>
    <n v="12554"/>
    <n v="430562"/>
    <n v="11.47"/>
    <n v="13"/>
    <n v="4.29"/>
    <n v="9.43"/>
    <n v="38.29"/>
    <n v="1.1000000000000001"/>
    <n v="9676"/>
    <n v="9967"/>
    <n v="14"/>
    <n v="-1068461.43"/>
    <n v="-560.36031656125112"/>
    <n v="190674"/>
    <n v="1.321335076961762E-2"/>
    <n v="-2.4815287926012979"/>
  </r>
  <r>
    <s v="P0280"/>
    <s v="Model_596"/>
    <x v="1"/>
    <x v="1"/>
    <n v="2023"/>
    <s v="Q2"/>
    <n v="1293"/>
    <n v="13093"/>
    <n v="3320"/>
    <n v="256846"/>
    <n v="6.15"/>
    <n v="4"/>
    <n v="0.54"/>
    <n v="24.12"/>
    <n v="20.6"/>
    <n v="2.1"/>
    <n v="2261"/>
    <n v="7820"/>
    <n v="11"/>
    <n v="12379618.880000001"/>
    <n v="73.12562346977117"/>
    <n v="16929249"/>
    <n v="0.25886155371387248"/>
    <n v="48.198698831206251"/>
  </r>
  <r>
    <s v="P0281"/>
    <s v="Model_135"/>
    <x v="0"/>
    <x v="0"/>
    <n v="2024"/>
    <s v="Q4"/>
    <n v="2255"/>
    <n v="8774"/>
    <n v="3881"/>
    <n v="220047"/>
    <n v="9.83"/>
    <n v="17"/>
    <n v="0.22"/>
    <n v="6.84"/>
    <n v="63.78"/>
    <n v="4.2"/>
    <n v="14441"/>
    <n v="2546"/>
    <n v="13"/>
    <n v="10813661.16"/>
    <n v="54.65483415270981"/>
    <n v="19785370"/>
    <n v="0.45145615129526873"/>
    <n v="49.142537730575739"/>
  </r>
  <r>
    <s v="P0282"/>
    <s v="Model_358"/>
    <x v="2"/>
    <x v="2"/>
    <n v="2023"/>
    <s v="Q3"/>
    <n v="2574"/>
    <n v="18708"/>
    <n v="2228"/>
    <n v="182212"/>
    <n v="3.9"/>
    <n v="13"/>
    <n v="3.58"/>
    <n v="9.99"/>
    <n v="50.7"/>
    <n v="3.5"/>
    <n v="3169"/>
    <n v="4005"/>
    <n v="9"/>
    <n v="42237298.009999998"/>
    <n v="87.712244419989759"/>
    <n v="48154392"/>
    <n v="0.51532068001508724"/>
    <n v="231.80310846706035"/>
  </r>
  <r>
    <s v="P0283"/>
    <s v="Model_710"/>
    <x v="2"/>
    <x v="0"/>
    <n v="2024"/>
    <s v="Q2"/>
    <n v="1119"/>
    <n v="18820"/>
    <n v="4767"/>
    <n v="468058"/>
    <n v="2.39"/>
    <n v="1"/>
    <n v="3.34"/>
    <n v="24.57"/>
    <n v="67.69"/>
    <n v="4"/>
    <n v="8628"/>
    <n v="6574"/>
    <n v="7"/>
    <n v="15257224.43"/>
    <n v="72.447904611582942"/>
    <n v="21059580"/>
    <n v="0.22402635623033512"/>
    <n v="32.596919612526655"/>
  </r>
  <r>
    <s v="P0284"/>
    <s v="Model_468"/>
    <x v="1"/>
    <x v="3"/>
    <n v="2023"/>
    <s v="Q2"/>
    <n v="3494"/>
    <n v="12245"/>
    <n v="7245"/>
    <n v="338565"/>
    <n v="2.41"/>
    <n v="11"/>
    <n v="3.88"/>
    <n v="13.41"/>
    <n v="38.22"/>
    <n v="2.8"/>
    <n v="20569"/>
    <n v="3691"/>
    <n v="12"/>
    <n v="17131421.59"/>
    <n v="40.041626723803255"/>
    <n v="42784030"/>
    <n v="0.69950678165218128"/>
    <n v="50.60013586755867"/>
  </r>
  <r>
    <s v="P0285"/>
    <s v="Model_250"/>
    <x v="2"/>
    <x v="1"/>
    <n v="2023"/>
    <s v="Q3"/>
    <n v="2615"/>
    <n v="15699"/>
    <n v="14842"/>
    <n v="313852"/>
    <n v="1.06"/>
    <n v="5"/>
    <n v="1.38"/>
    <n v="12.57"/>
    <n v="36.06"/>
    <n v="2.2000000000000002"/>
    <n v="13591"/>
    <n v="2281"/>
    <n v="7"/>
    <n v="1927190.43"/>
    <n v="4.694409247973681"/>
    <n v="41052885"/>
    <n v="0.52352897367500117"/>
    <n v="6.1404834125638832"/>
  </r>
  <r>
    <s v="P0286"/>
    <s v="Model_426"/>
    <x v="2"/>
    <x v="1"/>
    <n v="2024"/>
    <s v="Q1"/>
    <n v="1110"/>
    <n v="17376"/>
    <n v="9914"/>
    <n v="446846"/>
    <n v="2.78"/>
    <n v="3"/>
    <n v="7.38"/>
    <n v="6.44"/>
    <n v="47.81"/>
    <n v="2.9"/>
    <n v="19815"/>
    <n v="5111"/>
    <n v="5"/>
    <n v="7835967.5599999996"/>
    <n v="40.627476025749502"/>
    <n v="19287360"/>
    <n v="0.2222245356708418"/>
    <n v="17.536184725833955"/>
  </r>
  <r>
    <s v="P0287"/>
    <s v="Model_128"/>
    <x v="1"/>
    <x v="0"/>
    <n v="2023"/>
    <s v="Q4"/>
    <n v="2377"/>
    <n v="19680"/>
    <n v="12129"/>
    <n v="462811"/>
    <n v="9.9600000000000009"/>
    <n v="12"/>
    <n v="8.57"/>
    <n v="17.53"/>
    <n v="80.19"/>
    <n v="2.2999999999999998"/>
    <n v="8808"/>
    <n v="5130"/>
    <n v="12"/>
    <n v="17485898.469999999"/>
    <n v="37.379516243916115"/>
    <n v="46779360"/>
    <n v="0.47588082999062248"/>
    <n v="37.781980117153651"/>
  </r>
  <r>
    <s v="P0288"/>
    <s v="Model_114"/>
    <x v="1"/>
    <x v="1"/>
    <n v="2023"/>
    <s v="Q2"/>
    <n v="3470"/>
    <n v="9745"/>
    <n v="2959"/>
    <n v="126021"/>
    <n v="13.23"/>
    <n v="3"/>
    <n v="9.39"/>
    <n v="0.36"/>
    <n v="13.22"/>
    <n v="4.4000000000000004"/>
    <n v="2626"/>
    <n v="454"/>
    <n v="6"/>
    <n v="23421398.640000001"/>
    <n v="69.263033403666697"/>
    <n v="33815150"/>
    <n v="0.69470192682686582"/>
    <n v="185.85314352369844"/>
  </r>
  <r>
    <s v="P0289"/>
    <s v="Model_125"/>
    <x v="1"/>
    <x v="0"/>
    <n v="2024"/>
    <s v="Q3"/>
    <n v="351"/>
    <n v="8714"/>
    <n v="5932"/>
    <n v="209380"/>
    <n v="12.21"/>
    <n v="13"/>
    <n v="4.92"/>
    <n v="1.24"/>
    <n v="74.39"/>
    <n v="2.2000000000000002"/>
    <n v="7521"/>
    <n v="2731"/>
    <n v="3"/>
    <n v="767100.76"/>
    <n v="25.080012057749034"/>
    <n v="3058614"/>
    <n v="7.0271001820239168E-2"/>
    <n v="3.6636832553252461"/>
  </r>
  <r>
    <s v="P0290"/>
    <s v="Model_520"/>
    <x v="2"/>
    <x v="1"/>
    <n v="2024"/>
    <s v="Q3"/>
    <n v="4326"/>
    <n v="2226"/>
    <n v="14504"/>
    <n v="94789"/>
    <n v="10.28"/>
    <n v="15"/>
    <n v="7.01"/>
    <n v="14.98"/>
    <n v="39.520000000000003"/>
    <n v="3.6"/>
    <n v="7937"/>
    <n v="1621"/>
    <n v="4"/>
    <n v="-53209431.979999997"/>
    <n v="-552.55682517251876"/>
    <n v="9629676"/>
    <n v="0.86607508226311858"/>
    <n v="-561.34590511557246"/>
  </r>
  <r>
    <s v="P0291"/>
    <s v="Model_927"/>
    <x v="1"/>
    <x v="0"/>
    <n v="2024"/>
    <s v="Q4"/>
    <n v="656"/>
    <n v="15332"/>
    <n v="3347"/>
    <n v="498906"/>
    <n v="1.66"/>
    <n v="3"/>
    <n v="8.56"/>
    <n v="8.5399999999999991"/>
    <n v="78.37"/>
    <n v="1.5"/>
    <n v="8539"/>
    <n v="2772"/>
    <n v="4"/>
    <n v="7363245.46"/>
    <n v="73.209363049066837"/>
    <n v="10057792"/>
    <n v="0.13133269855862362"/>
    <n v="14.758800254957848"/>
  </r>
  <r>
    <s v="P0292"/>
    <s v="Model_641"/>
    <x v="1"/>
    <x v="0"/>
    <n v="2023"/>
    <s v="Q1"/>
    <n v="3220"/>
    <n v="12862"/>
    <n v="3779"/>
    <n v="76086"/>
    <n v="4.34"/>
    <n v="0"/>
    <n v="4.18"/>
    <n v="23.83"/>
    <n v="74.180000000000007"/>
    <n v="3.7"/>
    <n v="19087"/>
    <n v="2437"/>
    <n v="13"/>
    <n v="29171150.170000002"/>
    <n v="70.435106568436467"/>
    <n v="41415640"/>
    <n v="0.64465135572982935"/>
    <n v="383.3973924243619"/>
  </r>
  <r>
    <s v="P0293"/>
    <s v="Model_998"/>
    <x v="0"/>
    <x v="0"/>
    <n v="2023"/>
    <s v="Q3"/>
    <n v="749"/>
    <n v="19797"/>
    <n v="11273"/>
    <n v="329003"/>
    <n v="4.6500000000000004"/>
    <n v="12"/>
    <n v="3.09"/>
    <n v="22.58"/>
    <n v="37.9"/>
    <n v="4.7"/>
    <n v="5635"/>
    <n v="7068"/>
    <n v="12"/>
    <n v="6055450.4199999999"/>
    <n v="40.838074007922735"/>
    <n v="14827953"/>
    <n v="0.14995151100672119"/>
    <n v="18.405525177581968"/>
  </r>
  <r>
    <s v="P0294"/>
    <s v="Model_590"/>
    <x v="0"/>
    <x v="0"/>
    <n v="2023"/>
    <s v="Q3"/>
    <n v="1189"/>
    <n v="11606"/>
    <n v="3449"/>
    <n v="57684"/>
    <n v="3.75"/>
    <n v="3"/>
    <n v="9.3699999999999992"/>
    <n v="17.84"/>
    <n v="65.510000000000005"/>
    <n v="3.4"/>
    <n v="16611"/>
    <n v="728"/>
    <n v="6"/>
    <n v="9640971.1600000001"/>
    <n v="69.864469046563457"/>
    <n v="13799534"/>
    <n v="0.23804051613750532"/>
    <n v="167.13454337424588"/>
  </r>
  <r>
    <s v="P0295"/>
    <s v="Model_749"/>
    <x v="2"/>
    <x v="0"/>
    <n v="2024"/>
    <s v="Q1"/>
    <n v="240"/>
    <n v="9157"/>
    <n v="9305"/>
    <n v="141088"/>
    <n v="7.73"/>
    <n v="19"/>
    <n v="5.16"/>
    <n v="20.45"/>
    <n v="22.77"/>
    <n v="3.2"/>
    <n v="13464"/>
    <n v="7262"/>
    <n v="6"/>
    <n v="-176628.45"/>
    <n v="-8.0370413344981984"/>
    <n v="2197680"/>
    <n v="4.8048548253154987E-2"/>
    <n v="-1.2517577682014063"/>
  </r>
  <r>
    <s v="P0296"/>
    <s v="Model_669"/>
    <x v="2"/>
    <x v="2"/>
    <n v="2023"/>
    <s v="Q1"/>
    <n v="2350"/>
    <n v="16051"/>
    <n v="11605"/>
    <n v="444423"/>
    <n v="8.0299999999999994"/>
    <n v="17"/>
    <n v="4.97"/>
    <n v="16.68"/>
    <n v="81.7"/>
    <n v="4.8"/>
    <n v="10211"/>
    <n v="2779"/>
    <n v="7"/>
    <n v="10003660.32"/>
    <n v="26.520944065260071"/>
    <n v="37719850"/>
    <n v="0.47047536831214254"/>
    <n v="22.509359326587507"/>
  </r>
  <r>
    <s v="P0297"/>
    <s v="Model_221"/>
    <x v="2"/>
    <x v="1"/>
    <n v="2024"/>
    <s v="Q3"/>
    <n v="1030"/>
    <n v="9406"/>
    <n v="3883"/>
    <n v="96099"/>
    <n v="5.35"/>
    <n v="5"/>
    <n v="1.78"/>
    <n v="3.14"/>
    <n v="42.36"/>
    <n v="3.5"/>
    <n v="9404"/>
    <n v="5366"/>
    <n v="6"/>
    <n v="5592587.8600000003"/>
    <n v="57.725887215142578"/>
    <n v="9688180"/>
    <n v="0.20620835291979014"/>
    <n v="58.19614147909968"/>
  </r>
  <r>
    <s v="P0298"/>
    <s v="Model_555"/>
    <x v="2"/>
    <x v="3"/>
    <n v="2023"/>
    <s v="Q2"/>
    <n v="3025"/>
    <n v="8787"/>
    <n v="11248"/>
    <n v="116093"/>
    <n v="5.31"/>
    <n v="2"/>
    <n v="1.08"/>
    <n v="19.14"/>
    <n v="46.45"/>
    <n v="2"/>
    <n v="3783"/>
    <n v="4522"/>
    <n v="13"/>
    <n v="-7560637.1399999997"/>
    <n v="-28.444112649509464"/>
    <n v="26580675"/>
    <n v="0.60561191027414096"/>
    <n v="-65.125528670979307"/>
  </r>
  <r>
    <s v="P0299"/>
    <s v="Model_589"/>
    <x v="1"/>
    <x v="3"/>
    <n v="2023"/>
    <s v="Q3"/>
    <n v="1234"/>
    <n v="2392"/>
    <n v="1837"/>
    <n v="210761"/>
    <n v="12.43"/>
    <n v="12"/>
    <n v="8.42"/>
    <n v="5.25"/>
    <n v="66.459999999999994"/>
    <n v="2.2000000000000002"/>
    <n v="3977"/>
    <n v="9730"/>
    <n v="7"/>
    <n v="474103.75"/>
    <n v="16.061905094236327"/>
    <n v="2951728"/>
    <n v="0.24704961893497188"/>
    <n v="2.2495101086064309"/>
  </r>
  <r>
    <s v="P0300"/>
    <s v="Model_205"/>
    <x v="2"/>
    <x v="1"/>
    <n v="2024"/>
    <s v="Q2"/>
    <n v="3377"/>
    <n v="11722"/>
    <n v="14744"/>
    <n v="360795"/>
    <n v="11.84"/>
    <n v="15"/>
    <n v="6.14"/>
    <n v="8.09"/>
    <n v="75.67"/>
    <n v="3.8"/>
    <n v="4593"/>
    <n v="7563"/>
    <n v="9"/>
    <n v="-10566097.09"/>
    <n v="-26.692043216966422"/>
    <n v="39585194"/>
    <n v="0.67608311437876822"/>
    <n v="-29.285574910960516"/>
  </r>
  <r>
    <s v="P0301"/>
    <s v="Model_841"/>
    <x v="2"/>
    <x v="0"/>
    <n v="2024"/>
    <s v="Q4"/>
    <n v="3444"/>
    <n v="6175"/>
    <n v="4289"/>
    <n v="63893"/>
    <n v="4.62"/>
    <n v="4"/>
    <n v="3.26"/>
    <n v="20.48"/>
    <n v="28.91"/>
    <n v="3.9"/>
    <n v="8707"/>
    <n v="9713"/>
    <n v="3"/>
    <n v="6431470.5199999996"/>
    <n v="30.241976987496884"/>
    <n v="21266700"/>
    <n v="0.68949666743277405"/>
    <n v="100.6603383782261"/>
  </r>
  <r>
    <s v="P0302"/>
    <s v="Model_883"/>
    <x v="1"/>
    <x v="3"/>
    <n v="2024"/>
    <s v="Q2"/>
    <n v="177"/>
    <n v="3433"/>
    <n v="8404"/>
    <n v="116418"/>
    <n v="13.71"/>
    <n v="3"/>
    <n v="1.92"/>
    <n v="13.41"/>
    <n v="62.91"/>
    <n v="2.2000000000000002"/>
    <n v="10894"/>
    <n v="1226"/>
    <n v="5"/>
    <n v="-996298.41"/>
    <n v="-163.96168296741004"/>
    <n v="607641"/>
    <n v="3.54358043367018E-2"/>
    <n v="-8.557826109364532"/>
  </r>
  <r>
    <s v="P0303"/>
    <s v="Model_988"/>
    <x v="2"/>
    <x v="2"/>
    <n v="2024"/>
    <s v="Q3"/>
    <n v="2115"/>
    <n v="19264"/>
    <n v="8344"/>
    <n v="175074"/>
    <n v="14.29"/>
    <n v="7"/>
    <n v="5.55"/>
    <n v="21.5"/>
    <n v="41.36"/>
    <n v="2.4"/>
    <n v="16341"/>
    <n v="1880"/>
    <n v="14"/>
    <n v="22920704.5"/>
    <n v="56.256294277153387"/>
    <n v="40743360"/>
    <n v="0.42342783148092833"/>
    <n v="130.92021659412592"/>
  </r>
  <r>
    <s v="P0304"/>
    <s v="Model_572"/>
    <x v="1"/>
    <x v="1"/>
    <n v="2023"/>
    <s v="Q4"/>
    <n v="1866"/>
    <n v="13373"/>
    <n v="3434"/>
    <n v="415209"/>
    <n v="4.9000000000000004"/>
    <n v="18"/>
    <n v="5.84"/>
    <n v="5.33"/>
    <n v="39.5"/>
    <n v="5"/>
    <n v="7727"/>
    <n v="9823"/>
    <n v="7"/>
    <n v="18130959.670000002"/>
    <n v="72.657476122682937"/>
    <n v="24954018"/>
    <n v="0.37357746266828001"/>
    <n v="43.667080915876099"/>
  </r>
  <r>
    <s v="P0305"/>
    <s v="Model_751"/>
    <x v="1"/>
    <x v="0"/>
    <n v="2023"/>
    <s v="Q1"/>
    <n v="619"/>
    <n v="19174"/>
    <n v="4783"/>
    <n v="180351"/>
    <n v="5.32"/>
    <n v="13"/>
    <n v="2.0699999999999998"/>
    <n v="15.19"/>
    <n v="65.2"/>
    <n v="1.4"/>
    <n v="14780"/>
    <n v="9524"/>
    <n v="13"/>
    <n v="8727662.8100000005"/>
    <n v="73.535083015789596"/>
    <n v="11868706"/>
    <n v="0.12392521403626224"/>
    <n v="48.392734168371675"/>
  </r>
  <r>
    <s v="P0306"/>
    <s v="Model_209"/>
    <x v="1"/>
    <x v="1"/>
    <n v="2024"/>
    <s v="Q4"/>
    <n v="1945"/>
    <n v="19524"/>
    <n v="2578"/>
    <n v="241083"/>
    <n v="7.58"/>
    <n v="6"/>
    <n v="8.51"/>
    <n v="2.09"/>
    <n v="40.97"/>
    <n v="2.6"/>
    <n v="5035"/>
    <n v="6671"/>
    <n v="6"/>
    <n v="32718884.91"/>
    <n v="86.160872756172751"/>
    <n v="37974180"/>
    <n v="0.38939344313494351"/>
    <n v="135.71627613726392"/>
  </r>
  <r>
    <s v="P0307"/>
    <s v="Model_268"/>
    <x v="0"/>
    <x v="2"/>
    <n v="2023"/>
    <s v="Q1"/>
    <n v="2783"/>
    <n v="14739"/>
    <n v="8702"/>
    <n v="88635"/>
    <n v="14.12"/>
    <n v="13"/>
    <n v="0.84"/>
    <n v="16.079999999999998"/>
    <n v="37.69"/>
    <n v="1.2"/>
    <n v="12082"/>
    <n v="8684"/>
    <n v="2"/>
    <n v="16712319.92"/>
    <n v="40.743235617507231"/>
    <n v="41018637"/>
    <n v="0.55716295745220967"/>
    <n v="188.55233259998872"/>
  </r>
  <r>
    <s v="P0308"/>
    <s v="Model_449"/>
    <x v="0"/>
    <x v="3"/>
    <n v="2023"/>
    <s v="Q4"/>
    <n v="3913"/>
    <n v="12374"/>
    <n v="5910"/>
    <n v="499331"/>
    <n v="13.14"/>
    <n v="5"/>
    <n v="3.56"/>
    <n v="19.059999999999999"/>
    <n v="76.87"/>
    <n v="4.3"/>
    <n v="4413"/>
    <n v="925"/>
    <n v="10"/>
    <n v="24794281.940000001"/>
    <n v="51.207264426027699"/>
    <n v="48419462"/>
    <n v="0.78339153881081436"/>
    <n v="49.655040444114228"/>
  </r>
  <r>
    <s v="P0309"/>
    <s v="Model_652"/>
    <x v="1"/>
    <x v="3"/>
    <n v="2024"/>
    <s v="Q1"/>
    <n v="4771"/>
    <n v="19102"/>
    <n v="5989"/>
    <n v="145071"/>
    <n v="1.54"/>
    <n v="11"/>
    <n v="6.8"/>
    <n v="14.62"/>
    <n v="18.100000000000001"/>
    <n v="1.4"/>
    <n v="3840"/>
    <n v="7376"/>
    <n v="4"/>
    <n v="62417037.380000003"/>
    <n v="68.488064614720116"/>
    <n v="91135642"/>
    <n v="0.95516509881584344"/>
    <n v="430.25175259011104"/>
  </r>
  <r>
    <s v="P0310"/>
    <s v="Model_682"/>
    <x v="2"/>
    <x v="3"/>
    <n v="2024"/>
    <s v="Q3"/>
    <n v="4064"/>
    <n v="6516"/>
    <n v="12887"/>
    <n v="390662"/>
    <n v="5.89"/>
    <n v="15"/>
    <n v="2.74"/>
    <n v="6.66"/>
    <n v="64.069999999999993"/>
    <n v="3.7"/>
    <n v="6789"/>
    <n v="2495"/>
    <n v="3"/>
    <n v="-26282412.66"/>
    <n v="-99.249986178782208"/>
    <n v="26481024"/>
    <n v="0.81362208375342437"/>
    <n v="-67.276586921686771"/>
  </r>
  <r>
    <s v="P0311"/>
    <s v="Model_689"/>
    <x v="0"/>
    <x v="1"/>
    <n v="2024"/>
    <s v="Q3"/>
    <n v="2951"/>
    <n v="15274"/>
    <n v="8178"/>
    <n v="418377"/>
    <n v="8.3000000000000007"/>
    <n v="16"/>
    <n v="8.2799999999999994"/>
    <n v="0.78"/>
    <n v="29.9"/>
    <n v="1.2"/>
    <n v="2097"/>
    <n v="4245"/>
    <n v="10"/>
    <n v="20521918.219999999"/>
    <n v="45.529822463157679"/>
    <n v="45073574"/>
    <n v="0.59079694122941817"/>
    <n v="49.051259988001256"/>
  </r>
  <r>
    <s v="P0312"/>
    <s v="Model_273"/>
    <x v="1"/>
    <x v="0"/>
    <n v="2024"/>
    <s v="Q1"/>
    <n v="1736"/>
    <n v="11252"/>
    <n v="1924"/>
    <n v="415795"/>
    <n v="7.55"/>
    <n v="12"/>
    <n v="7.4"/>
    <n v="2.99"/>
    <n v="11.24"/>
    <n v="3.7"/>
    <n v="16525"/>
    <n v="7159"/>
    <n v="8"/>
    <n v="15777610.01"/>
    <n v="80.772174091733405"/>
    <n v="19533472"/>
    <n v="0.34755116569782107"/>
    <n v="37.945653507136932"/>
  </r>
  <r>
    <s v="P0313"/>
    <s v="Model_722"/>
    <x v="1"/>
    <x v="3"/>
    <n v="2023"/>
    <s v="Q3"/>
    <n v="3059"/>
    <n v="18838"/>
    <n v="1497"/>
    <n v="122805"/>
    <n v="2.91"/>
    <n v="13"/>
    <n v="7.89"/>
    <n v="15.56"/>
    <n v="23.34"/>
    <n v="4.4000000000000004"/>
    <n v="8645"/>
    <n v="5592"/>
    <n v="6"/>
    <n v="52923298.439999998"/>
    <n v="91.840160531870623"/>
    <n v="57625442"/>
    <n v="0.61241878794333793"/>
    <n v="430.95406538821709"/>
  </r>
  <r>
    <s v="P0314"/>
    <s v="Model_722"/>
    <x v="1"/>
    <x v="3"/>
    <n v="2023"/>
    <s v="Q3"/>
    <n v="204"/>
    <n v="17085"/>
    <n v="2979"/>
    <n v="471280"/>
    <n v="12.88"/>
    <n v="6"/>
    <n v="1.19"/>
    <n v="23.36"/>
    <n v="58.53"/>
    <n v="2.6"/>
    <n v="4402"/>
    <n v="7211"/>
    <n v="13"/>
    <n v="2406320.64"/>
    <n v="69.041202293033109"/>
    <n v="3485340"/>
    <n v="4.0841266015181739E-2"/>
    <n v="5.1059752164318448"/>
  </r>
  <r>
    <s v="P0315"/>
    <s v="Model_287"/>
    <x v="1"/>
    <x v="1"/>
    <n v="2024"/>
    <s v="Q4"/>
    <n v="2587"/>
    <n v="8791"/>
    <n v="10396"/>
    <n v="434957"/>
    <n v="10.15"/>
    <n v="13"/>
    <n v="1.41"/>
    <n v="5.16"/>
    <n v="66.73"/>
    <n v="3.1"/>
    <n v="10455"/>
    <n v="6892"/>
    <n v="7"/>
    <n v="-4587097.16"/>
    <n v="-20.169876094858761"/>
    <n v="22742317"/>
    <n v="0.51792330971213307"/>
    <n v="-10.546081566683604"/>
  </r>
  <r>
    <s v="P0316"/>
    <s v="Model_643"/>
    <x v="0"/>
    <x v="1"/>
    <n v="2023"/>
    <s v="Q1"/>
    <n v="1459"/>
    <n v="2474"/>
    <n v="6051"/>
    <n v="391207"/>
    <n v="12.57"/>
    <n v="14"/>
    <n v="2.86"/>
    <n v="18.38"/>
    <n v="11.68"/>
    <n v="2.6"/>
    <n v="9194"/>
    <n v="9655"/>
    <n v="13"/>
    <n v="-5610068.3799999999"/>
    <n v="-155.42224134425024"/>
    <n v="3609566"/>
    <n v="0.29209513292230466"/>
    <n v="-14.340362007837284"/>
  </r>
  <r>
    <s v="P0317"/>
    <s v="Model_257"/>
    <x v="0"/>
    <x v="0"/>
    <n v="2023"/>
    <s v="Q1"/>
    <n v="4107"/>
    <n v="5633"/>
    <n v="10035"/>
    <n v="314598"/>
    <n v="12.88"/>
    <n v="11"/>
    <n v="5.18"/>
    <n v="21.66"/>
    <n v="12.91"/>
    <n v="2.2000000000000002"/>
    <n v="6330"/>
    <n v="3651"/>
    <n v="12"/>
    <n v="-18393633.66"/>
    <n v="-79.506581079330459"/>
    <n v="23134731"/>
    <n v="0.82223078198211463"/>
    <n v="-58.467034119733754"/>
  </r>
  <r>
    <s v="P0318"/>
    <s v="Model_144"/>
    <x v="2"/>
    <x v="3"/>
    <n v="2024"/>
    <s v="Q1"/>
    <n v="834"/>
    <n v="16163"/>
    <n v="2729"/>
    <n v="333022"/>
    <n v="11.23"/>
    <n v="16"/>
    <n v="7.48"/>
    <n v="13.02"/>
    <n v="82.2"/>
    <n v="4.2"/>
    <n v="11334"/>
    <n v="7811"/>
    <n v="5"/>
    <n v="10870920.98"/>
    <n v="80.645161381258163"/>
    <n v="13479942"/>
    <n v="0.16696870517971357"/>
    <n v="32.643290833638616"/>
  </r>
  <r>
    <s v="P0319"/>
    <s v="Model_323"/>
    <x v="2"/>
    <x v="0"/>
    <n v="2024"/>
    <s v="Q4"/>
    <n v="3225"/>
    <n v="5472"/>
    <n v="1813"/>
    <n v="232170"/>
    <n v="6.59"/>
    <n v="8"/>
    <n v="8.3699999999999992"/>
    <n v="16.73"/>
    <n v="15.86"/>
    <n v="2.1"/>
    <n v="11989"/>
    <n v="3728"/>
    <n v="2"/>
    <n v="11568088.27"/>
    <n v="65.551975780860417"/>
    <n v="17647200"/>
    <n v="0.6456523671517701"/>
    <n v="49.826011112546844"/>
  </r>
  <r>
    <s v="P0320"/>
    <s v="Model_331"/>
    <x v="1"/>
    <x v="0"/>
    <n v="2024"/>
    <s v="Q1"/>
    <n v="4391"/>
    <n v="6795"/>
    <n v="1026"/>
    <n v="243226"/>
    <n v="9.16"/>
    <n v="14"/>
    <n v="7.04"/>
    <n v="20.38"/>
    <n v="81.53"/>
    <n v="3.9"/>
    <n v="17268"/>
    <n v="1665"/>
    <n v="5"/>
    <n v="25088432.620000001"/>
    <n v="84.085407220502034"/>
    <n v="29836845"/>
    <n v="0.87908823074834808"/>
    <n v="103.14872998774803"/>
  </r>
  <r>
    <s v="P0321"/>
    <s v="Model_194"/>
    <x v="0"/>
    <x v="1"/>
    <n v="2024"/>
    <s v="Q4"/>
    <n v="2856"/>
    <n v="15413"/>
    <n v="8121"/>
    <n v="194063"/>
    <n v="2.41"/>
    <n v="11"/>
    <n v="9.2899999999999991"/>
    <n v="6.52"/>
    <n v="28.25"/>
    <n v="1.8"/>
    <n v="11864"/>
    <n v="3767"/>
    <n v="10"/>
    <n v="20631882.48"/>
    <n v="46.869840312690314"/>
    <n v="44019528"/>
    <n v="0.57177772421254436"/>
    <n v="106.31541818893865"/>
  </r>
  <r>
    <s v="P0322"/>
    <s v="Model_947"/>
    <x v="2"/>
    <x v="0"/>
    <n v="2023"/>
    <s v="Q4"/>
    <n v="587"/>
    <n v="10605"/>
    <n v="2628"/>
    <n v="118344"/>
    <n v="10.1"/>
    <n v="1"/>
    <n v="7.39"/>
    <n v="7.42"/>
    <n v="69.2"/>
    <n v="2"/>
    <n v="3660"/>
    <n v="6559"/>
    <n v="2"/>
    <n v="4564147.58"/>
    <n v="73.318049809361568"/>
    <n v="6225135"/>
    <n v="0.11751874093584157"/>
    <n v="38.566847495437031"/>
  </r>
  <r>
    <s v="P0323"/>
    <s v="Model_321"/>
    <x v="1"/>
    <x v="0"/>
    <n v="2024"/>
    <s v="Q3"/>
    <n v="1891"/>
    <n v="9728"/>
    <n v="8709"/>
    <n v="417090"/>
    <n v="2.69"/>
    <n v="4"/>
    <n v="3.06"/>
    <n v="0.02"/>
    <n v="34.78"/>
    <n v="2.2999999999999998"/>
    <n v="14768"/>
    <n v="4196"/>
    <n v="11"/>
    <n v="1509838.98"/>
    <n v="8.2075879033997605"/>
    <n v="18395648"/>
    <n v="0.37858251977798363"/>
    <n v="3.6199357452827927"/>
  </r>
  <r>
    <s v="P0324"/>
    <s v="Model_504"/>
    <x v="0"/>
    <x v="1"/>
    <n v="2024"/>
    <s v="Q3"/>
    <n v="2505"/>
    <n v="11403"/>
    <n v="6388"/>
    <n v="86593"/>
    <n v="10.41"/>
    <n v="12"/>
    <n v="2.65"/>
    <n v="24.08"/>
    <n v="78.7"/>
    <n v="3.4"/>
    <n v="15985"/>
    <n v="1119"/>
    <n v="4"/>
    <n v="12475957.92"/>
    <n v="43.6764213220494"/>
    <n v="28564515"/>
    <n v="0.5015067223923052"/>
    <n v="144.0761031492153"/>
  </r>
  <r>
    <s v="P0325"/>
    <s v="Model_282"/>
    <x v="1"/>
    <x v="0"/>
    <n v="2023"/>
    <s v="Q3"/>
    <n v="574"/>
    <n v="4520"/>
    <n v="13909"/>
    <n v="86304"/>
    <n v="3.44"/>
    <n v="19"/>
    <n v="6.96"/>
    <n v="22.94"/>
    <n v="66.040000000000006"/>
    <n v="2.8"/>
    <n v="4422"/>
    <n v="8028"/>
    <n v="6"/>
    <n v="-5475612.9400000004"/>
    <n v="-211.04857004101015"/>
    <n v="2594480"/>
    <n v="0.11491611123879567"/>
    <n v="-63.445379124953654"/>
  </r>
  <r>
    <s v="P0326"/>
    <s v="Model_258"/>
    <x v="0"/>
    <x v="2"/>
    <n v="2023"/>
    <s v="Q3"/>
    <n v="3000"/>
    <n v="10487"/>
    <n v="2823"/>
    <n v="473602"/>
    <n v="1.76"/>
    <n v="7"/>
    <n v="1.93"/>
    <n v="19.11"/>
    <n v="42.15"/>
    <n v="4"/>
    <n v="5304"/>
    <n v="9576"/>
    <n v="8"/>
    <n v="22518378.890000001"/>
    <n v="71.575534439464732"/>
    <n v="31461000"/>
    <n v="0.60060685316443729"/>
    <n v="47.547092284238666"/>
  </r>
  <r>
    <s v="P0327"/>
    <s v="Model_783"/>
    <x v="0"/>
    <x v="1"/>
    <n v="2023"/>
    <s v="Q2"/>
    <n v="4181"/>
    <n v="14380"/>
    <n v="5766"/>
    <n v="236292"/>
    <n v="2.48"/>
    <n v="13"/>
    <n v="0.93"/>
    <n v="1.98"/>
    <n v="16.100000000000001"/>
    <n v="1.9"/>
    <n v="3868"/>
    <n v="8354"/>
    <n v="10"/>
    <n v="35778840.020000003"/>
    <n v="59.509623507096656"/>
    <n v="60122780"/>
    <n v="0.83704575102683743"/>
    <n v="151.41791512196772"/>
  </r>
  <r>
    <s v="P0328"/>
    <s v="Model_381"/>
    <x v="2"/>
    <x v="0"/>
    <n v="2023"/>
    <s v="Q2"/>
    <n v="4830"/>
    <n v="6733"/>
    <n v="11444"/>
    <n v="163613"/>
    <n v="0.03"/>
    <n v="14"/>
    <n v="5.32"/>
    <n v="11.19"/>
    <n v="68.62"/>
    <n v="1"/>
    <n v="16657"/>
    <n v="6065"/>
    <n v="7"/>
    <n v="-22917754.190000001"/>
    <n v="-70.471953718882219"/>
    <n v="32520390"/>
    <n v="0.96697703359474407"/>
    <n v="-140.07287318244883"/>
  </r>
  <r>
    <s v="P0329"/>
    <s v="Model_124"/>
    <x v="0"/>
    <x v="1"/>
    <n v="2024"/>
    <s v="Q2"/>
    <n v="4165"/>
    <n v="11016"/>
    <n v="11077"/>
    <n v="250410"/>
    <n v="10.78"/>
    <n v="10"/>
    <n v="8.2200000000000006"/>
    <n v="2.5499999999999998"/>
    <n v="59.35"/>
    <n v="4.0999999999999996"/>
    <n v="9593"/>
    <n v="2369"/>
    <n v="4"/>
    <n v="-504477.55"/>
    <n v="-1.0995194374045913"/>
    <n v="45881640"/>
    <n v="0.83384251447662716"/>
    <n v="-2.0145960624575694"/>
  </r>
  <r>
    <s v="P0330"/>
    <s v="Model_166"/>
    <x v="1"/>
    <x v="0"/>
    <n v="2023"/>
    <s v="Q1"/>
    <n v="2418"/>
    <n v="16059"/>
    <n v="6691"/>
    <n v="464299"/>
    <n v="10.99"/>
    <n v="0"/>
    <n v="1.01"/>
    <n v="0.4"/>
    <n v="10.23"/>
    <n v="4.3"/>
    <n v="5432"/>
    <n v="8935"/>
    <n v="14"/>
    <n v="22187524.600000001"/>
    <n v="57.139187068198837"/>
    <n v="38830662"/>
    <n v="0.48408912365053647"/>
    <n v="47.787147936997492"/>
  </r>
  <r>
    <s v="P0331"/>
    <s v="Model_821"/>
    <x v="1"/>
    <x v="1"/>
    <n v="2023"/>
    <s v="Q1"/>
    <n v="3897"/>
    <n v="18201"/>
    <n v="13275"/>
    <n v="68354"/>
    <n v="7.72"/>
    <n v="2"/>
    <n v="7.92"/>
    <n v="15.4"/>
    <n v="10.75"/>
    <n v="1.2"/>
    <n v="13052"/>
    <n v="4821"/>
    <n v="8"/>
    <n v="19128252.600000001"/>
    <n v="26.968056091124097"/>
    <n v="70929297"/>
    <n v="0.78018830226060409"/>
    <n v="279.84123825964832"/>
  </r>
  <r>
    <s v="P0332"/>
    <s v="Model_125"/>
    <x v="0"/>
    <x v="0"/>
    <n v="2024"/>
    <s v="Q2"/>
    <n v="4545"/>
    <n v="3896"/>
    <n v="1880"/>
    <n v="334334"/>
    <n v="2.42"/>
    <n v="16"/>
    <n v="8.1199999999999992"/>
    <n v="24.02"/>
    <n v="74.7"/>
    <n v="3.4"/>
    <n v="7108"/>
    <n v="8508"/>
    <n v="5"/>
    <n v="8828361.9800000004"/>
    <n v="49.857132417553871"/>
    <n v="17707320"/>
    <n v="0.90991938254412252"/>
    <n v="26.405887525648005"/>
  </r>
  <r>
    <s v="P0333"/>
    <s v="Model_427"/>
    <x v="0"/>
    <x v="2"/>
    <n v="2024"/>
    <s v="Q1"/>
    <n v="2751"/>
    <n v="3091"/>
    <n v="5836"/>
    <n v="56142"/>
    <n v="1.25"/>
    <n v="18"/>
    <n v="4.82"/>
    <n v="22.57"/>
    <n v="30.75"/>
    <n v="2.5"/>
    <n v="14399"/>
    <n v="295"/>
    <n v="4"/>
    <n v="-7607659.5700000003"/>
    <n v="-89.466711613705712"/>
    <n v="8503341"/>
    <n v="0.55075648435178903"/>
    <n v="-135.50705354280217"/>
  </r>
  <r>
    <s v="P0334"/>
    <s v="Model_759"/>
    <x v="0"/>
    <x v="3"/>
    <n v="2023"/>
    <s v="Q4"/>
    <n v="1021"/>
    <n v="12803"/>
    <n v="11312"/>
    <n v="471614"/>
    <n v="0.28999999999999998"/>
    <n v="13"/>
    <n v="0.56999999999999995"/>
    <n v="17.420000000000002"/>
    <n v="60.89"/>
    <n v="4.2"/>
    <n v="10792"/>
    <n v="3373"/>
    <n v="8"/>
    <n v="1050679.58"/>
    <n v="8.0377187245612962"/>
    <n v="13071863"/>
    <n v="0.20440653236029682"/>
    <n v="2.2278749146547812"/>
  </r>
  <r>
    <s v="P0335"/>
    <s v="Model_692"/>
    <x v="0"/>
    <x v="3"/>
    <n v="2024"/>
    <s v="Q1"/>
    <n v="1216"/>
    <n v="7683"/>
    <n v="12182"/>
    <n v="233043"/>
    <n v="2.4900000000000002"/>
    <n v="7"/>
    <n v="1.75"/>
    <n v="2.42"/>
    <n v="46.34"/>
    <n v="4.5"/>
    <n v="11362"/>
    <n v="5210"/>
    <n v="12"/>
    <n v="-5703829.4199999999"/>
    <n v="-61.052312821540376"/>
    <n v="9342528"/>
    <n v="0.24344597781598526"/>
    <n v="-24.475427281660465"/>
  </r>
  <r>
    <s v="P0336"/>
    <s v="Model_934"/>
    <x v="2"/>
    <x v="2"/>
    <n v="2024"/>
    <s v="Q1"/>
    <n v="4979"/>
    <n v="2812"/>
    <n v="11622"/>
    <n v="354006"/>
    <n v="13.36"/>
    <n v="12"/>
    <n v="7.07"/>
    <n v="6.85"/>
    <n v="79.069999999999993"/>
    <n v="4.4000000000000004"/>
    <n v="7031"/>
    <n v="7501"/>
    <n v="12"/>
    <n v="-44219002.850000001"/>
    <n v="-315.82863424676674"/>
    <n v="14000948"/>
    <n v="0.99680717396857776"/>
    <n v="-124.91030095535103"/>
  </r>
  <r>
    <s v="P0337"/>
    <s v="Model_892"/>
    <x v="1"/>
    <x v="2"/>
    <n v="2024"/>
    <s v="Q3"/>
    <n v="2824"/>
    <n v="8814"/>
    <n v="3363"/>
    <n v="234482"/>
    <n v="3.62"/>
    <n v="19"/>
    <n v="7.12"/>
    <n v="8"/>
    <n v="83.36"/>
    <n v="4.0999999999999996"/>
    <n v="11912"/>
    <n v="3312"/>
    <n v="8"/>
    <n v="15159134"/>
    <n v="60.902714969939019"/>
    <n v="24890736"/>
    <n v="0.56537125111212361"/>
    <n v="64.649491218942174"/>
  </r>
  <r>
    <s v="P0338"/>
    <s v="Model_559"/>
    <x v="1"/>
    <x v="1"/>
    <n v="2023"/>
    <s v="Q4"/>
    <n v="2032"/>
    <n v="3639"/>
    <n v="4092"/>
    <n v="200575"/>
    <n v="5.31"/>
    <n v="2"/>
    <n v="8.98"/>
    <n v="19.079999999999998"/>
    <n v="89.74"/>
    <n v="2.1"/>
    <n v="7844"/>
    <n v="2855"/>
    <n v="5"/>
    <n v="-1121090.08"/>
    <n v="-15.161240974309376"/>
    <n v="7394448"/>
    <n v="0.40681104187671219"/>
    <n v="-5.5892858033154678"/>
  </r>
  <r>
    <s v="P0339"/>
    <s v="Model_595"/>
    <x v="0"/>
    <x v="2"/>
    <n v="2024"/>
    <s v="Q2"/>
    <n v="903"/>
    <n v="16188"/>
    <n v="13613"/>
    <n v="175438"/>
    <n v="1.58"/>
    <n v="4"/>
    <n v="5.83"/>
    <n v="20.059999999999999"/>
    <n v="22.29"/>
    <n v="4.2"/>
    <n v="18259"/>
    <n v="1621"/>
    <n v="13"/>
    <n v="2149766.94"/>
    <n v="14.706537470436654"/>
    <n v="14617764"/>
    <n v="0.18078266280249564"/>
    <n v="12.253827563013715"/>
  </r>
  <r>
    <s v="P0340"/>
    <s v="Model_912"/>
    <x v="0"/>
    <x v="3"/>
    <n v="2024"/>
    <s v="Q4"/>
    <n v="4196"/>
    <n v="19588"/>
    <n v="4386"/>
    <n v="98456"/>
    <n v="3.34"/>
    <n v="8"/>
    <n v="1.24"/>
    <n v="9.6300000000000008"/>
    <n v="79.040000000000006"/>
    <n v="3.1"/>
    <n v="9387"/>
    <n v="5774"/>
    <n v="8"/>
    <n v="63689126.369999997"/>
    <n v="77.488939418464597"/>
    <n v="82191248"/>
    <n v="0.84004878529265969"/>
    <n v="646.879174453563"/>
  </r>
  <r>
    <s v="P0341"/>
    <s v="Model_676"/>
    <x v="2"/>
    <x v="2"/>
    <n v="2024"/>
    <s v="Q4"/>
    <n v="3786"/>
    <n v="8424"/>
    <n v="5231"/>
    <n v="150167"/>
    <n v="7.79"/>
    <n v="5"/>
    <n v="1.21"/>
    <n v="10.45"/>
    <n v="31.28"/>
    <n v="1.2"/>
    <n v="19493"/>
    <n v="1180"/>
    <n v="12"/>
    <n v="11938520.550000001"/>
    <n v="37.4327336016784"/>
    <n v="31893264"/>
    <n v="0.75796584869351991"/>
    <n v="79.501694779811814"/>
  </r>
  <r>
    <s v="P0342"/>
    <s v="Model_131"/>
    <x v="0"/>
    <x v="2"/>
    <n v="2024"/>
    <s v="Q4"/>
    <n v="3819"/>
    <n v="1862"/>
    <n v="7641"/>
    <n v="394179"/>
    <n v="9.1199999999999992"/>
    <n v="1"/>
    <n v="7.21"/>
    <n v="1.1100000000000001"/>
    <n v="57.27"/>
    <n v="2.8"/>
    <n v="17658"/>
    <n v="5723"/>
    <n v="3"/>
    <n v="-22464181.109999999"/>
    <n v="-315.9084602708657"/>
    <n v="7110978"/>
    <n v="0.76457252407832865"/>
    <n v="-56.989793976848084"/>
  </r>
  <r>
    <s v="P0343"/>
    <s v="Model_397"/>
    <x v="0"/>
    <x v="2"/>
    <n v="2024"/>
    <s v="Q1"/>
    <n v="624"/>
    <n v="14981"/>
    <n v="14166"/>
    <n v="320160"/>
    <n v="3.68"/>
    <n v="12"/>
    <n v="1.84"/>
    <n v="7.23"/>
    <n v="50.46"/>
    <n v="4.8"/>
    <n v="20823"/>
    <n v="821"/>
    <n v="2"/>
    <n v="188392.77"/>
    <n v="2.0152959774688965"/>
    <n v="9348144"/>
    <n v="0.12492622545820296"/>
    <n v="0.58845577211394307"/>
  </r>
  <r>
    <s v="P0344"/>
    <s v="Model_708"/>
    <x v="2"/>
    <x v="3"/>
    <n v="2023"/>
    <s v="Q2"/>
    <n v="3311"/>
    <n v="5238"/>
    <n v="7443"/>
    <n v="314528"/>
    <n v="0.87"/>
    <n v="4"/>
    <n v="3.28"/>
    <n v="11.28"/>
    <n v="11.44"/>
    <n v="4.5999999999999996"/>
    <n v="19497"/>
    <n v="1662"/>
    <n v="13"/>
    <n v="-7615294.2800000003"/>
    <n v="-43.909856289141835"/>
    <n v="17343018"/>
    <n v="0.66286976360915062"/>
    <n v="-24.211780827144164"/>
  </r>
  <r>
    <s v="P0345"/>
    <s v="Model_166"/>
    <x v="2"/>
    <x v="2"/>
    <n v="2023"/>
    <s v="Q3"/>
    <n v="1198"/>
    <n v="3969"/>
    <n v="11939"/>
    <n v="243392"/>
    <n v="5.87"/>
    <n v="7"/>
    <n v="4.87"/>
    <n v="2.92"/>
    <n v="84.62"/>
    <n v="1.4"/>
    <n v="5179"/>
    <n v="739"/>
    <n v="3"/>
    <n v="-9791454.9199999999"/>
    <n v="-205.92511244280067"/>
    <n v="4754862"/>
    <n v="0.23984233669699864"/>
    <n v="-40.229144754141466"/>
  </r>
  <r>
    <s v="P0346"/>
    <s v="Model_114"/>
    <x v="1"/>
    <x v="1"/>
    <n v="2023"/>
    <s v="Q2"/>
    <n v="1765"/>
    <n v="17606"/>
    <n v="4759"/>
    <n v="458288"/>
    <n v="3.51"/>
    <n v="0"/>
    <n v="0.25"/>
    <n v="11.33"/>
    <n v="16.27"/>
    <n v="4"/>
    <n v="9040"/>
    <n v="4360"/>
    <n v="5"/>
    <n v="22216655.670000002"/>
    <n v="71.494605946530598"/>
    <n v="31074590"/>
    <n v="0.35335703194507728"/>
    <n v="48.477522867716374"/>
  </r>
  <r>
    <s v="P0347"/>
    <s v="Model_978"/>
    <x v="1"/>
    <x v="3"/>
    <n v="2024"/>
    <s v="Q2"/>
    <n v="4827"/>
    <n v="18440"/>
    <n v="11805"/>
    <n v="152239"/>
    <n v="3.29"/>
    <n v="19"/>
    <n v="2.4900000000000002"/>
    <n v="21.33"/>
    <n v="65.06"/>
    <n v="4.2"/>
    <n v="10988"/>
    <n v="5290"/>
    <n v="9"/>
    <n v="31874884.670000002"/>
    <n v="35.810501789239581"/>
    <n v="89009880"/>
    <n v="0.96637642674157964"/>
    <n v="209.37411569965647"/>
  </r>
  <r>
    <s v="P0348"/>
    <s v="Model_103"/>
    <x v="0"/>
    <x v="0"/>
    <n v="2023"/>
    <s v="Q2"/>
    <n v="4983"/>
    <n v="10517"/>
    <n v="11575"/>
    <n v="161431"/>
    <n v="14.4"/>
    <n v="11"/>
    <n v="4.08"/>
    <n v="14.53"/>
    <n v="72.8"/>
    <n v="2.1"/>
    <n v="8574"/>
    <n v="3836"/>
    <n v="4"/>
    <n v="-5433459.5300000003"/>
    <n v="-10.367968655471008"/>
    <n v="52406211"/>
    <n v="0.99760798310613041"/>
    <n v="-33.658002490228021"/>
  </r>
  <r>
    <s v="P0349"/>
    <s v="Model_558"/>
    <x v="1"/>
    <x v="3"/>
    <n v="2023"/>
    <s v="Q4"/>
    <n v="3904"/>
    <n v="4308"/>
    <n v="961"/>
    <n v="392162"/>
    <n v="9.24"/>
    <n v="10"/>
    <n v="2.8"/>
    <n v="1.97"/>
    <n v="73.62"/>
    <n v="2.9"/>
    <n v="5496"/>
    <n v="7846"/>
    <n v="11"/>
    <n v="12674524.029999999"/>
    <n v="75.360913728461725"/>
    <n v="16818432"/>
    <n v="0.78158971825132106"/>
    <n v="32.319617913005338"/>
  </r>
  <r>
    <s v="P0350"/>
    <s v="Model_425"/>
    <x v="2"/>
    <x v="1"/>
    <n v="2023"/>
    <s v="Q3"/>
    <n v="2541"/>
    <n v="17870"/>
    <n v="1393"/>
    <n v="90510"/>
    <n v="8.35"/>
    <n v="6"/>
    <n v="1.36"/>
    <n v="4.79"/>
    <n v="20.84"/>
    <n v="3.8"/>
    <n v="7195"/>
    <n v="189"/>
    <n v="7"/>
    <n v="41777542.210000001"/>
    <n v="92.00547442755817"/>
    <n v="45407670"/>
    <n v="0.50871400463027838"/>
    <n v="461.57935034802784"/>
  </r>
  <r>
    <s v="P0351"/>
    <s v="Model_755"/>
    <x v="2"/>
    <x v="3"/>
    <n v="2023"/>
    <s v="Q2"/>
    <n v="2710"/>
    <n v="16370"/>
    <n v="12251"/>
    <n v="230005"/>
    <n v="6.24"/>
    <n v="14"/>
    <n v="7.28"/>
    <n v="11.86"/>
    <n v="45.81"/>
    <n v="2.8"/>
    <n v="15735"/>
    <n v="1351"/>
    <n v="7"/>
    <n v="10932473.140000001"/>
    <n v="24.643389919910199"/>
    <n v="44362700"/>
    <n v="0.54254819069187499"/>
    <n v="47.531510184561206"/>
  </r>
  <r>
    <s v="P0352"/>
    <s v="Model_108"/>
    <x v="2"/>
    <x v="3"/>
    <n v="2023"/>
    <s v="Q2"/>
    <n v="3174"/>
    <n v="14213"/>
    <n v="13147"/>
    <n v="333970"/>
    <n v="6.43"/>
    <n v="10"/>
    <n v="8.1300000000000008"/>
    <n v="9.0399999999999991"/>
    <n v="76.349999999999994"/>
    <n v="1.5"/>
    <n v="3866"/>
    <n v="9394"/>
    <n v="14"/>
    <n v="3049504.96"/>
    <n v="6.7598438750150676"/>
    <n v="45112062"/>
    <n v="0.63544205064797465"/>
    <n v="9.1311015959517317"/>
  </r>
  <r>
    <s v="P0353"/>
    <s v="Model_243"/>
    <x v="0"/>
    <x v="0"/>
    <n v="2024"/>
    <s v="Q2"/>
    <n v="3101"/>
    <n v="9061"/>
    <n v="11954"/>
    <n v="380170"/>
    <n v="8.11"/>
    <n v="15"/>
    <n v="2.57"/>
    <n v="8.9700000000000006"/>
    <n v="34.21"/>
    <n v="3.8"/>
    <n v="15664"/>
    <n v="4803"/>
    <n v="10"/>
    <n v="-9351371.9700000007"/>
    <n v="-33.281081882903301"/>
    <n v="28098161"/>
    <n v="0.62082728388764008"/>
    <n v="-24.597845700607621"/>
  </r>
  <r>
    <s v="P0354"/>
    <s v="Model_334"/>
    <x v="1"/>
    <x v="3"/>
    <n v="2024"/>
    <s v="Q1"/>
    <n v="54"/>
    <n v="4219"/>
    <n v="12880"/>
    <n v="171668"/>
    <n v="10.45"/>
    <n v="2"/>
    <n v="7.74"/>
    <n v="13.23"/>
    <n v="47.42"/>
    <n v="4.5999999999999996"/>
    <n v="8264"/>
    <n v="448"/>
    <n v="10"/>
    <n v="-639375.23"/>
    <n v="-280.64190654271243"/>
    <n v="227826"/>
    <n v="1.0810923356959871E-2"/>
    <n v="-3.7244099074958643"/>
  </r>
  <r>
    <s v="P0355"/>
    <s v="Model_879"/>
    <x v="1"/>
    <x v="0"/>
    <n v="2024"/>
    <s v="Q4"/>
    <n v="4919"/>
    <n v="13200"/>
    <n v="4190"/>
    <n v="292700"/>
    <n v="10.53"/>
    <n v="19"/>
    <n v="3.86"/>
    <n v="14.61"/>
    <n v="31.82"/>
    <n v="3.6"/>
    <n v="17027"/>
    <n v="4152"/>
    <n v="5"/>
    <n v="44027475.390000001"/>
    <n v="67.806765648967826"/>
    <n v="64930800"/>
    <n v="0.98479503690528902"/>
    <n v="150.41848308848651"/>
  </r>
  <r>
    <s v="P0356"/>
    <s v="Model_539"/>
    <x v="0"/>
    <x v="2"/>
    <n v="2023"/>
    <s v="Q4"/>
    <n v="926"/>
    <n v="5241"/>
    <n v="6797"/>
    <n v="468734"/>
    <n v="2.58"/>
    <n v="13"/>
    <n v="5.07"/>
    <n v="19.920000000000002"/>
    <n v="47.08"/>
    <n v="4.0999999999999996"/>
    <n v="17792"/>
    <n v="3041"/>
    <n v="10"/>
    <n v="-1909609.92"/>
    <n v="-39.347714873136418"/>
    <n v="4853166"/>
    <n v="0.18538731534342298"/>
    <n v="-4.0739310568467406"/>
  </r>
  <r>
    <s v="P0357"/>
    <s v="Model_774"/>
    <x v="0"/>
    <x v="1"/>
    <n v="2023"/>
    <s v="Q2"/>
    <n v="1041"/>
    <n v="11266"/>
    <n v="7154"/>
    <n v="74045"/>
    <n v="7.5"/>
    <n v="2"/>
    <n v="8.56"/>
    <n v="8.52"/>
    <n v="81.03"/>
    <n v="2.4"/>
    <n v="3114"/>
    <n v="8537"/>
    <n v="14"/>
    <n v="4206538.4800000004"/>
    <n v="35.867771109352347"/>
    <n v="11727906"/>
    <n v="0.20841057804805974"/>
    <n v="56.810682692956988"/>
  </r>
  <r>
    <s v="P0358"/>
    <s v="Model_306"/>
    <x v="0"/>
    <x v="3"/>
    <n v="2023"/>
    <s v="Q3"/>
    <n v="4192"/>
    <n v="5498"/>
    <n v="13493"/>
    <n v="231948"/>
    <n v="6.18"/>
    <n v="0"/>
    <n v="7.5"/>
    <n v="20.14"/>
    <n v="46.41"/>
    <n v="1.7"/>
    <n v="15896"/>
    <n v="371"/>
    <n v="7"/>
    <n v="-33747008.140000001"/>
    <n v="-146.42298856419686"/>
    <n v="23047616"/>
    <n v="0.83924797615510704"/>
    <n v="-145.49376584406849"/>
  </r>
  <r>
    <s v="P0359"/>
    <s v="Model_363"/>
    <x v="0"/>
    <x v="3"/>
    <n v="2023"/>
    <s v="Q2"/>
    <n v="4414"/>
    <n v="17577"/>
    <n v="1463"/>
    <n v="140102"/>
    <n v="13.06"/>
    <n v="14"/>
    <n v="8.0500000000000007"/>
    <n v="8.4700000000000006"/>
    <n v="54.47"/>
    <n v="3.6"/>
    <n v="20300"/>
    <n v="2130"/>
    <n v="3"/>
    <n v="70987085.530000001"/>
    <n v="91.496032938274382"/>
    <n v="77584878"/>
    <n v="0.88369288328927542"/>
    <n v="506.6815177513526"/>
  </r>
  <r>
    <s v="P0360"/>
    <s v="Model_506"/>
    <x v="0"/>
    <x v="0"/>
    <n v="2023"/>
    <s v="Q3"/>
    <n v="4515"/>
    <n v="1794"/>
    <n v="10124"/>
    <n v="364063"/>
    <n v="9.4700000000000006"/>
    <n v="0"/>
    <n v="1.37"/>
    <n v="1.39"/>
    <n v="42.32"/>
    <n v="2.2999999999999998"/>
    <n v="18380"/>
    <n v="7936"/>
    <n v="11"/>
    <n v="-37974014.390000001"/>
    <n v="-468.82020158248673"/>
    <n v="8099910"/>
    <n v="0.9039133140124781"/>
    <n v="-104.30615854948182"/>
  </r>
  <r>
    <s v="P0361"/>
    <s v="Model_476"/>
    <x v="2"/>
    <x v="3"/>
    <n v="2024"/>
    <s v="Q2"/>
    <n v="685"/>
    <n v="11677"/>
    <n v="14187"/>
    <n v="149441"/>
    <n v="7.99"/>
    <n v="16"/>
    <n v="0.7"/>
    <n v="13.85"/>
    <n v="46.81"/>
    <n v="4.4000000000000004"/>
    <n v="18388"/>
    <n v="9757"/>
    <n v="12"/>
    <n v="-1868804.85"/>
    <n v="-23.363725809486365"/>
    <n v="7998745"/>
    <n v="0.13713856480587985"/>
    <n v="-12.50520941374857"/>
  </r>
  <r>
    <s v="P0362"/>
    <s v="Model_714"/>
    <x v="1"/>
    <x v="1"/>
    <n v="2024"/>
    <s v="Q1"/>
    <n v="1743"/>
    <n v="11382"/>
    <n v="1341"/>
    <n v="208175"/>
    <n v="1.73"/>
    <n v="1"/>
    <n v="8.93"/>
    <n v="14.7"/>
    <n v="11.21"/>
    <n v="1.5"/>
    <n v="7233"/>
    <n v="9487"/>
    <n v="7"/>
    <n v="17293273.300000001"/>
    <n v="87.168833982414085"/>
    <n v="19838826"/>
    <n v="0.3489525816885381"/>
    <n v="83.070916296385249"/>
  </r>
  <r>
    <s v="P0363"/>
    <s v="Model_562"/>
    <x v="0"/>
    <x v="0"/>
    <n v="2024"/>
    <s v="Q1"/>
    <n v="1732"/>
    <n v="2636"/>
    <n v="6233"/>
    <n v="299877"/>
    <n v="9.08"/>
    <n v="19"/>
    <n v="3.88"/>
    <n v="23.36"/>
    <n v="32.700000000000003"/>
    <n v="2.7"/>
    <n v="4716"/>
    <n v="7141"/>
    <n v="3"/>
    <n v="-6529904.3600000003"/>
    <n v="-143.02551717733147"/>
    <n v="4565552"/>
    <n v="0.34675035656026848"/>
    <n v="-21.775197831110756"/>
  </r>
  <r>
    <s v="P0364"/>
    <s v="Model_502"/>
    <x v="1"/>
    <x v="1"/>
    <n v="2023"/>
    <s v="Q3"/>
    <n v="4802"/>
    <n v="3564"/>
    <n v="5893"/>
    <n v="479404"/>
    <n v="1.76"/>
    <n v="5"/>
    <n v="2.88"/>
    <n v="18.149999999999999"/>
    <n v="44.93"/>
    <n v="2.6"/>
    <n v="5864"/>
    <n v="5275"/>
    <n v="9"/>
    <n v="-11663280.15"/>
    <n v="-68.14921479826728"/>
    <n v="17114328"/>
    <n v="0.96137136963187597"/>
    <n v="-24.328670599327499"/>
  </r>
  <r>
    <s v="P0365"/>
    <s v="Model_701"/>
    <x v="2"/>
    <x v="1"/>
    <n v="2023"/>
    <s v="Q2"/>
    <n v="169"/>
    <n v="8509"/>
    <n v="14228"/>
    <n v="186917"/>
    <n v="5.0599999999999996"/>
    <n v="7"/>
    <n v="7.25"/>
    <n v="22.94"/>
    <n v="60.7"/>
    <n v="4.8"/>
    <n v="13769"/>
    <n v="9906"/>
    <n v="5"/>
    <n v="-1153450.94"/>
    <n v="-80.210994137081443"/>
    <n v="1438021"/>
    <n v="3.3834186061596633E-2"/>
    <n v="-6.1708030837216521"/>
  </r>
  <r>
    <s v="P0366"/>
    <s v="Model_214"/>
    <x v="2"/>
    <x v="0"/>
    <n v="2023"/>
    <s v="Q3"/>
    <n v="880"/>
    <n v="14487"/>
    <n v="11966"/>
    <n v="267770"/>
    <n v="2.14"/>
    <n v="15"/>
    <n v="8.36"/>
    <n v="22.71"/>
    <n v="46"/>
    <n v="1.6"/>
    <n v="19361"/>
    <n v="1226"/>
    <n v="6"/>
    <n v="1950687.29"/>
    <n v="15.301236296491524"/>
    <n v="12748560"/>
    <n v="0.17617801026156829"/>
    <n v="7.2850207267431006"/>
  </r>
  <r>
    <s v="P0367"/>
    <s v="Model_113"/>
    <x v="0"/>
    <x v="0"/>
    <n v="2023"/>
    <s v="Q1"/>
    <n v="3725"/>
    <n v="6043"/>
    <n v="1667"/>
    <n v="479890"/>
    <n v="10.38"/>
    <n v="18"/>
    <n v="8.6199999999999992"/>
    <n v="15.11"/>
    <n v="37.03"/>
    <n v="1"/>
    <n v="15329"/>
    <n v="4479"/>
    <n v="9"/>
    <n v="15820694.890000001"/>
    <n v="70.282416240655621"/>
    <n v="22510175"/>
    <n v="0.74575350934584295"/>
    <n v="32.96736752172373"/>
  </r>
  <r>
    <s v="P0368"/>
    <s v="Model_640"/>
    <x v="0"/>
    <x v="0"/>
    <n v="2024"/>
    <s v="Q4"/>
    <n v="1419"/>
    <n v="2507"/>
    <n v="11058"/>
    <n v="168325"/>
    <n v="3.09"/>
    <n v="0"/>
    <n v="3.16"/>
    <n v="13.19"/>
    <n v="41.05"/>
    <n v="2"/>
    <n v="6460"/>
    <n v="8808"/>
    <n v="12"/>
    <n v="-12302207.189999999"/>
    <n v="-345.81697504914354"/>
    <n v="3557433"/>
    <n v="0.28408704154677883"/>
    <n v="-73.085958710827271"/>
  </r>
  <r>
    <s v="P0369"/>
    <s v="Model_553"/>
    <x v="0"/>
    <x v="3"/>
    <n v="2024"/>
    <s v="Q4"/>
    <n v="790"/>
    <n v="6945"/>
    <n v="9423"/>
    <n v="69337"/>
    <n v="5.88"/>
    <n v="2"/>
    <n v="8.52"/>
    <n v="13.94"/>
    <n v="29.38"/>
    <n v="4.3"/>
    <n v="20281"/>
    <n v="9593"/>
    <n v="9"/>
    <n v="-2026970.94"/>
    <n v="-36.94436285097192"/>
    <n v="5486550"/>
    <n v="0.15815980466663515"/>
    <n v="-29.233410733086231"/>
  </r>
  <r>
    <s v="P0370"/>
    <s v="Model_616"/>
    <x v="1"/>
    <x v="2"/>
    <n v="2023"/>
    <s v="Q1"/>
    <n v="166"/>
    <n v="12206"/>
    <n v="13827"/>
    <n v="203385"/>
    <n v="13.44"/>
    <n v="2"/>
    <n v="0.41"/>
    <n v="24.46"/>
    <n v="83.96"/>
    <n v="1.8"/>
    <n v="9801"/>
    <n v="8152"/>
    <n v="13"/>
    <n v="-472495.46"/>
    <n v="-23.319336332714112"/>
    <n v="2026196"/>
    <n v="3.3233579208432194E-2"/>
    <n v="-2.323037588809401"/>
  </r>
  <r>
    <s v="P0371"/>
    <s v="Model_669"/>
    <x v="1"/>
    <x v="0"/>
    <n v="2024"/>
    <s v="Q4"/>
    <n v="2888"/>
    <n v="16249"/>
    <n v="6269"/>
    <n v="470159"/>
    <n v="3.06"/>
    <n v="4"/>
    <n v="0.5"/>
    <n v="19.329999999999998"/>
    <n v="51.74"/>
    <n v="2"/>
    <n v="10341"/>
    <n v="711"/>
    <n v="13"/>
    <n v="28352061.670000002"/>
    <n v="60.41723102414656"/>
    <n v="46927112"/>
    <n v="0.578184197312965"/>
    <n v="60.303176159554532"/>
  </r>
  <r>
    <s v="P0372"/>
    <s v="Model_891"/>
    <x v="2"/>
    <x v="3"/>
    <n v="2024"/>
    <s v="Q2"/>
    <n v="1200"/>
    <n v="13218"/>
    <n v="13270"/>
    <n v="390093"/>
    <n v="7.62"/>
    <n v="11"/>
    <n v="6.24"/>
    <n v="2.66"/>
    <n v="11.07"/>
    <n v="1.5"/>
    <n v="9230"/>
    <n v="849"/>
    <n v="7"/>
    <n v="-452495.66"/>
    <n v="-2.8527743733292983"/>
    <n v="15861600"/>
    <n v="0.24024274126577491"/>
    <n v="-1.159961855249902"/>
  </r>
  <r>
    <s v="P0373"/>
    <s v="Model_595"/>
    <x v="1"/>
    <x v="1"/>
    <n v="2023"/>
    <s v="Q3"/>
    <n v="1981"/>
    <n v="10939"/>
    <n v="7056"/>
    <n v="312420"/>
    <n v="6.29"/>
    <n v="11"/>
    <n v="0.63"/>
    <n v="19.46"/>
    <n v="11.56"/>
    <n v="3.9"/>
    <n v="19383"/>
    <n v="1956"/>
    <n v="5"/>
    <n v="7379783.54"/>
    <n v="34.055050265205715"/>
    <n v="21670159"/>
    <n v="0.3966007253729168"/>
    <n v="23.621416682670763"/>
  </r>
  <r>
    <s v="P0374"/>
    <s v="Model_851"/>
    <x v="2"/>
    <x v="3"/>
    <n v="2024"/>
    <s v="Q2"/>
    <n v="1062"/>
    <n v="14781"/>
    <n v="10198"/>
    <n v="363295"/>
    <n v="0.27"/>
    <n v="19"/>
    <n v="3.25"/>
    <n v="4.26"/>
    <n v="87.84"/>
    <n v="1.3"/>
    <n v="18479"/>
    <n v="8691"/>
    <n v="2"/>
    <n v="4503846.74"/>
    <n v="28.691633186646825"/>
    <n v="15697422"/>
    <n v="0.21261482602021081"/>
    <n v="12.397228147923864"/>
  </r>
  <r>
    <s v="P0375"/>
    <s v="Model_787"/>
    <x v="2"/>
    <x v="1"/>
    <n v="2024"/>
    <s v="Q1"/>
    <n v="1714"/>
    <n v="2935"/>
    <n v="11520"/>
    <n v="460827"/>
    <n v="11.89"/>
    <n v="12"/>
    <n v="6.73"/>
    <n v="11.18"/>
    <n v="27.72"/>
    <n v="2.2999999999999998"/>
    <n v="2478"/>
    <n v="1626"/>
    <n v="13"/>
    <n v="-15175528.18"/>
    <n v="-301.66497726906783"/>
    <n v="5030590"/>
    <n v="0.34314671544128184"/>
    <n v="-32.931050046980751"/>
  </r>
  <r>
    <s v="P0376"/>
    <s v="Model_215"/>
    <x v="1"/>
    <x v="1"/>
    <n v="2023"/>
    <s v="Q4"/>
    <n v="1131"/>
    <n v="2071"/>
    <n v="1969"/>
    <n v="193016"/>
    <n v="1.04"/>
    <n v="19"/>
    <n v="3.37"/>
    <n v="5.26"/>
    <n v="74.45"/>
    <n v="2.1"/>
    <n v="2230"/>
    <n v="6329"/>
    <n v="8"/>
    <n v="-77659.259999999995"/>
    <n v="-3.3155115418556367"/>
    <n v="2342301"/>
    <n v="0.22642878364299288"/>
    <n v="-0.40231897873751399"/>
  </r>
  <r>
    <s v="P0377"/>
    <s v="Model_211"/>
    <x v="2"/>
    <x v="3"/>
    <n v="2023"/>
    <s v="Q1"/>
    <n v="4779"/>
    <n v="3882"/>
    <n v="1630"/>
    <n v="365031"/>
    <n v="7.11"/>
    <n v="8"/>
    <n v="1.8"/>
    <n v="17.239999999999998"/>
    <n v="14.66"/>
    <n v="3.2"/>
    <n v="1556"/>
    <n v="8611"/>
    <n v="9"/>
    <n v="10397259.76"/>
    <n v="56.043639747525852"/>
    <n v="18552078"/>
    <n v="0.95676671709094863"/>
    <n v="28.483271283808772"/>
  </r>
  <r>
    <s v="P0378"/>
    <s v="Model_893"/>
    <x v="1"/>
    <x v="0"/>
    <n v="2024"/>
    <s v="Q2"/>
    <n v="562"/>
    <n v="6584"/>
    <n v="2451"/>
    <n v="131442"/>
    <n v="8.41"/>
    <n v="6"/>
    <n v="2.81"/>
    <n v="21.93"/>
    <n v="83.69"/>
    <n v="3.9"/>
    <n v="3743"/>
    <n v="8627"/>
    <n v="10"/>
    <n v="2191282.0699999998"/>
    <n v="59.220510576702715"/>
    <n v="3700208"/>
    <n v="0.11251368382613793"/>
    <n v="16.671261849332787"/>
  </r>
  <r>
    <s v="P0379"/>
    <s v="Model_570"/>
    <x v="1"/>
    <x v="1"/>
    <n v="2023"/>
    <s v="Q1"/>
    <n v="2899"/>
    <n v="18161"/>
    <n v="1936"/>
    <n v="99847"/>
    <n v="9.43"/>
    <n v="3"/>
    <n v="4.58"/>
    <n v="7.26"/>
    <n v="79.95"/>
    <n v="3.1"/>
    <n v="3201"/>
    <n v="2198"/>
    <n v="3"/>
    <n v="46936420.740000002"/>
    <n v="89.150132807549298"/>
    <n v="52648739"/>
    <n v="0.58038642244123462"/>
    <n v="470.08350776688332"/>
  </r>
  <r>
    <s v="P0380"/>
    <s v="Model_350"/>
    <x v="0"/>
    <x v="3"/>
    <n v="2024"/>
    <s v="Q1"/>
    <n v="609"/>
    <n v="15007"/>
    <n v="3610"/>
    <n v="108653"/>
    <n v="10.33"/>
    <n v="18"/>
    <n v="4.75"/>
    <n v="2.0499999999999998"/>
    <n v="55.69"/>
    <n v="4.7"/>
    <n v="19170"/>
    <n v="7965"/>
    <n v="2"/>
    <n v="6832117.9500000002"/>
    <n v="74.755677235680821"/>
    <n v="9139263"/>
    <n v="0.12192319119238078"/>
    <n v="62.880178181918588"/>
  </r>
  <r>
    <s v="P0381"/>
    <s v="Model_406"/>
    <x v="0"/>
    <x v="3"/>
    <n v="2024"/>
    <s v="Q2"/>
    <n v="3722"/>
    <n v="8559"/>
    <n v="9467"/>
    <n v="267144"/>
    <n v="3.8"/>
    <n v="18"/>
    <n v="7.83"/>
    <n v="7.46"/>
    <n v="10.72"/>
    <n v="4.8"/>
    <n v="9803"/>
    <n v="273"/>
    <n v="5"/>
    <n v="-3646727.46"/>
    <n v="-11.447322341199145"/>
    <n v="31856598"/>
    <n v="0.74515290249267851"/>
    <n v="-13.650765130416554"/>
  </r>
  <r>
    <s v="P0382"/>
    <s v="Model_260"/>
    <x v="0"/>
    <x v="1"/>
    <n v="2023"/>
    <s v="Q2"/>
    <n v="4633"/>
    <n v="19771"/>
    <n v="11802"/>
    <n v="303661"/>
    <n v="0.15"/>
    <n v="5"/>
    <n v="7.5"/>
    <n v="16.809999999999999"/>
    <n v="30.62"/>
    <n v="2.4"/>
    <n v="16600"/>
    <n v="9933"/>
    <n v="14"/>
    <n v="36616699.189999998"/>
    <n v="39.974980077029841"/>
    <n v="91599043"/>
    <n v="0.92753718357027937"/>
    <n v="120.58419092343107"/>
  </r>
  <r>
    <s v="P0383"/>
    <s v="Model_168"/>
    <x v="1"/>
    <x v="0"/>
    <n v="2024"/>
    <s v="Q2"/>
    <n v="3393"/>
    <n v="14271"/>
    <n v="10318"/>
    <n v="368766"/>
    <n v="10.85"/>
    <n v="12"/>
    <n v="4.57"/>
    <n v="8.2200000000000006"/>
    <n v="42.55"/>
    <n v="4.0999999999999996"/>
    <n v="14498"/>
    <n v="600"/>
    <n v="6"/>
    <n v="13043754.779999999"/>
    <n v="26.937938667455242"/>
    <n v="48421503"/>
    <n v="0.6792863509289786"/>
    <n v="35.371381851906087"/>
  </r>
  <r>
    <s v="P0384"/>
    <s v="Model_135"/>
    <x v="2"/>
    <x v="0"/>
    <n v="2023"/>
    <s v="Q1"/>
    <n v="4120"/>
    <n v="19149"/>
    <n v="14058"/>
    <n v="339954"/>
    <n v="8.0299999999999994"/>
    <n v="10"/>
    <n v="8.4600000000000009"/>
    <n v="6.95"/>
    <n v="46.81"/>
    <n v="4"/>
    <n v="10893"/>
    <n v="3746"/>
    <n v="11"/>
    <n v="20634959.050000001"/>
    <n v="26.155335559615018"/>
    <n v="78893880"/>
    <n v="0.82483341167916058"/>
    <n v="60.699288727298402"/>
  </r>
  <r>
    <s v="P0385"/>
    <s v="Model_236"/>
    <x v="0"/>
    <x v="3"/>
    <n v="2023"/>
    <s v="Q2"/>
    <n v="4849"/>
    <n v="8991"/>
    <n v="1819"/>
    <n v="127842"/>
    <n v="12.54"/>
    <n v="12"/>
    <n v="1.1399999999999999"/>
    <n v="4.6100000000000003"/>
    <n v="33.81"/>
    <n v="4.5999999999999996"/>
    <n v="2447"/>
    <n v="6319"/>
    <n v="13"/>
    <n v="34649181.390000001"/>
    <n v="79.475413613930144"/>
    <n v="43597359"/>
    <n v="0.97078087699811888"/>
    <n v="271.03131991051453"/>
  </r>
  <r>
    <s v="P0386"/>
    <s v="Model_502"/>
    <x v="0"/>
    <x v="1"/>
    <n v="2024"/>
    <s v="Q4"/>
    <n v="1520"/>
    <n v="16027"/>
    <n v="6037"/>
    <n v="434369"/>
    <n v="12.32"/>
    <n v="12"/>
    <n v="2.5499999999999998"/>
    <n v="12.44"/>
    <n v="12.64"/>
    <n v="2.8"/>
    <n v="8053"/>
    <n v="2463"/>
    <n v="2"/>
    <n v="14750418.560000001"/>
    <n v="60.54921530443692"/>
    <n v="24361040"/>
    <n v="0.30430747226998156"/>
    <n v="33.958295826820056"/>
  </r>
  <r>
    <s v="P0387"/>
    <s v="Model_736"/>
    <x v="0"/>
    <x v="1"/>
    <n v="2023"/>
    <s v="Q2"/>
    <n v="630"/>
    <n v="18924"/>
    <n v="10828"/>
    <n v="322647"/>
    <n v="12.65"/>
    <n v="19"/>
    <n v="8.2799999999999994"/>
    <n v="6.9"/>
    <n v="57.21"/>
    <n v="3.1"/>
    <n v="2257"/>
    <n v="7640"/>
    <n v="6"/>
    <n v="4777826.0999999996"/>
    <n v="40.07530623748125"/>
    <n v="11922120"/>
    <n v="0.12612743916453184"/>
    <n v="14.808236245804238"/>
  </r>
  <r>
    <s v="P0388"/>
    <s v="Model_833"/>
    <x v="0"/>
    <x v="0"/>
    <n v="2023"/>
    <s v="Q2"/>
    <n v="2344"/>
    <n v="16359"/>
    <n v="13248"/>
    <n v="134761"/>
    <n v="7.28"/>
    <n v="14"/>
    <n v="3.78"/>
    <n v="18.28"/>
    <n v="51.93"/>
    <n v="2.7"/>
    <n v="16366"/>
    <n v="1996"/>
    <n v="7"/>
    <n v="7157404.7199999997"/>
    <n v="18.665568232576778"/>
    <n v="38345496"/>
    <n v="0.46927415460581368"/>
    <n v="53.111976016800114"/>
  </r>
  <r>
    <s v="P0389"/>
    <s v="Model_533"/>
    <x v="2"/>
    <x v="3"/>
    <n v="2023"/>
    <s v="Q4"/>
    <n v="3197"/>
    <n v="9573"/>
    <n v="11440"/>
    <n v="480192"/>
    <n v="5"/>
    <n v="12"/>
    <n v="9.81"/>
    <n v="1.92"/>
    <n v="32.64"/>
    <n v="4.4000000000000004"/>
    <n v="13080"/>
    <n v="5859"/>
    <n v="4"/>
    <n v="-6448992.9199999999"/>
    <n v="-21.071779106084417"/>
    <n v="30604881"/>
    <n v="0.640046703188902"/>
    <n v="-13.430025906304145"/>
  </r>
  <r>
    <s v="P0390"/>
    <s v="Model_918"/>
    <x v="0"/>
    <x v="3"/>
    <n v="2023"/>
    <s v="Q1"/>
    <n v="4299"/>
    <n v="10577"/>
    <n v="13285"/>
    <n v="438583"/>
    <n v="11.87"/>
    <n v="10"/>
    <n v="4.66"/>
    <n v="16.600000000000001"/>
    <n v="13.04"/>
    <n v="1.9"/>
    <n v="7151"/>
    <n v="1878"/>
    <n v="13"/>
    <n v="-12080291.6"/>
    <n v="-26.567302953607992"/>
    <n v="45470523"/>
    <n v="0.86066962058463869"/>
    <n v="-27.543874249571918"/>
  </r>
  <r>
    <s v="P0391"/>
    <s v="Model_978"/>
    <x v="2"/>
    <x v="0"/>
    <n v="2023"/>
    <s v="Q3"/>
    <n v="1729"/>
    <n v="12883"/>
    <n v="2083"/>
    <n v="323734"/>
    <n v="6.77"/>
    <n v="18"/>
    <n v="7.92"/>
    <n v="5.94"/>
    <n v="89.57"/>
    <n v="2"/>
    <n v="8773"/>
    <n v="3157"/>
    <n v="8"/>
    <n v="18349460.059999999"/>
    <n v="82.378008653492046"/>
    <n v="22274707"/>
    <n v="0.34614974970710405"/>
    <n v="56.680688466457028"/>
  </r>
  <r>
    <s v="P0392"/>
    <s v="Model_835"/>
    <x v="2"/>
    <x v="2"/>
    <n v="2023"/>
    <s v="Q2"/>
    <n v="3556"/>
    <n v="17878"/>
    <n v="1459"/>
    <n v="191958"/>
    <n v="2.75"/>
    <n v="7"/>
    <n v="4.0199999999999996"/>
    <n v="12.23"/>
    <n v="48.56"/>
    <n v="2.5"/>
    <n v="11533"/>
    <n v="5290"/>
    <n v="7"/>
    <n v="58193993.770000003"/>
    <n v="91.537169263465628"/>
    <n v="63574168"/>
    <n v="0.71191932328424634"/>
    <n v="303.16009752133277"/>
  </r>
  <r>
    <s v="P0393"/>
    <s v="Model_211"/>
    <x v="0"/>
    <x v="3"/>
    <n v="2023"/>
    <s v="Q2"/>
    <n v="2794"/>
    <n v="3853"/>
    <n v="14863"/>
    <n v="456082"/>
    <n v="12.82"/>
    <n v="19"/>
    <n v="4.25"/>
    <n v="7.15"/>
    <n v="70.48"/>
    <n v="1.9"/>
    <n v="5035"/>
    <n v="7097"/>
    <n v="5"/>
    <n v="-31218029.149999999"/>
    <n v="-289.98802957507286"/>
    <n v="10765282"/>
    <n v="0.55936518258047929"/>
    <n v="-68.44826588201245"/>
  </r>
  <r>
    <s v="P0394"/>
    <s v="Model_100"/>
    <x v="0"/>
    <x v="3"/>
    <n v="2024"/>
    <s v="Q3"/>
    <n v="3406"/>
    <n v="6299"/>
    <n v="14158"/>
    <n v="378768"/>
    <n v="13.24"/>
    <n v="7"/>
    <n v="3.83"/>
    <n v="18.07"/>
    <n v="46.19"/>
    <n v="3.2"/>
    <n v="20177"/>
    <n v="4847"/>
    <n v="4"/>
    <n v="-27146540.07"/>
    <n v="-126.53137660285347"/>
    <n v="21454394"/>
    <n v="0.68188898062602454"/>
    <n v="-71.670579352004395"/>
  </r>
  <r>
    <s v="P0395"/>
    <s v="Model_437"/>
    <x v="0"/>
    <x v="2"/>
    <n v="2023"/>
    <s v="Q4"/>
    <n v="4095"/>
    <n v="18570"/>
    <n v="2810"/>
    <n v="213864"/>
    <n v="6.99"/>
    <n v="9"/>
    <n v="7.19"/>
    <n v="23.63"/>
    <n v="13.45"/>
    <n v="1.5"/>
    <n v="18988"/>
    <n v="9386"/>
    <n v="6"/>
    <n v="64323312.369999997"/>
    <n v="84.58679907658906"/>
    <n v="76044150"/>
    <n v="0.81982835456945691"/>
    <n v="300.76747839748623"/>
  </r>
  <r>
    <s v="P0396"/>
    <s v="Model_906"/>
    <x v="2"/>
    <x v="0"/>
    <n v="2023"/>
    <s v="Q4"/>
    <n v="1293"/>
    <n v="13439"/>
    <n v="9390"/>
    <n v="452980"/>
    <n v="1.1399999999999999"/>
    <n v="15"/>
    <n v="5.48"/>
    <n v="22.93"/>
    <n v="34.770000000000003"/>
    <n v="2.2999999999999998"/>
    <n v="10353"/>
    <n v="145"/>
    <n v="4"/>
    <n v="4782354.07"/>
    <n v="27.521762825432116"/>
    <n v="17376627"/>
    <n v="0.25886155371387248"/>
    <n v="10.557589739061328"/>
  </r>
  <r>
    <s v="P0397"/>
    <s v="Model_220"/>
    <x v="2"/>
    <x v="0"/>
    <n v="2023"/>
    <s v="Q4"/>
    <n v="3168"/>
    <n v="3928"/>
    <n v="2533"/>
    <n v="306910"/>
    <n v="5.82"/>
    <n v="18"/>
    <n v="9.44"/>
    <n v="14.59"/>
    <n v="35.61"/>
    <n v="4.7"/>
    <n v="2408"/>
    <n v="7858"/>
    <n v="11"/>
    <n v="4112435.41"/>
    <n v="33.047791191574603"/>
    <n v="12443904"/>
    <n v="0.63424083694164579"/>
    <n v="13.399530807076994"/>
  </r>
  <r>
    <s v="P0398"/>
    <s v="Model_593"/>
    <x v="1"/>
    <x v="1"/>
    <n v="2024"/>
    <s v="Q3"/>
    <n v="2191"/>
    <n v="12796"/>
    <n v="14670"/>
    <n v="170356"/>
    <n v="12.05"/>
    <n v="10"/>
    <n v="2.5099999999999998"/>
    <n v="11.57"/>
    <n v="77.069999999999993"/>
    <n v="2.6"/>
    <n v="6117"/>
    <n v="9737"/>
    <n v="10"/>
    <n v="-4276301.57"/>
    <n v="-15.252875156816037"/>
    <n v="28036036"/>
    <n v="0.43864320509442739"/>
    <n v="-25.102080349385993"/>
  </r>
  <r>
    <s v="P0399"/>
    <s v="Model_788"/>
    <x v="2"/>
    <x v="0"/>
    <n v="2024"/>
    <s v="Q3"/>
    <n v="3109"/>
    <n v="9313"/>
    <n v="2925"/>
    <n v="267228"/>
    <n v="13.53"/>
    <n v="12"/>
    <n v="1.01"/>
    <n v="20.46"/>
    <n v="62.34"/>
    <n v="4"/>
    <n v="11548"/>
    <n v="7153"/>
    <n v="10"/>
    <n v="19593043.539999999"/>
    <n v="67.66928357718524"/>
    <n v="28954117"/>
    <n v="0.62242890216274516"/>
    <n v="73.319652132261595"/>
  </r>
  <r>
    <s v="P0400"/>
    <s v="Model_333"/>
    <x v="1"/>
    <x v="3"/>
    <n v="2023"/>
    <s v="Q1"/>
    <n v="4598"/>
    <n v="15914"/>
    <n v="2971"/>
    <n v="92727"/>
    <n v="3.05"/>
    <n v="8"/>
    <n v="3.93"/>
    <n v="17.079999999999998"/>
    <n v="32.03"/>
    <n v="1.5"/>
    <n v="3811"/>
    <n v="3301"/>
    <n v="7"/>
    <n v="59419169.920000002"/>
    <n v="81.204156551993279"/>
    <n v="73172572"/>
    <n v="0.9205301036166943"/>
    <n v="640.797038618741"/>
  </r>
  <r>
    <s v="P0401"/>
    <s v="Model_430"/>
    <x v="1"/>
    <x v="3"/>
    <n v="2024"/>
    <s v="Q2"/>
    <n v="3009"/>
    <n v="13301"/>
    <n v="9066"/>
    <n v="390615"/>
    <n v="1"/>
    <n v="19"/>
    <n v="6.17"/>
    <n v="4.59"/>
    <n v="87.42"/>
    <n v="2"/>
    <n v="17520"/>
    <n v="555"/>
    <n v="14"/>
    <n v="12352495.41"/>
    <n v="30.86371642159455"/>
    <n v="40022709"/>
    <n v="0.60240867372393059"/>
    <n v="31.623209554164585"/>
  </r>
  <r>
    <s v="P0402"/>
    <s v="Model_575"/>
    <x v="1"/>
    <x v="3"/>
    <n v="2024"/>
    <s v="Q4"/>
    <n v="2315"/>
    <n v="13245"/>
    <n v="13689"/>
    <n v="58068"/>
    <n v="13.16"/>
    <n v="18"/>
    <n v="8.61"/>
    <n v="20.52"/>
    <n v="35.72"/>
    <n v="4.2"/>
    <n v="18673"/>
    <n v="9954"/>
    <n v="12"/>
    <n v="-1085948.52"/>
    <n v="-3.5416552152611485"/>
    <n v="30662175"/>
    <n v="0.46346828835855747"/>
    <n v="-18.70097127505683"/>
  </r>
  <r>
    <s v="P0403"/>
    <s v="Model_613"/>
    <x v="0"/>
    <x v="1"/>
    <n v="2023"/>
    <s v="Q1"/>
    <n v="2529"/>
    <n v="14525"/>
    <n v="4271"/>
    <n v="166923"/>
    <n v="5.84"/>
    <n v="15"/>
    <n v="3.46"/>
    <n v="10.72"/>
    <n v="89.86"/>
    <n v="4.0999999999999996"/>
    <n v="15085"/>
    <n v="3024"/>
    <n v="7"/>
    <n v="25765432.280000001"/>
    <n v="70.141082288823156"/>
    <n v="36733725"/>
    <n v="0.50631157721762066"/>
    <n v="154.35525961071872"/>
  </r>
  <r>
    <s v="P0404"/>
    <s v="Model_202"/>
    <x v="2"/>
    <x v="2"/>
    <n v="2024"/>
    <s v="Q3"/>
    <n v="4696"/>
    <n v="4856"/>
    <n v="9828"/>
    <n v="450511"/>
    <n v="8.1300000000000008"/>
    <n v="6"/>
    <n v="6.54"/>
    <n v="4.72"/>
    <n v="89.69"/>
    <n v="2.5"/>
    <n v="15517"/>
    <n v="7898"/>
    <n v="13"/>
    <n v="-23799027.719999999"/>
    <n v="-104.3644163142104"/>
    <n v="22803776"/>
    <n v="0.94014992748673254"/>
    <n v="-52.826730090941176"/>
  </r>
  <r>
    <s v="P0405"/>
    <s v="Model_391"/>
    <x v="1"/>
    <x v="1"/>
    <n v="2024"/>
    <s v="Q4"/>
    <n v="1685"/>
    <n v="15788"/>
    <n v="6424"/>
    <n v="484376"/>
    <n v="14.52"/>
    <n v="18"/>
    <n v="3.5"/>
    <n v="7.04"/>
    <n v="25.3"/>
    <n v="4.8"/>
    <n v="18055"/>
    <n v="1065"/>
    <n v="5"/>
    <n v="15293956.960000001"/>
    <n v="57.490070436247642"/>
    <n v="26602780"/>
    <n v="0.33734084919402563"/>
    <n v="31.574570168629329"/>
  </r>
  <r>
    <s v="P0406"/>
    <s v="Model_626"/>
    <x v="0"/>
    <x v="3"/>
    <n v="2024"/>
    <s v="Q4"/>
    <n v="1807"/>
    <n v="8040"/>
    <n v="9491"/>
    <n v="61390"/>
    <n v="1"/>
    <n v="11"/>
    <n v="6.17"/>
    <n v="6.69"/>
    <n v="35.020000000000003"/>
    <n v="4.5999999999999996"/>
    <n v="14052"/>
    <n v="5064"/>
    <n v="5"/>
    <n v="-2683353.69"/>
    <n v="-18.469864911744541"/>
    <n v="14528280"/>
    <n v="0.36176552788937938"/>
    <n v="-43.709838735950484"/>
  </r>
  <r>
    <s v="P0407"/>
    <s v="Model_521"/>
    <x v="0"/>
    <x v="3"/>
    <n v="2024"/>
    <s v="Q1"/>
    <n v="4502"/>
    <n v="17922"/>
    <n v="14684"/>
    <n v="156752"/>
    <n v="9.7200000000000006"/>
    <n v="14"/>
    <n v="8.85"/>
    <n v="12.98"/>
    <n v="48.88"/>
    <n v="4.8"/>
    <n v="14837"/>
    <n v="1628"/>
    <n v="3"/>
    <n v="14420711.02"/>
    <n v="17.872887031918903"/>
    <n v="80684844"/>
    <n v="0.90131068431543226"/>
    <n v="91.9970654281923"/>
  </r>
  <r>
    <s v="P0408"/>
    <s v="Model_393"/>
    <x v="0"/>
    <x v="0"/>
    <n v="2024"/>
    <s v="Q2"/>
    <n v="2120"/>
    <n v="4842"/>
    <n v="9129"/>
    <n v="463347"/>
    <n v="1.1100000000000001"/>
    <n v="13"/>
    <n v="2.31"/>
    <n v="5.86"/>
    <n v="63.13"/>
    <n v="2.7"/>
    <n v="3385"/>
    <n v="3076"/>
    <n v="11"/>
    <n v="-9551792.8599999994"/>
    <n v="-93.051686695814141"/>
    <n v="10265040"/>
    <n v="0.42442884290286903"/>
    <n v="-20.614759564645937"/>
  </r>
  <r>
    <s v="P0409"/>
    <s v="Model_195"/>
    <x v="2"/>
    <x v="2"/>
    <n v="2024"/>
    <s v="Q1"/>
    <n v="2899"/>
    <n v="10578"/>
    <n v="2897"/>
    <n v="406898"/>
    <n v="5.63"/>
    <n v="10"/>
    <n v="4.04"/>
    <n v="3.09"/>
    <n v="52.24"/>
    <n v="1.8"/>
    <n v="2549"/>
    <n v="3171"/>
    <n v="5"/>
    <n v="21860317.91"/>
    <n v="71.286073734294391"/>
    <n v="30665622"/>
    <n v="0.58038642244123462"/>
    <n v="53.724326489685374"/>
  </r>
  <r>
    <s v="P0410"/>
    <s v="Model_319"/>
    <x v="2"/>
    <x v="1"/>
    <n v="2023"/>
    <s v="Q3"/>
    <n v="3301"/>
    <n v="4344"/>
    <n v="14882"/>
    <n v="388113"/>
    <n v="12.06"/>
    <n v="9"/>
    <n v="9.93"/>
    <n v="3.09"/>
    <n v="87.56"/>
    <n v="3.5"/>
    <n v="12003"/>
    <n v="4969"/>
    <n v="9"/>
    <n v="-35174054.090000004"/>
    <n v="-245.29409087206679"/>
    <n v="14339544"/>
    <n v="0.66086774076526922"/>
    <n v="-90.628376271858968"/>
  </r>
  <r>
    <s v="P0411"/>
    <s v="Model_769"/>
    <x v="2"/>
    <x v="3"/>
    <n v="2023"/>
    <s v="Q3"/>
    <n v="3780"/>
    <n v="11896"/>
    <n v="5868"/>
    <n v="196110"/>
    <n v="6.5"/>
    <n v="10"/>
    <n v="8.69"/>
    <n v="14.58"/>
    <n v="67.92"/>
    <n v="3.7"/>
    <n v="2661"/>
    <n v="6487"/>
    <n v="14"/>
    <n v="22589715.420000002"/>
    <n v="50.236341547378871"/>
    <n v="44966880"/>
    <n v="0.75676463498719104"/>
    <n v="115.18907755851308"/>
  </r>
  <r>
    <s v="P0412"/>
    <s v="Model_800"/>
    <x v="0"/>
    <x v="2"/>
    <n v="2023"/>
    <s v="Q3"/>
    <n v="2539"/>
    <n v="18982"/>
    <n v="14730"/>
    <n v="495543"/>
    <n v="14.96"/>
    <n v="5"/>
    <n v="5.65"/>
    <n v="18.37"/>
    <n v="26.96"/>
    <n v="1.5"/>
    <n v="2315"/>
    <n v="2621"/>
    <n v="11"/>
    <n v="10300266.630000001"/>
    <n v="21.371932652019293"/>
    <n v="48195298"/>
    <n v="0.50831360006150206"/>
    <n v="20.785855112472582"/>
  </r>
  <r>
    <s v="P0413"/>
    <s v="Model_978"/>
    <x v="1"/>
    <x v="1"/>
    <n v="2023"/>
    <s v="Q2"/>
    <n v="1681"/>
    <n v="19707"/>
    <n v="12688"/>
    <n v="274790"/>
    <n v="8.39"/>
    <n v="1"/>
    <n v="5.17"/>
    <n v="8.0399999999999991"/>
    <n v="18.41"/>
    <n v="4.0999999999999996"/>
    <n v="5266"/>
    <n v="6625"/>
    <n v="3"/>
    <n v="11524140.960000001"/>
    <n v="34.787268703640997"/>
    <n v="33127467"/>
    <n v="0.33654004005647303"/>
    <n v="41.938021762072857"/>
  </r>
  <r>
    <s v="P0414"/>
    <s v="Model_159"/>
    <x v="2"/>
    <x v="1"/>
    <n v="2023"/>
    <s v="Q2"/>
    <n v="2866"/>
    <n v="15498"/>
    <n v="10877"/>
    <n v="389208"/>
    <n v="4.82"/>
    <n v="10"/>
    <n v="2.85"/>
    <n v="0.87"/>
    <n v="65.069999999999993"/>
    <n v="1.1000000000000001"/>
    <n v="4739"/>
    <n v="1226"/>
    <n v="10"/>
    <n v="12854577.130000001"/>
    <n v="28.940494786847314"/>
    <n v="44417268"/>
    <n v="0.57377974705642576"/>
    <n v="33.027527697272411"/>
  </r>
  <r>
    <s v="P0415"/>
    <s v="Model_158"/>
    <x v="1"/>
    <x v="0"/>
    <n v="2023"/>
    <s v="Q1"/>
    <n v="1065"/>
    <n v="14761"/>
    <n v="7197"/>
    <n v="71281"/>
    <n v="3.3"/>
    <n v="18"/>
    <n v="5.17"/>
    <n v="3.18"/>
    <n v="22.68"/>
    <n v="2.9"/>
    <n v="15442"/>
    <n v="6732"/>
    <n v="2"/>
    <n v="7984375.8200000003"/>
    <n v="50.789692416859175"/>
    <n v="15720465"/>
    <n v="0.21321543287337524"/>
    <n v="112.01272428837979"/>
  </r>
  <r>
    <s v="P0416"/>
    <s v="Model_453"/>
    <x v="1"/>
    <x v="1"/>
    <n v="2023"/>
    <s v="Q4"/>
    <n v="1398"/>
    <n v="4593"/>
    <n v="3557"/>
    <n v="104189"/>
    <n v="5.26"/>
    <n v="5"/>
    <n v="8.48"/>
    <n v="22.87"/>
    <n v="73.010000000000005"/>
    <n v="2.2999999999999998"/>
    <n v="9772"/>
    <n v="5873"/>
    <n v="14"/>
    <n v="1344116.13"/>
    <n v="20.933082064608485"/>
    <n v="6421014"/>
    <n v="0.27988279357462781"/>
    <n v="12.900968432368101"/>
  </r>
  <r>
    <s v="P0417"/>
    <s v="Model_287"/>
    <x v="2"/>
    <x v="3"/>
    <n v="2024"/>
    <s v="Q3"/>
    <n v="4661"/>
    <n v="13222"/>
    <n v="4720"/>
    <n v="312093"/>
    <n v="5.59"/>
    <n v="13"/>
    <n v="6.85"/>
    <n v="12.34"/>
    <n v="34.880000000000003"/>
    <n v="4"/>
    <n v="20688"/>
    <n v="7816"/>
    <n v="3"/>
    <n v="39315716.659999996"/>
    <n v="63.795484604968969"/>
    <n v="61627742"/>
    <n v="0.93314284753314747"/>
    <n v="125.97440186098375"/>
  </r>
  <r>
    <s v="P0418"/>
    <s v="Model_364"/>
    <x v="1"/>
    <x v="1"/>
    <n v="2023"/>
    <s v="Q1"/>
    <n v="3137"/>
    <n v="13145"/>
    <n v="8986"/>
    <n v="360655"/>
    <n v="1.03"/>
    <n v="19"/>
    <n v="2.9"/>
    <n v="11.34"/>
    <n v="36.15"/>
    <n v="2.2999999999999998"/>
    <n v="2369"/>
    <n v="3504"/>
    <n v="3"/>
    <n v="12686116.66"/>
    <n v="30.764764265282174"/>
    <n v="41235865"/>
    <n v="0.62803456612561326"/>
    <n v="35.175245040273943"/>
  </r>
  <r>
    <s v="P0419"/>
    <s v="Model_880"/>
    <x v="1"/>
    <x v="3"/>
    <n v="2024"/>
    <s v="Q3"/>
    <n v="2889"/>
    <n v="16583"/>
    <n v="2700"/>
    <n v="172115"/>
    <n v="5.54"/>
    <n v="5"/>
    <n v="2.0099999999999998"/>
    <n v="0.95"/>
    <n v="10.86"/>
    <n v="4.3"/>
    <n v="7026"/>
    <n v="4592"/>
    <n v="12"/>
    <n v="39935871.049999997"/>
    <n v="83.35900436181322"/>
    <n v="47908287"/>
    <n v="0.5783843995973531"/>
    <n v="232.03016587746563"/>
  </r>
  <r>
    <s v="P0420"/>
    <s v="Model_581"/>
    <x v="1"/>
    <x v="2"/>
    <n v="2023"/>
    <s v="Q2"/>
    <n v="385"/>
    <n v="2488"/>
    <n v="3410"/>
    <n v="58605"/>
    <n v="6.96"/>
    <n v="16"/>
    <n v="2.65"/>
    <n v="18.22"/>
    <n v="66.08"/>
    <n v="3.4"/>
    <n v="9241"/>
    <n v="2443"/>
    <n v="14"/>
    <n v="-413593.22"/>
    <n v="-43.177978452415751"/>
    <n v="957880"/>
    <n v="7.7077879489436119E-2"/>
    <n v="-7.0569917242556093"/>
  </r>
  <r>
    <s v="P0421"/>
    <s v="Model_572"/>
    <x v="2"/>
    <x v="0"/>
    <n v="2023"/>
    <s v="Q2"/>
    <n v="4642"/>
    <n v="7946"/>
    <n v="7700"/>
    <n v="412462"/>
    <n v="10.84"/>
    <n v="9"/>
    <n v="1.7"/>
    <n v="13.2"/>
    <n v="19.059999999999999"/>
    <n v="4.2"/>
    <n v="6194"/>
    <n v="206"/>
    <n v="7"/>
    <n v="729456.8"/>
    <n v="1.977633819318747"/>
    <n v="36885332"/>
    <n v="0.92933900412977266"/>
    <n v="1.7685750444889468"/>
  </r>
  <r>
    <s v="P0422"/>
    <s v="Model_255"/>
    <x v="0"/>
    <x v="0"/>
    <n v="2024"/>
    <s v="Q2"/>
    <n v="945"/>
    <n v="17835"/>
    <n v="12978"/>
    <n v="444597"/>
    <n v="9.85"/>
    <n v="0"/>
    <n v="0.96"/>
    <n v="5.05"/>
    <n v="71.83"/>
    <n v="5"/>
    <n v="3434"/>
    <n v="3254"/>
    <n v="8"/>
    <n v="4145262.95"/>
    <n v="24.595019008756044"/>
    <n v="16854075"/>
    <n v="0.18919115874679776"/>
    <n v="9.3236526562257502"/>
  </r>
  <r>
    <s v="P0423"/>
    <s v="Model_154"/>
    <x v="2"/>
    <x v="0"/>
    <n v="2024"/>
    <s v="Q3"/>
    <n v="3596"/>
    <n v="17633"/>
    <n v="2249"/>
    <n v="331954"/>
    <n v="10.63"/>
    <n v="2"/>
    <n v="4.1900000000000004"/>
    <n v="2.75"/>
    <n v="49.35"/>
    <n v="3.7"/>
    <n v="18587"/>
    <n v="4153"/>
    <n v="14"/>
    <n v="54988907.25"/>
    <n v="86.721982770448804"/>
    <n v="63408268"/>
    <n v="0.71992741465977217"/>
    <n v="165.65219879862872"/>
  </r>
  <r>
    <s v="P0424"/>
    <s v="Model_186"/>
    <x v="2"/>
    <x v="0"/>
    <n v="2024"/>
    <s v="Q3"/>
    <n v="901"/>
    <n v="3182"/>
    <n v="9538"/>
    <n v="299415"/>
    <n v="0.13"/>
    <n v="7"/>
    <n v="1.1299999999999999"/>
    <n v="9.58"/>
    <n v="72.739999999999995"/>
    <n v="4.9000000000000004"/>
    <n v="17818"/>
    <n v="4901"/>
    <n v="4"/>
    <n v="-6026180.5800000001"/>
    <n v="-210.19248045505691"/>
    <n v="2866982"/>
    <n v="0.18038225823371934"/>
    <n v="-20.12648330911945"/>
  </r>
  <r>
    <s v="P0425"/>
    <s v="Model_157"/>
    <x v="1"/>
    <x v="1"/>
    <n v="2023"/>
    <s v="Q2"/>
    <n v="1737"/>
    <n v="7126"/>
    <n v="5817"/>
    <n v="205394"/>
    <n v="3.27"/>
    <n v="7"/>
    <n v="1.72"/>
    <n v="20.93"/>
    <n v="56.71"/>
    <n v="1.1000000000000001"/>
    <n v="20407"/>
    <n v="6239"/>
    <n v="12"/>
    <n v="2068318.07"/>
    <n v="16.70981684882252"/>
    <n v="12377862"/>
    <n v="0.34775136798220918"/>
    <n v="10.070104287369642"/>
  </r>
  <r>
    <s v="P0426"/>
    <s v="Model_297"/>
    <x v="2"/>
    <x v="2"/>
    <n v="2024"/>
    <s v="Q4"/>
    <n v="1981"/>
    <n v="8924"/>
    <n v="13668"/>
    <n v="91869"/>
    <n v="9.93"/>
    <n v="19"/>
    <n v="5.47"/>
    <n v="21.63"/>
    <n v="16.59"/>
    <n v="2.4"/>
    <n v="20523"/>
    <n v="5680"/>
    <n v="10"/>
    <n v="-9489754.6300000008"/>
    <n v="-53.679807057679966"/>
    <n v="17678444"/>
    <n v="0.3966007253729168"/>
    <n v="-103.29635676887742"/>
  </r>
  <r>
    <s v="P0427"/>
    <s v="Model_416"/>
    <x v="1"/>
    <x v="3"/>
    <n v="2023"/>
    <s v="Q2"/>
    <n v="3796"/>
    <n v="14357"/>
    <n v="14460"/>
    <n v="82955"/>
    <n v="7.26"/>
    <n v="14"/>
    <n v="1.65"/>
    <n v="15.07"/>
    <n v="71.25"/>
    <n v="1.4"/>
    <n v="7659"/>
    <n v="314"/>
    <n v="6"/>
    <n v="-473958.07"/>
    <n v="-0.86966104732747129"/>
    <n v="54499172"/>
    <n v="0.75996787153740131"/>
    <n v="-5.713254173949732"/>
  </r>
  <r>
    <s v="P0428"/>
    <s v="Model_814"/>
    <x v="1"/>
    <x v="3"/>
    <n v="2024"/>
    <s v="Q3"/>
    <n v="2477"/>
    <n v="13655"/>
    <n v="8799"/>
    <n v="111388"/>
    <n v="0.08"/>
    <n v="6"/>
    <n v="0.64"/>
    <n v="18.190000000000001"/>
    <n v="15.58"/>
    <n v="2"/>
    <n v="17219"/>
    <n v="5500"/>
    <n v="6"/>
    <n v="11916905.810000001"/>
    <n v="35.23268943559399"/>
    <n v="33823435"/>
    <n v="0.49590105842943705"/>
    <n v="106.98570761661938"/>
  </r>
  <r>
    <s v="P0429"/>
    <s v="Model_288"/>
    <x v="0"/>
    <x v="2"/>
    <n v="2024"/>
    <s v="Q1"/>
    <n v="1618"/>
    <n v="18817"/>
    <n v="6852"/>
    <n v="291324"/>
    <n v="12.07"/>
    <n v="10"/>
    <n v="3.17"/>
    <n v="2.88"/>
    <n v="48.3"/>
    <n v="4.4000000000000004"/>
    <n v="14493"/>
    <n v="6975"/>
    <n v="12"/>
    <n v="19068043.120000001"/>
    <n v="62.629251762125257"/>
    <n v="30445906"/>
    <n v="0.32392729614001986"/>
    <n v="65.453055704301747"/>
  </r>
  <r>
    <s v="P0430"/>
    <s v="Model_430"/>
    <x v="1"/>
    <x v="3"/>
    <n v="2023"/>
    <s v="Q1"/>
    <n v="4050"/>
    <n v="12925"/>
    <n v="10995"/>
    <n v="60207"/>
    <n v="11.59"/>
    <n v="6"/>
    <n v="2.2000000000000002"/>
    <n v="14.7"/>
    <n v="23.79"/>
    <n v="1.1000000000000001"/>
    <n v="15313"/>
    <n v="4389"/>
    <n v="13"/>
    <n v="7756278.2999999998"/>
    <n v="14.817256823554695"/>
    <n v="52346250"/>
    <n v="0.81081925177199032"/>
    <n v="128.82709651701629"/>
  </r>
  <r>
    <s v="P0431"/>
    <s v="Model_641"/>
    <x v="2"/>
    <x v="3"/>
    <n v="2024"/>
    <s v="Q4"/>
    <n v="2788"/>
    <n v="3480"/>
    <n v="2896"/>
    <n v="268401"/>
    <n v="8.23"/>
    <n v="3"/>
    <n v="5.15"/>
    <n v="16.670000000000002"/>
    <n v="70.19"/>
    <n v="3.1"/>
    <n v="2664"/>
    <n v="4353"/>
    <n v="5"/>
    <n v="1359774.33"/>
    <n v="14.015055595408896"/>
    <n v="9702240"/>
    <n v="0.55816396887415043"/>
    <n v="5.0662665191262324"/>
  </r>
  <r>
    <s v="P0432"/>
    <s v="Model_488"/>
    <x v="1"/>
    <x v="0"/>
    <n v="2023"/>
    <s v="Q4"/>
    <n v="3548"/>
    <n v="17022"/>
    <n v="9695"/>
    <n v="209292"/>
    <n v="1"/>
    <n v="11"/>
    <n v="1.02"/>
    <n v="5.0199999999999996"/>
    <n v="82.93"/>
    <n v="3.3"/>
    <n v="2119"/>
    <n v="8756"/>
    <n v="10"/>
    <n v="25786898.98"/>
    <n v="42.697743267979881"/>
    <n v="60394056"/>
    <n v="0.71031770500914115"/>
    <n v="123.21017525753493"/>
  </r>
  <r>
    <s v="P0433"/>
    <s v="Model_443"/>
    <x v="1"/>
    <x v="1"/>
    <n v="2024"/>
    <s v="Q3"/>
    <n v="3963"/>
    <n v="10484"/>
    <n v="7204"/>
    <n v="255157"/>
    <n v="11.5"/>
    <n v="5"/>
    <n v="7.52"/>
    <n v="22"/>
    <n v="54.33"/>
    <n v="3.2"/>
    <n v="9482"/>
    <n v="6347"/>
    <n v="9"/>
    <n v="12743461"/>
    <n v="30.671591369346153"/>
    <n v="41548092"/>
    <n v="0.7934016530302217"/>
    <n v="49.94369349067437"/>
  </r>
  <r>
    <s v="P0434"/>
    <s v="Model_394"/>
    <x v="0"/>
    <x v="0"/>
    <n v="2023"/>
    <s v="Q1"/>
    <n v="1116"/>
    <n v="18675"/>
    <n v="11395"/>
    <n v="72031"/>
    <n v="8.76"/>
    <n v="13"/>
    <n v="9.06"/>
    <n v="4.87"/>
    <n v="52.17"/>
    <n v="2.9"/>
    <n v="4566"/>
    <n v="6277"/>
    <n v="13"/>
    <n v="8052444.1299999999"/>
    <n v="38.636957051623462"/>
    <n v="20841300"/>
    <n v="0.22342574937717069"/>
    <n v="111.79143702017187"/>
  </r>
  <r>
    <s v="P0435"/>
    <s v="Model_865"/>
    <x v="0"/>
    <x v="3"/>
    <n v="2024"/>
    <s v="Q4"/>
    <n v="4430"/>
    <n v="17383"/>
    <n v="10617"/>
    <n v="392951"/>
    <n v="11.73"/>
    <n v="11"/>
    <n v="7.43"/>
    <n v="7.84"/>
    <n v="71.12"/>
    <n v="4.2"/>
    <n v="10138"/>
    <n v="7369"/>
    <n v="5"/>
    <n v="29580421.16"/>
    <n v="38.41279395335652"/>
    <n v="77006690"/>
    <n v="0.8868961198394858"/>
    <n v="75.277652938916049"/>
  </r>
  <r>
    <s v="P0436"/>
    <s v="Model_305"/>
    <x v="2"/>
    <x v="1"/>
    <n v="2024"/>
    <s v="Q4"/>
    <n v="2494"/>
    <n v="6890"/>
    <n v="4131"/>
    <n v="121312"/>
    <n v="11.28"/>
    <n v="10"/>
    <n v="5.33"/>
    <n v="15.51"/>
    <n v="10.41"/>
    <n v="1.5"/>
    <n v="3837"/>
    <n v="2472"/>
    <n v="5"/>
    <n v="6759618.4900000002"/>
    <n v="39.337478104198993"/>
    <n v="17183660"/>
    <n v="0.49930449726403553"/>
    <n v="55.72106634133474"/>
  </r>
  <r>
    <s v="P0437"/>
    <s v="Model_854"/>
    <x v="0"/>
    <x v="1"/>
    <n v="2023"/>
    <s v="Q1"/>
    <n v="4157"/>
    <n v="3107"/>
    <n v="13725"/>
    <n v="109766"/>
    <n v="12.05"/>
    <n v="18"/>
    <n v="8.61"/>
    <n v="15.96"/>
    <n v="83.42"/>
    <n v="2.2000000000000002"/>
    <n v="7094"/>
    <n v="6934"/>
    <n v="3"/>
    <n v="-44248807.960000001"/>
    <n v="-342.59442996906347"/>
    <n v="12915799"/>
    <n v="0.83224089620152197"/>
    <n v="-403.1192901262686"/>
  </r>
  <r>
    <s v="P0438"/>
    <s v="Model_986"/>
    <x v="1"/>
    <x v="0"/>
    <n v="2024"/>
    <s v="Q4"/>
    <n v="3423"/>
    <n v="8073"/>
    <n v="8262"/>
    <n v="193521"/>
    <n v="7.77"/>
    <n v="4"/>
    <n v="6.95"/>
    <n v="17.48"/>
    <n v="25.8"/>
    <n v="3.5"/>
    <n v="3960"/>
    <n v="8883"/>
    <n v="10"/>
    <n v="-840485.48"/>
    <n v="-3.0415038004617445"/>
    <n v="27633879"/>
    <n v="0.68529241946062291"/>
    <n v="-4.343032539104283"/>
  </r>
  <r>
    <s v="P0439"/>
    <s v="Model_397"/>
    <x v="0"/>
    <x v="3"/>
    <n v="2023"/>
    <s v="Q1"/>
    <n v="4019"/>
    <n v="18868"/>
    <n v="5905"/>
    <n v="401977"/>
    <n v="2.1"/>
    <n v="13"/>
    <n v="0.11"/>
    <n v="2.8"/>
    <n v="88.73"/>
    <n v="3.8"/>
    <n v="8320"/>
    <n v="6717"/>
    <n v="4"/>
    <n v="51696317.200000003"/>
    <n v="68.173522070778603"/>
    <n v="75830492"/>
    <n v="0.8046129809559579"/>
    <n v="128.60516895245252"/>
  </r>
  <r>
    <s v="P0440"/>
    <s v="Model_323"/>
    <x v="1"/>
    <x v="0"/>
    <n v="2024"/>
    <s v="Q3"/>
    <n v="2596"/>
    <n v="7276"/>
    <n v="3778"/>
    <n v="237771"/>
    <n v="10.07"/>
    <n v="15"/>
    <n v="3.94"/>
    <n v="21.24"/>
    <n v="68.900000000000006"/>
    <n v="2.6"/>
    <n v="4942"/>
    <n v="5250"/>
    <n v="5"/>
    <n v="8843015.7599999998"/>
    <n v="46.81693958057857"/>
    <n v="18888496"/>
    <n v="0.51972513027162637"/>
    <n v="37.191402652131671"/>
  </r>
  <r>
    <s v="P0441"/>
    <s v="Model_559"/>
    <x v="0"/>
    <x v="0"/>
    <n v="2023"/>
    <s v="Q2"/>
    <n v="803"/>
    <n v="5176"/>
    <n v="13728"/>
    <n v="287199"/>
    <n v="9.31"/>
    <n v="12"/>
    <n v="8.51"/>
    <n v="13.32"/>
    <n v="71.94"/>
    <n v="4.5"/>
    <n v="17691"/>
    <n v="9175"/>
    <n v="8"/>
    <n v="-7154468.3200000003"/>
    <n v="-172.13435320792777"/>
    <n v="4156328"/>
    <n v="0.16076243436368104"/>
    <n v="-24.911141751886323"/>
  </r>
  <r>
    <s v="P0442"/>
    <s v="Model_204"/>
    <x v="0"/>
    <x v="2"/>
    <n v="2023"/>
    <s v="Q3"/>
    <n v="2132"/>
    <n v="4880"/>
    <n v="3639"/>
    <n v="286731"/>
    <n v="11.13"/>
    <n v="19"/>
    <n v="3.46"/>
    <n v="11.78"/>
    <n v="62.5"/>
    <n v="2.7"/>
    <n v="20595"/>
    <n v="8202"/>
    <n v="11"/>
    <n v="2359069.2200000002"/>
    <n v="22.674288169347648"/>
    <n v="10404160"/>
    <n v="0.42683127031552676"/>
    <n v="8.2275059201830292"/>
  </r>
  <r>
    <s v="P0443"/>
    <s v="Model_826"/>
    <x v="2"/>
    <x v="2"/>
    <n v="2024"/>
    <s v="Q1"/>
    <n v="2824"/>
    <n v="10211"/>
    <n v="4184"/>
    <n v="285841"/>
    <n v="2.5499999999999998"/>
    <n v="3"/>
    <n v="0.35"/>
    <n v="24.53"/>
    <n v="47.73"/>
    <n v="2.6"/>
    <n v="17826"/>
    <n v="4258"/>
    <n v="9"/>
    <n v="16734382.470000001"/>
    <n v="58.033227199295986"/>
    <n v="28835864"/>
    <n v="0.56537125111212361"/>
    <n v="58.544460031975817"/>
  </r>
  <r>
    <s v="P0444"/>
    <s v="Model_131"/>
    <x v="2"/>
    <x v="2"/>
    <n v="2023"/>
    <s v="Q1"/>
    <n v="2946"/>
    <n v="10282"/>
    <n v="11651"/>
    <n v="161041"/>
    <n v="2.92"/>
    <n v="10"/>
    <n v="7.46"/>
    <n v="18.510000000000002"/>
    <n v="55.73"/>
    <n v="1.1000000000000001"/>
    <n v="12029"/>
    <n v="7827"/>
    <n v="9"/>
    <n v="-4194133.51"/>
    <n v="-13.846241720085576"/>
    <n v="30290772"/>
    <n v="0.58979592980747741"/>
    <n v="-26.043771461925846"/>
  </r>
  <r>
    <s v="P0445"/>
    <s v="Model_497"/>
    <x v="1"/>
    <x v="1"/>
    <n v="2024"/>
    <s v="Q3"/>
    <n v="4235"/>
    <n v="18934"/>
    <n v="10853"/>
    <n v="166185"/>
    <n v="13.36"/>
    <n v="16"/>
    <n v="8.02"/>
    <n v="2.95"/>
    <n v="13.71"/>
    <n v="3.2"/>
    <n v="19175"/>
    <n v="5306"/>
    <n v="5"/>
    <n v="34056847.049999997"/>
    <n v="42.472580824785126"/>
    <n v="80185490"/>
    <n v="0.8478566743837973"/>
    <n v="204.93335740289436"/>
  </r>
  <r>
    <s v="P0446"/>
    <s v="Model_746"/>
    <x v="2"/>
    <x v="3"/>
    <n v="2023"/>
    <s v="Q4"/>
    <n v="825"/>
    <n v="15497"/>
    <n v="11848"/>
    <n v="227164"/>
    <n v="11.25"/>
    <n v="6"/>
    <n v="1.61"/>
    <n v="18.91"/>
    <n v="59.92"/>
    <n v="3.8"/>
    <n v="11890"/>
    <n v="403"/>
    <n v="8"/>
    <n v="2783242.09"/>
    <n v="21.769547497951706"/>
    <n v="12785025"/>
    <n v="0.16516688462022025"/>
    <n v="12.252209857195682"/>
  </r>
  <r>
    <s v="P0447"/>
    <s v="Model_103"/>
    <x v="0"/>
    <x v="3"/>
    <n v="2024"/>
    <s v="Q4"/>
    <n v="1675"/>
    <n v="7842"/>
    <n v="14293"/>
    <n v="60350"/>
    <n v="13.62"/>
    <n v="13"/>
    <n v="5.37"/>
    <n v="2.38"/>
    <n v="60.09"/>
    <n v="1.5"/>
    <n v="15530"/>
    <n v="433"/>
    <n v="11"/>
    <n v="-10865777.380000001"/>
    <n v="-82.721643351718839"/>
    <n v="13135350"/>
    <n v="0.33533882635014417"/>
    <n v="-180.0459817729909"/>
  </r>
  <r>
    <s v="P0448"/>
    <s v="Model_326"/>
    <x v="1"/>
    <x v="2"/>
    <n v="2024"/>
    <s v="Q4"/>
    <n v="3119"/>
    <n v="18843"/>
    <n v="1485"/>
    <n v="277230"/>
    <n v="11.38"/>
    <n v="10"/>
    <n v="1.92"/>
    <n v="0.69"/>
    <n v="81.3"/>
    <n v="2.2000000000000002"/>
    <n v="6874"/>
    <n v="4606"/>
    <n v="2"/>
    <n v="53862371.310000002"/>
    <n v="91.647378448231819"/>
    <n v="58771317"/>
    <n v="0.62443092500662667"/>
    <n v="194.28767449410236"/>
  </r>
  <r>
    <s v="P0449"/>
    <s v="Model_445"/>
    <x v="1"/>
    <x v="3"/>
    <n v="2023"/>
    <s v="Q4"/>
    <n v="467"/>
    <n v="7559"/>
    <n v="14939"/>
    <n v="413003"/>
    <n v="8.9600000000000009"/>
    <n v="8"/>
    <n v="7.19"/>
    <n v="10.09"/>
    <n v="50.45"/>
    <n v="4.0999999999999996"/>
    <n v="14642"/>
    <n v="2431"/>
    <n v="7"/>
    <n v="-3859473.09"/>
    <n v="-109.33187377073375"/>
    <n v="3530053"/>
    <n v="9.3494466809264071E-2"/>
    <n v="-9.3448788507589526"/>
  </r>
  <r>
    <s v="P0450"/>
    <s v="Model_441"/>
    <x v="0"/>
    <x v="0"/>
    <n v="2024"/>
    <s v="Q1"/>
    <n v="164"/>
    <n v="10384"/>
    <n v="8331"/>
    <n v="311570"/>
    <n v="9.81"/>
    <n v="12"/>
    <n v="2.72"/>
    <n v="24.84"/>
    <n v="16.170000000000002"/>
    <n v="2.5"/>
    <n v="20539"/>
    <n v="4661"/>
    <n v="7"/>
    <n v="25097.16"/>
    <n v="1.4737236461347665"/>
    <n v="1702976"/>
    <n v="3.2833174639655904E-2"/>
    <n v="8.0630355939275283E-2"/>
  </r>
  <r>
    <s v="P0451"/>
    <s v="Model_763"/>
    <x v="0"/>
    <x v="0"/>
    <n v="2024"/>
    <s v="Q1"/>
    <n v="666"/>
    <n v="7155"/>
    <n v="5083"/>
    <n v="118487"/>
    <n v="13.34"/>
    <n v="17"/>
    <n v="3.16"/>
    <n v="4.37"/>
    <n v="34.5"/>
    <n v="2"/>
    <n v="13704"/>
    <n v="179"/>
    <n v="7"/>
    <n v="1261460.6299999999"/>
    <n v="26.47218770132816"/>
    <n v="4765230"/>
    <n v="0.13333472140250507"/>
    <n v="10.646442225729405"/>
  </r>
  <r>
    <s v="P0452"/>
    <s v="Model_278"/>
    <x v="1"/>
    <x v="3"/>
    <n v="2024"/>
    <s v="Q3"/>
    <n v="4024"/>
    <n v="13591"/>
    <n v="8536"/>
    <n v="198694"/>
    <n v="8.68"/>
    <n v="10"/>
    <n v="8.4499999999999993"/>
    <n v="16.82"/>
    <n v="62.45"/>
    <n v="3.7"/>
    <n v="8894"/>
    <n v="3863"/>
    <n v="13"/>
    <n v="20142609.18"/>
    <n v="36.83039204987864"/>
    <n v="54690184"/>
    <n v="0.80561399237789855"/>
    <n v="101.37510946480518"/>
  </r>
  <r>
    <s v="P0453"/>
    <s v="Model_963"/>
    <x v="1"/>
    <x v="2"/>
    <n v="2023"/>
    <s v="Q1"/>
    <n v="3317"/>
    <n v="16751"/>
    <n v="8510"/>
    <n v="173853"/>
    <n v="9.49"/>
    <n v="14"/>
    <n v="4.76"/>
    <n v="4.33"/>
    <n v="29.14"/>
    <n v="1.8"/>
    <n v="18588"/>
    <n v="5296"/>
    <n v="3"/>
    <n v="27161539.670000002"/>
    <n v="48.88416197399615"/>
    <n v="55563067"/>
    <n v="0.66407097731547948"/>
    <n v="156.23281738020052"/>
  </r>
  <r>
    <s v="P0454"/>
    <s v="Model_810"/>
    <x v="2"/>
    <x v="0"/>
    <n v="2023"/>
    <s v="Q3"/>
    <n v="875"/>
    <n v="2026"/>
    <n v="2419"/>
    <n v="365261"/>
    <n v="2.35"/>
    <n v="18"/>
    <n v="6.7"/>
    <n v="18.12"/>
    <n v="32.44"/>
    <n v="4.5999999999999996"/>
    <n v="2325"/>
    <n v="832"/>
    <n v="9"/>
    <n v="-709154.12"/>
    <n v="-40.003052883937386"/>
    <n v="1772750"/>
    <n v="0.17517699883962753"/>
    <n v="-1.9414500863765909"/>
  </r>
  <r>
    <s v="P0455"/>
    <s v="Model_303"/>
    <x v="2"/>
    <x v="3"/>
    <n v="2024"/>
    <s v="Q2"/>
    <n v="1566"/>
    <n v="4724"/>
    <n v="14775"/>
    <n v="285062"/>
    <n v="7.11"/>
    <n v="0"/>
    <n v="4.0199999999999996"/>
    <n v="12.63"/>
    <n v="75.64"/>
    <n v="1.4"/>
    <n v="10696"/>
    <n v="4076"/>
    <n v="6"/>
    <n v="-16024940.630000001"/>
    <n v="-216.61812010191159"/>
    <n v="7397784"/>
    <n v="0.31351677735183625"/>
    <n v="-56.215588187832822"/>
  </r>
  <r>
    <s v="P0456"/>
    <s v="Model_815"/>
    <x v="1"/>
    <x v="0"/>
    <n v="2024"/>
    <s v="Q3"/>
    <n v="3196"/>
    <n v="16569"/>
    <n v="14072"/>
    <n v="283077"/>
    <n v="10.75"/>
    <n v="3"/>
    <n v="2.98"/>
    <n v="17"/>
    <n v="56.75"/>
    <n v="3.8"/>
    <n v="13152"/>
    <n v="5759"/>
    <n v="6"/>
    <n v="7697318"/>
    <n v="14.535713700306324"/>
    <n v="52954524"/>
    <n v="0.63984650090451389"/>
    <n v="27.191665165308379"/>
  </r>
  <r>
    <s v="P0457"/>
    <s v="Model_869"/>
    <x v="0"/>
    <x v="3"/>
    <n v="2023"/>
    <s v="Q1"/>
    <n v="462"/>
    <n v="13036"/>
    <n v="13635"/>
    <n v="413228"/>
    <n v="4.0599999999999996"/>
    <n v="13"/>
    <n v="6.25"/>
    <n v="5.07"/>
    <n v="50.68"/>
    <n v="3"/>
    <n v="18260"/>
    <n v="1484"/>
    <n v="3"/>
    <n v="-689971.07"/>
    <n v="-11.45630465218529"/>
    <n v="6022632"/>
    <n v="9.2493455387323342E-2"/>
    <n v="-1.669698084350528"/>
  </r>
  <r>
    <s v="P0458"/>
    <s v="Model_839"/>
    <x v="1"/>
    <x v="0"/>
    <n v="2024"/>
    <s v="Q3"/>
    <n v="778"/>
    <n v="15047"/>
    <n v="7668"/>
    <n v="73782"/>
    <n v="3.03"/>
    <n v="13"/>
    <n v="1.55"/>
    <n v="18.64"/>
    <n v="35.479999999999997"/>
    <n v="4.5"/>
    <n v="2472"/>
    <n v="2224"/>
    <n v="5"/>
    <n v="5667061.3600000003"/>
    <n v="48.409254772065523"/>
    <n v="11706566"/>
    <n v="0.1557573772539774"/>
    <n v="76.808435661814528"/>
  </r>
  <r>
    <s v="P0459"/>
    <s v="Model_105"/>
    <x v="0"/>
    <x v="2"/>
    <n v="2023"/>
    <s v="Q1"/>
    <n v="3398"/>
    <n v="19759"/>
    <n v="2231"/>
    <n v="340598"/>
    <n v="4.71"/>
    <n v="2"/>
    <n v="3.73"/>
    <n v="24.89"/>
    <n v="68.47"/>
    <n v="1.5"/>
    <n v="12768"/>
    <n v="6752"/>
    <n v="13"/>
    <n v="59219521.109999999"/>
    <n v="88.201618660241436"/>
    <n v="67141082"/>
    <n v="0.68028736235091936"/>
    <n v="173.86932982577702"/>
  </r>
  <r>
    <s v="P0460"/>
    <s v="Model_447"/>
    <x v="2"/>
    <x v="3"/>
    <n v="2023"/>
    <s v="Q2"/>
    <n v="2858"/>
    <n v="3263"/>
    <n v="9867"/>
    <n v="380048"/>
    <n v="3.62"/>
    <n v="16"/>
    <n v="2.09"/>
    <n v="16.64"/>
    <n v="33.020000000000003"/>
    <n v="3.7"/>
    <n v="1943"/>
    <n v="5383"/>
    <n v="10"/>
    <n v="-19254296.640000001"/>
    <n v="-206.46591263197197"/>
    <n v="9325654"/>
    <n v="0.57217812878132057"/>
    <n v="-50.662758388414098"/>
  </r>
  <r>
    <s v="P0461"/>
    <s v="Model_660"/>
    <x v="2"/>
    <x v="1"/>
    <n v="2023"/>
    <s v="Q1"/>
    <n v="725"/>
    <n v="10212"/>
    <n v="5513"/>
    <n v="179936"/>
    <n v="3.22"/>
    <n v="2"/>
    <n v="6.96"/>
    <n v="12.34"/>
    <n v="68.97"/>
    <n v="3.3"/>
    <n v="2254"/>
    <n v="7276"/>
    <n v="10"/>
    <n v="3226826.66"/>
    <n v="43.583973688831264"/>
    <n v="7403700"/>
    <n v="0.14514665618140568"/>
    <n v="17.933259603414548"/>
  </r>
  <r>
    <s v="P0462"/>
    <s v="Model_915"/>
    <x v="0"/>
    <x v="0"/>
    <n v="2023"/>
    <s v="Q4"/>
    <n v="3515"/>
    <n v="7297"/>
    <n v="11453"/>
    <n v="458808"/>
    <n v="6.37"/>
    <n v="15"/>
    <n v="9.44"/>
    <n v="23.08"/>
    <n v="15.61"/>
    <n v="2.9"/>
    <n v="17523"/>
    <n v="9490"/>
    <n v="7"/>
    <n v="-15067171.08"/>
    <n v="-58.743800985264315"/>
    <n v="25648955"/>
    <n v="0.70371102962433241"/>
    <n v="-32.8397673972555"/>
  </r>
  <r>
    <s v="P0463"/>
    <s v="Model_995"/>
    <x v="0"/>
    <x v="2"/>
    <n v="2024"/>
    <s v="Q1"/>
    <n v="2554"/>
    <n v="10708"/>
    <n v="10357"/>
    <n v="203245"/>
    <n v="13.62"/>
    <n v="13"/>
    <n v="9.9600000000000009"/>
    <n v="0.4"/>
    <n v="79.16"/>
    <n v="3"/>
    <n v="11863"/>
    <n v="6705"/>
    <n v="12"/>
    <n v="693208.6"/>
    <n v="2.5347474015870568"/>
    <n v="27348232"/>
    <n v="0.51131663432732433"/>
    <n v="3.4107062904376493"/>
  </r>
  <r>
    <s v="P0464"/>
    <s v="Model_399"/>
    <x v="1"/>
    <x v="1"/>
    <n v="2024"/>
    <s v="Q2"/>
    <n v="3017"/>
    <n v="6609"/>
    <n v="10235"/>
    <n v="476420"/>
    <n v="7.61"/>
    <n v="19"/>
    <n v="4.5"/>
    <n v="18.25"/>
    <n v="49.97"/>
    <n v="3.9"/>
    <n v="12397"/>
    <n v="5807"/>
    <n v="10"/>
    <n v="-11416080.25"/>
    <n v="-57.254015463791632"/>
    <n v="19939353"/>
    <n v="0.60401029199903578"/>
    <n v="-23.962180429033207"/>
  </r>
  <r>
    <s v="P0465"/>
    <s v="Model_227"/>
    <x v="2"/>
    <x v="3"/>
    <n v="2024"/>
    <s v="Q1"/>
    <n v="2836"/>
    <n v="18000"/>
    <n v="5798"/>
    <n v="478812"/>
    <n v="2.82"/>
    <n v="12"/>
    <n v="2.5299999999999998"/>
    <n v="22.22"/>
    <n v="45.08"/>
    <n v="4.8"/>
    <n v="6896"/>
    <n v="2392"/>
    <n v="5"/>
    <n v="34126037.780000001"/>
    <n v="66.850881092305286"/>
    <n v="51048000"/>
    <n v="0.56777367852478144"/>
    <n v="71.272357417942743"/>
  </r>
  <r>
    <s v="P0466"/>
    <s v="Model_426"/>
    <x v="2"/>
    <x v="1"/>
    <n v="2023"/>
    <s v="Q3"/>
    <n v="1172"/>
    <n v="3933"/>
    <n v="962"/>
    <n v="477540"/>
    <n v="1.1499999999999999"/>
    <n v="14"/>
    <n v="4.43"/>
    <n v="1.54"/>
    <n v="58.88"/>
    <n v="1.4"/>
    <n v="4965"/>
    <n v="8476"/>
    <n v="12"/>
    <n v="3004470.46"/>
    <n v="65.180303791580656"/>
    <n v="4609476"/>
    <n v="0.23463707730290684"/>
    <n v="6.2915609163630268"/>
  </r>
  <r>
    <s v="P0467"/>
    <s v="Model_390"/>
    <x v="1"/>
    <x v="2"/>
    <n v="2024"/>
    <s v="Q4"/>
    <n v="4129"/>
    <n v="18467"/>
    <n v="2774"/>
    <n v="172258"/>
    <n v="10.44"/>
    <n v="13"/>
    <n v="8.4700000000000006"/>
    <n v="11.25"/>
    <n v="59.94"/>
    <n v="1.1000000000000001"/>
    <n v="4211"/>
    <n v="1097"/>
    <n v="2"/>
    <n v="64624127.75"/>
    <n v="84.75268432915027"/>
    <n v="76250243"/>
    <n v="0.82663523223865387"/>
    <n v="375.1589998722846"/>
  </r>
  <r>
    <s v="P0468"/>
    <s v="Model_562"/>
    <x v="1"/>
    <x v="0"/>
    <n v="2024"/>
    <s v="Q2"/>
    <n v="1621"/>
    <n v="5667"/>
    <n v="4091"/>
    <n v="161668"/>
    <n v="5.74"/>
    <n v="18"/>
    <n v="2.06"/>
    <n v="5.12"/>
    <n v="20.56"/>
    <n v="4.2"/>
    <n v="20291"/>
    <n v="4764"/>
    <n v="3"/>
    <n v="2393022.88"/>
    <n v="26.050173700636179"/>
    <n v="9186207"/>
    <n v="0.32452790299318429"/>
    <n v="14.802112972264146"/>
  </r>
  <r>
    <s v="P0469"/>
    <s v="Model_232"/>
    <x v="2"/>
    <x v="1"/>
    <n v="2024"/>
    <s v="Q3"/>
    <n v="2193"/>
    <n v="19273"/>
    <n v="9261"/>
    <n v="436328"/>
    <n v="12.33"/>
    <n v="5"/>
    <n v="9.52"/>
    <n v="14.16"/>
    <n v="70.5"/>
    <n v="1.4"/>
    <n v="7247"/>
    <n v="2457"/>
    <n v="14"/>
    <n v="21519973.84"/>
    <n v="50.915942338003759"/>
    <n v="42265689"/>
    <n v="0.43904360966320366"/>
    <n v="49.320667021140061"/>
  </r>
  <r>
    <s v="P0470"/>
    <s v="Model_298"/>
    <x v="2"/>
    <x v="1"/>
    <n v="2024"/>
    <s v="Q1"/>
    <n v="1737"/>
    <n v="9857"/>
    <n v="1431"/>
    <n v="473966"/>
    <n v="9.89"/>
    <n v="9"/>
    <n v="3.42"/>
    <n v="16.239999999999998"/>
    <n v="32.07"/>
    <n v="4.9000000000000004"/>
    <n v="19607"/>
    <n v="5591"/>
    <n v="2"/>
    <n v="14161979.76"/>
    <n v="82.714070622685057"/>
    <n v="17121609"/>
    <n v="0.34775136798220918"/>
    <n v="29.879771966765549"/>
  </r>
  <r>
    <s v="P0471"/>
    <s v="Model_765"/>
    <x v="2"/>
    <x v="2"/>
    <n v="2024"/>
    <s v="Q3"/>
    <n v="4182"/>
    <n v="7654"/>
    <n v="1705"/>
    <n v="328710"/>
    <n v="11.94"/>
    <n v="14"/>
    <n v="9.86"/>
    <n v="7.57"/>
    <n v="82.4"/>
    <n v="3.5"/>
    <n v="3419"/>
    <n v="1779"/>
    <n v="9"/>
    <n v="24550000.43"/>
    <n v="76.697113170696724"/>
    <n v="32009028"/>
    <n v="0.83724595331122564"/>
    <n v="74.685917678196589"/>
  </r>
  <r>
    <s v="P0472"/>
    <s v="Model_693"/>
    <x v="2"/>
    <x v="2"/>
    <n v="2024"/>
    <s v="Q3"/>
    <n v="3901"/>
    <n v="10420"/>
    <n v="12463"/>
    <n v="188262"/>
    <n v="4.08"/>
    <n v="19"/>
    <n v="8.39"/>
    <n v="11.5"/>
    <n v="75.430000000000007"/>
    <n v="3.6"/>
    <n v="18802"/>
    <n v="5815"/>
    <n v="10"/>
    <n v="-8158016.5"/>
    <n v="-20.069701356165872"/>
    <n v="40648420"/>
    <n v="0.78098911139815663"/>
    <n v="-43.333253657137391"/>
  </r>
  <r>
    <s v="P0473"/>
    <s v="Model_202"/>
    <x v="1"/>
    <x v="1"/>
    <n v="2024"/>
    <s v="Q2"/>
    <n v="3490"/>
    <n v="19927"/>
    <n v="12245"/>
    <n v="88333"/>
    <n v="10.39"/>
    <n v="5"/>
    <n v="8.09"/>
    <n v="6.98"/>
    <n v="37.700000000000003"/>
    <n v="1.8"/>
    <n v="14973"/>
    <n v="4986"/>
    <n v="11"/>
    <n v="26721840.02"/>
    <n v="38.423684873858349"/>
    <n v="69545230"/>
    <n v="0.69870597251462874"/>
    <n v="302.51261702874348"/>
  </r>
  <r>
    <s v="P0474"/>
    <s v="Model_592"/>
    <x v="0"/>
    <x v="3"/>
    <n v="2024"/>
    <s v="Q1"/>
    <n v="3816"/>
    <n v="18662"/>
    <n v="2814"/>
    <n v="434073"/>
    <n v="3.96"/>
    <n v="9"/>
    <n v="3.18"/>
    <n v="9.23"/>
    <n v="74.62"/>
    <n v="2"/>
    <n v="18465"/>
    <n v="7540"/>
    <n v="13"/>
    <n v="60041885.770000003"/>
    <n v="84.311685752188282"/>
    <n v="71214192"/>
    <n v="0.76397191722516422"/>
    <n v="138.32211402229578"/>
  </r>
  <r>
    <s v="P0475"/>
    <s v="Model_824"/>
    <x v="0"/>
    <x v="3"/>
    <n v="2023"/>
    <s v="Q1"/>
    <n v="2376"/>
    <n v="1713"/>
    <n v="10633"/>
    <n v="261977"/>
    <n v="14.09"/>
    <n v="6"/>
    <n v="0.09"/>
    <n v="3.99"/>
    <n v="38.51"/>
    <n v="3.6"/>
    <n v="15735"/>
    <n v="6921"/>
    <n v="7"/>
    <n v="-21455900.989999998"/>
    <n v="-527.16061642893214"/>
    <n v="4070088"/>
    <n v="0.47568062770623437"/>
    <n v="-81.89992632941059"/>
  </r>
  <r>
    <s v="P0476"/>
    <s v="Model_780"/>
    <x v="0"/>
    <x v="1"/>
    <n v="2023"/>
    <s v="Q4"/>
    <n v="2964"/>
    <n v="5262"/>
    <n v="8696"/>
    <n v="139571"/>
    <n v="9.5500000000000007"/>
    <n v="16"/>
    <n v="3.82"/>
    <n v="22.14"/>
    <n v="18.079999999999998"/>
    <n v="4.5999999999999996"/>
    <n v="17210"/>
    <n v="3627"/>
    <n v="3"/>
    <n v="-10317969.140000001"/>
    <n v="-66.155382004553829"/>
    <n v="15596568"/>
    <n v="0.59339957092646411"/>
    <n v="-73.926152280917961"/>
  </r>
  <r>
    <s v="P0477"/>
    <s v="Model_125"/>
    <x v="2"/>
    <x v="3"/>
    <n v="2024"/>
    <s v="Q4"/>
    <n v="4002"/>
    <n v="14899"/>
    <n v="1004"/>
    <n v="170263"/>
    <n v="4.87"/>
    <n v="17"/>
    <n v="3.02"/>
    <n v="0.25"/>
    <n v="86.95"/>
    <n v="4.9000000000000004"/>
    <n v="15934"/>
    <n v="6913"/>
    <n v="7"/>
    <n v="55437526.75"/>
    <n v="92.975739712531819"/>
    <n v="59625798"/>
    <n v="0.80120954212135942"/>
    <n v="325.59937860838818"/>
  </r>
  <r>
    <s v="P0478"/>
    <s v="Model_289"/>
    <x v="0"/>
    <x v="0"/>
    <n v="2024"/>
    <s v="Q3"/>
    <n v="645"/>
    <n v="11268"/>
    <n v="1381"/>
    <n v="444805"/>
    <n v="4.04"/>
    <n v="16"/>
    <n v="0.37"/>
    <n v="22.06"/>
    <n v="62.21"/>
    <n v="1.8"/>
    <n v="14978"/>
    <n v="2845"/>
    <n v="10"/>
    <n v="5932287.9400000004"/>
    <n v="81.623585759769739"/>
    <n v="7267860"/>
    <n v="0.12913047343035403"/>
    <n v="13.336877957756769"/>
  </r>
  <r>
    <s v="P0479"/>
    <s v="Model_331"/>
    <x v="2"/>
    <x v="0"/>
    <n v="2024"/>
    <s v="Q1"/>
    <n v="778"/>
    <n v="12140"/>
    <n v="6475"/>
    <n v="75235"/>
    <n v="2.86"/>
    <n v="8"/>
    <n v="5.05"/>
    <n v="14.29"/>
    <n v="46.49"/>
    <n v="1.5"/>
    <n v="5381"/>
    <n v="4190"/>
    <n v="13"/>
    <n v="4332120.71"/>
    <n v="45.867203851382541"/>
    <n v="9444920"/>
    <n v="0.1557573772539774"/>
    <n v="57.581378347843426"/>
  </r>
  <r>
    <s v="P0480"/>
    <s v="Model_834"/>
    <x v="2"/>
    <x v="3"/>
    <n v="2023"/>
    <s v="Q2"/>
    <n v="1415"/>
    <n v="8231"/>
    <n v="9832"/>
    <n v="50159"/>
    <n v="10.42"/>
    <n v="9"/>
    <n v="4.03"/>
    <n v="8.2899999999999991"/>
    <n v="41.82"/>
    <n v="1.2"/>
    <n v="3499"/>
    <n v="6258"/>
    <n v="4"/>
    <n v="-2315582.29"/>
    <n v="-19.881592943680555"/>
    <n v="11646865"/>
    <n v="0.28328623240922629"/>
    <n v="-46.164676329272915"/>
  </r>
  <r>
    <s v="P0481"/>
    <s v="Model_765"/>
    <x v="1"/>
    <x v="0"/>
    <n v="2023"/>
    <s v="Q2"/>
    <n v="4542"/>
    <n v="7291"/>
    <n v="14924"/>
    <n v="193217"/>
    <n v="3.28"/>
    <n v="9"/>
    <n v="6.35"/>
    <n v="18.079999999999998"/>
    <n v="35.979999999999997"/>
    <n v="4.5"/>
    <n v="16349"/>
    <n v="8661"/>
    <n v="10"/>
    <n v="-34862321.079999998"/>
    <n v="-105.27422920146509"/>
    <n v="33115722"/>
    <n v="0.90931877569095809"/>
    <n v="-180.43082648007163"/>
  </r>
  <r>
    <s v="P0482"/>
    <s v="Model_881"/>
    <x v="0"/>
    <x v="1"/>
    <n v="2023"/>
    <s v="Q1"/>
    <n v="748"/>
    <n v="17322"/>
    <n v="6147"/>
    <n v="212993"/>
    <n v="8.93"/>
    <n v="6"/>
    <n v="6.21"/>
    <n v="12.69"/>
    <n v="88.52"/>
    <n v="2.2000000000000002"/>
    <n v="12403"/>
    <n v="7571"/>
    <n v="3"/>
    <n v="8145894.3099999996"/>
    <n v="62.869374406877711"/>
    <n v="12956856"/>
    <n v="0.14975130872233303"/>
    <n v="38.244951712028097"/>
  </r>
  <r>
    <s v="P0483"/>
    <s v="Model_677"/>
    <x v="1"/>
    <x v="3"/>
    <n v="2023"/>
    <s v="Q3"/>
    <n v="445"/>
    <n v="10283"/>
    <n v="10711"/>
    <n v="417003"/>
    <n v="3.97"/>
    <n v="15"/>
    <n v="1.21"/>
    <n v="12.48"/>
    <n v="20.78"/>
    <n v="1"/>
    <n v="18284"/>
    <n v="3843"/>
    <n v="12"/>
    <n v="-607475.48"/>
    <n v="-13.275439445708908"/>
    <n v="4575935"/>
    <n v="8.9090016552724874E-2"/>
    <n v="-1.456735323247075"/>
  </r>
  <r>
    <s v="P0484"/>
    <s v="Model_550"/>
    <x v="1"/>
    <x v="1"/>
    <n v="2023"/>
    <s v="Q4"/>
    <n v="4221"/>
    <n v="15121"/>
    <n v="14730"/>
    <n v="197309"/>
    <n v="9.93"/>
    <n v="17"/>
    <n v="9.77"/>
    <n v="2.75"/>
    <n v="35.18"/>
    <n v="1.9"/>
    <n v="16200"/>
    <n v="9995"/>
    <n v="6"/>
    <n v="1453099.25"/>
    <n v="2.2766664784980719"/>
    <n v="63825741"/>
    <n v="0.84505384240236325"/>
    <n v="7.3646007024514848"/>
  </r>
  <r>
    <s v="P0485"/>
    <s v="Model_371"/>
    <x v="1"/>
    <x v="0"/>
    <n v="2024"/>
    <s v="Q4"/>
    <n v="4410"/>
    <n v="17519"/>
    <n v="3443"/>
    <n v="157507"/>
    <n v="12.22"/>
    <n v="5"/>
    <n v="1.87"/>
    <n v="9.74"/>
    <n v="48.84"/>
    <n v="2.4"/>
    <n v="6945"/>
    <n v="7108"/>
    <n v="12"/>
    <n v="61917643.259999998"/>
    <n v="80.143169806309416"/>
    <n v="77258790"/>
    <n v="0.88289207415172288"/>
    <n v="393.11048397848987"/>
  </r>
  <r>
    <s v="P0486"/>
    <s v="Model_938"/>
    <x v="2"/>
    <x v="3"/>
    <n v="2023"/>
    <s v="Q2"/>
    <n v="2552"/>
    <n v="4220"/>
    <n v="8817"/>
    <n v="451460"/>
    <n v="11.67"/>
    <n v="19"/>
    <n v="4.45"/>
    <n v="6.03"/>
    <n v="48.24"/>
    <n v="5"/>
    <n v="4128"/>
    <n v="3424"/>
    <n v="3"/>
    <n v="-12183010.029999999"/>
    <n v="-113.12575240681038"/>
    <n v="10769440"/>
    <n v="0.510916229758548"/>
    <n v="-26.985788331192133"/>
  </r>
  <r>
    <s v="P0487"/>
    <s v="Model_744"/>
    <x v="0"/>
    <x v="1"/>
    <n v="2023"/>
    <s v="Q4"/>
    <n v="1869"/>
    <n v="10405"/>
    <n v="3097"/>
    <n v="64743"/>
    <n v="11.41"/>
    <n v="0"/>
    <n v="4.88"/>
    <n v="0.39"/>
    <n v="47.71"/>
    <n v="3.1"/>
    <n v="19540"/>
    <n v="8732"/>
    <n v="8"/>
    <n v="13593908.609999999"/>
    <n v="69.902540527573862"/>
    <n v="19446945"/>
    <n v="0.37417806952144445"/>
    <n v="209.96723970158936"/>
  </r>
  <r>
    <s v="P0488"/>
    <s v="Model_585"/>
    <x v="1"/>
    <x v="0"/>
    <n v="2024"/>
    <s v="Q1"/>
    <n v="767"/>
    <n v="10627"/>
    <n v="1674"/>
    <n v="278174"/>
    <n v="2.82"/>
    <n v="0"/>
    <n v="8.1300000000000008"/>
    <n v="9"/>
    <n v="24.06"/>
    <n v="1.8"/>
    <n v="18504"/>
    <n v="3357"/>
    <n v="12"/>
    <n v="6588768"/>
    <n v="80.834763337438815"/>
    <n v="8150909"/>
    <n v="0.15355515212570781"/>
    <n v="23.685811758108233"/>
  </r>
  <r>
    <s v="P0489"/>
    <s v="Model_642"/>
    <x v="2"/>
    <x v="3"/>
    <n v="2024"/>
    <s v="Q1"/>
    <n v="2832"/>
    <n v="17885"/>
    <n v="6360"/>
    <n v="96101"/>
    <n v="1.33"/>
    <n v="11"/>
    <n v="0.99"/>
    <n v="2.25"/>
    <n v="21.59"/>
    <n v="2.2999999999999998"/>
    <n v="1746"/>
    <n v="326"/>
    <n v="11"/>
    <n v="32542696.75"/>
    <n v="64.249735737108864"/>
    <n v="50650320"/>
    <n v="0.5669728693872288"/>
    <n v="338.63018074733873"/>
  </r>
  <r>
    <s v="P0490"/>
    <s v="Model_783"/>
    <x v="2"/>
    <x v="2"/>
    <n v="2024"/>
    <s v="Q2"/>
    <n v="4996"/>
    <n v="7868"/>
    <n v="1489"/>
    <n v="292717"/>
    <n v="10.48"/>
    <n v="1"/>
    <n v="4.29"/>
    <n v="6.42"/>
    <n v="30.38"/>
    <n v="2.2999999999999998"/>
    <n v="6712"/>
    <n v="2501"/>
    <n v="10"/>
    <n v="31576760.579999998"/>
    <n v="80.330559770643148"/>
    <n v="39308528"/>
    <n v="1.0002106128031762"/>
    <n v="107.87472883365162"/>
  </r>
  <r>
    <s v="P0491"/>
    <s v="Model_418"/>
    <x v="0"/>
    <x v="1"/>
    <n v="2024"/>
    <s v="Q1"/>
    <n v="3627"/>
    <n v="15556"/>
    <n v="4800"/>
    <n v="171534"/>
    <n v="5.53"/>
    <n v="3"/>
    <n v="6.29"/>
    <n v="2.31"/>
    <n v="83.16"/>
    <n v="1.1000000000000001"/>
    <n v="4839"/>
    <n v="4818"/>
    <n v="8"/>
    <n v="38840475.689999998"/>
    <n v="68.839712856839313"/>
    <n v="56421612"/>
    <n v="0.7261336854758047"/>
    <n v="226.43020042673754"/>
  </r>
  <r>
    <s v="P0492"/>
    <s v="Model_600"/>
    <x v="2"/>
    <x v="1"/>
    <n v="2024"/>
    <s v="Q1"/>
    <n v="193"/>
    <n v="13736"/>
    <n v="12133"/>
    <n v="396371"/>
    <n v="6.49"/>
    <n v="16"/>
    <n v="2.15"/>
    <n v="2.52"/>
    <n v="19.04"/>
    <n v="1.5"/>
    <n v="20894"/>
    <n v="1124"/>
    <n v="13"/>
    <n v="-86994.52"/>
    <n v="-3.2815143294274569"/>
    <n v="2651048"/>
    <n v="3.8639040886912134E-2"/>
    <n v="-0.21947115202676282"/>
  </r>
  <r>
    <s v="P0493"/>
    <s v="Model_931"/>
    <x v="2"/>
    <x v="1"/>
    <n v="2024"/>
    <s v="Q3"/>
    <n v="3190"/>
    <n v="19833"/>
    <n v="10414"/>
    <n v="280604"/>
    <n v="0.47"/>
    <n v="3"/>
    <n v="6.27"/>
    <n v="4.9800000000000004"/>
    <n v="70.59"/>
    <n v="3.8"/>
    <n v="3868"/>
    <n v="5772"/>
    <n v="6"/>
    <n v="29766001.02"/>
    <n v="47.048025021468447"/>
    <n v="63267270"/>
    <n v="0.63864528719818503"/>
    <n v="106.07833815626292"/>
  </r>
  <r>
    <s v="P0494"/>
    <s v="Model_328"/>
    <x v="0"/>
    <x v="3"/>
    <n v="2023"/>
    <s v="Q2"/>
    <n v="4541"/>
    <n v="15951"/>
    <n v="1471"/>
    <n v="237450"/>
    <n v="3.89"/>
    <n v="10"/>
    <n v="9.24"/>
    <n v="25"/>
    <n v="70.599999999999994"/>
    <n v="1.5"/>
    <n v="13686"/>
    <n v="7827"/>
    <n v="5"/>
    <n v="65516205"/>
    <n v="90.450155163721163"/>
    <n v="72433491"/>
    <n v="0.90911857340656999"/>
    <n v="275.91589808380712"/>
  </r>
  <r>
    <s v="P0495"/>
    <s v="Model_962"/>
    <x v="2"/>
    <x v="0"/>
    <n v="2024"/>
    <s v="Q1"/>
    <n v="2988"/>
    <n v="18801"/>
    <n v="8727"/>
    <n v="383270"/>
    <n v="0.51"/>
    <n v="3"/>
    <n v="9.98"/>
    <n v="0.05"/>
    <n v="74.78"/>
    <n v="1.9"/>
    <n v="3339"/>
    <n v="5380"/>
    <n v="13"/>
    <n v="29717841.949999999"/>
    <n v="52.900006582719726"/>
    <n v="56177388"/>
    <n v="0.59820442575177957"/>
    <n v="77.537615779998433"/>
  </r>
  <r>
    <s v="P0496"/>
    <s v="Model_209"/>
    <x v="1"/>
    <x v="1"/>
    <n v="2024"/>
    <s v="Q1"/>
    <n v="3686"/>
    <n v="11933"/>
    <n v="1971"/>
    <n v="368215"/>
    <n v="13.19"/>
    <n v="0"/>
    <n v="0.32"/>
    <n v="15.97"/>
    <n v="80.930000000000007"/>
    <n v="2.4"/>
    <n v="20787"/>
    <n v="970"/>
    <n v="5"/>
    <n v="36351701.030000001"/>
    <n v="82.645605603432699"/>
    <n v="43985038"/>
    <n v="0.73794562025470534"/>
    <n v="98.724161155846446"/>
  </r>
  <r>
    <s v="P0497"/>
    <s v="Model_728"/>
    <x v="1"/>
    <x v="2"/>
    <n v="2023"/>
    <s v="Q4"/>
    <n v="3272"/>
    <n v="17025"/>
    <n v="6391"/>
    <n v="252193"/>
    <n v="3.65"/>
    <n v="6"/>
    <n v="2.36"/>
    <n v="3.53"/>
    <n v="31.04"/>
    <n v="4"/>
    <n v="7705"/>
    <n v="3299"/>
    <n v="11"/>
    <n v="34542251.469999999"/>
    <n v="62.008357244667522"/>
    <n v="55705800"/>
    <n v="0.65506187451801301"/>
    <n v="136.96754073269281"/>
  </r>
  <r>
    <s v="P0498"/>
    <s v="Model_193"/>
    <x v="1"/>
    <x v="0"/>
    <n v="2023"/>
    <s v="Q4"/>
    <n v="1217"/>
    <n v="1589"/>
    <n v="12718"/>
    <n v="386907"/>
    <n v="8.36"/>
    <n v="17"/>
    <n v="3.1"/>
    <n v="23.02"/>
    <n v="27.96"/>
    <n v="3.3"/>
    <n v="5895"/>
    <n v="1845"/>
    <n v="9"/>
    <n v="-13930923.02"/>
    <n v="-720.38625347952461"/>
    <n v="1933813"/>
    <n v="0.24364618010037339"/>
    <n v="-36.005810181774947"/>
  </r>
  <r>
    <s v="P0499"/>
    <s v="Model_139"/>
    <x v="1"/>
    <x v="0"/>
    <n v="2023"/>
    <s v="Q3"/>
    <n v="2666"/>
    <n v="19593"/>
    <n v="9935"/>
    <n v="285422"/>
    <n v="0.57999999999999996"/>
    <n v="8"/>
    <n v="3.99"/>
    <n v="2.34"/>
    <n v="47.24"/>
    <n v="3.8"/>
    <n v="16790"/>
    <n v="5370"/>
    <n v="11"/>
    <n v="25462803.66"/>
    <n v="48.746690691965597"/>
    <n v="52234938"/>
    <n v="0.53373929017879662"/>
    <n v="89.211083938869464"/>
  </r>
  <r>
    <s v="P0500"/>
    <s v="Model_586"/>
    <x v="1"/>
    <x v="1"/>
    <n v="2024"/>
    <s v="Q2"/>
    <n v="1112"/>
    <n v="11861"/>
    <n v="7142"/>
    <n v="455453"/>
    <n v="10"/>
    <n v="2"/>
    <n v="2.42"/>
    <n v="23.88"/>
    <n v="31.21"/>
    <n v="3.3"/>
    <n v="5191"/>
    <n v="8735"/>
    <n v="14"/>
    <n v="4792051.12"/>
    <n v="36.332505599937889"/>
    <n v="13189432"/>
    <n v="0.2226249402396181"/>
    <n v="10.521557657980077"/>
  </r>
  <r>
    <s v="P0501"/>
    <s v="Model_596"/>
    <x v="2"/>
    <x v="3"/>
    <n v="2023"/>
    <s v="Q3"/>
    <n v="2206"/>
    <n v="17869"/>
    <n v="2249"/>
    <n v="196721"/>
    <n v="4.8499999999999996"/>
    <n v="7"/>
    <n v="2.0299999999999998"/>
    <n v="15.27"/>
    <n v="68.739999999999995"/>
    <n v="3.7"/>
    <n v="8970"/>
    <n v="5986"/>
    <n v="11"/>
    <n v="34260983.729999997"/>
    <n v="86.914867353100206"/>
    <n v="39419014"/>
    <n v="0.44164623936024955"/>
    <n v="174.16035400389384"/>
  </r>
  <r>
    <s v="P0502"/>
    <s v="Model_373"/>
    <x v="2"/>
    <x v="0"/>
    <n v="2024"/>
    <s v="Q4"/>
    <n v="3032"/>
    <n v="4541"/>
    <n v="12729"/>
    <n v="218785"/>
    <n v="13.47"/>
    <n v="18"/>
    <n v="9.5500000000000007"/>
    <n v="0.03"/>
    <n v="60.88"/>
    <n v="1"/>
    <n v="5341"/>
    <n v="5690"/>
    <n v="11"/>
    <n v="-25044801.030000001"/>
    <n v="-181.90175404218033"/>
    <n v="13768312"/>
    <n v="0.60701332626485793"/>
    <n v="-114.47220330461411"/>
  </r>
  <r>
    <s v="P0503"/>
    <s v="Model_909"/>
    <x v="1"/>
    <x v="0"/>
    <n v="2024"/>
    <s v="Q4"/>
    <n v="3344"/>
    <n v="1605"/>
    <n v="3339"/>
    <n v="254535"/>
    <n v="13.32"/>
    <n v="3"/>
    <n v="9.19"/>
    <n v="22.35"/>
    <n v="80"/>
    <n v="4.7"/>
    <n v="5848"/>
    <n v="7997"/>
    <n v="11"/>
    <n v="-6053053.3499999996"/>
    <n v="-112.78028719313151"/>
    <n v="5367120"/>
    <n v="0.66947643899395948"/>
    <n v="-23.780741351876951"/>
  </r>
  <r>
    <s v="P0504"/>
    <s v="Model_527"/>
    <x v="0"/>
    <x v="0"/>
    <n v="2024"/>
    <s v="Q3"/>
    <n v="4779"/>
    <n v="10578"/>
    <n v="4759"/>
    <n v="226481"/>
    <n v="4.88"/>
    <n v="17"/>
    <n v="0.47"/>
    <n v="13.04"/>
    <n v="16.62"/>
    <n v="1.4"/>
    <n v="19276"/>
    <n v="8764"/>
    <n v="11"/>
    <n v="27582506.960000001"/>
    <n v="54.56235956365316"/>
    <n v="50552262"/>
    <n v="0.95676671709094863"/>
    <n v="121.78734639991876"/>
  </r>
  <r>
    <s v="P0505"/>
    <s v="Model_232"/>
    <x v="1"/>
    <x v="3"/>
    <n v="2024"/>
    <s v="Q2"/>
    <n v="1206"/>
    <n v="19779"/>
    <n v="13983"/>
    <n v="229838"/>
    <n v="13.51"/>
    <n v="19"/>
    <n v="3.39"/>
    <n v="6.57"/>
    <n v="83.21"/>
    <n v="2.6"/>
    <n v="7560"/>
    <n v="8371"/>
    <n v="2"/>
    <n v="6760131.4299999997"/>
    <n v="28.34023853297008"/>
    <n v="23853474"/>
    <n v="0.2414439549721038"/>
    <n v="29.412621063531706"/>
  </r>
  <r>
    <s v="P0506"/>
    <s v="Model_508"/>
    <x v="2"/>
    <x v="2"/>
    <n v="2024"/>
    <s v="Q4"/>
    <n v="782"/>
    <n v="7590"/>
    <n v="7085"/>
    <n v="96154"/>
    <n v="14.94"/>
    <n v="10"/>
    <n v="4.05"/>
    <n v="19.18"/>
    <n v="33.47"/>
    <n v="4.0999999999999996"/>
    <n v="17025"/>
    <n v="5258"/>
    <n v="6"/>
    <n v="298736.82"/>
    <n v="5.0331540693266481"/>
    <n v="5935380"/>
    <n v="0.15655818639152999"/>
    <n v="3.1070574287081141"/>
  </r>
  <r>
    <s v="P0507"/>
    <s v="Model_134"/>
    <x v="2"/>
    <x v="0"/>
    <n v="2024"/>
    <s v="Q1"/>
    <n v="4380"/>
    <n v="7582"/>
    <n v="6232"/>
    <n v="319160"/>
    <n v="12.38"/>
    <n v="13"/>
    <n v="2.39"/>
    <n v="23.17"/>
    <n v="49.26"/>
    <n v="2.7"/>
    <n v="5800"/>
    <n v="8531"/>
    <n v="3"/>
    <n v="5593816.8300000001"/>
    <n v="16.844198498245667"/>
    <n v="33209160"/>
    <n v="0.87688600562007846"/>
    <n v="17.526757739065047"/>
  </r>
  <r>
    <s v="P0508"/>
    <s v="Model_729"/>
    <x v="2"/>
    <x v="3"/>
    <n v="2023"/>
    <s v="Q1"/>
    <n v="4896"/>
    <n v="18518"/>
    <n v="5060"/>
    <n v="491904"/>
    <n v="12.67"/>
    <n v="17"/>
    <n v="6.29"/>
    <n v="12.09"/>
    <n v="45.09"/>
    <n v="4.8"/>
    <n v="4838"/>
    <n v="689"/>
    <n v="14"/>
    <n v="65398451.909999996"/>
    <n v="72.132665203596275"/>
    <n v="90664128"/>
    <n v="0.98019038436436168"/>
    <n v="132.94964871194378"/>
  </r>
  <r>
    <s v="P0509"/>
    <s v="Model_186"/>
    <x v="0"/>
    <x v="1"/>
    <n v="2023"/>
    <s v="Q2"/>
    <n v="1003"/>
    <n v="3425"/>
    <n v="3161"/>
    <n v="401822"/>
    <n v="3.74"/>
    <n v="15"/>
    <n v="6.4"/>
    <n v="7.89"/>
    <n v="70.819999999999993"/>
    <n v="2.9"/>
    <n v="6987"/>
    <n v="9652"/>
    <n v="12"/>
    <n v="-137037.89000000001"/>
    <n v="-3.9891388607898932"/>
    <n v="3435275"/>
    <n v="0.20080289124131021"/>
    <n v="-0.34102164640064508"/>
  </r>
  <r>
    <s v="P0510"/>
    <s v="Model_563"/>
    <x v="2"/>
    <x v="2"/>
    <n v="2024"/>
    <s v="Q4"/>
    <n v="2589"/>
    <n v="19940"/>
    <n v="6964"/>
    <n v="424200"/>
    <n v="8.65"/>
    <n v="2"/>
    <n v="8.51"/>
    <n v="19.72"/>
    <n v="43.63"/>
    <n v="4.5"/>
    <n v="5014"/>
    <n v="1984"/>
    <n v="10"/>
    <n v="33170644.280000001"/>
    <n v="64.253487151295531"/>
    <n v="51624660"/>
    <n v="0.5183237142809094"/>
    <n v="78.195813295615281"/>
  </r>
  <r>
    <s v="P0511"/>
    <s v="Model_390"/>
    <x v="0"/>
    <x v="2"/>
    <n v="2023"/>
    <s v="Q4"/>
    <n v="3374"/>
    <n v="8417"/>
    <n v="14193"/>
    <n v="104238"/>
    <n v="1.01"/>
    <n v="14"/>
    <n v="7.41"/>
    <n v="17.04"/>
    <n v="85.48"/>
    <n v="4.2"/>
    <n v="18643"/>
    <n v="5499"/>
    <n v="8"/>
    <n v="-19592479.039999999"/>
    <n v="-68.990133511236579"/>
    <n v="28398958"/>
    <n v="0.67548250752560379"/>
    <n v="-187.95892093094648"/>
  </r>
  <r>
    <s v="P0512"/>
    <s v="Model_357"/>
    <x v="1"/>
    <x v="0"/>
    <n v="2023"/>
    <s v="Q2"/>
    <n v="3351"/>
    <n v="2052"/>
    <n v="12644"/>
    <n v="370752"/>
    <n v="1.42"/>
    <n v="3"/>
    <n v="5.43"/>
    <n v="22.22"/>
    <n v="82.2"/>
    <n v="4.9000000000000004"/>
    <n v="12780"/>
    <n v="8603"/>
    <n v="11"/>
    <n v="-35864566.219999999"/>
    <n v="-521.57143484561072"/>
    <n v="6876252"/>
    <n v="0.67087785498467645"/>
    <n v="-96.734593474883482"/>
  </r>
  <r>
    <s v="P0513"/>
    <s v="Model_363"/>
    <x v="2"/>
    <x v="3"/>
    <n v="2024"/>
    <s v="Q3"/>
    <n v="1592"/>
    <n v="5411"/>
    <n v="4470"/>
    <n v="139081"/>
    <n v="14.98"/>
    <n v="4"/>
    <n v="6.54"/>
    <n v="17.309999999999999"/>
    <n v="79.77"/>
    <n v="4.7"/>
    <n v="11807"/>
    <n v="1176"/>
    <n v="9"/>
    <n v="1358973.69"/>
    <n v="15.775765841775872"/>
    <n v="8614312"/>
    <n v="0.31872203674592808"/>
    <n v="9.7712196489815284"/>
  </r>
  <r>
    <s v="P0514"/>
    <s v="Model_127"/>
    <x v="2"/>
    <x v="2"/>
    <n v="2024"/>
    <s v="Q3"/>
    <n v="1241"/>
    <n v="4889"/>
    <n v="2553"/>
    <n v="297644"/>
    <n v="4.9000000000000004"/>
    <n v="16"/>
    <n v="2.74"/>
    <n v="6.09"/>
    <n v="15.7"/>
    <n v="4.5999999999999996"/>
    <n v="11415"/>
    <n v="7335"/>
    <n v="7"/>
    <n v="2601325.91"/>
    <n v="42.874882998868188"/>
    <n v="6067249"/>
    <n v="0.2484510349256889"/>
    <n v="8.7397427799653276"/>
  </r>
  <r>
    <s v="P0515"/>
    <s v="Model_822"/>
    <x v="2"/>
    <x v="2"/>
    <n v="2023"/>
    <s v="Q3"/>
    <n v="3043"/>
    <n v="15129"/>
    <n v="8900"/>
    <n v="475113"/>
    <n v="11.22"/>
    <n v="6"/>
    <n v="5.93"/>
    <n v="23.29"/>
    <n v="78.34"/>
    <n v="3.9"/>
    <n v="12658"/>
    <n v="6937"/>
    <n v="10"/>
    <n v="18479710.710000001"/>
    <n v="40.140519889124413"/>
    <n v="46037547"/>
    <n v="0.60921555139312755"/>
    <n v="38.895450135020511"/>
  </r>
  <r>
    <s v="P0516"/>
    <s v="Model_647"/>
    <x v="0"/>
    <x v="3"/>
    <n v="2024"/>
    <s v="Q2"/>
    <n v="2731"/>
    <n v="3930"/>
    <n v="11344"/>
    <n v="363105"/>
    <n v="12.1"/>
    <n v="15"/>
    <n v="4.8899999999999997"/>
    <n v="2.62"/>
    <n v="72.53"/>
    <n v="2.5"/>
    <n v="10121"/>
    <n v="133"/>
    <n v="7"/>
    <n v="-20610741.620000001"/>
    <n v="-192.03454839031272"/>
    <n v="10732830"/>
    <n v="0.54675243866402612"/>
    <n v="-56.762476418666779"/>
  </r>
  <r>
    <s v="P0517"/>
    <s v="Model_655"/>
    <x v="1"/>
    <x v="0"/>
    <n v="2024"/>
    <s v="Q4"/>
    <n v="1267"/>
    <n v="1958"/>
    <n v="2738"/>
    <n v="249775"/>
    <n v="12.87"/>
    <n v="13"/>
    <n v="1.33"/>
    <n v="6.7"/>
    <n v="18.28"/>
    <n v="1.4"/>
    <n v="12047"/>
    <n v="1941"/>
    <n v="8"/>
    <n v="-1238041.7"/>
    <n v="-49.905219555415101"/>
    <n v="2480786"/>
    <n v="0.25365629431978071"/>
    <n v="-4.9566009408467622"/>
  </r>
  <r>
    <s v="P0518"/>
    <s v="Model_437"/>
    <x v="1"/>
    <x v="0"/>
    <n v="2024"/>
    <s v="Q2"/>
    <n v="1590"/>
    <n v="14895"/>
    <n v="9362"/>
    <n v="487973"/>
    <n v="14.96"/>
    <n v="15"/>
    <n v="2.4300000000000002"/>
    <n v="13"/>
    <n v="18.59"/>
    <n v="3.8"/>
    <n v="14985"/>
    <n v="4581"/>
    <n v="8"/>
    <n v="8309484"/>
    <n v="35.086207224153981"/>
    <n v="23683050"/>
    <n v="0.31832163217715176"/>
    <n v="17.028599943029636"/>
  </r>
  <r>
    <s v="P0519"/>
    <s v="Model_595"/>
    <x v="0"/>
    <x v="0"/>
    <n v="2024"/>
    <s v="Q4"/>
    <n v="3286"/>
    <n v="1707"/>
    <n v="6776"/>
    <n v="339061"/>
    <n v="3.62"/>
    <n v="6"/>
    <n v="2.92"/>
    <n v="14.14"/>
    <n v="18.09"/>
    <n v="4.9000000000000004"/>
    <n v="3959"/>
    <n v="8540"/>
    <n v="10"/>
    <n v="-16995809.140000001"/>
    <n v="-302.99869999333237"/>
    <n v="5609202"/>
    <n v="0.65786470649944695"/>
    <n v="-50.126068760488529"/>
  </r>
  <r>
    <s v="P0520"/>
    <s v="Model_748"/>
    <x v="0"/>
    <x v="2"/>
    <n v="2024"/>
    <s v="Q4"/>
    <n v="2436"/>
    <n v="2399"/>
    <n v="13940"/>
    <n v="465952"/>
    <n v="0.61"/>
    <n v="8"/>
    <n v="9.24"/>
    <n v="0.38"/>
    <n v="10.91"/>
    <n v="3.9"/>
    <n v="6773"/>
    <n v="1234"/>
    <n v="12"/>
    <n v="-28579828.379999999"/>
    <n v="-489.04867278443191"/>
    <n v="5843964"/>
    <n v="0.48769276476952311"/>
    <n v="-61.336420918892934"/>
  </r>
  <r>
    <s v="P0521"/>
    <s v="Model_224"/>
    <x v="2"/>
    <x v="3"/>
    <n v="2024"/>
    <s v="Q4"/>
    <n v="3769"/>
    <n v="13153"/>
    <n v="13471"/>
    <n v="340134"/>
    <n v="6.17"/>
    <n v="3"/>
    <n v="2.2999999999999998"/>
    <n v="19.510000000000002"/>
    <n v="53.89"/>
    <n v="4.7"/>
    <n v="19602"/>
    <n v="7361"/>
    <n v="9"/>
    <n v="-1538695.51"/>
    <n v="-3.1038571755963051"/>
    <n v="49573657"/>
    <n v="0.75456240985892142"/>
    <n v="-4.5237347633579708"/>
  </r>
  <r>
    <s v="P0522"/>
    <s v="Model_287"/>
    <x v="1"/>
    <x v="2"/>
    <n v="2024"/>
    <s v="Q2"/>
    <n v="1438"/>
    <n v="17905"/>
    <n v="10923"/>
    <n v="112551"/>
    <n v="1.95"/>
    <n v="10"/>
    <n v="2.89"/>
    <n v="9.0399999999999991"/>
    <n v="87.87"/>
    <n v="4.2"/>
    <n v="10957"/>
    <n v="5398"/>
    <n v="14"/>
    <n v="9927555.9600000009"/>
    <n v="38.557523539279131"/>
    <n v="25747390"/>
    <n v="0.28789088495015364"/>
    <n v="88.205035939263084"/>
  </r>
  <r>
    <s v="P0523"/>
    <s v="Model_278"/>
    <x v="1"/>
    <x v="1"/>
    <n v="2024"/>
    <s v="Q4"/>
    <n v="1906"/>
    <n v="10101"/>
    <n v="7388"/>
    <n v="260695"/>
    <n v="0.34"/>
    <n v="1"/>
    <n v="3.69"/>
    <n v="10.16"/>
    <n v="45.09"/>
    <n v="1.7"/>
    <n v="6923"/>
    <n v="7117"/>
    <n v="2"/>
    <n v="4910272.84"/>
    <n v="25.504590623163548"/>
    <n v="19252506"/>
    <n v="0.38158555404380584"/>
    <n v="18.835355492050098"/>
  </r>
  <r>
    <s v="P0524"/>
    <s v="Model_748"/>
    <x v="1"/>
    <x v="1"/>
    <n v="2024"/>
    <s v="Q4"/>
    <n v="1415"/>
    <n v="2394"/>
    <n v="9416"/>
    <n v="203512"/>
    <n v="5.41"/>
    <n v="11"/>
    <n v="6.64"/>
    <n v="20.23"/>
    <n v="53.26"/>
    <n v="2"/>
    <n v="19192"/>
    <n v="7871"/>
    <n v="5"/>
    <n v="-10139662.23"/>
    <n v="-299.32493867176777"/>
    <n v="3387510"/>
    <n v="0.28328623240922629"/>
    <n v="-49.823312630213451"/>
  </r>
  <r>
    <s v="P0525"/>
    <s v="Model_652"/>
    <x v="2"/>
    <x v="2"/>
    <n v="2024"/>
    <s v="Q4"/>
    <n v="549"/>
    <n v="2014"/>
    <n v="7104"/>
    <n v="216277"/>
    <n v="11.76"/>
    <n v="11"/>
    <n v="1.18"/>
    <n v="9.48"/>
    <n v="87.44"/>
    <n v="2.4"/>
    <n v="18934"/>
    <n v="8667"/>
    <n v="8"/>
    <n v="-3010696.48"/>
    <n v="-272.29217698333883"/>
    <n v="1105686"/>
    <n v="0.10991105412909202"/>
    <n v="-13.92051397051004"/>
  </r>
  <r>
    <s v="P0526"/>
    <s v="Model_291"/>
    <x v="1"/>
    <x v="2"/>
    <n v="2024"/>
    <s v="Q2"/>
    <n v="1730"/>
    <n v="5609"/>
    <n v="8145"/>
    <n v="130811"/>
    <n v="8.49"/>
    <n v="3"/>
    <n v="9.5399999999999991"/>
    <n v="1.18"/>
    <n v="30.41"/>
    <n v="1.7"/>
    <n v="6979"/>
    <n v="9015"/>
    <n v="12"/>
    <n v="-4518092.18"/>
    <n v="-46.561133479739929"/>
    <n v="9703570"/>
    <n v="0.34634995199149216"/>
    <n v="-34.539075460014828"/>
  </r>
  <r>
    <s v="P0527"/>
    <s v="Model_390"/>
    <x v="1"/>
    <x v="2"/>
    <n v="2024"/>
    <s v="Q4"/>
    <n v="560"/>
    <n v="14758"/>
    <n v="13716"/>
    <n v="304840"/>
    <n v="4.6900000000000004"/>
    <n v="17"/>
    <n v="8.66"/>
    <n v="4.41"/>
    <n v="78.680000000000007"/>
    <n v="3.3"/>
    <n v="16919"/>
    <n v="2013"/>
    <n v="9"/>
    <n v="278675.59000000003"/>
    <n v="3.3719676253073398"/>
    <n v="8264480"/>
    <n v="0.11211327925736163"/>
    <n v="0.91418449022437998"/>
  </r>
  <r>
    <s v="P0528"/>
    <s v="Model_534"/>
    <x v="0"/>
    <x v="0"/>
    <n v="2023"/>
    <s v="Q2"/>
    <n v="4362"/>
    <n v="16813"/>
    <n v="8675"/>
    <n v="367247"/>
    <n v="9.82"/>
    <n v="6"/>
    <n v="5.77"/>
    <n v="23.9"/>
    <n v="53.71"/>
    <n v="4.9000000000000004"/>
    <n v="3749"/>
    <n v="4397"/>
    <n v="8"/>
    <n v="35130685.100000001"/>
    <n v="47.902231475049348"/>
    <n v="73338306"/>
    <n v="0.87328236450109187"/>
    <n v="95.659621453681041"/>
  </r>
  <r>
    <s v="P0529"/>
    <s v="Model_680"/>
    <x v="0"/>
    <x v="3"/>
    <n v="2023"/>
    <s v="Q4"/>
    <n v="1374"/>
    <n v="16849"/>
    <n v="9886"/>
    <n v="484843"/>
    <n v="3.48"/>
    <n v="0"/>
    <n v="6.74"/>
    <n v="1.76"/>
    <n v="55.56"/>
    <n v="4"/>
    <n v="4309"/>
    <n v="2042"/>
    <n v="13"/>
    <n v="9082317.2400000002"/>
    <n v="39.231580483311696"/>
    <n v="23150526"/>
    <n v="0.2750779387493123"/>
    <n v="18.732494848847978"/>
  </r>
  <r>
    <s v="P0530"/>
    <s v="Model_889"/>
    <x v="2"/>
    <x v="2"/>
    <n v="2024"/>
    <s v="Q1"/>
    <n v="1205"/>
    <n v="8679"/>
    <n v="7433"/>
    <n v="418266"/>
    <n v="0.22"/>
    <n v="12"/>
    <n v="0.17"/>
    <n v="8.8699999999999992"/>
    <n v="37.450000000000003"/>
    <n v="2.7"/>
    <n v="4421"/>
    <n v="4104"/>
    <n v="4"/>
    <n v="1083155.1299999999"/>
    <n v="10.356998793768904"/>
    <n v="10458195"/>
    <n v="0.24124375268771564"/>
    <n v="2.5896534741049955"/>
  </r>
  <r>
    <s v="P0531"/>
    <s v="Model_884"/>
    <x v="0"/>
    <x v="3"/>
    <n v="2023"/>
    <s v="Q1"/>
    <n v="1877"/>
    <n v="11826"/>
    <n v="1397"/>
    <n v="284104"/>
    <n v="11.47"/>
    <n v="5"/>
    <n v="3.39"/>
    <n v="12.58"/>
    <n v="54.93"/>
    <n v="1"/>
    <n v="6176"/>
    <n v="1431"/>
    <n v="5"/>
    <n v="19291116.420000002"/>
    <n v="86.907091289331973"/>
    <n v="22197402"/>
    <n v="0.37577968779654963"/>
    <n v="67.90164517219047"/>
  </r>
  <r>
    <s v="P0532"/>
    <s v="Model_655"/>
    <x v="0"/>
    <x v="2"/>
    <n v="2023"/>
    <s v="Q2"/>
    <n v="3191"/>
    <n v="13287"/>
    <n v="3862"/>
    <n v="69008"/>
    <n v="9.36"/>
    <n v="5"/>
    <n v="7.96"/>
    <n v="12.33"/>
    <n v="15.85"/>
    <n v="2.2999999999999998"/>
    <n v="3917"/>
    <n v="7990"/>
    <n v="13"/>
    <n v="30006154.670000002"/>
    <n v="70.771207295712983"/>
    <n v="42398817"/>
    <n v="0.63884548948257314"/>
    <n v="434.8215714120102"/>
  </r>
  <r>
    <s v="P0533"/>
    <s v="Model_892"/>
    <x v="0"/>
    <x v="3"/>
    <n v="2024"/>
    <s v="Q4"/>
    <n v="3536"/>
    <n v="3060"/>
    <n v="3136"/>
    <n v="252346"/>
    <n v="11.43"/>
    <n v="11"/>
    <n v="0.77"/>
    <n v="0.1"/>
    <n v="71.17"/>
    <n v="3.1"/>
    <n v="18416"/>
    <n v="4688"/>
    <n v="8"/>
    <n v="-521082.1"/>
    <n v="-4.8158446825185584"/>
    <n v="10820160"/>
    <n v="0.70791527759648343"/>
    <n v="-2.0649505044660903"/>
  </r>
  <r>
    <s v="P0534"/>
    <s v="Model_695"/>
    <x v="1"/>
    <x v="0"/>
    <n v="2023"/>
    <s v="Q4"/>
    <n v="1860"/>
    <n v="15112"/>
    <n v="13680"/>
    <n v="82402"/>
    <n v="0.57999999999999996"/>
    <n v="7"/>
    <n v="2.82"/>
    <n v="12.53"/>
    <n v="32.78"/>
    <n v="2.2999999999999998"/>
    <n v="14963"/>
    <n v="437"/>
    <n v="9"/>
    <n v="2581105.4700000002"/>
    <n v="9.1827098524564974"/>
    <n v="28108320"/>
    <n v="0.37237624896195115"/>
    <n v="31.323487293997719"/>
  </r>
  <r>
    <s v="P0535"/>
    <s v="Model_136"/>
    <x v="0"/>
    <x v="3"/>
    <n v="2024"/>
    <s v="Q4"/>
    <n v="2973"/>
    <n v="19150"/>
    <n v="10679"/>
    <n v="234456"/>
    <n v="12.56"/>
    <n v="18"/>
    <n v="5.85"/>
    <n v="9.59"/>
    <n v="81.010000000000005"/>
    <n v="1.4"/>
    <n v="9667"/>
    <n v="7166"/>
    <n v="8"/>
    <n v="24949817.41"/>
    <n v="43.823159365534373"/>
    <n v="56932950"/>
    <n v="0.59520139148595741"/>
    <n v="106.41581789333607"/>
  </r>
  <r>
    <s v="P0536"/>
    <s v="Model_714"/>
    <x v="0"/>
    <x v="0"/>
    <n v="2023"/>
    <s v="Q4"/>
    <n v="2264"/>
    <n v="6280"/>
    <n v="1372"/>
    <n v="309994"/>
    <n v="9.2899999999999991"/>
    <n v="4"/>
    <n v="2.56"/>
    <n v="24.3"/>
    <n v="39.43"/>
    <n v="2.8"/>
    <n v="2969"/>
    <n v="7913"/>
    <n v="7"/>
    <n v="10801693.699999999"/>
    <n v="75.972390476244058"/>
    <n v="14217920"/>
    <n v="0.45325797185476202"/>
    <n v="34.8449260308264"/>
  </r>
  <r>
    <s v="P0537"/>
    <s v="Model_761"/>
    <x v="0"/>
    <x v="2"/>
    <n v="2023"/>
    <s v="Q3"/>
    <n v="4236"/>
    <n v="19811"/>
    <n v="8321"/>
    <n v="449009"/>
    <n v="8.4499999999999993"/>
    <n v="17"/>
    <n v="9.34"/>
    <n v="3.98"/>
    <n v="21.43"/>
    <n v="2"/>
    <n v="8792"/>
    <n v="9083"/>
    <n v="10"/>
    <n v="48222627.020000003"/>
    <n v="57.463029190534222"/>
    <n v="83919396"/>
    <n v="0.84805687666818552"/>
    <n v="107.39791630011871"/>
  </r>
  <r>
    <s v="P0538"/>
    <s v="Model_667"/>
    <x v="2"/>
    <x v="3"/>
    <n v="2023"/>
    <s v="Q2"/>
    <n v="763"/>
    <n v="13394"/>
    <n v="6971"/>
    <n v="186643"/>
    <n v="9.3699999999999992"/>
    <n v="4"/>
    <n v="1.31"/>
    <n v="8.85"/>
    <n v="65.67"/>
    <n v="4.5999999999999996"/>
    <n v="8431"/>
    <n v="3711"/>
    <n v="10"/>
    <n v="4714097.1500000004"/>
    <n v="46.127901305938721"/>
    <n v="10219622"/>
    <n v="0.15275434298815521"/>
    <n v="25.257341555804398"/>
  </r>
  <r>
    <s v="P0539"/>
    <s v="Model_326"/>
    <x v="1"/>
    <x v="0"/>
    <n v="2024"/>
    <s v="Q2"/>
    <n v="3652"/>
    <n v="3856"/>
    <n v="7897"/>
    <n v="459425"/>
    <n v="12.97"/>
    <n v="9"/>
    <n v="7.97"/>
    <n v="10.49"/>
    <n v="23.17"/>
    <n v="1.4"/>
    <n v="2591"/>
    <n v="3800"/>
    <n v="12"/>
    <n v="-15217167.49"/>
    <n v="-108.06026461087654"/>
    <n v="14082112"/>
    <n v="0.73113874258550837"/>
    <n v="-33.122178810469606"/>
  </r>
  <r>
    <s v="P0540"/>
    <s v="Model_739"/>
    <x v="2"/>
    <x v="2"/>
    <n v="2023"/>
    <s v="Q3"/>
    <n v="4184"/>
    <n v="6290"/>
    <n v="2890"/>
    <n v="163550"/>
    <n v="8.8000000000000007"/>
    <n v="0"/>
    <n v="5.08"/>
    <n v="9.77"/>
    <n v="70.290000000000006"/>
    <n v="1.2"/>
    <n v="17863"/>
    <n v="9808"/>
    <n v="14"/>
    <n v="14062040.23"/>
    <n v="53.432564018579377"/>
    <n v="26317360"/>
    <n v="0.83764635788000186"/>
    <n v="85.980128401100586"/>
  </r>
  <r>
    <s v="P0541"/>
    <s v="Model_948"/>
    <x v="2"/>
    <x v="2"/>
    <n v="2023"/>
    <s v="Q1"/>
    <n v="3572"/>
    <n v="18190"/>
    <n v="14792"/>
    <n v="486364"/>
    <n v="8.7100000000000009"/>
    <n v="9"/>
    <n v="7.5"/>
    <n v="16.649999999999999"/>
    <n v="87.45"/>
    <n v="1"/>
    <n v="1760"/>
    <n v="6218"/>
    <n v="8"/>
    <n v="11651275.35"/>
    <n v="17.932024213124251"/>
    <n v="64974680"/>
    <n v="0.71512255983445672"/>
    <n v="23.955909565675093"/>
  </r>
  <r>
    <s v="P0542"/>
    <s v="Model_773"/>
    <x v="2"/>
    <x v="3"/>
    <n v="2023"/>
    <s v="Q1"/>
    <n v="4318"/>
    <n v="11681"/>
    <n v="7366"/>
    <n v="141218"/>
    <n v="14.86"/>
    <n v="4"/>
    <n v="3.11"/>
    <n v="5.39"/>
    <n v="72.36"/>
    <n v="2.2999999999999998"/>
    <n v="11956"/>
    <n v="7205"/>
    <n v="9"/>
    <n v="18490946.609999999"/>
    <n v="36.660339516446925"/>
    <n v="50438558"/>
    <n v="0.86447346398801339"/>
    <n v="130.93905876021469"/>
  </r>
  <r>
    <s v="P0543"/>
    <s v="Model_171"/>
    <x v="2"/>
    <x v="0"/>
    <n v="2024"/>
    <s v="Q4"/>
    <n v="4798"/>
    <n v="8557"/>
    <n v="12661"/>
    <n v="183296"/>
    <n v="11.35"/>
    <n v="11"/>
    <n v="5.14"/>
    <n v="5.53"/>
    <n v="11.8"/>
    <n v="3.6"/>
    <n v="14935"/>
    <n v="2773"/>
    <n v="7"/>
    <n v="-19874293.530000001"/>
    <n v="-48.407195710806818"/>
    <n v="41056486"/>
    <n v="0.96057056049432343"/>
    <n v="-108.42728701117318"/>
  </r>
  <r>
    <s v="P0544"/>
    <s v="Model_295"/>
    <x v="0"/>
    <x v="0"/>
    <n v="2023"/>
    <s v="Q1"/>
    <n v="4899"/>
    <n v="17582"/>
    <n v="13264"/>
    <n v="229767"/>
    <n v="6.63"/>
    <n v="6"/>
    <n v="8.57"/>
    <n v="18.23"/>
    <n v="57.99"/>
    <n v="3.9"/>
    <n v="10877"/>
    <n v="2222"/>
    <n v="2"/>
    <n v="20924096.77"/>
    <n v="24.29243250342158"/>
    <n v="86134218"/>
    <n v="0.98079099121752611"/>
    <n v="91.066667537113688"/>
  </r>
  <r>
    <s v="P0545"/>
    <s v="Model_508"/>
    <x v="2"/>
    <x v="3"/>
    <n v="2023"/>
    <s v="Q2"/>
    <n v="1293"/>
    <n v="2161"/>
    <n v="5424"/>
    <n v="432923"/>
    <n v="10.61"/>
    <n v="8"/>
    <n v="4.67"/>
    <n v="12.51"/>
    <n v="65.63"/>
    <n v="2.8"/>
    <n v="17313"/>
    <n v="7182"/>
    <n v="2"/>
    <n v="-4651994.51"/>
    <n v="-166.48913685730983"/>
    <n v="2794173"/>
    <n v="0.25886155371387248"/>
    <n v="-10.745518256133307"/>
  </r>
  <r>
    <s v="P0546"/>
    <s v="Model_743"/>
    <x v="0"/>
    <x v="2"/>
    <n v="2023"/>
    <s v="Q4"/>
    <n v="3759"/>
    <n v="6144"/>
    <n v="2433"/>
    <n v="441858"/>
    <n v="5.84"/>
    <n v="11"/>
    <n v="3.6"/>
    <n v="10.38"/>
    <n v="76.040000000000006"/>
    <n v="3.7"/>
    <n v="5801"/>
    <n v="8350"/>
    <n v="7"/>
    <n v="13507780.619999999"/>
    <n v="58.487150889947458"/>
    <n v="23095296"/>
    <n v="0.75256038701503991"/>
    <n v="30.570434392949771"/>
  </r>
  <r>
    <s v="P0547"/>
    <s v="Model_414"/>
    <x v="1"/>
    <x v="0"/>
    <n v="2023"/>
    <s v="Q1"/>
    <n v="1131"/>
    <n v="17211"/>
    <n v="14053"/>
    <n v="291060"/>
    <n v="3.43"/>
    <n v="0"/>
    <n v="5.36"/>
    <n v="4.2300000000000004"/>
    <n v="14.48"/>
    <n v="2.4"/>
    <n v="8707"/>
    <n v="2162"/>
    <n v="3"/>
    <n v="3280633.77"/>
    <n v="16.853458717336871"/>
    <n v="19465641"/>
    <n v="0.22642878364299288"/>
    <n v="11.271346114203258"/>
  </r>
  <r>
    <s v="P0548"/>
    <s v="Model_166"/>
    <x v="2"/>
    <x v="1"/>
    <n v="2023"/>
    <s v="Q1"/>
    <n v="505"/>
    <n v="4420"/>
    <n v="2317"/>
    <n v="290016"/>
    <n v="8.9499999999999993"/>
    <n v="10"/>
    <n v="7.17"/>
    <n v="4.6900000000000004"/>
    <n v="48.41"/>
    <n v="3.7"/>
    <n v="17976"/>
    <n v="1354"/>
    <n v="9"/>
    <n v="771994.31"/>
    <n v="34.586009139375477"/>
    <n v="2232100"/>
    <n v="0.10110215361601362"/>
    <n v="2.6619186527639855"/>
  </r>
  <r>
    <s v="P0549"/>
    <s v="Model_574"/>
    <x v="2"/>
    <x v="0"/>
    <n v="2023"/>
    <s v="Q1"/>
    <n v="4974"/>
    <n v="17502"/>
    <n v="13285"/>
    <n v="82441"/>
    <n v="13.92"/>
    <n v="14"/>
    <n v="4.4400000000000004"/>
    <n v="0.26"/>
    <n v="52.83"/>
    <n v="1.2"/>
    <n v="10056"/>
    <n v="3788"/>
    <n v="2"/>
    <n v="20892916.739999998"/>
    <n v="23.999688955072372"/>
    <n v="87054948"/>
    <n v="0.99580616254663701"/>
    <n v="253.42871872005435"/>
  </r>
  <r>
    <s v="P0550"/>
    <s v="Model_190"/>
    <x v="2"/>
    <x v="1"/>
    <n v="2024"/>
    <s v="Q3"/>
    <n v="944"/>
    <n v="15525"/>
    <n v="11649"/>
    <n v="288038"/>
    <n v="13.94"/>
    <n v="1"/>
    <n v="9.39"/>
    <n v="2.29"/>
    <n v="23.53"/>
    <n v="2.6"/>
    <n v="15295"/>
    <n v="3848"/>
    <n v="14"/>
    <n v="3370903.71"/>
    <n v="23.000789527552605"/>
    <n v="14655600"/>
    <n v="0.1889909564624096"/>
    <n v="11.702990577632118"/>
  </r>
  <r>
    <s v="P0551"/>
    <s v="Model_127"/>
    <x v="2"/>
    <x v="0"/>
    <n v="2023"/>
    <s v="Q1"/>
    <n v="1434"/>
    <n v="10446"/>
    <n v="4448"/>
    <n v="220201"/>
    <n v="5.13"/>
    <n v="19"/>
    <n v="2.95"/>
    <n v="13.92"/>
    <n v="35.799999999999997"/>
    <n v="4.2"/>
    <n v="7625"/>
    <n v="6442"/>
    <n v="3"/>
    <n v="8380917.0800000001"/>
    <n v="55.949005458369818"/>
    <n v="14979564"/>
    <n v="0.28709007581260104"/>
    <n v="38.06036757326261"/>
  </r>
  <r>
    <s v="P0552"/>
    <s v="Model_731"/>
    <x v="0"/>
    <x v="1"/>
    <n v="2023"/>
    <s v="Q4"/>
    <n v="2008"/>
    <n v="14232"/>
    <n v="13940"/>
    <n v="281324"/>
    <n v="7.92"/>
    <n v="6"/>
    <n v="4.75"/>
    <n v="22.3"/>
    <n v="45.22"/>
    <n v="4.2"/>
    <n v="3424"/>
    <n v="4230"/>
    <n v="9"/>
    <n v="304989.7"/>
    <n v="1.0672238673188081"/>
    <n v="28577856"/>
    <n v="0.40200618705139668"/>
    <n v="1.0842018455588573"/>
  </r>
  <r>
    <s v="P0553"/>
    <s v="Model_590"/>
    <x v="1"/>
    <x v="3"/>
    <n v="2024"/>
    <s v="Q3"/>
    <n v="3122"/>
    <n v="7736"/>
    <n v="12580"/>
    <n v="374512"/>
    <n v="3.17"/>
    <n v="11"/>
    <n v="7.57"/>
    <n v="7.18"/>
    <n v="76.66"/>
    <n v="3.9"/>
    <n v="20979"/>
    <n v="4357"/>
    <n v="13"/>
    <n v="-15497487.18"/>
    <n v="-64.167028185734623"/>
    <n v="24151792"/>
    <n v="0.6250315318597911"/>
    <n v="-41.380463109326271"/>
  </r>
  <r>
    <s v="P0554"/>
    <s v="Model_802"/>
    <x v="0"/>
    <x v="1"/>
    <n v="2023"/>
    <s v="Q4"/>
    <n v="2046"/>
    <n v="17809"/>
    <n v="2337"/>
    <n v="142122"/>
    <n v="14.93"/>
    <n v="17"/>
    <n v="6.89"/>
    <n v="8.19"/>
    <n v="84.35"/>
    <n v="1.8"/>
    <n v="8183"/>
    <n v="3129"/>
    <n v="7"/>
    <n v="31513581.809999999"/>
    <n v="86.48735276522514"/>
    <n v="36437214"/>
    <n v="0.40961387385814624"/>
    <n v="221.73618440494786"/>
  </r>
  <r>
    <s v="P0555"/>
    <s v="Model_564"/>
    <x v="0"/>
    <x v="3"/>
    <n v="2024"/>
    <s v="Q1"/>
    <n v="4335"/>
    <n v="15018"/>
    <n v="14168"/>
    <n v="94760"/>
    <n v="14.72"/>
    <n v="2"/>
    <n v="8.64"/>
    <n v="2.89"/>
    <n v="60.27"/>
    <n v="2"/>
    <n v="20422"/>
    <n v="2946"/>
    <n v="13"/>
    <n v="3589987.11"/>
    <n v="5.5143164765142263"/>
    <n v="65103030"/>
    <n v="0.86787690282261187"/>
    <n v="37.885078092021949"/>
  </r>
  <r>
    <s v="P0556"/>
    <s v="Model_620"/>
    <x v="2"/>
    <x v="1"/>
    <n v="2024"/>
    <s v="Q2"/>
    <n v="554"/>
    <n v="1852"/>
    <n v="3937"/>
    <n v="335622"/>
    <n v="9.74"/>
    <n v="6"/>
    <n v="9.9700000000000006"/>
    <n v="9.7200000000000006"/>
    <n v="41.6"/>
    <n v="5"/>
    <n v="20160"/>
    <n v="8762"/>
    <n v="11"/>
    <n v="-1490721.72"/>
    <n v="-145.29338172801772"/>
    <n v="1026008"/>
    <n v="0.11091206555103275"/>
    <n v="-4.4416397018073903"/>
  </r>
  <r>
    <s v="P0557"/>
    <s v="Model_249"/>
    <x v="0"/>
    <x v="0"/>
    <n v="2023"/>
    <s v="Q1"/>
    <n v="1264"/>
    <n v="8505"/>
    <n v="7785"/>
    <n v="440025"/>
    <n v="12.07"/>
    <n v="10"/>
    <n v="4.2699999999999996"/>
    <n v="0.93"/>
    <n v="30.32"/>
    <n v="1.4"/>
    <n v="14831"/>
    <n v="4135"/>
    <n v="3"/>
    <n v="470054.07"/>
    <n v="4.3724658428772347"/>
    <n v="10750320"/>
    <n v="0.25305568746661627"/>
    <n v="1.0682461223794102"/>
  </r>
  <r>
    <s v="P0558"/>
    <s v="Model_898"/>
    <x v="1"/>
    <x v="2"/>
    <n v="2023"/>
    <s v="Q2"/>
    <n v="1581"/>
    <n v="15536"/>
    <n v="897"/>
    <n v="383998"/>
    <n v="10.73"/>
    <n v="17"/>
    <n v="1.1100000000000001"/>
    <n v="22.94"/>
    <n v="88.57"/>
    <n v="1.7"/>
    <n v="11445"/>
    <n v="2999"/>
    <n v="3"/>
    <n v="22760238.059999999"/>
    <n v="92.662863702007158"/>
    <n v="24562416"/>
    <n v="0.31651981161765846"/>
    <n v="59.271821728238166"/>
  </r>
  <r>
    <s v="P0559"/>
    <s v="Model_410"/>
    <x v="1"/>
    <x v="0"/>
    <n v="2023"/>
    <s v="Q1"/>
    <n v="3490"/>
    <n v="18042"/>
    <n v="12207"/>
    <n v="406374"/>
    <n v="8.9"/>
    <n v="11"/>
    <n v="0.3"/>
    <n v="16.829999999999998"/>
    <n v="88.64"/>
    <n v="1.5"/>
    <n v="18794"/>
    <n v="9738"/>
    <n v="12"/>
    <n v="19957759.170000002"/>
    <n v="31.695796674998071"/>
    <n v="62966580"/>
    <n v="0.69870597251462874"/>
    <n v="49.111842785217561"/>
  </r>
  <r>
    <s v="P0560"/>
    <s v="Model_709"/>
    <x v="1"/>
    <x v="1"/>
    <n v="2023"/>
    <s v="Q3"/>
    <n v="873"/>
    <n v="2456"/>
    <n v="14991"/>
    <n v="397860"/>
    <n v="0.8"/>
    <n v="5"/>
    <n v="7.27"/>
    <n v="24.77"/>
    <n v="84"/>
    <n v="2.2999999999999998"/>
    <n v="1806"/>
    <n v="4543"/>
    <n v="8"/>
    <n v="-11340939.77"/>
    <n v="-528.94003277850527"/>
    <n v="2144088"/>
    <n v="0.17477659427085127"/>
    <n v="-28.504788116422862"/>
  </r>
  <r>
    <s v="P0561"/>
    <s v="Model_144"/>
    <x v="0"/>
    <x v="3"/>
    <n v="2023"/>
    <s v="Q3"/>
    <n v="978"/>
    <n v="3571"/>
    <n v="13522"/>
    <n v="193252"/>
    <n v="6.82"/>
    <n v="4"/>
    <n v="8.74"/>
    <n v="22.07"/>
    <n v="72.849999999999994"/>
    <n v="1.8"/>
    <n v="5731"/>
    <n v="4889"/>
    <n v="6"/>
    <n v="-9925352.0700000003"/>
    <n v="-284.19551241854543"/>
    <n v="3492438"/>
    <n v="0.19579783413160656"/>
    <n v="-51.359520211951235"/>
  </r>
  <r>
    <s v="P0562"/>
    <s v="Model_429"/>
    <x v="2"/>
    <x v="1"/>
    <n v="2024"/>
    <s v="Q4"/>
    <n v="183"/>
    <n v="10095"/>
    <n v="13724"/>
    <n v="148538"/>
    <n v="10.119999999999999"/>
    <n v="0"/>
    <n v="2.21"/>
    <n v="11.82"/>
    <n v="36.06"/>
    <n v="3"/>
    <n v="7528"/>
    <n v="1012"/>
    <n v="6"/>
    <n v="-812656.82"/>
    <n v="-43.989575535148326"/>
    <n v="1847385"/>
    <n v="3.6637018043030677E-2"/>
    <n v="-5.470956926847002"/>
  </r>
  <r>
    <s v="P0563"/>
    <s v="Model_612"/>
    <x v="2"/>
    <x v="1"/>
    <n v="2024"/>
    <s v="Q4"/>
    <n v="2155"/>
    <n v="16640"/>
    <n v="4550"/>
    <n v="65372"/>
    <n v="10.16"/>
    <n v="11"/>
    <n v="1.58"/>
    <n v="12.99"/>
    <n v="75.36"/>
    <n v="2.9"/>
    <n v="13707"/>
    <n v="4342"/>
    <n v="9"/>
    <n v="25988565.010000002"/>
    <n v="72.473911883142961"/>
    <n v="35859200"/>
    <n v="0.43143592285645416"/>
    <n v="397.54907299761368"/>
  </r>
  <r>
    <s v="P0564"/>
    <s v="Model_155"/>
    <x v="2"/>
    <x v="0"/>
    <n v="2024"/>
    <s v="Q2"/>
    <n v="3677"/>
    <n v="14303"/>
    <n v="12149"/>
    <n v="341940"/>
    <n v="5.6"/>
    <n v="10"/>
    <n v="0.62"/>
    <n v="4.76"/>
    <n v="42.7"/>
    <n v="4.5999999999999996"/>
    <n v="8158"/>
    <n v="7641"/>
    <n v="13"/>
    <n v="7578313.2400000002"/>
    <n v="14.409595306187537"/>
    <n v="52592131"/>
    <n v="0.73614379969521204"/>
    <n v="22.162712756623968"/>
  </r>
  <r>
    <s v="P0565"/>
    <s v="Model_392"/>
    <x v="0"/>
    <x v="1"/>
    <n v="2024"/>
    <s v="Q2"/>
    <n v="4830"/>
    <n v="4953"/>
    <n v="13675"/>
    <n v="271035"/>
    <n v="14.13"/>
    <n v="3"/>
    <n v="8.23"/>
    <n v="11.55"/>
    <n v="36.14"/>
    <n v="1.1000000000000001"/>
    <n v="7836"/>
    <n v="1811"/>
    <n v="13"/>
    <n v="-42398306.549999997"/>
    <n v="-177.22829190665547"/>
    <n v="23922990"/>
    <n v="0.96697703359474407"/>
    <n v="-156.43106978803476"/>
  </r>
  <r>
    <s v="P0566"/>
    <s v="Model_392"/>
    <x v="2"/>
    <x v="2"/>
    <n v="2023"/>
    <s v="Q1"/>
    <n v="1902"/>
    <n v="8175"/>
    <n v="9335"/>
    <n v="410970"/>
    <n v="2.5099999999999998"/>
    <n v="17"/>
    <n v="3.11"/>
    <n v="22.58"/>
    <n v="69.59"/>
    <n v="2.2999999999999998"/>
    <n v="15396"/>
    <n v="8966"/>
    <n v="8"/>
    <n v="-2617312.58"/>
    <n v="-16.832837026532509"/>
    <n v="15548850"/>
    <n v="0.38078474490625325"/>
    <n v="-6.3685670486896857"/>
  </r>
  <r>
    <s v="P0567"/>
    <s v="Model_643"/>
    <x v="0"/>
    <x v="2"/>
    <n v="2023"/>
    <s v="Q2"/>
    <n v="4960"/>
    <n v="2455"/>
    <n v="8974"/>
    <n v="432736"/>
    <n v="7.51"/>
    <n v="3"/>
    <n v="4.0199999999999996"/>
    <n v="1.27"/>
    <n v="16.37"/>
    <n v="3.4"/>
    <n v="11130"/>
    <n v="1539"/>
    <n v="13"/>
    <n v="-32766977.27"/>
    <n v="-269.09349968793117"/>
    <n v="12176800"/>
    <n v="0.99300333056520307"/>
    <n v="-75.720476225689566"/>
  </r>
  <r>
    <s v="P0568"/>
    <s v="Model_568"/>
    <x v="1"/>
    <x v="3"/>
    <n v="2023"/>
    <s v="Q1"/>
    <n v="4225"/>
    <n v="7795"/>
    <n v="8903"/>
    <n v="405779"/>
    <n v="10.36"/>
    <n v="16"/>
    <n v="5.03"/>
    <n v="21.59"/>
    <n v="13.89"/>
    <n v="3.4"/>
    <n v="18756"/>
    <n v="5713"/>
    <n v="10"/>
    <n v="-5087100.59"/>
    <n v="-15.446407657768788"/>
    <n v="32933875"/>
    <n v="0.8458546515399159"/>
    <n v="-12.53657532794945"/>
  </r>
  <r>
    <s v="P0569"/>
    <s v="Model_144"/>
    <x v="0"/>
    <x v="3"/>
    <n v="2024"/>
    <s v="Q4"/>
    <n v="2983"/>
    <n v="17421"/>
    <n v="6213"/>
    <n v="161022"/>
    <n v="10.46"/>
    <n v="1"/>
    <n v="8.39"/>
    <n v="8.52"/>
    <n v="45.84"/>
    <n v="2.9"/>
    <n v="2641"/>
    <n v="3730"/>
    <n v="5"/>
    <n v="33272433.48"/>
    <n v="64.026274368831679"/>
    <n v="51966843"/>
    <n v="0.59720341432983881"/>
    <n v="206.63289488392891"/>
  </r>
  <r>
    <s v="P0570"/>
    <s v="Model_315"/>
    <x v="1"/>
    <x v="1"/>
    <n v="2024"/>
    <s v="Q2"/>
    <n v="3334"/>
    <n v="19596"/>
    <n v="5466"/>
    <n v="104040"/>
    <n v="9.73"/>
    <n v="1"/>
    <n v="6.51"/>
    <n v="22.49"/>
    <n v="45.65"/>
    <n v="4.3"/>
    <n v="18549"/>
    <n v="5475"/>
    <n v="11"/>
    <n v="47005357.509999998"/>
    <n v="71.947272379571842"/>
    <n v="65333064"/>
    <n v="0.66747441615007796"/>
    <n v="451.80103806228374"/>
  </r>
  <r>
    <s v="P0571"/>
    <s v="Model_413"/>
    <x v="2"/>
    <x v="2"/>
    <n v="2023"/>
    <s v="Q3"/>
    <n v="4348"/>
    <n v="16782"/>
    <n v="1410"/>
    <n v="387501"/>
    <n v="4.13"/>
    <n v="11"/>
    <n v="6.15"/>
    <n v="23.52"/>
    <n v="81.650000000000006"/>
    <n v="1.3"/>
    <n v="9900"/>
    <n v="7203"/>
    <n v="5"/>
    <n v="66449931.479999997"/>
    <n v="91.067053542384585"/>
    <n v="72968136"/>
    <n v="0.87047953251965782"/>
    <n v="171.48331230112956"/>
  </r>
  <r>
    <s v="P0572"/>
    <s v="Model_845"/>
    <x v="0"/>
    <x v="3"/>
    <n v="2023"/>
    <s v="Q4"/>
    <n v="2861"/>
    <n v="6203"/>
    <n v="2527"/>
    <n v="252440"/>
    <n v="2.34"/>
    <n v="5"/>
    <n v="1.76"/>
    <n v="16.77"/>
    <n v="20.09"/>
    <n v="4.3"/>
    <n v="2451"/>
    <n v="8977"/>
    <n v="3"/>
    <n v="10264579.23"/>
    <n v="57.839098105836982"/>
    <n v="17746783"/>
    <n v="0.572778735634485"/>
    <n v="40.661527491681191"/>
  </r>
  <r>
    <s v="P0573"/>
    <s v="Model_371"/>
    <x v="2"/>
    <x v="0"/>
    <n v="2023"/>
    <s v="Q3"/>
    <n v="1300"/>
    <n v="8063"/>
    <n v="11282"/>
    <n v="128356"/>
    <n v="9.5399999999999991"/>
    <n v="9"/>
    <n v="5.13"/>
    <n v="16.61"/>
    <n v="19.86"/>
    <n v="3"/>
    <n v="10749"/>
    <n v="9418"/>
    <n v="4"/>
    <n v="-4313072.6100000003"/>
    <n v="-41.147812991919409"/>
    <n v="10481900"/>
    <n v="0.26026296970458951"/>
    <n v="-33.602293620866966"/>
  </r>
  <r>
    <s v="P0574"/>
    <s v="Model_168"/>
    <x v="0"/>
    <x v="3"/>
    <n v="2023"/>
    <s v="Q2"/>
    <n v="3562"/>
    <n v="13503"/>
    <n v="2654"/>
    <n v="328355"/>
    <n v="8.99"/>
    <n v="15"/>
    <n v="7.15"/>
    <n v="11.32"/>
    <n v="21.8"/>
    <n v="1.5"/>
    <n v="14436"/>
    <n v="4316"/>
    <n v="2"/>
    <n v="38315771.68"/>
    <n v="79.662401388707138"/>
    <n v="48097686"/>
    <n v="0.7131205369905752"/>
    <n v="116.69011588067792"/>
  </r>
  <r>
    <s v="P0575"/>
    <s v="Model_764"/>
    <x v="0"/>
    <x v="0"/>
    <n v="2024"/>
    <s v="Q4"/>
    <n v="1306"/>
    <n v="12317"/>
    <n v="11600"/>
    <n v="417570"/>
    <n v="2.69"/>
    <n v="13"/>
    <n v="9.73"/>
    <n v="20.89"/>
    <n v="12.38"/>
    <n v="4.5"/>
    <n v="15955"/>
    <n v="2566"/>
    <n v="2"/>
    <n v="518811.11"/>
    <n v="3.2252334047950511"/>
    <n v="16086002"/>
    <n v="0.26146418341091837"/>
    <n v="1.2425030533802717"/>
  </r>
  <r>
    <s v="P0576"/>
    <s v="Model_116"/>
    <x v="2"/>
    <x v="3"/>
    <n v="2024"/>
    <s v="Q2"/>
    <n v="3426"/>
    <n v="12671"/>
    <n v="5855"/>
    <n v="317986"/>
    <n v="10.58"/>
    <n v="6"/>
    <n v="2.0099999999999998"/>
    <n v="24.04"/>
    <n v="15.74"/>
    <n v="3.6"/>
    <n v="6222"/>
    <n v="7924"/>
    <n v="8"/>
    <n v="23033605.960000001"/>
    <n v="53.059564791711267"/>
    <n v="43410846"/>
    <n v="0.68589302631378746"/>
    <n v="72.435987747888277"/>
  </r>
  <r>
    <s v="P0577"/>
    <s v="Model_106"/>
    <x v="0"/>
    <x v="2"/>
    <n v="2023"/>
    <s v="Q4"/>
    <n v="3536"/>
    <n v="14082"/>
    <n v="11071"/>
    <n v="378996"/>
    <n v="6.83"/>
    <n v="18"/>
    <n v="0.1"/>
    <n v="19.38"/>
    <n v="62.79"/>
    <n v="1.7"/>
    <n v="14312"/>
    <n v="4224"/>
    <n v="6"/>
    <n v="10267880.619999999"/>
    <n v="20.620738478440114"/>
    <n v="49793952"/>
    <n v="0.70791527759648343"/>
    <n v="27.092370368024991"/>
  </r>
  <r>
    <s v="P0578"/>
    <s v="Model_403"/>
    <x v="0"/>
    <x v="2"/>
    <n v="2024"/>
    <s v="Q2"/>
    <n v="3634"/>
    <n v="13701"/>
    <n v="3124"/>
    <n v="437881"/>
    <n v="10.02"/>
    <n v="16"/>
    <n v="0.75"/>
    <n v="15.55"/>
    <n v="44.53"/>
    <n v="1.1000000000000001"/>
    <n v="5508"/>
    <n v="1065"/>
    <n v="4"/>
    <n v="37998921.450000003"/>
    <n v="76.319247674114962"/>
    <n v="49789434"/>
    <n v="0.72753510146652167"/>
    <n v="86.779140908146275"/>
  </r>
  <r>
    <s v="P0579"/>
    <s v="Model_612"/>
    <x v="1"/>
    <x v="0"/>
    <n v="2023"/>
    <s v="Q3"/>
    <n v="1446"/>
    <n v="19278"/>
    <n v="13619"/>
    <n v="358112"/>
    <n v="12.56"/>
    <n v="8"/>
    <n v="3.76"/>
    <n v="15.17"/>
    <n v="71.09"/>
    <n v="1.6"/>
    <n v="11560"/>
    <n v="7028"/>
    <n v="8"/>
    <n v="7824786.8300000001"/>
    <n v="28.069989232309901"/>
    <n v="27875988"/>
    <n v="0.28949250322525877"/>
    <n v="21.850153024752032"/>
  </r>
  <r>
    <s v="P0580"/>
    <s v="Model_798"/>
    <x v="1"/>
    <x v="1"/>
    <n v="2023"/>
    <s v="Q2"/>
    <n v="3687"/>
    <n v="13973"/>
    <n v="10169"/>
    <n v="329652"/>
    <n v="2.5499999999999998"/>
    <n v="12"/>
    <n v="8.2100000000000009"/>
    <n v="21.24"/>
    <n v="89.41"/>
    <n v="3.4"/>
    <n v="14556"/>
    <n v="6196"/>
    <n v="3"/>
    <n v="13695674.76"/>
    <n v="26.584018917804809"/>
    <n v="51518451"/>
    <n v="0.73814582253909344"/>
    <n v="41.545921153216121"/>
  </r>
  <r>
    <s v="P0581"/>
    <s v="Model_385"/>
    <x v="0"/>
    <x v="3"/>
    <n v="2024"/>
    <s v="Q3"/>
    <n v="3380"/>
    <n v="10961"/>
    <n v="10083"/>
    <n v="203077"/>
    <n v="0.28999999999999998"/>
    <n v="4"/>
    <n v="7.0000000000000007E-2"/>
    <n v="13.53"/>
    <n v="62.72"/>
    <n v="1.7"/>
    <n v="8155"/>
    <n v="6257"/>
    <n v="4"/>
    <n v="2764549.47"/>
    <n v="7.4620385400848308"/>
    <n v="37048180"/>
    <n v="0.67668372123193266"/>
    <n v="13.613373252510131"/>
  </r>
  <r>
    <s v="P0582"/>
    <s v="Model_477"/>
    <x v="1"/>
    <x v="3"/>
    <n v="2024"/>
    <s v="Q4"/>
    <n v="2753"/>
    <n v="17096"/>
    <n v="14989"/>
    <n v="104575"/>
    <n v="11.69"/>
    <n v="4"/>
    <n v="4.57"/>
    <n v="20.100000000000001"/>
    <n v="14.04"/>
    <n v="1.9"/>
    <n v="18655"/>
    <n v="9211"/>
    <n v="2"/>
    <n v="5695975.9000000004"/>
    <n v="12.10228629643146"/>
    <n v="47065288"/>
    <n v="0.55115688892056536"/>
    <n v="54.468046856323213"/>
  </r>
  <r>
    <s v="P0583"/>
    <s v="Model_183"/>
    <x v="2"/>
    <x v="1"/>
    <n v="2023"/>
    <s v="Q4"/>
    <n v="520"/>
    <n v="2029"/>
    <n v="13971"/>
    <n v="200043"/>
    <n v="9.15"/>
    <n v="9"/>
    <n v="3.29"/>
    <n v="12.72"/>
    <n v="18.37"/>
    <n v="1.1000000000000001"/>
    <n v="14527"/>
    <n v="8220"/>
    <n v="9"/>
    <n v="-6409895.7199999997"/>
    <n v="-607.52698563142133"/>
    <n v="1055080"/>
    <n v="0.1041051878818358"/>
    <n v="-32.042525856940756"/>
  </r>
  <r>
    <s v="P0584"/>
    <s v="Model_884"/>
    <x v="1"/>
    <x v="0"/>
    <n v="2023"/>
    <s v="Q3"/>
    <n v="1403"/>
    <n v="14265"/>
    <n v="6574"/>
    <n v="468815"/>
    <n v="10.49"/>
    <n v="9"/>
    <n v="0.52"/>
    <n v="1.56"/>
    <n v="80.48"/>
    <n v="3.9"/>
    <n v="5530"/>
    <n v="1608"/>
    <n v="3"/>
    <n v="10321656.439999999"/>
    <n v="51.572709923330386"/>
    <n v="20013795"/>
    <n v="0.28088380499656851"/>
    <n v="22.016484114202832"/>
  </r>
  <r>
    <s v="P0585"/>
    <s v="Model_281"/>
    <x v="0"/>
    <x v="2"/>
    <n v="2024"/>
    <s v="Q3"/>
    <n v="2833"/>
    <n v="15410"/>
    <n v="7319"/>
    <n v="116914"/>
    <n v="12.57"/>
    <n v="6"/>
    <n v="4.5"/>
    <n v="9.6"/>
    <n v="52.2"/>
    <n v="4.2"/>
    <n v="2021"/>
    <n v="9504"/>
    <n v="8"/>
    <n v="22804879.399999999"/>
    <n v="52.237040827569203"/>
    <n v="43656530"/>
    <n v="0.56717307167161701"/>
    <n v="195.0569563952991"/>
  </r>
  <r>
    <s v="P0586"/>
    <s v="Model_796"/>
    <x v="2"/>
    <x v="3"/>
    <n v="2023"/>
    <s v="Q2"/>
    <n v="2881"/>
    <n v="13061"/>
    <n v="11783"/>
    <n v="299134"/>
    <n v="12.04"/>
    <n v="14"/>
    <n v="2.5499999999999998"/>
    <n v="11.11"/>
    <n v="75.989999999999995"/>
    <n v="4.2"/>
    <n v="2900"/>
    <n v="971"/>
    <n v="12"/>
    <n v="3382772.89"/>
    <n v="8.9898646622272054"/>
    <n v="37628741"/>
    <n v="0.57678278132224792"/>
    <n v="11.308590798772457"/>
  </r>
  <r>
    <s v="P0587"/>
    <s v="Model_937"/>
    <x v="1"/>
    <x v="0"/>
    <n v="2024"/>
    <s v="Q3"/>
    <n v="407"/>
    <n v="10631"/>
    <n v="2549"/>
    <n v="117055"/>
    <n v="14.41"/>
    <n v="6"/>
    <n v="3.52"/>
    <n v="3.54"/>
    <n v="78.53"/>
    <n v="1.5"/>
    <n v="13430"/>
    <n v="963"/>
    <n v="10"/>
    <n v="3172315.46"/>
    <n v="73.317532495596652"/>
    <n v="4326817"/>
    <n v="8.1482329745975329E-2"/>
    <n v="27.101097774550425"/>
  </r>
  <r>
    <s v="P0588"/>
    <s v="Model_624"/>
    <x v="0"/>
    <x v="0"/>
    <n v="2024"/>
    <s v="Q4"/>
    <n v="3069"/>
    <n v="2025"/>
    <n v="11667"/>
    <n v="137697"/>
    <n v="8.0399999999999991"/>
    <n v="14"/>
    <n v="7.06"/>
    <n v="2.56"/>
    <n v="84.21"/>
    <n v="4.5999999999999996"/>
    <n v="5223"/>
    <n v="3155"/>
    <n v="7"/>
    <n v="-29728997.559999999"/>
    <n v="-478.36384650970069"/>
    <n v="6214725"/>
    <n v="0.61442081078721933"/>
    <n v="-215.90154469596288"/>
  </r>
  <r>
    <s v="P0589"/>
    <s v="Model_208"/>
    <x v="0"/>
    <x v="3"/>
    <n v="2024"/>
    <s v="Q4"/>
    <n v="717"/>
    <n v="17885"/>
    <n v="1581"/>
    <n v="156239"/>
    <n v="7.33"/>
    <n v="2"/>
    <n v="5.22"/>
    <n v="13.39"/>
    <n v="85.99"/>
    <n v="3.7"/>
    <n v="8079"/>
    <n v="5233"/>
    <n v="3"/>
    <n v="11533715.609999999"/>
    <n v="89.941709644252029"/>
    <n v="12823545"/>
    <n v="0.14354503790630052"/>
    <n v="73.821062602807231"/>
  </r>
  <r>
    <s v="P0590"/>
    <s v="Model_213"/>
    <x v="2"/>
    <x v="3"/>
    <n v="2023"/>
    <s v="Q3"/>
    <n v="4518"/>
    <n v="1874"/>
    <n v="8348"/>
    <n v="285469"/>
    <n v="6.03"/>
    <n v="18"/>
    <n v="1.25"/>
    <n v="2.13"/>
    <n v="54.39"/>
    <n v="4.5999999999999996"/>
    <n v="19742"/>
    <n v="2782"/>
    <n v="3"/>
    <n v="-29535003.129999999"/>
    <n v="-348.83592784087176"/>
    <n v="8466732"/>
    <n v="0.90451392086564264"/>
    <n v="-103.46132504755333"/>
  </r>
  <r>
    <s v="P0591"/>
    <s v="Model_709"/>
    <x v="1"/>
    <x v="0"/>
    <n v="2023"/>
    <s v="Q2"/>
    <n v="1195"/>
    <n v="13697"/>
    <n v="12040"/>
    <n v="173106"/>
    <n v="2.31"/>
    <n v="9"/>
    <n v="9.61"/>
    <n v="7.57"/>
    <n v="37.28"/>
    <n v="2.8"/>
    <n v="6281"/>
    <n v="5378"/>
    <n v="10"/>
    <n v="1807001.43"/>
    <n v="11.039899889509446"/>
    <n v="16367915"/>
    <n v="0.23924172984383418"/>
    <n v="10.438742735664853"/>
  </r>
  <r>
    <s v="P0592"/>
    <s v="Model_506"/>
    <x v="0"/>
    <x v="3"/>
    <n v="2024"/>
    <s v="Q4"/>
    <n v="4235"/>
    <n v="6148"/>
    <n v="7623"/>
    <n v="317499"/>
    <n v="8.59"/>
    <n v="14"/>
    <n v="6.36"/>
    <n v="18.61"/>
    <n v="86.95"/>
    <n v="2.7"/>
    <n v="14373"/>
    <n v="5548"/>
    <n v="11"/>
    <n v="-6564142.6100000003"/>
    <n v="-25.21103842333806"/>
    <n v="26036780"/>
    <n v="0.8478566743837973"/>
    <n v="-20.674471415658001"/>
  </r>
  <r>
    <s v="P0593"/>
    <s v="Model_178"/>
    <x v="2"/>
    <x v="2"/>
    <n v="2023"/>
    <s v="Q1"/>
    <n v="3769"/>
    <n v="3865"/>
    <n v="2905"/>
    <n v="366264"/>
    <n v="4.16"/>
    <n v="2"/>
    <n v="7.66"/>
    <n v="24.11"/>
    <n v="53.79"/>
    <n v="4.0999999999999996"/>
    <n v="20282"/>
    <n v="713"/>
    <n v="9"/>
    <n v="3251951.89"/>
    <n v="22.323818157042695"/>
    <n v="14567185"/>
    <n v="0.75456240985892142"/>
    <n v="8.8787759648777929"/>
  </r>
  <r>
    <s v="P0594"/>
    <s v="Model_643"/>
    <x v="0"/>
    <x v="0"/>
    <n v="2023"/>
    <s v="Q4"/>
    <n v="2795"/>
    <n v="19409"/>
    <n v="4667"/>
    <n v="350486"/>
    <n v="13.82"/>
    <n v="5"/>
    <n v="0.79"/>
    <n v="17.95"/>
    <n v="15.14"/>
    <n v="1.4"/>
    <n v="18026"/>
    <n v="1972"/>
    <n v="10"/>
    <n v="40853386.049999997"/>
    <n v="75.308341915038397"/>
    <n v="54248155"/>
    <n v="0.5595653848648674"/>
    <n v="116.56215654833574"/>
  </r>
  <r>
    <s v="P0595"/>
    <s v="Model_203"/>
    <x v="2"/>
    <x v="3"/>
    <n v="2024"/>
    <s v="Q2"/>
    <n v="589"/>
    <n v="3146"/>
    <n v="7993"/>
    <n v="52257"/>
    <n v="8.75"/>
    <n v="11"/>
    <n v="0.47"/>
    <n v="24.82"/>
    <n v="61.42"/>
    <n v="3.1"/>
    <n v="12543"/>
    <n v="7823"/>
    <n v="5"/>
    <n v="-2907164.82"/>
    <n v="-156.890136719277"/>
    <n v="1852994"/>
    <n v="0.11791914550461786"/>
    <n v="-55.631590026216585"/>
  </r>
  <r>
    <s v="P0596"/>
    <s v="Model_598"/>
    <x v="1"/>
    <x v="3"/>
    <n v="2023"/>
    <s v="Q1"/>
    <n v="2829"/>
    <n v="1513"/>
    <n v="5776"/>
    <n v="339508"/>
    <n v="8.89"/>
    <n v="14"/>
    <n v="0.19"/>
    <n v="17.46"/>
    <n v="57.01"/>
    <n v="4.3"/>
    <n v="17875"/>
    <n v="7289"/>
    <n v="5"/>
    <n v="-12399552.460000001"/>
    <n v="-289.69042097041853"/>
    <n v="4280277"/>
    <n v="0.56637226253406436"/>
    <n v="-36.522070172131436"/>
  </r>
  <r>
    <s v="P0597"/>
    <s v="Model_909"/>
    <x v="2"/>
    <x v="2"/>
    <n v="2023"/>
    <s v="Q4"/>
    <n v="4186"/>
    <n v="6099"/>
    <n v="13534"/>
    <n v="206044"/>
    <n v="5.32"/>
    <n v="5"/>
    <n v="1.89"/>
    <n v="7.34"/>
    <n v="81.66"/>
    <n v="4.3"/>
    <n v="18601"/>
    <n v="5486"/>
    <n v="3"/>
    <n v="-31328961.34"/>
    <n v="-122.71231222494082"/>
    <n v="25530414"/>
    <n v="0.83804676244877818"/>
    <n v="-152.04982430937082"/>
  </r>
  <r>
    <s v="P0598"/>
    <s v="Model_866"/>
    <x v="2"/>
    <x v="2"/>
    <n v="2024"/>
    <s v="Q3"/>
    <n v="4885"/>
    <n v="3778"/>
    <n v="2913"/>
    <n v="161715"/>
    <n v="0.78"/>
    <n v="12"/>
    <n v="4.1399999999999997"/>
    <n v="16.8"/>
    <n v="62.25"/>
    <n v="4.8"/>
    <n v="2142"/>
    <n v="7042"/>
    <n v="11"/>
    <n v="4063793.2"/>
    <n v="22.019379557238398"/>
    <n v="18455530"/>
    <n v="0.97798815923609206"/>
    <n v="25.129456141978171"/>
  </r>
  <r>
    <s v="P0599"/>
    <s v="Model_127"/>
    <x v="1"/>
    <x v="2"/>
    <n v="2024"/>
    <s v="Q4"/>
    <n v="3825"/>
    <n v="15796"/>
    <n v="6679"/>
    <n v="76654"/>
    <n v="0.48"/>
    <n v="18"/>
    <n v="9.36"/>
    <n v="17.55"/>
    <n v="37.92"/>
    <n v="3.8"/>
    <n v="20432"/>
    <n v="8859"/>
    <n v="2"/>
    <n v="34795853.450000003"/>
    <n v="57.59024531733855"/>
    <n v="60419700"/>
    <n v="0.76577373778465752"/>
    <n v="453.93418477835468"/>
  </r>
  <r>
    <s v="P0600"/>
    <s v="Model_446"/>
    <x v="0"/>
    <x v="1"/>
    <n v="2023"/>
    <s v="Q1"/>
    <n v="2558"/>
    <n v="4655"/>
    <n v="14365"/>
    <n v="261841"/>
    <n v="6.35"/>
    <n v="2"/>
    <n v="4.57"/>
    <n v="9.2899999999999991"/>
    <n v="87.3"/>
    <n v="1.8"/>
    <n v="13385"/>
    <n v="344"/>
    <n v="11"/>
    <n v="-25100030.289999999"/>
    <n v="-210.79194935288629"/>
    <n v="11907490"/>
    <n v="0.51211744346487686"/>
    <n v="-95.859781317669885"/>
  </r>
  <r>
    <s v="P0601"/>
    <s v="Model_102"/>
    <x v="2"/>
    <x v="2"/>
    <n v="2024"/>
    <s v="Q4"/>
    <n v="2829"/>
    <n v="9821"/>
    <n v="4770"/>
    <n v="393567"/>
    <n v="1.27"/>
    <n v="7"/>
    <n v="2.9"/>
    <n v="0.44"/>
    <n v="74.13"/>
    <n v="1.1000000000000001"/>
    <n v="9049"/>
    <n v="120"/>
    <n v="14"/>
    <n v="13895711.560000001"/>
    <n v="50.014062463951312"/>
    <n v="27783609"/>
    <n v="0.56637226253406436"/>
    <n v="35.307106540944744"/>
  </r>
  <r>
    <s v="P0602"/>
    <s v="Model_813"/>
    <x v="2"/>
    <x v="1"/>
    <n v="2023"/>
    <s v="Q1"/>
    <n v="974"/>
    <n v="5314"/>
    <n v="10983"/>
    <n v="341464"/>
    <n v="9.1"/>
    <n v="7"/>
    <n v="5.62"/>
    <n v="17.579999999999998"/>
    <n v="60.43"/>
    <n v="2.9"/>
    <n v="14897"/>
    <n v="8685"/>
    <n v="5"/>
    <n v="-5863087.5800000001"/>
    <n v="-113.27807874901754"/>
    <n v="5175836"/>
    <n v="0.19499702499405397"/>
    <n v="-17.170389850760255"/>
  </r>
  <r>
    <s v="P0603"/>
    <s v="Model_571"/>
    <x v="0"/>
    <x v="3"/>
    <n v="2024"/>
    <s v="Q4"/>
    <n v="3006"/>
    <n v="14625"/>
    <n v="10059"/>
    <n v="70808"/>
    <n v="13.21"/>
    <n v="19"/>
    <n v="1.1200000000000001"/>
    <n v="0.54"/>
    <n v="33.43"/>
    <n v="3.1"/>
    <n v="16574"/>
    <n v="5867"/>
    <n v="11"/>
    <n v="13654587.460000001"/>
    <n v="31.059447964469921"/>
    <n v="43962750"/>
    <n v="0.60180806687076616"/>
    <n v="192.83962264150944"/>
  </r>
  <r>
    <s v="P0604"/>
    <s v="Model_553"/>
    <x v="2"/>
    <x v="0"/>
    <n v="2023"/>
    <s v="Q1"/>
    <n v="1631"/>
    <n v="4716"/>
    <n v="8064"/>
    <n v="102389"/>
    <n v="13.24"/>
    <n v="14"/>
    <n v="6.1"/>
    <n v="15.78"/>
    <n v="39.880000000000003"/>
    <n v="2"/>
    <n v="15271"/>
    <n v="3615"/>
    <n v="11"/>
    <n v="-5562992.7800000003"/>
    <n v="-72.323717113662397"/>
    <n v="7691796"/>
    <n v="0.32652992583706575"/>
    <n v="-54.331783687700828"/>
  </r>
  <r>
    <s v="P0605"/>
    <s v="Model_694"/>
    <x v="1"/>
    <x v="2"/>
    <n v="2024"/>
    <s v="Q1"/>
    <n v="3374"/>
    <n v="3613"/>
    <n v="2377"/>
    <n v="168581"/>
    <n v="9.89"/>
    <n v="3"/>
    <n v="5.68"/>
    <n v="4.09"/>
    <n v="63.6"/>
    <n v="1.5"/>
    <n v="2449"/>
    <n v="2010"/>
    <n v="12"/>
    <n v="4001678.91"/>
    <n v="32.826849086590592"/>
    <n v="12190262"/>
    <n v="0.67548250752560379"/>
    <n v="23.737449653282397"/>
  </r>
  <r>
    <s v="P0606"/>
    <s v="Model_347"/>
    <x v="0"/>
    <x v="1"/>
    <n v="2023"/>
    <s v="Q4"/>
    <n v="4535"/>
    <n v="11738"/>
    <n v="10003"/>
    <n v="177927"/>
    <n v="3.17"/>
    <n v="18"/>
    <n v="7.92"/>
    <n v="14.14"/>
    <n v="15.76"/>
    <n v="3.3"/>
    <n v="18405"/>
    <n v="8581"/>
    <n v="9"/>
    <n v="7690283.8600000003"/>
    <n v="14.446777163212312"/>
    <n v="53231830"/>
    <n v="0.90791735970024101"/>
    <n v="43.22164707998224"/>
  </r>
  <r>
    <s v="P0607"/>
    <s v="Model_812"/>
    <x v="2"/>
    <x v="3"/>
    <n v="2024"/>
    <s v="Q1"/>
    <n v="305"/>
    <n v="15260"/>
    <n v="3074"/>
    <n v="84773"/>
    <n v="12.94"/>
    <n v="2"/>
    <n v="9.8699999999999992"/>
    <n v="12.6"/>
    <n v="30.53"/>
    <n v="4.0999999999999996"/>
    <n v="16232"/>
    <n v="5982"/>
    <n v="3"/>
    <n v="3631944.4"/>
    <n v="78.034170551962703"/>
    <n v="4654300"/>
    <n v="6.1061696738384456E-2"/>
    <n v="42.8433227560662"/>
  </r>
  <r>
    <s v="P0608"/>
    <s v="Model_314"/>
    <x v="2"/>
    <x v="0"/>
    <n v="2024"/>
    <s v="Q4"/>
    <n v="4854"/>
    <n v="14088"/>
    <n v="5669"/>
    <n v="232240"/>
    <n v="13.29"/>
    <n v="12"/>
    <n v="2.5099999999999998"/>
    <n v="0.34"/>
    <n v="67.11"/>
    <n v="5"/>
    <n v="18238"/>
    <n v="8652"/>
    <n v="14"/>
    <n v="40633585.659999996"/>
    <n v="59.420463186604792"/>
    <n v="68383152"/>
    <n v="0.97178188842005953"/>
    <n v="174.96377023768514"/>
  </r>
  <r>
    <s v="P0609"/>
    <s v="Model_310"/>
    <x v="2"/>
    <x v="0"/>
    <n v="2023"/>
    <s v="Q2"/>
    <n v="1888"/>
    <n v="4874"/>
    <n v="10806"/>
    <n v="470963"/>
    <n v="2.95"/>
    <n v="7"/>
    <n v="5.0999999999999996"/>
    <n v="9.07"/>
    <n v="48.4"/>
    <n v="4"/>
    <n v="19366"/>
    <n v="8176"/>
    <n v="13"/>
    <n v="-11670588.07"/>
    <n v="-126.82510351971375"/>
    <n v="9202112"/>
    <n v="0.3779819129248192"/>
    <n v="-24.780246006586506"/>
  </r>
  <r>
    <s v="P0610"/>
    <s v="Model_439"/>
    <x v="0"/>
    <x v="2"/>
    <n v="2024"/>
    <s v="Q2"/>
    <n v="1994"/>
    <n v="7930"/>
    <n v="7544"/>
    <n v="388540"/>
    <n v="11.06"/>
    <n v="15"/>
    <n v="9.09"/>
    <n v="15.03"/>
    <n v="42.19"/>
    <n v="4.2"/>
    <n v="11339"/>
    <n v="1722"/>
    <n v="12"/>
    <n v="381128.97"/>
    <n v="2.4103139810351606"/>
    <n v="15812420"/>
    <n v="0.39920335506996268"/>
    <n v="0.98096463684562718"/>
  </r>
  <r>
    <s v="P0611"/>
    <s v="Model_227"/>
    <x v="1"/>
    <x v="0"/>
    <n v="2023"/>
    <s v="Q1"/>
    <n v="59"/>
    <n v="13470"/>
    <n v="3226"/>
    <n v="419836"/>
    <n v="4.3"/>
    <n v="12"/>
    <n v="7.85"/>
    <n v="21.22"/>
    <n v="22.12"/>
    <n v="3.5"/>
    <n v="14323"/>
    <n v="4414"/>
    <n v="9"/>
    <n v="184538.78"/>
    <n v="23.220311300693318"/>
    <n v="794730"/>
    <n v="1.18119347789006E-2"/>
    <n v="0.43960022484970324"/>
  </r>
  <r>
    <s v="P0612"/>
    <s v="Model_435"/>
    <x v="1"/>
    <x v="0"/>
    <n v="2023"/>
    <s v="Q1"/>
    <n v="2921"/>
    <n v="2129"/>
    <n v="14289"/>
    <n v="264764"/>
    <n v="12.04"/>
    <n v="2"/>
    <n v="4.87"/>
    <n v="22.22"/>
    <n v="45.35"/>
    <n v="4.9000000000000004"/>
    <n v="20099"/>
    <n v="2553"/>
    <n v="2"/>
    <n v="-35784146.219999999"/>
    <n v="-575.41799756191256"/>
    <n v="6218809"/>
    <n v="0.58479087269777374"/>
    <n v="-135.15479445846111"/>
  </r>
  <r>
    <s v="P0613"/>
    <s v="Model_740"/>
    <x v="2"/>
    <x v="0"/>
    <n v="2024"/>
    <s v="Q4"/>
    <n v="847"/>
    <n v="18153"/>
    <n v="6346"/>
    <n v="107505"/>
    <n v="14.96"/>
    <n v="15"/>
    <n v="9.4499999999999993"/>
    <n v="12.1"/>
    <n v="71.66"/>
    <n v="3.6"/>
    <n v="20421"/>
    <n v="2115"/>
    <n v="2"/>
    <n v="9893011.9000000004"/>
    <n v="64.34231958953643"/>
    <n v="15375591"/>
    <n v="0.16957133487675946"/>
    <n v="92.023850053485887"/>
  </r>
  <r>
    <s v="P0614"/>
    <s v="Model_652"/>
    <x v="1"/>
    <x v="0"/>
    <n v="2023"/>
    <s v="Q4"/>
    <n v="1065"/>
    <n v="12331"/>
    <n v="7652"/>
    <n v="398040"/>
    <n v="0.45"/>
    <n v="8"/>
    <n v="0.56999999999999995"/>
    <n v="18.21"/>
    <n v="31.12"/>
    <n v="4.4000000000000004"/>
    <n v="16190"/>
    <n v="2900"/>
    <n v="5"/>
    <n v="4585076.79"/>
    <n v="34.913927682549762"/>
    <n v="13132515"/>
    <n v="0.21321543287337524"/>
    <n v="11.519181489297559"/>
  </r>
  <r>
    <s v="P0615"/>
    <s v="Model_411"/>
    <x v="2"/>
    <x v="0"/>
    <n v="2023"/>
    <s v="Q1"/>
    <n v="1874"/>
    <n v="7224"/>
    <n v="13394"/>
    <n v="68135"/>
    <n v="13.46"/>
    <n v="13"/>
    <n v="9.31"/>
    <n v="7.91"/>
    <n v="10.43"/>
    <n v="4.8"/>
    <n v="7839"/>
    <n v="9123"/>
    <n v="8"/>
    <n v="-11630722.91"/>
    <n v="-85.913099093972306"/>
    <n v="13537776"/>
    <n v="0.37517908094338515"/>
    <n v="-170.7010347105012"/>
  </r>
  <r>
    <s v="P0616"/>
    <s v="Model_586"/>
    <x v="1"/>
    <x v="2"/>
    <n v="2024"/>
    <s v="Q2"/>
    <n v="4519"/>
    <n v="12583"/>
    <n v="13866"/>
    <n v="140887"/>
    <n v="9.34"/>
    <n v="12"/>
    <n v="0.51"/>
    <n v="8.5500000000000007"/>
    <n v="63.48"/>
    <n v="4.7"/>
    <n v="12456"/>
    <n v="8872"/>
    <n v="10"/>
    <n v="-5938772.5499999998"/>
    <n v="-10.444079152445026"/>
    <n v="56862577"/>
    <n v="0.90471412315003075"/>
    <n v="-42.152675548489213"/>
  </r>
  <r>
    <s v="P0617"/>
    <s v="Model_301"/>
    <x v="2"/>
    <x v="2"/>
    <n v="2024"/>
    <s v="Q4"/>
    <n v="3186"/>
    <n v="14649"/>
    <n v="3351"/>
    <n v="172118"/>
    <n v="14.6"/>
    <n v="6"/>
    <n v="5.47"/>
    <n v="4.8600000000000003"/>
    <n v="87.81"/>
    <n v="2.5"/>
    <n v="5265"/>
    <n v="6852"/>
    <n v="6"/>
    <n v="35823305.140000001"/>
    <n v="76.755923598606216"/>
    <n v="46671714"/>
    <n v="0.63784447806063238"/>
    <n v="208.13226972193496"/>
  </r>
  <r>
    <s v="P0618"/>
    <s v="Model_571"/>
    <x v="2"/>
    <x v="0"/>
    <n v="2024"/>
    <s v="Q4"/>
    <n v="2243"/>
    <n v="10972"/>
    <n v="7211"/>
    <n v="359521"/>
    <n v="6.98"/>
    <n v="14"/>
    <n v="8.9"/>
    <n v="14.05"/>
    <n v="58.55"/>
    <n v="1.3"/>
    <n v="4327"/>
    <n v="7553"/>
    <n v="3"/>
    <n v="8076387.9500000002"/>
    <n v="32.817243511591698"/>
    <n v="24610196"/>
    <n v="0.44905372388261094"/>
    <n v="22.464340052458688"/>
  </r>
  <r>
    <s v="P0619"/>
    <s v="Model_905"/>
    <x v="2"/>
    <x v="2"/>
    <n v="2024"/>
    <s v="Q1"/>
    <n v="273"/>
    <n v="7776"/>
    <n v="12649"/>
    <n v="204626"/>
    <n v="12.71"/>
    <n v="6"/>
    <n v="2.63"/>
    <n v="7.86"/>
    <n v="19.59"/>
    <n v="1.7"/>
    <n v="3558"/>
    <n v="2953"/>
    <n v="13"/>
    <n v="-1534962.86"/>
    <n v="-72.306771846123709"/>
    <n v="2122848"/>
    <n v="5.4655223637963796E-2"/>
    <n v="-7.5012706107728242"/>
  </r>
  <r>
    <s v="P0620"/>
    <s v="Model_542"/>
    <x v="0"/>
    <x v="1"/>
    <n v="2023"/>
    <s v="Q3"/>
    <n v="4998"/>
    <n v="17135"/>
    <n v="807"/>
    <n v="374635"/>
    <n v="0.94"/>
    <n v="5"/>
    <n v="4.72"/>
    <n v="2.11"/>
    <n v="35.659999999999997"/>
    <n v="1.2"/>
    <n v="13019"/>
    <n v="2336"/>
    <n v="8"/>
    <n v="81232706.890000001"/>
    <n v="94.852889378686996"/>
    <n v="85640730"/>
    <n v="1.0006110173719525"/>
    <n v="216.83160676391688"/>
  </r>
  <r>
    <s v="P0621"/>
    <s v="Model_632"/>
    <x v="0"/>
    <x v="3"/>
    <n v="2023"/>
    <s v="Q4"/>
    <n v="4208"/>
    <n v="7395"/>
    <n v="8887"/>
    <n v="498837"/>
    <n v="5.03"/>
    <n v="1"/>
    <n v="3.24"/>
    <n v="17.13"/>
    <n v="79.41"/>
    <n v="1.4"/>
    <n v="2230"/>
    <n v="4276"/>
    <n v="12"/>
    <n v="-6777190.1299999999"/>
    <n v="-21.778890943423391"/>
    <n v="31118160"/>
    <n v="0.84245121270531742"/>
    <n v="-13.585946912518517"/>
  </r>
  <r>
    <s v="P0622"/>
    <s v="Model_166"/>
    <x v="0"/>
    <x v="0"/>
    <n v="2023"/>
    <s v="Q3"/>
    <n v="3975"/>
    <n v="15494"/>
    <n v="3355"/>
    <n v="295739"/>
    <n v="1.01"/>
    <n v="8"/>
    <n v="9.52"/>
    <n v="17.690000000000001"/>
    <n v="28.61"/>
    <n v="1.7"/>
    <n v="3332"/>
    <n v="2255"/>
    <n v="3"/>
    <n v="47956768.310000002"/>
    <n v="77.8662437153599"/>
    <n v="61588650"/>
    <n v="0.79580408044287942"/>
    <n v="162.15915384849478"/>
  </r>
  <r>
    <s v="P0623"/>
    <s v="Model_731"/>
    <x v="2"/>
    <x v="2"/>
    <n v="2024"/>
    <s v="Q3"/>
    <n v="4834"/>
    <n v="12052"/>
    <n v="1275"/>
    <n v="370427"/>
    <n v="14.63"/>
    <n v="16"/>
    <n v="8.24"/>
    <n v="9"/>
    <n v="58.62"/>
    <n v="2.4"/>
    <n v="10100"/>
    <n v="9636"/>
    <n v="10"/>
    <n v="51725582"/>
    <n v="88.785003640959516"/>
    <n v="58259368"/>
    <n v="0.96777784273229661"/>
    <n v="139.63774508877592"/>
  </r>
  <r>
    <s v="P0624"/>
    <s v="Model_981"/>
    <x v="0"/>
    <x v="1"/>
    <n v="2024"/>
    <s v="Q4"/>
    <n v="4050"/>
    <n v="18459"/>
    <n v="6216"/>
    <n v="329067"/>
    <n v="12.25"/>
    <n v="4"/>
    <n v="7.09"/>
    <n v="1.92"/>
    <n v="42.21"/>
    <n v="3.2"/>
    <n v="17118"/>
    <n v="5798"/>
    <n v="10"/>
    <n v="49255081.079999998"/>
    <n v="65.885196461427014"/>
    <n v="74758950"/>
    <n v="0.81081925177199032"/>
    <n v="149.68101632798184"/>
  </r>
  <r>
    <s v="P0625"/>
    <s v="Model_575"/>
    <x v="2"/>
    <x v="3"/>
    <n v="2024"/>
    <s v="Q2"/>
    <n v="1683"/>
    <n v="7599"/>
    <n v="11203"/>
    <n v="359735"/>
    <n v="12.79"/>
    <n v="11"/>
    <n v="5.88"/>
    <n v="10.66"/>
    <n v="26.63"/>
    <n v="3.8"/>
    <n v="8670"/>
    <n v="6929"/>
    <n v="4"/>
    <n v="-6425277.6600000001"/>
    <n v="-50.240197661808864"/>
    <n v="12789117"/>
    <n v="0.33694044462524936"/>
    <n v="-17.861111651632452"/>
  </r>
  <r>
    <s v="P0626"/>
    <s v="Model_648"/>
    <x v="1"/>
    <x v="1"/>
    <n v="2023"/>
    <s v="Q2"/>
    <n v="2202"/>
    <n v="10999"/>
    <n v="9476"/>
    <n v="112261"/>
    <n v="14.07"/>
    <n v="0"/>
    <n v="8.2100000000000009"/>
    <n v="11.06"/>
    <n v="75.069999999999993"/>
    <n v="1.8"/>
    <n v="5679"/>
    <n v="8637"/>
    <n v="14"/>
    <n v="3241373.94"/>
    <n v="13.383158439223978"/>
    <n v="24219798"/>
    <n v="0.44084543022269701"/>
    <n v="28.873651579800644"/>
  </r>
  <r>
    <s v="P0627"/>
    <s v="Model_676"/>
    <x v="2"/>
    <x v="0"/>
    <n v="2024"/>
    <s v="Q3"/>
    <n v="560"/>
    <n v="4678"/>
    <n v="8039"/>
    <n v="366480"/>
    <n v="1.28"/>
    <n v="9"/>
    <n v="3.92"/>
    <n v="16.72"/>
    <n v="69.430000000000007"/>
    <n v="3.7"/>
    <n v="7799"/>
    <n v="1986"/>
    <n v="9"/>
    <n v="-2248656.7200000002"/>
    <n v="-85.837076284126312"/>
    <n v="2619680"/>
    <n v="0.11211327925736163"/>
    <n v="-6.1357782143636763"/>
  </r>
  <r>
    <s v="P0628"/>
    <s v="Model_975"/>
    <x v="0"/>
    <x v="3"/>
    <n v="2024"/>
    <s v="Q2"/>
    <n v="434"/>
    <n v="7616"/>
    <n v="7510"/>
    <n v="386227"/>
    <n v="5.78"/>
    <n v="10"/>
    <n v="4.4800000000000004"/>
    <n v="7.89"/>
    <n v="62.93"/>
    <n v="3.8"/>
    <n v="9330"/>
    <n v="6571"/>
    <n v="12"/>
    <n v="-340230.89"/>
    <n v="-10.293357968187275"/>
    <n v="3305344"/>
    <n v="8.6887791424455268E-2"/>
    <n v="-0.8808887001685537"/>
  </r>
  <r>
    <s v="P0629"/>
    <s v="Model_768"/>
    <x v="2"/>
    <x v="3"/>
    <n v="2023"/>
    <s v="Q4"/>
    <n v="454"/>
    <n v="17063"/>
    <n v="5800"/>
    <n v="110948"/>
    <n v="1.07"/>
    <n v="15"/>
    <n v="7.3"/>
    <n v="17.059999999999999"/>
    <n v="28.91"/>
    <n v="3.2"/>
    <n v="12939"/>
    <n v="8846"/>
    <n v="5"/>
    <n v="5002436.9400000004"/>
    <n v="64.5758868210862"/>
    <n v="7746602"/>
    <n v="9.0891837112218182E-2"/>
    <n v="45.088275588564009"/>
  </r>
  <r>
    <s v="P0630"/>
    <s v="Model_145"/>
    <x v="1"/>
    <x v="3"/>
    <n v="2024"/>
    <s v="Q1"/>
    <n v="4663"/>
    <n v="5068"/>
    <n v="5454"/>
    <n v="290891"/>
    <n v="3.16"/>
    <n v="13"/>
    <n v="3.58"/>
    <n v="21.79"/>
    <n v="17.829999999999998"/>
    <n v="4.5999999999999996"/>
    <n v="6302"/>
    <n v="3870"/>
    <n v="4"/>
    <n v="-2090830.79"/>
    <n v="-8.8474245013685628"/>
    <n v="23632084"/>
    <n v="0.93354325210192368"/>
    <n v="-7.1876029165563731"/>
  </r>
  <r>
    <s v="P0631"/>
    <s v="Model_807"/>
    <x v="1"/>
    <x v="3"/>
    <n v="2024"/>
    <s v="Q1"/>
    <n v="4621"/>
    <n v="11347"/>
    <n v="8878"/>
    <n v="214074"/>
    <n v="3.44"/>
    <n v="7"/>
    <n v="0.64"/>
    <n v="5.94"/>
    <n v="56.09"/>
    <n v="1.4"/>
    <n v="8115"/>
    <n v="8491"/>
    <n v="2"/>
    <n v="11195169.060000001"/>
    <n v="21.350774462616563"/>
    <n v="52434487"/>
    <n v="0.92513475615762164"/>
    <n v="52.295818268449224"/>
  </r>
  <r>
    <s v="P0632"/>
    <s v="Model_107"/>
    <x v="0"/>
    <x v="1"/>
    <n v="2024"/>
    <s v="Q3"/>
    <n v="2050"/>
    <n v="15635"/>
    <n v="6863"/>
    <n v="338816"/>
    <n v="7.04"/>
    <n v="16"/>
    <n v="0.74"/>
    <n v="24.47"/>
    <n v="54.29"/>
    <n v="1.7"/>
    <n v="8262"/>
    <n v="3040"/>
    <n v="6"/>
    <n v="17643759.530000001"/>
    <n v="55.047726036799872"/>
    <n v="32051750"/>
    <n v="0.41041468299569883"/>
    <n v="52.074825273894973"/>
  </r>
  <r>
    <s v="P0633"/>
    <s v="Model_499"/>
    <x v="1"/>
    <x v="3"/>
    <n v="2023"/>
    <s v="Q1"/>
    <n v="2806"/>
    <n v="19274"/>
    <n v="3085"/>
    <n v="316357"/>
    <n v="4.03"/>
    <n v="17"/>
    <n v="1.1499999999999999"/>
    <n v="9.66"/>
    <n v="25.07"/>
    <n v="2.7"/>
    <n v="7043"/>
    <n v="3590"/>
    <n v="14"/>
    <n v="45109967.340000004"/>
    <n v="83.409014770007289"/>
    <n v="54082844"/>
    <n v="0.56176760999313702"/>
    <n v="142.59199891262088"/>
  </r>
  <r>
    <s v="P0634"/>
    <s v="Model_808"/>
    <x v="0"/>
    <x v="3"/>
    <n v="2023"/>
    <s v="Q1"/>
    <n v="1718"/>
    <n v="3242"/>
    <n v="6023"/>
    <n v="191365"/>
    <n v="1.51"/>
    <n v="11"/>
    <n v="8.6999999999999993"/>
    <n v="6.68"/>
    <n v="14.5"/>
    <n v="1.5"/>
    <n v="6383"/>
    <n v="7999"/>
    <n v="12"/>
    <n v="-4969129.68"/>
    <n v="-89.21629026478"/>
    <n v="5569756"/>
    <n v="0.34394752457883443"/>
    <n v="-25.966728503122305"/>
  </r>
  <r>
    <s v="P0635"/>
    <s v="Model_968"/>
    <x v="1"/>
    <x v="0"/>
    <n v="2023"/>
    <s v="Q4"/>
    <n v="1510"/>
    <n v="19809"/>
    <n v="14321"/>
    <n v="499076"/>
    <n v="2.5099999999999998"/>
    <n v="16"/>
    <n v="4.72"/>
    <n v="10.54"/>
    <n v="16.46"/>
    <n v="3.3"/>
    <n v="17239"/>
    <n v="406"/>
    <n v="5"/>
    <n v="7787793.46"/>
    <n v="26.036039742454349"/>
    <n v="29911590"/>
    <n v="0.3023054494261001"/>
    <n v="15.604445014386586"/>
  </r>
  <r>
    <s v="P0636"/>
    <s v="Model_448"/>
    <x v="0"/>
    <x v="2"/>
    <n v="2023"/>
    <s v="Q3"/>
    <n v="3686"/>
    <n v="2119"/>
    <n v="7771"/>
    <n v="112507"/>
    <n v="2.21"/>
    <n v="13"/>
    <n v="7.13"/>
    <n v="2.36"/>
    <n v="89.42"/>
    <n v="2.6"/>
    <n v="2166"/>
    <n v="3175"/>
    <n v="2"/>
    <n v="-20945781.359999999"/>
    <n v="-268.17005328888797"/>
    <n v="7810634"/>
    <n v="0.73794562025470534"/>
    <n v="-186.17311811709493"/>
  </r>
  <r>
    <s v="P0637"/>
    <s v="Model_562"/>
    <x v="2"/>
    <x v="2"/>
    <n v="2024"/>
    <s v="Q3"/>
    <n v="2774"/>
    <n v="19158"/>
    <n v="13555"/>
    <n v="107134"/>
    <n v="14.6"/>
    <n v="15"/>
    <n v="3.93"/>
    <n v="3.14"/>
    <n v="72.69"/>
    <n v="2.1"/>
    <n v="1776"/>
    <n v="1756"/>
    <n v="11"/>
    <n v="15435584.859999999"/>
    <n v="29.044671175598687"/>
    <n v="53144292"/>
    <n v="0.55536113689271638"/>
    <n v="144.0773983982676"/>
  </r>
  <r>
    <s v="P0638"/>
    <s v="Model_679"/>
    <x v="2"/>
    <x v="1"/>
    <n v="2023"/>
    <s v="Q3"/>
    <n v="4859"/>
    <n v="18840"/>
    <n v="4325"/>
    <n v="183172"/>
    <n v="11.39"/>
    <n v="13"/>
    <n v="2.59"/>
    <n v="10.36"/>
    <n v="83.76"/>
    <n v="1.7"/>
    <n v="15563"/>
    <n v="7344"/>
    <n v="9"/>
    <n v="70345202.640000001"/>
    <n v="76.843420378233048"/>
    <n v="91543560"/>
    <n v="0.97278289984200028"/>
    <n v="384.03911624047345"/>
  </r>
  <r>
    <s v="P0639"/>
    <s v="Model_276"/>
    <x v="1"/>
    <x v="2"/>
    <n v="2023"/>
    <s v="Q2"/>
    <n v="4228"/>
    <n v="3439"/>
    <n v="12331"/>
    <n v="291225"/>
    <n v="14.52"/>
    <n v="8"/>
    <n v="3.47"/>
    <n v="19.059999999999999"/>
    <n v="25.6"/>
    <n v="2.2999999999999998"/>
    <n v="2381"/>
    <n v="6711"/>
    <n v="9"/>
    <n v="-37886620.060000002"/>
    <n v="-260.56657729538438"/>
    <n v="14540092"/>
    <n v="0.84645525839308033"/>
    <n v="-130.093917074427"/>
  </r>
  <r>
    <s v="P0640"/>
    <s v="Model_101"/>
    <x v="1"/>
    <x v="3"/>
    <n v="2023"/>
    <s v="Q1"/>
    <n v="2098"/>
    <n v="17501"/>
    <n v="3622"/>
    <n v="243069"/>
    <n v="6.6"/>
    <n v="3"/>
    <n v="7.94"/>
    <n v="22.51"/>
    <n v="86.85"/>
    <n v="3.4"/>
    <n v="3560"/>
    <n v="6422"/>
    <n v="14"/>
    <n v="28875050.489999998"/>
    <n v="78.641973529607384"/>
    <n v="36717098"/>
    <n v="0.42002439264632985"/>
    <n v="118.79372935257067"/>
  </r>
  <r>
    <s v="P0641"/>
    <s v="Model_664"/>
    <x v="0"/>
    <x v="2"/>
    <n v="2024"/>
    <s v="Q1"/>
    <n v="4196"/>
    <n v="2468"/>
    <n v="5743"/>
    <n v="340316"/>
    <n v="4.18"/>
    <n v="10"/>
    <n v="6.25"/>
    <n v="16.62"/>
    <n v="21.41"/>
    <n v="3.3"/>
    <n v="16177"/>
    <n v="2792"/>
    <n v="9"/>
    <n v="-14082232.619999999"/>
    <n v="-135.98496040065942"/>
    <n v="10355728"/>
    <n v="0.84004878529265969"/>
    <n v="-41.379823458197677"/>
  </r>
  <r>
    <s v="P0642"/>
    <s v="Model_316"/>
    <x v="0"/>
    <x v="2"/>
    <n v="2023"/>
    <s v="Q2"/>
    <n v="4830"/>
    <n v="16346"/>
    <n v="7330"/>
    <n v="332276"/>
    <n v="11.97"/>
    <n v="5"/>
    <n v="9.3800000000000008"/>
    <n v="2.63"/>
    <n v="50.73"/>
    <n v="1.7"/>
    <n v="19966"/>
    <n v="1864"/>
    <n v="4"/>
    <n v="43215001.369999997"/>
    <n v="54.736359063917725"/>
    <n v="78951180"/>
    <n v="0.96697703359474407"/>
    <n v="130.05755456307406"/>
  </r>
  <r>
    <s v="P0643"/>
    <s v="Model_762"/>
    <x v="2"/>
    <x v="2"/>
    <n v="2023"/>
    <s v="Q2"/>
    <n v="766"/>
    <n v="1781"/>
    <n v="11916"/>
    <n v="298933"/>
    <n v="4.8899999999999997"/>
    <n v="14"/>
    <n v="6.8"/>
    <n v="16.8"/>
    <n v="76.38"/>
    <n v="1.5"/>
    <n v="8202"/>
    <n v="375"/>
    <n v="7"/>
    <n v="-8062359.7999999998"/>
    <n v="-590.97551321389255"/>
    <n v="1364246"/>
    <n v="0.15335494984131967"/>
    <n v="-26.970401394292367"/>
  </r>
  <r>
    <s v="P0644"/>
    <s v="Model_548"/>
    <x v="1"/>
    <x v="1"/>
    <n v="2024"/>
    <s v="Q4"/>
    <n v="4594"/>
    <n v="16860"/>
    <n v="1058"/>
    <n v="330343"/>
    <n v="4.49"/>
    <n v="4"/>
    <n v="5.7"/>
    <n v="15.89"/>
    <n v="37.979999999999997"/>
    <n v="1.1000000000000001"/>
    <n v="10929"/>
    <n v="5371"/>
    <n v="13"/>
    <n v="72264029.109999999"/>
    <n v="93.29827433637459"/>
    <n v="77454840"/>
    <n v="0.91972929447914165"/>
    <n v="218.75458235833665"/>
  </r>
  <r>
    <s v="P0645"/>
    <s v="Model_807"/>
    <x v="2"/>
    <x v="1"/>
    <n v="2023"/>
    <s v="Q2"/>
    <n v="4633"/>
    <n v="7762"/>
    <n v="1082"/>
    <n v="86609"/>
    <n v="3.49"/>
    <n v="10"/>
    <n v="6.1"/>
    <n v="20.14"/>
    <n v="43.99"/>
    <n v="1"/>
    <n v="17353"/>
    <n v="7431"/>
    <n v="13"/>
    <n v="30861810.859999999"/>
    <n v="85.819398584246542"/>
    <n v="35961346"/>
    <n v="0.92753718357027937"/>
    <n v="356.33514992668199"/>
  </r>
  <r>
    <s v="P0646"/>
    <s v="Model_935"/>
    <x v="1"/>
    <x v="3"/>
    <n v="2023"/>
    <s v="Q4"/>
    <n v="1873"/>
    <n v="2558"/>
    <n v="14737"/>
    <n v="224037"/>
    <n v="1.95"/>
    <n v="17"/>
    <n v="9.42"/>
    <n v="20.63"/>
    <n v="20.25"/>
    <n v="4.5"/>
    <n v="1658"/>
    <n v="9693"/>
    <n v="8"/>
    <n v="-23035324.629999999"/>
    <n v="-480.79065686745554"/>
    <n v="4791134"/>
    <n v="0.37497887865899704"/>
    <n v="-102.81919504367582"/>
  </r>
  <r>
    <s v="P0647"/>
    <s v="Model_369"/>
    <x v="2"/>
    <x v="3"/>
    <n v="2023"/>
    <s v="Q1"/>
    <n v="2131"/>
    <n v="12224"/>
    <n v="2698"/>
    <n v="189088"/>
    <n v="3.85"/>
    <n v="12"/>
    <n v="7.88"/>
    <n v="21.71"/>
    <n v="19.829999999999998"/>
    <n v="1.2"/>
    <n v="17496"/>
    <n v="5125"/>
    <n v="10"/>
    <n v="20110796.289999999"/>
    <n v="77.202697657184757"/>
    <n v="26049344"/>
    <n v="0.42663106803113865"/>
    <n v="106.35692376036555"/>
  </r>
  <r>
    <s v="P0648"/>
    <s v="Model_134"/>
    <x v="2"/>
    <x v="0"/>
    <n v="2023"/>
    <s v="Q2"/>
    <n v="3469"/>
    <n v="6678"/>
    <n v="4935"/>
    <n v="482995"/>
    <n v="5.33"/>
    <n v="10"/>
    <n v="0.24"/>
    <n v="10.35"/>
    <n v="59.57"/>
    <n v="3.9"/>
    <n v="6729"/>
    <n v="4150"/>
    <n v="6"/>
    <n v="5563461.6500000004"/>
    <n v="24.015652131647172"/>
    <n v="23165982"/>
    <n v="0.69450172454247772"/>
    <n v="11.518694810505284"/>
  </r>
  <r>
    <s v="P0649"/>
    <s v="Model_498"/>
    <x v="0"/>
    <x v="1"/>
    <n v="2023"/>
    <s v="Q1"/>
    <n v="1624"/>
    <n v="8480"/>
    <n v="7429"/>
    <n v="344025"/>
    <n v="10.11"/>
    <n v="13"/>
    <n v="5.34"/>
    <n v="17.45"/>
    <n v="64.040000000000006"/>
    <n v="4.5"/>
    <n v="9456"/>
    <n v="8180"/>
    <n v="10"/>
    <n v="1362781.55"/>
    <n v="9.8956509521098628"/>
    <n v="13771520"/>
    <n v="0.32512850984634872"/>
    <n v="3.9613371121284788"/>
  </r>
  <r>
    <s v="P0650"/>
    <s v="Model_687"/>
    <x v="0"/>
    <x v="2"/>
    <n v="2024"/>
    <s v="Q1"/>
    <n v="299"/>
    <n v="10700"/>
    <n v="11968"/>
    <n v="263666"/>
    <n v="0.94"/>
    <n v="17"/>
    <n v="6.88"/>
    <n v="6.71"/>
    <n v="72.19"/>
    <n v="1.4"/>
    <n v="14066"/>
    <n v="3560"/>
    <n v="7"/>
    <n v="-642804.71"/>
    <n v="-20.092042321757884"/>
    <n v="3199300"/>
    <n v="5.9860483032055586E-2"/>
    <n v="-2.4379252539197318"/>
  </r>
  <r>
    <s v="P0651"/>
    <s v="Model_245"/>
    <x v="0"/>
    <x v="0"/>
    <n v="2024"/>
    <s v="Q3"/>
    <n v="723"/>
    <n v="2729"/>
    <n v="11259"/>
    <n v="336616"/>
    <n v="3.16"/>
    <n v="18"/>
    <n v="7.49"/>
    <n v="24.98"/>
    <n v="54.53"/>
    <n v="2.7"/>
    <n v="4026"/>
    <n v="3935"/>
    <n v="11"/>
    <n v="-6503830.9800000004"/>
    <n v="-329.63051837570652"/>
    <n v="1973067"/>
    <n v="0.14474625161262938"/>
    <n v="-19.321143379993821"/>
  </r>
  <r>
    <s v="P0652"/>
    <s v="Model_354"/>
    <x v="1"/>
    <x v="2"/>
    <n v="2023"/>
    <s v="Q4"/>
    <n v="4583"/>
    <n v="9967"/>
    <n v="4000"/>
    <n v="232885"/>
    <n v="12.14"/>
    <n v="14"/>
    <n v="2.13"/>
    <n v="4.38"/>
    <n v="61.66"/>
    <n v="4.8"/>
    <n v="9303"/>
    <n v="4378"/>
    <n v="11"/>
    <n v="27113871.620000001"/>
    <n v="59.357721239418041"/>
    <n v="45678761"/>
    <n v="0.91752706935087203"/>
    <n v="116.42603001481417"/>
  </r>
  <r>
    <s v="P0653"/>
    <s v="Model_994"/>
    <x v="2"/>
    <x v="0"/>
    <n v="2024"/>
    <s v="Q3"/>
    <n v="2215"/>
    <n v="3789"/>
    <n v="5910"/>
    <n v="281440"/>
    <n v="2.2000000000000002"/>
    <n v="8"/>
    <n v="8.67"/>
    <n v="0.25"/>
    <n v="11.08"/>
    <n v="4.3"/>
    <n v="8074"/>
    <n v="1944"/>
    <n v="11"/>
    <n v="-4979455.25"/>
    <n v="-59.331249959041465"/>
    <n v="8392635"/>
    <n v="0.4434480599197429"/>
    <n v="-17.692776435474702"/>
  </r>
  <r>
    <s v="P0654"/>
    <s v="Model_781"/>
    <x v="1"/>
    <x v="1"/>
    <n v="2023"/>
    <s v="Q3"/>
    <n v="820"/>
    <n v="2739"/>
    <n v="7967"/>
    <n v="307803"/>
    <n v="5.14"/>
    <n v="7"/>
    <n v="9.56"/>
    <n v="3.72"/>
    <n v="22.97"/>
    <n v="3"/>
    <n v="10233"/>
    <n v="171"/>
    <n v="5"/>
    <n v="-4594766.72"/>
    <n v="-204.57736578242015"/>
    <n v="2245980"/>
    <n v="0.16416587319827952"/>
    <n v="-14.927609542467097"/>
  </r>
  <r>
    <s v="P0655"/>
    <s v="Model_397"/>
    <x v="2"/>
    <x v="0"/>
    <n v="2023"/>
    <s v="Q2"/>
    <n v="4012"/>
    <n v="6870"/>
    <n v="1412"/>
    <n v="217093"/>
    <n v="12.97"/>
    <n v="19"/>
    <n v="2.37"/>
    <n v="19.399999999999999"/>
    <n v="88.79"/>
    <n v="4.0999999999999996"/>
    <n v="19022"/>
    <n v="7486"/>
    <n v="14"/>
    <n v="21680383.600000001"/>
    <n v="78.659159348736907"/>
    <n v="27562440"/>
    <n v="0.80321156496524082"/>
    <n v="99.866891148033332"/>
  </r>
  <r>
    <s v="P0656"/>
    <s v="Model_434"/>
    <x v="1"/>
    <x v="2"/>
    <n v="2024"/>
    <s v="Q4"/>
    <n v="4413"/>
    <n v="17670"/>
    <n v="1487"/>
    <n v="366275"/>
    <n v="2.3199999999999998"/>
    <n v="0"/>
    <n v="8.83"/>
    <n v="11.17"/>
    <n v="16.079999999999998"/>
    <n v="4.3"/>
    <n v="8757"/>
    <n v="6962"/>
    <n v="2"/>
    <n v="71049292.829999998"/>
    <n v="91.114874789218618"/>
    <n v="77977710"/>
    <n v="0.88349268100488731"/>
    <n v="193.97803289877825"/>
  </r>
  <r>
    <s v="P0657"/>
    <s v="Model_854"/>
    <x v="1"/>
    <x v="3"/>
    <n v="2024"/>
    <s v="Q3"/>
    <n v="2034"/>
    <n v="1625"/>
    <n v="4490"/>
    <n v="205159"/>
    <n v="1.24"/>
    <n v="3"/>
    <n v="0.97"/>
    <n v="11.19"/>
    <n v="64.3"/>
    <n v="2.4"/>
    <n v="4783"/>
    <n v="7440"/>
    <n v="2"/>
    <n v="-6032580.1900000004"/>
    <n v="-182.51509537856441"/>
    <n v="3305250"/>
    <n v="0.40721144644548851"/>
    <n v="-29.404359545523228"/>
  </r>
  <r>
    <s v="P0658"/>
    <s v="Model_612"/>
    <x v="1"/>
    <x v="0"/>
    <n v="2024"/>
    <s v="Q3"/>
    <n v="1127"/>
    <n v="14004"/>
    <n v="9604"/>
    <n v="62828"/>
    <n v="7.27"/>
    <n v="13"/>
    <n v="0.56000000000000005"/>
    <n v="23.88"/>
    <n v="24.09"/>
    <n v="4.5999999999999996"/>
    <n v="17409"/>
    <n v="9968"/>
    <n v="11"/>
    <n v="4895948.12"/>
    <n v="31.021356808436281"/>
    <n v="15782508"/>
    <n v="0.22562797450544028"/>
    <n v="77.926593238683395"/>
  </r>
  <r>
    <s v="P0659"/>
    <s v="Model_863"/>
    <x v="2"/>
    <x v="3"/>
    <n v="2023"/>
    <s v="Q4"/>
    <n v="285"/>
    <n v="16898"/>
    <n v="3107"/>
    <n v="408808"/>
    <n v="4.54"/>
    <n v="1"/>
    <n v="1.29"/>
    <n v="22.99"/>
    <n v="67.34"/>
    <n v="2.9"/>
    <n v="13302"/>
    <n v="9587"/>
    <n v="6"/>
    <n v="3521604.01"/>
    <n v="73.124069702009791"/>
    <n v="4815930"/>
    <n v="5.7057651050621543E-2"/>
    <n v="8.6143788771256915"/>
  </r>
  <r>
    <s v="P0660"/>
    <s v="Model_874"/>
    <x v="1"/>
    <x v="3"/>
    <n v="2024"/>
    <s v="Q3"/>
    <n v="438"/>
    <n v="8138"/>
    <n v="7933"/>
    <n v="182473"/>
    <n v="8.4499999999999993"/>
    <n v="15"/>
    <n v="0.57999999999999996"/>
    <n v="7.78"/>
    <n v="66.48"/>
    <n v="3.1"/>
    <n v="9396"/>
    <n v="7735"/>
    <n v="14"/>
    <n v="-92690.78"/>
    <n v="-2.6004274439435715"/>
    <n v="3564444"/>
    <n v="8.7688600562007848E-2"/>
    <n v="-0.507927200188521"/>
  </r>
  <r>
    <s v="P0661"/>
    <s v="Model_254"/>
    <x v="1"/>
    <x v="3"/>
    <n v="2024"/>
    <s v="Q1"/>
    <n v="3087"/>
    <n v="8070"/>
    <n v="12005"/>
    <n v="327337"/>
    <n v="12.06"/>
    <n v="2"/>
    <n v="8.4499999999999993"/>
    <n v="5.23"/>
    <n v="28.74"/>
    <n v="5"/>
    <n v="20303"/>
    <n v="1143"/>
    <n v="4"/>
    <n v="-12474687.23"/>
    <n v="-50.074832059453868"/>
    <n v="24912090"/>
    <n v="0.61802445190620603"/>
    <n v="-38.109599586970006"/>
  </r>
  <r>
    <s v="P0662"/>
    <s v="Model_919"/>
    <x v="2"/>
    <x v="3"/>
    <n v="2024"/>
    <s v="Q2"/>
    <n v="4908"/>
    <n v="4749"/>
    <n v="7309"/>
    <n v="273461"/>
    <n v="2.06"/>
    <n v="7"/>
    <n v="0.59"/>
    <n v="21.21"/>
    <n v="31.57"/>
    <n v="4.4000000000000004"/>
    <n v="15026"/>
    <n v="3142"/>
    <n v="6"/>
    <n v="-12837962.210000001"/>
    <n v="-55.079421387216087"/>
    <n v="23308092"/>
    <n v="0.9825928117770194"/>
    <n v="-46.946149542347904"/>
  </r>
  <r>
    <s v="P0663"/>
    <s v="Model_753"/>
    <x v="2"/>
    <x v="3"/>
    <n v="2024"/>
    <s v="Q1"/>
    <n v="1898"/>
    <n v="10610"/>
    <n v="10773"/>
    <n v="488080"/>
    <n v="8.7100000000000009"/>
    <n v="5"/>
    <n v="2.72"/>
    <n v="22.65"/>
    <n v="62.38"/>
    <n v="2.4"/>
    <n v="19640"/>
    <n v="914"/>
    <n v="6"/>
    <n v="-797476.65"/>
    <n v="-3.9601021065877173"/>
    <n v="20137780"/>
    <n v="0.37998393576870065"/>
    <n v="-1.6338592034092771"/>
  </r>
  <r>
    <s v="P0664"/>
    <s v="Model_895"/>
    <x v="1"/>
    <x v="0"/>
    <n v="2023"/>
    <s v="Q4"/>
    <n v="4769"/>
    <n v="9095"/>
    <n v="6706"/>
    <n v="463523"/>
    <n v="7.58"/>
    <n v="15"/>
    <n v="1.04"/>
    <n v="13.54"/>
    <n v="41.21"/>
    <n v="1"/>
    <n v="12778"/>
    <n v="5722"/>
    <n v="2"/>
    <n v="10929604.460000001"/>
    <n v="25.198484347382326"/>
    <n v="43374055"/>
    <n v="0.95476469424706722"/>
    <n v="23.579451289364282"/>
  </r>
  <r>
    <s v="P0665"/>
    <s v="Model_157"/>
    <x v="1"/>
    <x v="0"/>
    <n v="2024"/>
    <s v="Q3"/>
    <n v="2864"/>
    <n v="15105"/>
    <n v="3391"/>
    <n v="414662"/>
    <n v="2.16"/>
    <n v="15"/>
    <n v="2.95"/>
    <n v="15.74"/>
    <n v="25.56"/>
    <n v="3.5"/>
    <n v="14742"/>
    <n v="7432"/>
    <n v="9"/>
    <n v="33134218.260000002"/>
    <n v="76.591925099720953"/>
    <n v="43260720"/>
    <n v="0.57337934248764943"/>
    <n v="79.906608273726548"/>
  </r>
  <r>
    <s v="P0666"/>
    <s v="Model_967"/>
    <x v="2"/>
    <x v="3"/>
    <n v="2024"/>
    <s v="Q1"/>
    <n v="3424"/>
    <n v="13615"/>
    <n v="11688"/>
    <n v="331755"/>
    <n v="9.36"/>
    <n v="6"/>
    <n v="0.91"/>
    <n v="6.42"/>
    <n v="68.53"/>
    <n v="3.8"/>
    <n v="20190"/>
    <n v="409"/>
    <n v="6"/>
    <n v="6266286.5800000001"/>
    <n v="13.441844009664985"/>
    <n v="46617760"/>
    <n v="0.68549262174501113"/>
    <n v="18.888315172341034"/>
  </r>
  <r>
    <s v="P0667"/>
    <s v="Model_509"/>
    <x v="2"/>
    <x v="1"/>
    <n v="2024"/>
    <s v="Q1"/>
    <n v="3328"/>
    <n v="7794"/>
    <n v="14635"/>
    <n v="224863"/>
    <n v="4.0999999999999996"/>
    <n v="12"/>
    <n v="6.68"/>
    <n v="20.02"/>
    <n v="22.33"/>
    <n v="3.6"/>
    <n v="4070"/>
    <n v="6761"/>
    <n v="6"/>
    <n v="-22991731.02"/>
    <n v="-88.639633344066439"/>
    <n v="25938432"/>
    <n v="0.6662732024437491"/>
    <n v="-102.2476396739348"/>
  </r>
  <r>
    <s v="P0668"/>
    <s v="Model_207"/>
    <x v="0"/>
    <x v="2"/>
    <n v="2023"/>
    <s v="Q1"/>
    <n v="1302"/>
    <n v="7257"/>
    <n v="12950"/>
    <n v="455166"/>
    <n v="7.32"/>
    <n v="12"/>
    <n v="1.33"/>
    <n v="15.8"/>
    <n v="78.45"/>
    <n v="4.9000000000000004"/>
    <n v="1824"/>
    <n v="4327"/>
    <n v="10"/>
    <n v="-7867467.7999999998"/>
    <n v="-83.265839836403515"/>
    <n v="9448614"/>
    <n v="0.26066337427336578"/>
    <n v="-17.284797194869565"/>
  </r>
  <r>
    <s v="P0669"/>
    <s v="Model_588"/>
    <x v="2"/>
    <x v="3"/>
    <n v="2024"/>
    <s v="Q4"/>
    <n v="4031"/>
    <n v="14095"/>
    <n v="7983"/>
    <n v="388384"/>
    <n v="1.23"/>
    <n v="4"/>
    <n v="8.52"/>
    <n v="12.59"/>
    <n v="51.17"/>
    <n v="4.5"/>
    <n v="11221"/>
    <n v="1977"/>
    <n v="9"/>
    <n v="24249075.41"/>
    <n v="42.679301764640812"/>
    <n v="56816945"/>
    <n v="0.80701540836861563"/>
    <n v="62.435857295872125"/>
  </r>
  <r>
    <s v="P0670"/>
    <s v="Model_343"/>
    <x v="0"/>
    <x v="0"/>
    <n v="2023"/>
    <s v="Q1"/>
    <n v="4723"/>
    <n v="3469"/>
    <n v="6048"/>
    <n v="289719"/>
    <n v="6.89"/>
    <n v="19"/>
    <n v="8.17"/>
    <n v="1.5"/>
    <n v="18.46"/>
    <n v="2.8"/>
    <n v="7145"/>
    <n v="2586"/>
    <n v="14"/>
    <n v="-12470337.5"/>
    <n v="-76.112495618461978"/>
    <n v="16384087"/>
    <n v="0.94555538916521242"/>
    <n v="-43.042865673290329"/>
  </r>
  <r>
    <s v="P0671"/>
    <s v="Model_760"/>
    <x v="1"/>
    <x v="0"/>
    <n v="2023"/>
    <s v="Q3"/>
    <n v="2172"/>
    <n v="12485"/>
    <n v="9566"/>
    <n v="258475"/>
    <n v="4.5999999999999996"/>
    <n v="17"/>
    <n v="0.14000000000000001"/>
    <n v="22.9"/>
    <n v="65.53"/>
    <n v="1.3"/>
    <n v="19829"/>
    <n v="6986"/>
    <n v="2"/>
    <n v="6081570.0999999996"/>
    <n v="22.426802033526787"/>
    <n v="27117420"/>
    <n v="0.43483936169105264"/>
    <n v="23.528747461069734"/>
  </r>
  <r>
    <s v="P0672"/>
    <s v="Model_245"/>
    <x v="0"/>
    <x v="0"/>
    <n v="2024"/>
    <s v="Q3"/>
    <n v="4580"/>
    <n v="18775"/>
    <n v="10902"/>
    <n v="314889"/>
    <n v="12.34"/>
    <n v="14"/>
    <n v="8.9600000000000009"/>
    <n v="15.39"/>
    <n v="51.53"/>
    <n v="2.9"/>
    <n v="15904"/>
    <n v="4935"/>
    <n v="4"/>
    <n v="35743435.609999999"/>
    <n v="41.567209496508298"/>
    <n v="85989500"/>
    <n v="0.9169264624977076"/>
    <n v="113.51127222608602"/>
  </r>
  <r>
    <s v="P0673"/>
    <s v="Model_356"/>
    <x v="0"/>
    <x v="0"/>
    <n v="2023"/>
    <s v="Q1"/>
    <n v="2200"/>
    <n v="5970"/>
    <n v="5908"/>
    <n v="367387"/>
    <n v="0.85"/>
    <n v="17"/>
    <n v="0.28999999999999998"/>
    <n v="4.82"/>
    <n v="33.840000000000003"/>
    <n v="3.8"/>
    <n v="5986"/>
    <n v="894"/>
    <n v="13"/>
    <n v="-230991.82"/>
    <n v="-1.7587316887467643"/>
    <n v="13134000"/>
    <n v="0.44044502565392069"/>
    <n v="-0.62872937801283113"/>
  </r>
  <r>
    <s v="P0674"/>
    <s v="Model_104"/>
    <x v="1"/>
    <x v="3"/>
    <n v="2024"/>
    <s v="Q2"/>
    <n v="4909"/>
    <n v="11725"/>
    <n v="4404"/>
    <n v="316010"/>
    <n v="6.28"/>
    <n v="1"/>
    <n v="2.4"/>
    <n v="15.16"/>
    <n v="43.8"/>
    <n v="3.4"/>
    <n v="3930"/>
    <n v="6886"/>
    <n v="8"/>
    <n v="35622763.840000004"/>
    <n v="61.890177503484537"/>
    <n v="57558025"/>
    <n v="0.98279301406140762"/>
    <n v="112.72674598905098"/>
  </r>
  <r>
    <s v="P0675"/>
    <s v="Model_350"/>
    <x v="0"/>
    <x v="0"/>
    <n v="2023"/>
    <s v="Q1"/>
    <n v="1379"/>
    <n v="11056"/>
    <n v="1469"/>
    <n v="213317"/>
    <n v="6.88"/>
    <n v="9"/>
    <n v="0.32"/>
    <n v="16.940000000000001"/>
    <n v="33.869999999999997"/>
    <n v="3.2"/>
    <n v="18729"/>
    <n v="4114"/>
    <n v="2"/>
    <n v="13007139.060000001"/>
    <n v="85.313839413614815"/>
    <n v="15246224"/>
    <n v="0.276078950171253"/>
    <n v="60.975712202965539"/>
  </r>
  <r>
    <s v="P0676"/>
    <s v="Model_701"/>
    <x v="1"/>
    <x v="0"/>
    <n v="2023"/>
    <s v="Q4"/>
    <n v="1408"/>
    <n v="10706"/>
    <n v="5164"/>
    <n v="487940"/>
    <n v="10.88"/>
    <n v="12"/>
    <n v="3.36"/>
    <n v="13.14"/>
    <n v="31.04"/>
    <n v="2.9"/>
    <n v="14656"/>
    <n v="7492"/>
    <n v="2"/>
    <n v="7315182.8600000003"/>
    <n v="48.528324044078943"/>
    <n v="15074048"/>
    <n v="0.28188481641850927"/>
    <n v="14.991999016272493"/>
  </r>
  <r>
    <s v="P0677"/>
    <s v="Model_190"/>
    <x v="2"/>
    <x v="2"/>
    <n v="2024"/>
    <s v="Q2"/>
    <n v="2532"/>
    <n v="11491"/>
    <n v="8129"/>
    <n v="440825"/>
    <n v="8.61"/>
    <n v="17"/>
    <n v="5.14"/>
    <n v="17.95"/>
    <n v="23.09"/>
    <n v="2.2000000000000002"/>
    <n v="2067"/>
    <n v="5453"/>
    <n v="6"/>
    <n v="8071741.0499999998"/>
    <n v="27.742506395897713"/>
    <n v="29095212"/>
    <n v="0.50691218407078509"/>
    <n v="18.310574491011174"/>
  </r>
  <r>
    <s v="P0678"/>
    <s v="Model_799"/>
    <x v="2"/>
    <x v="2"/>
    <n v="2024"/>
    <s v="Q4"/>
    <n v="4592"/>
    <n v="9019"/>
    <n v="2083"/>
    <n v="121354"/>
    <n v="10.01"/>
    <n v="14"/>
    <n v="7.97"/>
    <n v="14.54"/>
    <n v="39.020000000000003"/>
    <n v="2.1"/>
    <n v="3679"/>
    <n v="3507"/>
    <n v="10"/>
    <n v="31728743.460000001"/>
    <n v="76.611260326148482"/>
    <n v="41415248"/>
    <n v="0.91932888991036532"/>
    <n v="261.45621899566555"/>
  </r>
  <r>
    <s v="P0679"/>
    <s v="Model_700"/>
    <x v="2"/>
    <x v="2"/>
    <n v="2023"/>
    <s v="Q4"/>
    <n v="2067"/>
    <n v="15169"/>
    <n v="1723"/>
    <n v="101374"/>
    <n v="11.66"/>
    <n v="11"/>
    <n v="3.38"/>
    <n v="23.69"/>
    <n v="30.08"/>
    <n v="3"/>
    <n v="3519"/>
    <n v="1074"/>
    <n v="7"/>
    <n v="27691484.309999999"/>
    <n v="88.317914917187011"/>
    <n v="31354323"/>
    <n v="0.41381812183029731"/>
    <n v="273.16183636829959"/>
  </r>
  <r>
    <s v="P0680"/>
    <s v="Model_130"/>
    <x v="2"/>
    <x v="1"/>
    <n v="2024"/>
    <s v="Q3"/>
    <n v="1381"/>
    <n v="6112"/>
    <n v="1925"/>
    <n v="164397"/>
    <n v="12.93"/>
    <n v="14"/>
    <n v="7.05"/>
    <n v="1.34"/>
    <n v="64.67"/>
    <n v="1.6"/>
    <n v="17419"/>
    <n v="9339"/>
    <n v="11"/>
    <n v="5617848.6600000001"/>
    <n v="66.556888598443351"/>
    <n v="8440672"/>
    <n v="0.27647935474002933"/>
    <n v="34.172460568015232"/>
  </r>
  <r>
    <s v="P0681"/>
    <s v="Model_707"/>
    <x v="1"/>
    <x v="1"/>
    <n v="2024"/>
    <s v="Q4"/>
    <n v="4394"/>
    <n v="13873"/>
    <n v="2329"/>
    <n v="298552"/>
    <n v="4.71"/>
    <n v="12"/>
    <n v="1.88"/>
    <n v="2.66"/>
    <n v="64.709999999999994"/>
    <n v="2.4"/>
    <n v="20204"/>
    <n v="4337"/>
    <n v="3"/>
    <n v="50425781.340000004"/>
    <n v="82.72222312812886"/>
    <n v="60957962"/>
    <n v="0.87968883760151251"/>
    <n v="168.90117634448941"/>
  </r>
  <r>
    <s v="P0682"/>
    <s v="Model_555"/>
    <x v="1"/>
    <x v="0"/>
    <n v="2023"/>
    <s v="Q1"/>
    <n v="4311"/>
    <n v="19082"/>
    <n v="14846"/>
    <n v="436721"/>
    <n v="8.07"/>
    <n v="17"/>
    <n v="7.51"/>
    <n v="4.34"/>
    <n v="50.15"/>
    <n v="2.2999999999999998"/>
    <n v="19530"/>
    <n v="7348"/>
    <n v="12"/>
    <n v="17824670.66"/>
    <n v="21.668038567560224"/>
    <n v="82262502"/>
    <n v="0.86307204799729642"/>
    <n v="40.81478793096737"/>
  </r>
  <r>
    <s v="P0683"/>
    <s v="Model_356"/>
    <x v="1"/>
    <x v="1"/>
    <n v="2024"/>
    <s v="Q2"/>
    <n v="1408"/>
    <n v="17052"/>
    <n v="10586"/>
    <n v="473332"/>
    <n v="12.6"/>
    <n v="14"/>
    <n v="2.36"/>
    <n v="17.25"/>
    <n v="72.239999999999995"/>
    <n v="3.3"/>
    <n v="5409"/>
    <n v="4469"/>
    <n v="10"/>
    <n v="8630778.75"/>
    <n v="35.94777417971499"/>
    <n v="24009216"/>
    <n v="0.28188481641850927"/>
    <n v="18.23412742007724"/>
  </r>
  <r>
    <s v="P0684"/>
    <s v="Model_366"/>
    <x v="1"/>
    <x v="1"/>
    <n v="2024"/>
    <s v="Q3"/>
    <n v="4687"/>
    <n v="16146"/>
    <n v="9238"/>
    <n v="393173"/>
    <n v="14.84"/>
    <n v="10"/>
    <n v="1.44"/>
    <n v="16.14"/>
    <n v="77.31"/>
    <n v="1.3"/>
    <n v="9515"/>
    <n v="8150"/>
    <n v="7"/>
    <n v="31984606.859999999"/>
    <n v="42.265023547265827"/>
    <n v="75676302"/>
    <n v="0.93834810692723924"/>
    <n v="81.349998601124696"/>
  </r>
  <r>
    <s v="P0685"/>
    <s v="Model_284"/>
    <x v="0"/>
    <x v="3"/>
    <n v="2023"/>
    <s v="Q1"/>
    <n v="4904"/>
    <n v="6738"/>
    <n v="4511"/>
    <n v="405718"/>
    <n v="13.34"/>
    <n v="18"/>
    <n v="1.85"/>
    <n v="22.3"/>
    <n v="56.38"/>
    <n v="4.3"/>
    <n v="4920"/>
    <n v="564"/>
    <n v="6"/>
    <n v="10515467.699999999"/>
    <n v="31.823440148809045"/>
    <n v="33043152"/>
    <n v="0.98179200263946687"/>
    <n v="25.918223988090251"/>
  </r>
  <r>
    <s v="P0686"/>
    <s v="Model_164"/>
    <x v="2"/>
    <x v="1"/>
    <n v="2023"/>
    <s v="Q1"/>
    <n v="3227"/>
    <n v="17077"/>
    <n v="8804"/>
    <n v="463663"/>
    <n v="5.57"/>
    <n v="2"/>
    <n v="1.82"/>
    <n v="18.32"/>
    <n v="59.51"/>
    <n v="3.2"/>
    <n v="16385"/>
    <n v="5427"/>
    <n v="6"/>
    <n v="26233289.68"/>
    <n v="47.603864586148099"/>
    <n v="55107479"/>
    <n v="0.64605277172054643"/>
    <n v="56.578394221665306"/>
  </r>
  <r>
    <s v="P0687"/>
    <s v="Model_501"/>
    <x v="2"/>
    <x v="3"/>
    <n v="2024"/>
    <s v="Q2"/>
    <n v="2178"/>
    <n v="17004"/>
    <n v="10552"/>
    <n v="342575"/>
    <n v="2.93"/>
    <n v="6"/>
    <n v="5.13"/>
    <n v="12.71"/>
    <n v="32.630000000000003"/>
    <n v="3.7"/>
    <n v="18240"/>
    <n v="5515"/>
    <n v="13"/>
    <n v="13709868.289999999"/>
    <n v="37.018968285753104"/>
    <n v="37034712"/>
    <n v="0.4360405753973815"/>
    <n v="40.020086112530102"/>
  </r>
  <r>
    <s v="P0688"/>
    <s v="Model_558"/>
    <x v="2"/>
    <x v="2"/>
    <n v="2023"/>
    <s v="Q3"/>
    <n v="2230"/>
    <n v="5219"/>
    <n v="7074"/>
    <n v="461124"/>
    <n v="7.34"/>
    <n v="13"/>
    <n v="8.4499999999999993"/>
    <n v="24.8"/>
    <n v="81.59"/>
    <n v="3.8"/>
    <n v="8985"/>
    <n v="8215"/>
    <n v="4"/>
    <n v="-4597798.8"/>
    <n v="-39.505521821354705"/>
    <n v="11638370"/>
    <n v="0.44645109418556506"/>
    <n v="-9.9707974427702748"/>
  </r>
  <r>
    <s v="P0689"/>
    <s v="Model_348"/>
    <x v="2"/>
    <x v="0"/>
    <n v="2024"/>
    <s v="Q2"/>
    <n v="4942"/>
    <n v="1802"/>
    <n v="11392"/>
    <n v="79336"/>
    <n v="11.12"/>
    <n v="13"/>
    <n v="0.8"/>
    <n v="6.65"/>
    <n v="11.94"/>
    <n v="2.2000000000000002"/>
    <n v="20965"/>
    <n v="387"/>
    <n v="7"/>
    <n v="-47473122.649999999"/>
    <n v="-533.07740095878"/>
    <n v="8905484"/>
    <n v="0.98939968944621637"/>
    <n v="-598.38050821821116"/>
  </r>
  <r>
    <s v="P0690"/>
    <s v="Model_809"/>
    <x v="0"/>
    <x v="1"/>
    <n v="2024"/>
    <s v="Q3"/>
    <n v="187"/>
    <n v="13644"/>
    <n v="11235"/>
    <n v="353136"/>
    <n v="7.39"/>
    <n v="12"/>
    <n v="7.07"/>
    <n v="20.83"/>
    <n v="37.89"/>
    <n v="2.9"/>
    <n v="20164"/>
    <n v="3295"/>
    <n v="14"/>
    <n v="97326.17"/>
    <n v="3.8145763862433117"/>
    <n v="2551428"/>
    <n v="3.7437827180583257E-2"/>
    <n v="0.27566433328802503"/>
  </r>
  <r>
    <s v="P0691"/>
    <s v="Model_894"/>
    <x v="0"/>
    <x v="0"/>
    <n v="2024"/>
    <s v="Q2"/>
    <n v="3522"/>
    <n v="18870"/>
    <n v="4664"/>
    <n v="105350"/>
    <n v="7.25"/>
    <n v="11"/>
    <n v="6.54"/>
    <n v="10.67"/>
    <n v="67.739999999999995"/>
    <n v="4.8"/>
    <n v="5631"/>
    <n v="9167"/>
    <n v="5"/>
    <n v="49928171.329999998"/>
    <n v="75.124986691270891"/>
    <n v="66460140"/>
    <n v="0.70511244561504938"/>
    <n v="473.92673943996203"/>
  </r>
  <r>
    <s v="P0692"/>
    <s v="Model_230"/>
    <x v="2"/>
    <x v="0"/>
    <n v="2023"/>
    <s v="Q1"/>
    <n v="2882"/>
    <n v="11555"/>
    <n v="10931"/>
    <n v="119561"/>
    <n v="12.57"/>
    <n v="8"/>
    <n v="8.73"/>
    <n v="16.22"/>
    <n v="16.41"/>
    <n v="4.0999999999999996"/>
    <n v="12152"/>
    <n v="2092"/>
    <n v="14"/>
    <n v="1678790.78"/>
    <n v="5.0411851594717474"/>
    <n v="33301510"/>
    <n v="0.57698298360663614"/>
    <n v="14.041426552136567"/>
  </r>
  <r>
    <s v="P0693"/>
    <s v="Model_891"/>
    <x v="1"/>
    <x v="3"/>
    <n v="2024"/>
    <s v="Q3"/>
    <n v="3629"/>
    <n v="5940"/>
    <n v="14017"/>
    <n v="364099"/>
    <n v="5.42"/>
    <n v="0"/>
    <n v="2.44"/>
    <n v="18.18"/>
    <n v="24.65"/>
    <n v="4.9000000000000004"/>
    <n v="15879"/>
    <n v="7550"/>
    <n v="13"/>
    <n v="-29675550.18"/>
    <n v="-137.66557918674204"/>
    <n v="21556260"/>
    <n v="0.72653409004458103"/>
    <n v="-81.504019511176907"/>
  </r>
  <r>
    <s v="P0694"/>
    <s v="Model_934"/>
    <x v="0"/>
    <x v="0"/>
    <n v="2024"/>
    <s v="Q4"/>
    <n v="3081"/>
    <n v="4572"/>
    <n v="8633"/>
    <n v="111240"/>
    <n v="12.9"/>
    <n v="18"/>
    <n v="4.5"/>
    <n v="15.84"/>
    <n v="57.14"/>
    <n v="4"/>
    <n v="16403"/>
    <n v="3025"/>
    <n v="11"/>
    <n v="-12623196.84"/>
    <n v="-89.613086217192659"/>
    <n v="14086332"/>
    <n v="0.61682323819987717"/>
    <n v="-113.47699568500539"/>
  </r>
  <r>
    <s v="P0695"/>
    <s v="Model_112"/>
    <x v="1"/>
    <x v="2"/>
    <n v="2024"/>
    <s v="Q1"/>
    <n v="4214"/>
    <n v="15098"/>
    <n v="12061"/>
    <n v="201165"/>
    <n v="6.1"/>
    <n v="10"/>
    <n v="9.26"/>
    <n v="3.51"/>
    <n v="54.8"/>
    <n v="1.7"/>
    <n v="17413"/>
    <n v="1220"/>
    <n v="3"/>
    <n v="12596749.49"/>
    <n v="19.799058569599673"/>
    <n v="63622972"/>
    <n v="0.84365242641164628"/>
    <n v="62.619009270996443"/>
  </r>
  <r>
    <s v="P0696"/>
    <s v="Model_144"/>
    <x v="0"/>
    <x v="3"/>
    <n v="2024"/>
    <s v="Q4"/>
    <n v="2643"/>
    <n v="15787"/>
    <n v="7588"/>
    <n v="449371"/>
    <n v="4.92"/>
    <n v="18"/>
    <n v="6.6"/>
    <n v="11.07"/>
    <n v="69.11"/>
    <n v="1.3"/>
    <n v="20671"/>
    <n v="5410"/>
    <n v="14"/>
    <n v="21220574.93"/>
    <n v="50.858128407830684"/>
    <n v="41725041"/>
    <n v="0.52913463763786928"/>
    <n v="47.222864848866529"/>
  </r>
  <r>
    <s v="P0697"/>
    <s v="Model_590"/>
    <x v="2"/>
    <x v="2"/>
    <n v="2024"/>
    <s v="Q1"/>
    <n v="4350"/>
    <n v="15465"/>
    <n v="1026"/>
    <n v="96607"/>
    <n v="6.81"/>
    <n v="17"/>
    <n v="3.89"/>
    <n v="14.04"/>
    <n v="75.010000000000005"/>
    <n v="3.3"/>
    <n v="10970"/>
    <n v="546"/>
    <n v="4"/>
    <n v="62713028.960000001"/>
    <n v="93.222038581743732"/>
    <n v="67272750"/>
    <n v="0.87087993708843414"/>
    <n v="649.15630337346158"/>
  </r>
  <r>
    <s v="P0698"/>
    <s v="Model_750"/>
    <x v="0"/>
    <x v="1"/>
    <n v="2024"/>
    <s v="Q3"/>
    <n v="3868"/>
    <n v="11019"/>
    <n v="12539"/>
    <n v="476703"/>
    <n v="11.44"/>
    <n v="11"/>
    <n v="1.31"/>
    <n v="21.23"/>
    <n v="20.29"/>
    <n v="2.4"/>
    <n v="18349"/>
    <n v="6727"/>
    <n v="10"/>
    <n v="-6356084.2300000004"/>
    <n v="-14.912861872597047"/>
    <n v="42621492"/>
    <n v="0.77438243601334789"/>
    <n v="-13.333381581403936"/>
  </r>
  <r>
    <s v="P0699"/>
    <s v="Model_232"/>
    <x v="1"/>
    <x v="3"/>
    <n v="2023"/>
    <s v="Q3"/>
    <n v="4188"/>
    <n v="14880"/>
    <n v="1064"/>
    <n v="236740"/>
    <n v="1.89"/>
    <n v="0"/>
    <n v="2.62"/>
    <n v="11.09"/>
    <n v="11.47"/>
    <n v="2.1"/>
    <n v="13040"/>
    <n v="2996"/>
    <n v="12"/>
    <n v="57624656.909999996"/>
    <n v="92.469550915441971"/>
    <n v="62317440"/>
    <n v="0.83844716701755451"/>
    <n v="243.40909014108306"/>
  </r>
  <r>
    <s v="P0700"/>
    <s v="Model_675"/>
    <x v="1"/>
    <x v="2"/>
    <n v="2024"/>
    <s v="Q3"/>
    <n v="3873"/>
    <n v="13365"/>
    <n v="10387"/>
    <n v="464179"/>
    <n v="2.95"/>
    <n v="18"/>
    <n v="5.81"/>
    <n v="22.97"/>
    <n v="65.17"/>
    <n v="4.2"/>
    <n v="19371"/>
    <n v="821"/>
    <n v="12"/>
    <n v="11069592.029999999"/>
    <n v="21.385290550743687"/>
    <n v="51762645"/>
    <n v="0.77538344743528853"/>
    <n v="23.84772900109656"/>
  </r>
  <r>
    <s v="P0701"/>
    <s v="Model_243"/>
    <x v="0"/>
    <x v="2"/>
    <n v="2023"/>
    <s v="Q3"/>
    <n v="4092"/>
    <n v="9625"/>
    <n v="12549"/>
    <n v="231196"/>
    <n v="14.27"/>
    <n v="19"/>
    <n v="7.18"/>
    <n v="11.01"/>
    <n v="34.11"/>
    <n v="2.5"/>
    <n v="6097"/>
    <n v="2263"/>
    <n v="10"/>
    <n v="-12196215.01"/>
    <n v="-30.966256642673063"/>
    <n v="39385500"/>
    <n v="0.81922774771629248"/>
    <n v="-52.752660080624231"/>
  </r>
  <r>
    <s v="P0702"/>
    <s v="Model_126"/>
    <x v="0"/>
    <x v="3"/>
    <n v="2024"/>
    <s v="Q4"/>
    <n v="1956"/>
    <n v="4791"/>
    <n v="14545"/>
    <n v="365014"/>
    <n v="2.63"/>
    <n v="16"/>
    <n v="1.24"/>
    <n v="13.72"/>
    <n v="60.08"/>
    <n v="2.2999999999999998"/>
    <n v="6036"/>
    <n v="9643"/>
    <n v="7"/>
    <n v="-19443851.719999999"/>
    <n v="-207.48527423820821"/>
    <n v="9371196"/>
    <n v="0.39159566826321313"/>
    <n v="-53.268745856323321"/>
  </r>
  <r>
    <s v="P0703"/>
    <s v="Model_314"/>
    <x v="1"/>
    <x v="3"/>
    <n v="2024"/>
    <s v="Q1"/>
    <n v="810"/>
    <n v="5533"/>
    <n v="1445"/>
    <n v="499763"/>
    <n v="8.52"/>
    <n v="4"/>
    <n v="6"/>
    <n v="19.91"/>
    <n v="22.04"/>
    <n v="4.4000000000000004"/>
    <n v="18209"/>
    <n v="4080"/>
    <n v="11"/>
    <n v="2811497.09"/>
    <n v="62.732406682241006"/>
    <n v="4481730"/>
    <n v="0.16216385035439806"/>
    <n v="5.6257005820759041"/>
  </r>
  <r>
    <s v="P0704"/>
    <s v="Model_914"/>
    <x v="0"/>
    <x v="2"/>
    <n v="2024"/>
    <s v="Q3"/>
    <n v="3495"/>
    <n v="6605"/>
    <n v="8344"/>
    <n v="114110"/>
    <n v="8.69"/>
    <n v="2"/>
    <n v="5.5"/>
    <n v="14.58"/>
    <n v="47.52"/>
    <n v="4.4000000000000004"/>
    <n v="11457"/>
    <n v="4602"/>
    <n v="11"/>
    <n v="-6191929.5800000001"/>
    <n v="-26.822917047063015"/>
    <n v="23084475"/>
    <n v="0.69970698393656949"/>
    <n v="-54.262685128384895"/>
  </r>
  <r>
    <s v="P0705"/>
    <s v="Model_197"/>
    <x v="0"/>
    <x v="2"/>
    <n v="2024"/>
    <s v="Q3"/>
    <n v="949"/>
    <n v="18587"/>
    <n v="14506"/>
    <n v="234626"/>
    <n v="7.34"/>
    <n v="1"/>
    <n v="5.14"/>
    <n v="24.01"/>
    <n v="50.35"/>
    <n v="2.4"/>
    <n v="5662"/>
    <n v="1825"/>
    <n v="10"/>
    <n v="3638218.99"/>
    <n v="20.625919812180502"/>
    <n v="17639063"/>
    <n v="0.18999196788435033"/>
    <n v="15.506563637448535"/>
  </r>
  <r>
    <s v="P0706"/>
    <s v="Model_776"/>
    <x v="0"/>
    <x v="2"/>
    <n v="2024"/>
    <s v="Q1"/>
    <n v="4505"/>
    <n v="9633"/>
    <n v="6369"/>
    <n v="202008"/>
    <n v="9.67"/>
    <n v="2"/>
    <n v="6.9"/>
    <n v="16.510000000000002"/>
    <n v="56.81"/>
    <n v="4.3"/>
    <n v="1803"/>
    <n v="8985"/>
    <n v="5"/>
    <n v="14502295.49"/>
    <n v="33.417995345955731"/>
    <n v="43396665"/>
    <n v="0.9019112911685967"/>
    <n v="71.790780563146015"/>
  </r>
  <r>
    <s v="P0707"/>
    <s v="Model_616"/>
    <x v="1"/>
    <x v="0"/>
    <n v="2023"/>
    <s v="Q1"/>
    <n v="2997"/>
    <n v="18458"/>
    <n v="3790"/>
    <n v="429039"/>
    <n v="3.45"/>
    <n v="7"/>
    <n v="8.3699999999999992"/>
    <n v="13.07"/>
    <n v="51.05"/>
    <n v="4.4000000000000004"/>
    <n v="6567"/>
    <n v="3513"/>
    <n v="12"/>
    <n v="43530943.93"/>
    <n v="78.691296363723865"/>
    <n v="55318626"/>
    <n v="0.60000624631127286"/>
    <n v="101.46153846153847"/>
  </r>
  <r>
    <s v="P0708"/>
    <s v="Model_546"/>
    <x v="1"/>
    <x v="1"/>
    <n v="2023"/>
    <s v="Q4"/>
    <n v="1769"/>
    <n v="7204"/>
    <n v="14475"/>
    <n v="54426"/>
    <n v="8.2899999999999991"/>
    <n v="15"/>
    <n v="3.23"/>
    <n v="0.59"/>
    <n v="49.66"/>
    <n v="2.7"/>
    <n v="6524"/>
    <n v="594"/>
    <n v="6"/>
    <n v="-12916825.59"/>
    <n v="-101.35711921553536"/>
    <n v="12743876"/>
    <n v="0.35415784108262988"/>
    <n v="-237.32820710689745"/>
  </r>
  <r>
    <s v="P0709"/>
    <s v="Model_422"/>
    <x v="1"/>
    <x v="0"/>
    <n v="2023"/>
    <s v="Q4"/>
    <n v="330"/>
    <n v="9348"/>
    <n v="10891"/>
    <n v="269911"/>
    <n v="5.58"/>
    <n v="5"/>
    <n v="8.89"/>
    <n v="10.34"/>
    <n v="36.619999999999997"/>
    <n v="1.3"/>
    <n v="9215"/>
    <n v="1047"/>
    <n v="11"/>
    <n v="-779111.34"/>
    <n v="-25.256134515890611"/>
    <n v="3084840"/>
    <n v="6.6066753848088106E-2"/>
    <n v="-2.8865107387249873"/>
  </r>
  <r>
    <s v="P0710"/>
    <s v="Model_777"/>
    <x v="1"/>
    <x v="2"/>
    <n v="2024"/>
    <s v="Q4"/>
    <n v="3316"/>
    <n v="14475"/>
    <n v="3304"/>
    <n v="339750"/>
    <n v="9.93"/>
    <n v="12"/>
    <n v="1.61"/>
    <n v="7.48"/>
    <n v="15.69"/>
    <n v="1"/>
    <n v="12726"/>
    <n v="122"/>
    <n v="7"/>
    <n v="36703278.520000003"/>
    <n v="76.466597332033317"/>
    <n v="47999100"/>
    <n v="0.66387077503109138"/>
    <n v="108.03027520235467"/>
  </r>
  <r>
    <s v="P0711"/>
    <s v="Model_515"/>
    <x v="2"/>
    <x v="2"/>
    <n v="2023"/>
    <s v="Q3"/>
    <n v="1937"/>
    <n v="8424"/>
    <n v="11764"/>
    <n v="491048"/>
    <n v="2.12"/>
    <n v="15"/>
    <n v="1.73"/>
    <n v="18.7"/>
    <n v="17.16"/>
    <n v="3.1"/>
    <n v="4131"/>
    <n v="1228"/>
    <n v="14"/>
    <n v="-6960646.7000000002"/>
    <n v="-42.658110220276804"/>
    <n v="16317288"/>
    <n v="0.38779182485983837"/>
    <n v="-14.175046024013946"/>
  </r>
  <r>
    <s v="P0712"/>
    <s v="Model_905"/>
    <x v="1"/>
    <x v="0"/>
    <n v="2023"/>
    <s v="Q4"/>
    <n v="3316"/>
    <n v="1988"/>
    <n v="14337"/>
    <n v="78151"/>
    <n v="8.56"/>
    <n v="15"/>
    <n v="2.67"/>
    <n v="5.21"/>
    <n v="44.7"/>
    <n v="2.4"/>
    <n v="14912"/>
    <n v="657"/>
    <n v="10"/>
    <n v="-41027440.210000001"/>
    <n v="-622.36264708273768"/>
    <n v="6592208"/>
    <n v="0.66387077503109138"/>
    <n v="-524.97645583549797"/>
  </r>
  <r>
    <s v="P0713"/>
    <s v="Model_996"/>
    <x v="0"/>
    <x v="3"/>
    <n v="2024"/>
    <s v="Q3"/>
    <n v="716"/>
    <n v="8614"/>
    <n v="14069"/>
    <n v="323452"/>
    <n v="2.78"/>
    <n v="2"/>
    <n v="1.2"/>
    <n v="5.13"/>
    <n v="38.46"/>
    <n v="5"/>
    <n v="16537"/>
    <n v="9908"/>
    <n v="14"/>
    <n v="-4229237.13"/>
    <n v="-68.571578455495981"/>
    <n v="6167624"/>
    <n v="0.14334483562191236"/>
    <n v="-13.075300199102186"/>
  </r>
  <r>
    <s v="P0714"/>
    <s v="Model_183"/>
    <x v="2"/>
    <x v="2"/>
    <n v="2024"/>
    <s v="Q4"/>
    <n v="4238"/>
    <n v="17240"/>
    <n v="10146"/>
    <n v="290853"/>
    <n v="4.18"/>
    <n v="12"/>
    <n v="2.2999999999999998"/>
    <n v="4.74"/>
    <n v="51.29"/>
    <n v="4.0999999999999996"/>
    <n v="13147"/>
    <n v="3830"/>
    <n v="6"/>
    <n v="29773514.260000002"/>
    <n v="40.750400831500215"/>
    <n v="73063120"/>
    <n v="0.84845728123696174"/>
    <n v="102.36620904718191"/>
  </r>
  <r>
    <s v="P0715"/>
    <s v="Model_911"/>
    <x v="0"/>
    <x v="2"/>
    <n v="2023"/>
    <s v="Q3"/>
    <n v="721"/>
    <n v="4673"/>
    <n v="1387"/>
    <n v="304595"/>
    <n v="3.28"/>
    <n v="13"/>
    <n v="1.06"/>
    <n v="3.14"/>
    <n v="34.39"/>
    <n v="4"/>
    <n v="14069"/>
    <n v="5441"/>
    <n v="9"/>
    <n v="2064607.86"/>
    <n v="61.278274907078256"/>
    <n v="3369233"/>
    <n v="0.14434584704385309"/>
    <n v="6.7782169766411133"/>
  </r>
  <r>
    <s v="P0716"/>
    <s v="Model_772"/>
    <x v="0"/>
    <x v="3"/>
    <n v="2024"/>
    <s v="Q4"/>
    <n v="2019"/>
    <n v="3167"/>
    <n v="13563"/>
    <n v="226743"/>
    <n v="2.74"/>
    <n v="7"/>
    <n v="8.2200000000000006"/>
    <n v="7.78"/>
    <n v="65.03"/>
    <n v="4.8"/>
    <n v="3869"/>
    <n v="7098"/>
    <n v="12"/>
    <n v="-21216274.780000001"/>
    <n v="-331.80639278918477"/>
    <n v="6394173"/>
    <n v="0.4042084121796663"/>
    <n v="-93.569666979796509"/>
  </r>
  <r>
    <s v="P0717"/>
    <s v="Model_554"/>
    <x v="0"/>
    <x v="0"/>
    <n v="2024"/>
    <s v="Q3"/>
    <n v="4206"/>
    <n v="5614"/>
    <n v="10813"/>
    <n v="140306"/>
    <n v="12.39"/>
    <n v="11"/>
    <n v="1.39"/>
    <n v="22.15"/>
    <n v="79.12"/>
    <n v="4.5999999999999996"/>
    <n v="13159"/>
    <n v="7282"/>
    <n v="2"/>
    <n v="-22007322.149999999"/>
    <n v="-93.202062730884222"/>
    <n v="23612484"/>
    <n v="0.8420508081365411"/>
    <n v="-156.85216598007213"/>
  </r>
  <r>
    <s v="P0718"/>
    <s v="Model_511"/>
    <x v="2"/>
    <x v="0"/>
    <n v="2024"/>
    <s v="Q4"/>
    <n v="3172"/>
    <n v="5053"/>
    <n v="9977"/>
    <n v="275180"/>
    <n v="4.29"/>
    <n v="7"/>
    <n v="7.47"/>
    <n v="19.37"/>
    <n v="33.909999999999997"/>
    <n v="2.2999999999999998"/>
    <n v="2028"/>
    <n v="7134"/>
    <n v="6"/>
    <n v="-15894127.369999999"/>
    <n v="-99.164040053116651"/>
    <n v="16028116"/>
    <n v="0.63504164607919833"/>
    <n v="-57.75895050512392"/>
  </r>
  <r>
    <s v="P0719"/>
    <s v="Model_757"/>
    <x v="0"/>
    <x v="0"/>
    <n v="2024"/>
    <s v="Q1"/>
    <n v="4749"/>
    <n v="9261"/>
    <n v="4879"/>
    <n v="419128"/>
    <n v="13.91"/>
    <n v="8"/>
    <n v="0.48"/>
    <n v="18.38"/>
    <n v="25.44"/>
    <n v="1.7"/>
    <n v="12002"/>
    <n v="1756"/>
    <n v="11"/>
    <n v="20390971.620000001"/>
    <n v="46.363676447526544"/>
    <n v="43980489"/>
    <n v="0.95076064855930431"/>
    <n v="48.65098490198698"/>
  </r>
  <r>
    <s v="P0720"/>
    <s v="Model_758"/>
    <x v="1"/>
    <x v="0"/>
    <n v="2024"/>
    <s v="Q2"/>
    <n v="4827"/>
    <n v="2500"/>
    <n v="4148"/>
    <n v="52204"/>
    <n v="14.55"/>
    <n v="0"/>
    <n v="9.49"/>
    <n v="19.93"/>
    <n v="19.29"/>
    <n v="4"/>
    <n v="6175"/>
    <n v="4273"/>
    <n v="2"/>
    <n v="-8007119.9299999997"/>
    <n v="-66.352765112906567"/>
    <n v="12067500"/>
    <n v="0.96637642674157964"/>
    <n v="-153.38096697571066"/>
  </r>
  <r>
    <s v="P0721"/>
    <s v="Model_105"/>
    <x v="0"/>
    <x v="0"/>
    <n v="2024"/>
    <s v="Q1"/>
    <n v="3950"/>
    <n v="17138"/>
    <n v="7099"/>
    <n v="142769"/>
    <n v="8.57"/>
    <n v="5"/>
    <n v="7.11"/>
    <n v="6.74"/>
    <n v="59.3"/>
    <n v="2.5"/>
    <n v="19547"/>
    <n v="5541"/>
    <n v="11"/>
    <n v="39511274.259999998"/>
    <n v="58.366520265129971"/>
    <n v="67695100"/>
    <n v="0.79079902333317575"/>
    <n v="276.74972157821378"/>
  </r>
  <r>
    <s v="P0722"/>
    <s v="Model_623"/>
    <x v="0"/>
    <x v="3"/>
    <n v="2024"/>
    <s v="Q4"/>
    <n v="573"/>
    <n v="19272"/>
    <n v="4631"/>
    <n v="137265"/>
    <n v="2.15"/>
    <n v="18"/>
    <n v="7.0000000000000007E-2"/>
    <n v="22.19"/>
    <n v="45.51"/>
    <n v="2.9"/>
    <n v="3841"/>
    <n v="9098"/>
    <n v="7"/>
    <n v="8252005.8099999996"/>
    <n v="74.727097863089043"/>
    <n v="11042856"/>
    <n v="0.11471590895440753"/>
    <n v="60.117495355698829"/>
  </r>
  <r>
    <s v="P0723"/>
    <s v="Model_103"/>
    <x v="0"/>
    <x v="1"/>
    <n v="2023"/>
    <s v="Q2"/>
    <n v="2443"/>
    <n v="6950"/>
    <n v="10233"/>
    <n v="343275"/>
    <n v="5.62"/>
    <n v="10"/>
    <n v="7.64"/>
    <n v="3.43"/>
    <n v="25.04"/>
    <n v="3.5"/>
    <n v="15419"/>
    <n v="3412"/>
    <n v="8"/>
    <n v="-8363647.4299999997"/>
    <n v="-49.259210311652438"/>
    <n v="16978850"/>
    <n v="0.48909418076024014"/>
    <n v="-24.364267715388536"/>
  </r>
  <r>
    <s v="P0724"/>
    <s v="Model_660"/>
    <x v="1"/>
    <x v="0"/>
    <n v="2023"/>
    <s v="Q4"/>
    <n v="3167"/>
    <n v="5212"/>
    <n v="9181"/>
    <n v="102428"/>
    <n v="11.97"/>
    <n v="10"/>
    <n v="5.14"/>
    <n v="8.41"/>
    <n v="62.25"/>
    <n v="4.5999999999999996"/>
    <n v="16230"/>
    <n v="8745"/>
    <n v="13"/>
    <n v="-12672259.41"/>
    <n v="-76.771775427282648"/>
    <n v="16506404"/>
    <n v="0.63404063465725768"/>
    <n v="-123.71862186120983"/>
  </r>
  <r>
    <s v="P0725"/>
    <s v="Model_887"/>
    <x v="2"/>
    <x v="1"/>
    <n v="2023"/>
    <s v="Q2"/>
    <n v="2643"/>
    <n v="2867"/>
    <n v="14528"/>
    <n v="83870"/>
    <n v="5.51"/>
    <n v="12"/>
    <n v="7.79"/>
    <n v="14.67"/>
    <n v="21.88"/>
    <n v="2.7"/>
    <n v="16756"/>
    <n v="2424"/>
    <n v="6"/>
    <n v="-30903907.670000002"/>
    <n v="-407.8388011794421"/>
    <n v="7577481"/>
    <n v="0.52913463763786928"/>
    <n v="-368.473745081674"/>
  </r>
  <r>
    <s v="P0726"/>
    <s v="Model_811"/>
    <x v="0"/>
    <x v="2"/>
    <n v="2024"/>
    <s v="Q2"/>
    <n v="2018"/>
    <n v="9689"/>
    <n v="9972"/>
    <n v="153547"/>
    <n v="1.31"/>
    <n v="10"/>
    <n v="5.22"/>
    <n v="2.57"/>
    <n v="54.34"/>
    <n v="4.0999999999999996"/>
    <n v="6405"/>
    <n v="9739"/>
    <n v="2"/>
    <n v="-724643.57"/>
    <n v="-3.7061613708637946"/>
    <n v="19552402"/>
    <n v="0.40400820989527814"/>
    <n v="-4.7193432629748546"/>
  </r>
  <r>
    <s v="P0727"/>
    <s v="Model_395"/>
    <x v="2"/>
    <x v="1"/>
    <n v="2023"/>
    <s v="Q3"/>
    <n v="1803"/>
    <n v="10513"/>
    <n v="10690"/>
    <n v="285990"/>
    <n v="8.35"/>
    <n v="17"/>
    <n v="6.41"/>
    <n v="18.25"/>
    <n v="52.17"/>
    <n v="2.1"/>
    <n v="17039"/>
    <n v="5695"/>
    <n v="7"/>
    <n v="-605139.25"/>
    <n v="-3.1925148901824478"/>
    <n v="18954939"/>
    <n v="0.36096471875182684"/>
    <n v="-2.1158816741844122"/>
  </r>
  <r>
    <s v="P0728"/>
    <s v="Model_242"/>
    <x v="0"/>
    <x v="2"/>
    <n v="2023"/>
    <s v="Q2"/>
    <n v="2346"/>
    <n v="18338"/>
    <n v="2515"/>
    <n v="99067"/>
    <n v="12.68"/>
    <n v="14"/>
    <n v="7.86"/>
    <n v="9.68"/>
    <n v="68.739999999999995"/>
    <n v="3.8"/>
    <n v="16755"/>
    <n v="6084"/>
    <n v="11"/>
    <n v="37021681.32"/>
    <n v="86.055010503255303"/>
    <n v="43020948"/>
    <n v="0.46967455917459"/>
    <n v="373.70356425449444"/>
  </r>
  <r>
    <s v="P0729"/>
    <s v="Model_826"/>
    <x v="1"/>
    <x v="2"/>
    <n v="2023"/>
    <s v="Q1"/>
    <n v="2311"/>
    <n v="5226"/>
    <n v="11585"/>
    <n v="288083"/>
    <n v="11.94"/>
    <n v="0"/>
    <n v="4.05"/>
    <n v="19.61"/>
    <n v="14.41"/>
    <n v="1"/>
    <n v="10384"/>
    <n v="2611"/>
    <n v="6"/>
    <n v="-14983751.609999999"/>
    <n v="-124.06555255874538"/>
    <n v="12077286"/>
    <n v="0.46266747922100487"/>
    <n v="-52.011857693789636"/>
  </r>
  <r>
    <s v="P0730"/>
    <s v="Model_458"/>
    <x v="1"/>
    <x v="3"/>
    <n v="2024"/>
    <s v="Q1"/>
    <n v="2336"/>
    <n v="6306"/>
    <n v="13128"/>
    <n v="162217"/>
    <n v="2.63"/>
    <n v="6"/>
    <n v="0.03"/>
    <n v="12.32"/>
    <n v="81.03"/>
    <n v="4.5"/>
    <n v="10643"/>
    <n v="462"/>
    <n v="7"/>
    <n v="-16098421.32"/>
    <n v="-109.28397530727423"/>
    <n v="14730816"/>
    <n v="0.46767253633070854"/>
    <n v="-99.239962519341375"/>
  </r>
  <r>
    <s v="P0731"/>
    <s v="Model_636"/>
    <x v="1"/>
    <x v="2"/>
    <n v="2023"/>
    <s v="Q1"/>
    <n v="4252"/>
    <n v="3690"/>
    <n v="7250"/>
    <n v="464823"/>
    <n v="10.09"/>
    <n v="12"/>
    <n v="8.5"/>
    <n v="4.5199999999999996"/>
    <n v="66.239999999999995"/>
    <n v="1.1000000000000001"/>
    <n v="7450"/>
    <n v="3554"/>
    <n v="12"/>
    <n v="-15601947.52"/>
    <n v="-99.439559257304708"/>
    <n v="15689880"/>
    <n v="0.85126011321839579"/>
    <n v="-33.565342076446306"/>
  </r>
  <r>
    <s v="P0732"/>
    <s v="Model_882"/>
    <x v="1"/>
    <x v="0"/>
    <n v="2023"/>
    <s v="Q3"/>
    <n v="2928"/>
    <n v="10608"/>
    <n v="14030"/>
    <n v="468184"/>
    <n v="3.31"/>
    <n v="11"/>
    <n v="3.81"/>
    <n v="18.37"/>
    <n v="27.29"/>
    <n v="3.9"/>
    <n v="2860"/>
    <n v="2898"/>
    <n v="11"/>
    <n v="-10487818.369999999"/>
    <n v="-33.766074481626404"/>
    <n v="31060224"/>
    <n v="0.58619228868849083"/>
    <n v="-22.401021820480835"/>
  </r>
  <r>
    <s v="P0733"/>
    <s v="Model_746"/>
    <x v="1"/>
    <x v="2"/>
    <n v="2023"/>
    <s v="Q3"/>
    <n v="4193"/>
    <n v="13678"/>
    <n v="13425"/>
    <n v="148934"/>
    <n v="3.27"/>
    <n v="17"/>
    <n v="4.96"/>
    <n v="6.3"/>
    <n v="24.67"/>
    <n v="1.2"/>
    <n v="6627"/>
    <n v="4720"/>
    <n v="8"/>
    <n v="911888.7"/>
    <n v="1.5899899243013136"/>
    <n v="57351854"/>
    <n v="0.83944817843949526"/>
    <n v="6.1228127895577904"/>
  </r>
  <r>
    <s v="P0734"/>
    <s v="Model_827"/>
    <x v="1"/>
    <x v="2"/>
    <n v="2024"/>
    <s v="Q4"/>
    <n v="3694"/>
    <n v="4375"/>
    <n v="6233"/>
    <n v="192980"/>
    <n v="13.11"/>
    <n v="18"/>
    <n v="0.08"/>
    <n v="12.27"/>
    <n v="44.53"/>
    <n v="2.1"/>
    <n v="15752"/>
    <n v="3355"/>
    <n v="8"/>
    <n v="-7056444.2699999996"/>
    <n v="-43.662738154536314"/>
    <n v="16161250"/>
    <n v="0.73954723852981052"/>
    <n v="-36.565613016892939"/>
  </r>
  <r>
    <s v="P0735"/>
    <s v="Model_743"/>
    <x v="2"/>
    <x v="2"/>
    <n v="2023"/>
    <s v="Q4"/>
    <n v="4482"/>
    <n v="7092"/>
    <n v="1898"/>
    <n v="469639"/>
    <n v="3.75"/>
    <n v="14"/>
    <n v="4.92"/>
    <n v="1.89"/>
    <n v="75.41"/>
    <n v="3"/>
    <n v="10230"/>
    <n v="1317"/>
    <n v="3"/>
    <n v="22809867.109999999"/>
    <n v="71.75995801844968"/>
    <n v="31786344"/>
    <n v="0.89730663862766935"/>
    <n v="48.568941250620156"/>
  </r>
  <r>
    <s v="P0736"/>
    <s v="Model_831"/>
    <x v="2"/>
    <x v="0"/>
    <n v="2023"/>
    <s v="Q3"/>
    <n v="2105"/>
    <n v="19324"/>
    <n v="7896"/>
    <n v="386851"/>
    <n v="3.95"/>
    <n v="7"/>
    <n v="9.86"/>
    <n v="15.45"/>
    <n v="77.44"/>
    <n v="2.7"/>
    <n v="5425"/>
    <n v="1585"/>
    <n v="13"/>
    <n v="23669073.550000001"/>
    <n v="58.187825828932404"/>
    <n v="40677020"/>
    <n v="0.42142580863704687"/>
    <n v="61.183993320425692"/>
  </r>
  <r>
    <s v="P0737"/>
    <s v="Model_629"/>
    <x v="0"/>
    <x v="0"/>
    <n v="2024"/>
    <s v="Q3"/>
    <n v="4770"/>
    <n v="14092"/>
    <n v="3126"/>
    <n v="259329"/>
    <n v="0.01"/>
    <n v="18"/>
    <n v="2.78"/>
    <n v="16.649999999999999"/>
    <n v="51.64"/>
    <n v="1.8"/>
    <n v="9963"/>
    <n v="5449"/>
    <n v="4"/>
    <n v="52048474.350000001"/>
    <n v="77.431378390344136"/>
    <n v="67218840"/>
    <n v="0.95496489653145533"/>
    <n v="200.704475781729"/>
  </r>
  <r>
    <s v="P0738"/>
    <s v="Model_154"/>
    <x v="0"/>
    <x v="1"/>
    <n v="2024"/>
    <s v="Q3"/>
    <n v="1326"/>
    <n v="10427"/>
    <n v="12239"/>
    <n v="307354"/>
    <n v="13.06"/>
    <n v="9"/>
    <n v="3.95"/>
    <n v="9.4700000000000006"/>
    <n v="78.86"/>
    <n v="2.2999999999999998"/>
    <n v="18912"/>
    <n v="7295"/>
    <n v="13"/>
    <n v="-2710075.47"/>
    <n v="-19.601011687808413"/>
    <n v="13826202"/>
    <n v="0.26546822909868129"/>
    <n v="-8.8174092414609859"/>
  </r>
  <r>
    <s v="P0739"/>
    <s v="Model_883"/>
    <x v="0"/>
    <x v="1"/>
    <n v="2023"/>
    <s v="Q2"/>
    <n v="2816"/>
    <n v="15937"/>
    <n v="9887"/>
    <n v="111215"/>
    <n v="11.89"/>
    <n v="6"/>
    <n v="6.87"/>
    <n v="23.86"/>
    <n v="10.44"/>
    <n v="3.9"/>
    <n v="2742"/>
    <n v="7850"/>
    <n v="7"/>
    <n v="16925561.140000001"/>
    <n v="37.71410907900141"/>
    <n v="44878592"/>
    <n v="0.56376963283701853"/>
    <n v="152.18796924875241"/>
  </r>
  <r>
    <s v="P0740"/>
    <s v="Model_796"/>
    <x v="1"/>
    <x v="2"/>
    <n v="2024"/>
    <s v="Q2"/>
    <n v="352"/>
    <n v="13030"/>
    <n v="7216"/>
    <n v="236907"/>
    <n v="9.41"/>
    <n v="17"/>
    <n v="8.15"/>
    <n v="21.85"/>
    <n v="12.81"/>
    <n v="3.7"/>
    <n v="10284"/>
    <n v="6179"/>
    <n v="4"/>
    <n v="1809599.15"/>
    <n v="39.454387384008925"/>
    <n v="4586560"/>
    <n v="7.0471204104627316E-2"/>
    <n v="7.6385290430422064"/>
  </r>
  <r>
    <s v="P0741"/>
    <s v="Model_192"/>
    <x v="2"/>
    <x v="3"/>
    <n v="2023"/>
    <s v="Q2"/>
    <n v="688"/>
    <n v="8510"/>
    <n v="7780"/>
    <n v="361573"/>
    <n v="11.25"/>
    <n v="15"/>
    <n v="4.17"/>
    <n v="17.7"/>
    <n v="82.95"/>
    <n v="1.3"/>
    <n v="11297"/>
    <n v="9499"/>
    <n v="3"/>
    <n v="140649.29999999999"/>
    <n v="2.4022576039133168"/>
    <n v="5854880"/>
    <n v="0.13773917165904428"/>
    <n v="0.38904177026492576"/>
  </r>
  <r>
    <s v="P0742"/>
    <s v="Model_155"/>
    <x v="1"/>
    <x v="2"/>
    <n v="2024"/>
    <s v="Q1"/>
    <n v="105"/>
    <n v="12707"/>
    <n v="7563"/>
    <n v="394296"/>
    <n v="2.2799999999999998"/>
    <n v="19"/>
    <n v="3.1"/>
    <n v="17.84"/>
    <n v="72.03"/>
    <n v="4"/>
    <n v="7906"/>
    <n v="9740"/>
    <n v="5"/>
    <n v="145806.16"/>
    <n v="10.928071891383452"/>
    <n v="1334235"/>
    <n v="2.1021239860755304E-2"/>
    <n v="0.36983383042181506"/>
  </r>
  <r>
    <s v="P0743"/>
    <s v="Model_309"/>
    <x v="0"/>
    <x v="1"/>
    <n v="2023"/>
    <s v="Q1"/>
    <n v="4871"/>
    <n v="4489"/>
    <n v="2474"/>
    <n v="158048"/>
    <n v="6.87"/>
    <n v="5"/>
    <n v="9.3800000000000008"/>
    <n v="6.31"/>
    <n v="46.06"/>
    <n v="1.2"/>
    <n v="15465"/>
    <n v="8135"/>
    <n v="6"/>
    <n v="9657010.6899999995"/>
    <n v="44.164668724877281"/>
    <n v="21865919"/>
    <n v="0.97518532725465801"/>
    <n v="61.101798187892285"/>
  </r>
  <r>
    <s v="P0744"/>
    <s v="Model_163"/>
    <x v="2"/>
    <x v="0"/>
    <n v="2024"/>
    <s v="Q4"/>
    <n v="575"/>
    <n v="13540"/>
    <n v="11901"/>
    <n v="219530"/>
    <n v="5.27"/>
    <n v="8"/>
    <n v="6.77"/>
    <n v="16.420000000000002"/>
    <n v="70.290000000000006"/>
    <n v="3.2"/>
    <n v="15233"/>
    <n v="1607"/>
    <n v="12"/>
    <n v="722878.58"/>
    <n v="9.2849345578318676"/>
    <n v="7785500"/>
    <n v="0.11511631352318381"/>
    <n v="3.2929212408326882"/>
  </r>
  <r>
    <s v="P0745"/>
    <s v="Model_105"/>
    <x v="0"/>
    <x v="2"/>
    <n v="2024"/>
    <s v="Q3"/>
    <n v="4619"/>
    <n v="10718"/>
    <n v="8750"/>
    <n v="227241"/>
    <n v="1.41"/>
    <n v="12"/>
    <n v="1.19"/>
    <n v="4.96"/>
    <n v="86.45"/>
    <n v="2"/>
    <n v="19324"/>
    <n v="1103"/>
    <n v="11"/>
    <n v="8862946.0399999991"/>
    <n v="17.902611623755956"/>
    <n v="49506442"/>
    <n v="0.92473435158884532"/>
    <n v="39.002429139107818"/>
  </r>
  <r>
    <s v="P0746"/>
    <s v="Model_704"/>
    <x v="2"/>
    <x v="0"/>
    <n v="2023"/>
    <s v="Q1"/>
    <n v="4173"/>
    <n v="7971"/>
    <n v="9922"/>
    <n v="188731"/>
    <n v="7.29"/>
    <n v="7"/>
    <n v="0.69"/>
    <n v="3.6"/>
    <n v="71.77"/>
    <n v="3.4"/>
    <n v="5126"/>
    <n v="6503"/>
    <n v="10"/>
    <n v="-8330257.5999999996"/>
    <n v="-25.043627626542094"/>
    <n v="33262983"/>
    <n v="0.83544413275173235"/>
    <n v="-44.138239081020075"/>
  </r>
  <r>
    <s v="P0747"/>
    <s v="Model_868"/>
    <x v="0"/>
    <x v="1"/>
    <n v="2023"/>
    <s v="Q1"/>
    <n v="2175"/>
    <n v="4363"/>
    <n v="13376"/>
    <n v="289977"/>
    <n v="13.81"/>
    <n v="15"/>
    <n v="4.84"/>
    <n v="24.99"/>
    <n v="77.39"/>
    <n v="2"/>
    <n v="11574"/>
    <n v="1025"/>
    <n v="4"/>
    <n v="-19893276.989999998"/>
    <n v="-209.63406482410866"/>
    <n v="9489525"/>
    <n v="0.43543996854421707"/>
    <n v="-68.602861606265321"/>
  </r>
  <r>
    <s v="P0748"/>
    <s v="Model_972"/>
    <x v="0"/>
    <x v="0"/>
    <n v="2024"/>
    <s v="Q1"/>
    <n v="3337"/>
    <n v="12193"/>
    <n v="9715"/>
    <n v="389384"/>
    <n v="0.6"/>
    <n v="12"/>
    <n v="2.2000000000000002"/>
    <n v="15.56"/>
    <n v="70.849999999999994"/>
    <n v="4.9000000000000004"/>
    <n v="18068"/>
    <n v="8375"/>
    <n v="4"/>
    <n v="7879686.4400000004"/>
    <n v="19.366099341081576"/>
    <n v="40688041"/>
    <n v="0.6680750230032424"/>
    <n v="20.236327121812916"/>
  </r>
  <r>
    <s v="P0749"/>
    <s v="Model_597"/>
    <x v="2"/>
    <x v="3"/>
    <n v="2024"/>
    <s v="Q2"/>
    <n v="414"/>
    <n v="2677"/>
    <n v="11932"/>
    <n v="476009"/>
    <n v="4.37"/>
    <n v="12"/>
    <n v="2.54"/>
    <n v="10.77"/>
    <n v="23.46"/>
    <n v="2.2000000000000002"/>
    <n v="9531"/>
    <n v="6683"/>
    <n v="7"/>
    <n v="-4307589.7699999996"/>
    <n v="-388.67412057263607"/>
    <n v="1108278"/>
    <n v="8.2883745736692355E-2"/>
    <n v="-9.0493646128539584"/>
  </r>
  <r>
    <s v="P0750"/>
    <s v="Model_812"/>
    <x v="0"/>
    <x v="1"/>
    <n v="2023"/>
    <s v="Q4"/>
    <n v="4671"/>
    <n v="6260"/>
    <n v="6849"/>
    <n v="163688"/>
    <n v="3.11"/>
    <n v="16"/>
    <n v="8.7799999999999994"/>
    <n v="7.2"/>
    <n v="76.69"/>
    <n v="2"/>
    <n v="4688"/>
    <n v="4027"/>
    <n v="6"/>
    <n v="-2914914.2"/>
    <n v="-9.968769985150713"/>
    <n v="29240460"/>
    <n v="0.93514487037702887"/>
    <n v="-17.807701236498705"/>
  </r>
  <r>
    <s v="P0751"/>
    <s v="Model_940"/>
    <x v="0"/>
    <x v="1"/>
    <n v="2024"/>
    <s v="Q4"/>
    <n v="1696"/>
    <n v="1511"/>
    <n v="1889"/>
    <n v="358617"/>
    <n v="3.57"/>
    <n v="19"/>
    <n v="0.9"/>
    <n v="15.1"/>
    <n v="25.61"/>
    <n v="2.1"/>
    <n v="4445"/>
    <n v="9834"/>
    <n v="7"/>
    <n v="-999720.1"/>
    <n v="-39.01109239788719"/>
    <n v="2562656"/>
    <n v="0.33954307432229525"/>
    <n v="-2.7876676231188147"/>
  </r>
  <r>
    <s v="P0752"/>
    <s v="Model_685"/>
    <x v="1"/>
    <x v="2"/>
    <n v="2023"/>
    <s v="Q1"/>
    <n v="968"/>
    <n v="17853"/>
    <n v="5378"/>
    <n v="408906"/>
    <n v="13.63"/>
    <n v="4"/>
    <n v="7.15"/>
    <n v="1.24"/>
    <n v="81.41"/>
    <n v="4.5999999999999996"/>
    <n v="8265"/>
    <n v="1085"/>
    <n v="8"/>
    <n v="11666892.76"/>
    <n v="67.510083264937307"/>
    <n v="17281704"/>
    <n v="0.19379581128772511"/>
    <n v="28.531970672966402"/>
  </r>
  <r>
    <s v="P0753"/>
    <s v="Model_745"/>
    <x v="2"/>
    <x v="0"/>
    <n v="2023"/>
    <s v="Q2"/>
    <n v="2847"/>
    <n v="13056"/>
    <n v="9927"/>
    <n v="270460"/>
    <n v="7.02"/>
    <n v="16"/>
    <n v="2.71"/>
    <n v="2.37"/>
    <n v="46.69"/>
    <n v="3.5"/>
    <n v="20358"/>
    <n v="4331"/>
    <n v="12"/>
    <n v="8637800.6300000008"/>
    <n v="23.238364918653627"/>
    <n v="37170432"/>
    <n v="0.56997590365305095"/>
    <n v="31.937451009391406"/>
  </r>
  <r>
    <s v="P0754"/>
    <s v="Model_974"/>
    <x v="2"/>
    <x v="2"/>
    <n v="2023"/>
    <s v="Q1"/>
    <n v="1581"/>
    <n v="13063"/>
    <n v="11287"/>
    <n v="419100"/>
    <n v="6.99"/>
    <n v="8"/>
    <n v="7.6"/>
    <n v="0.82"/>
    <n v="64.16"/>
    <n v="3.9"/>
    <n v="12307"/>
    <n v="5402"/>
    <n v="4"/>
    <n v="2388755.1800000002"/>
    <n v="11.566363716961007"/>
    <n v="20652603"/>
    <n v="0.31651981161765846"/>
    <n v="5.6997279885468863"/>
  </r>
  <r>
    <s v="P0755"/>
    <s v="Model_963"/>
    <x v="2"/>
    <x v="2"/>
    <n v="2024"/>
    <s v="Q1"/>
    <n v="3395"/>
    <n v="15551"/>
    <n v="955"/>
    <n v="430596"/>
    <n v="11.41"/>
    <n v="1"/>
    <n v="7.22"/>
    <n v="12.48"/>
    <n v="49.78"/>
    <n v="4.7"/>
    <n v="11704"/>
    <n v="5391"/>
    <n v="14"/>
    <n v="49122811.520000003"/>
    <n v="93.043302189034733"/>
    <n v="52795645"/>
    <n v="0.67968675549775492"/>
    <n v="114.08100400375294"/>
  </r>
  <r>
    <s v="P0756"/>
    <s v="Model_751"/>
    <x v="1"/>
    <x v="2"/>
    <n v="2023"/>
    <s v="Q3"/>
    <n v="1956"/>
    <n v="12522"/>
    <n v="10062"/>
    <n v="236823"/>
    <n v="2.3199999999999998"/>
    <n v="17"/>
    <n v="7.0000000000000007E-2"/>
    <n v="15.02"/>
    <n v="17.52"/>
    <n v="4.5999999999999996"/>
    <n v="10852"/>
    <n v="1008"/>
    <n v="6"/>
    <n v="4574921.9800000004"/>
    <n v="18.678463246199982"/>
    <n v="24493032"/>
    <n v="0.39159566826321313"/>
    <n v="19.31795898202455"/>
  </r>
  <r>
    <s v="P0757"/>
    <s v="Model_196"/>
    <x v="0"/>
    <x v="2"/>
    <n v="2024"/>
    <s v="Q3"/>
    <n v="3136"/>
    <n v="9734"/>
    <n v="2758"/>
    <n v="438455"/>
    <n v="7.31"/>
    <n v="8"/>
    <n v="5.09"/>
    <n v="1.56"/>
    <n v="33.26"/>
    <n v="4"/>
    <n v="6099"/>
    <n v="5151"/>
    <n v="9"/>
    <n v="21438279.440000001"/>
    <n v="70.22997787054004"/>
    <n v="30525824"/>
    <n v="0.62783436384122515"/>
    <n v="48.895054224492824"/>
  </r>
  <r>
    <s v="P0758"/>
    <s v="Model_775"/>
    <x v="0"/>
    <x v="0"/>
    <n v="2024"/>
    <s v="Q1"/>
    <n v="4630"/>
    <n v="17673"/>
    <n v="11493"/>
    <n v="259987"/>
    <n v="6.45"/>
    <n v="5"/>
    <n v="1.39"/>
    <n v="18.03"/>
    <n v="88.7"/>
    <n v="1.8"/>
    <n v="5813"/>
    <n v="2686"/>
    <n v="5"/>
    <n v="28353394.969999999"/>
    <n v="34.650842562369242"/>
    <n v="81825990"/>
    <n v="0.92693657671711494"/>
    <n v="109.05704131360415"/>
  </r>
  <r>
    <s v="P0759"/>
    <s v="Model_547"/>
    <x v="0"/>
    <x v="2"/>
    <n v="2023"/>
    <s v="Q2"/>
    <n v="2125"/>
    <n v="14678"/>
    <n v="7144"/>
    <n v="497470"/>
    <n v="8.9499999999999993"/>
    <n v="10"/>
    <n v="8.66"/>
    <n v="5.76"/>
    <n v="86.86"/>
    <n v="4.4000000000000004"/>
    <n v="3718"/>
    <n v="9435"/>
    <n v="11"/>
    <n v="15512274.24"/>
    <n v="49.733572421310804"/>
    <n v="31190750"/>
    <n v="0.42542985432480979"/>
    <n v="31.182342653828371"/>
  </r>
  <r>
    <s v="P0760"/>
    <s v="Model_599"/>
    <x v="2"/>
    <x v="0"/>
    <n v="2024"/>
    <s v="Q3"/>
    <n v="763"/>
    <n v="8070"/>
    <n v="6579"/>
    <n v="319150"/>
    <n v="14.99"/>
    <n v="5"/>
    <n v="8.7200000000000006"/>
    <n v="17.13"/>
    <n v="35.64"/>
    <n v="1.8"/>
    <n v="15286"/>
    <n v="1431"/>
    <n v="3"/>
    <n v="818465.87"/>
    <n v="13.292372442309347"/>
    <n v="6157410"/>
    <n v="0.15275434298815521"/>
    <n v="2.5645715180949398"/>
  </r>
  <r>
    <s v="P0761"/>
    <s v="Model_195"/>
    <x v="0"/>
    <x v="2"/>
    <n v="2023"/>
    <s v="Q1"/>
    <n v="1112"/>
    <n v="1906"/>
    <n v="13211"/>
    <n v="299243"/>
    <n v="11.54"/>
    <n v="5"/>
    <n v="4.18"/>
    <n v="24.55"/>
    <n v="89.7"/>
    <n v="4"/>
    <n v="19036"/>
    <n v="6951"/>
    <n v="5"/>
    <n v="-12870427.550000001"/>
    <n v="-607.2468779960293"/>
    <n v="2119472"/>
    <n v="0.2226249402396181"/>
    <n v="-43.009871575943293"/>
  </r>
  <r>
    <s v="P0762"/>
    <s v="Model_227"/>
    <x v="0"/>
    <x v="1"/>
    <n v="2023"/>
    <s v="Q1"/>
    <n v="2026"/>
    <n v="10706"/>
    <n v="6944"/>
    <n v="124218"/>
    <n v="5.97"/>
    <n v="12"/>
    <n v="4.4400000000000004"/>
    <n v="17.28"/>
    <n v="77.64"/>
    <n v="3.7"/>
    <n v="1556"/>
    <n v="9845"/>
    <n v="3"/>
    <n v="7497576.7199999997"/>
    <n v="34.566406932186823"/>
    <n v="21690356"/>
    <n v="0.40560982817038332"/>
    <n v="60.358353861759163"/>
  </r>
  <r>
    <s v="P0763"/>
    <s v="Model_922"/>
    <x v="2"/>
    <x v="1"/>
    <n v="2023"/>
    <s v="Q4"/>
    <n v="1346"/>
    <n v="5931"/>
    <n v="5863"/>
    <n v="246416"/>
    <n v="12.41"/>
    <n v="10"/>
    <n v="3.03"/>
    <n v="22.08"/>
    <n v="58.88"/>
    <n v="4"/>
    <n v="14033"/>
    <n v="1906"/>
    <n v="4"/>
    <n v="-154910.07999999999"/>
    <n v="-1.9404689340992487"/>
    <n v="7983126"/>
    <n v="0.2694722747864442"/>
    <n v="-0.62856308031945973"/>
  </r>
  <r>
    <s v="P0764"/>
    <s v="Model_783"/>
    <x v="0"/>
    <x v="1"/>
    <n v="2023"/>
    <s v="Q1"/>
    <n v="175"/>
    <n v="8042"/>
    <n v="4630"/>
    <n v="477056"/>
    <n v="2.56"/>
    <n v="13"/>
    <n v="7.17"/>
    <n v="23.7"/>
    <n v="13.21"/>
    <n v="3.1"/>
    <n v="1643"/>
    <n v="905"/>
    <n v="5"/>
    <n v="120020.3"/>
    <n v="8.5281060148506054"/>
    <n v="1407350"/>
    <n v="3.503539976792551E-2"/>
    <n v="0.25163502817279315"/>
  </r>
  <r>
    <s v="P0765"/>
    <s v="Model_294"/>
    <x v="1"/>
    <x v="3"/>
    <n v="2023"/>
    <s v="Q3"/>
    <n v="4682"/>
    <n v="10406"/>
    <n v="9846"/>
    <n v="82430"/>
    <n v="0.46"/>
    <n v="1"/>
    <n v="3.59"/>
    <n v="12.17"/>
    <n v="82.12"/>
    <n v="3.6"/>
    <n v="8718"/>
    <n v="4247"/>
    <n v="5"/>
    <n v="2539477.83"/>
    <n v="5.2122974883136379"/>
    <n v="48720892"/>
    <n v="0.93734709550529849"/>
    <n v="30.807836952565815"/>
  </r>
  <r>
    <s v="P0766"/>
    <s v="Model_436"/>
    <x v="1"/>
    <x v="2"/>
    <n v="2023"/>
    <s v="Q1"/>
    <n v="3646"/>
    <n v="5646"/>
    <n v="9631"/>
    <n v="73091"/>
    <n v="3.07"/>
    <n v="7"/>
    <n v="2.68"/>
    <n v="17.559999999999999"/>
    <n v="54.59"/>
    <n v="4.8"/>
    <n v="10059"/>
    <n v="171"/>
    <n v="11"/>
    <n v="-14602418.560000001"/>
    <n v="-70.936091338116938"/>
    <n v="20585316"/>
    <n v="0.72993752887917951"/>
    <n v="-199.78384479621295"/>
  </r>
  <r>
    <s v="P0767"/>
    <s v="Model_879"/>
    <x v="1"/>
    <x v="0"/>
    <n v="2023"/>
    <s v="Q1"/>
    <n v="3333"/>
    <n v="13546"/>
    <n v="11230"/>
    <n v="307125"/>
    <n v="5.1100000000000003"/>
    <n v="2"/>
    <n v="4.32"/>
    <n v="21.3"/>
    <n v="79.48"/>
    <n v="1.4"/>
    <n v="2115"/>
    <n v="127"/>
    <n v="10"/>
    <n v="7412081.7000000002"/>
    <n v="16.417000551376564"/>
    <n v="45148818"/>
    <n v="0.66727421386568986"/>
    <n v="24.133831501831501"/>
  </r>
  <r>
    <s v="P0768"/>
    <s v="Model_455"/>
    <x v="1"/>
    <x v="1"/>
    <n v="2023"/>
    <s v="Q1"/>
    <n v="1653"/>
    <n v="14111"/>
    <n v="10594"/>
    <n v="476199"/>
    <n v="7.66"/>
    <n v="2"/>
    <n v="0.91"/>
    <n v="8.92"/>
    <n v="76.75"/>
    <n v="2.2000000000000002"/>
    <n v="9562"/>
    <n v="8760"/>
    <n v="11"/>
    <n v="5337393.08"/>
    <n v="22.882240337745632"/>
    <n v="23325483"/>
    <n v="0.33093437609360493"/>
    <n v="11.208343570650085"/>
  </r>
  <r>
    <s v="P0769"/>
    <s v="Model_144"/>
    <x v="2"/>
    <x v="2"/>
    <n v="2023"/>
    <s v="Q4"/>
    <n v="116"/>
    <n v="14576"/>
    <n v="7459"/>
    <n v="73989"/>
    <n v="9.23"/>
    <n v="0"/>
    <n v="7.47"/>
    <n v="6.53"/>
    <n v="76.64"/>
    <n v="3.4"/>
    <n v="13020"/>
    <n v="4083"/>
    <n v="7"/>
    <n v="751576.47"/>
    <n v="44.450517974753019"/>
    <n v="1690816"/>
    <n v="2.322346498902491E-2"/>
    <n v="10.158037005500818"/>
  </r>
  <r>
    <s v="P0770"/>
    <s v="Model_220"/>
    <x v="2"/>
    <x v="0"/>
    <n v="2023"/>
    <s v="Q1"/>
    <n v="282"/>
    <n v="18024"/>
    <n v="1241"/>
    <n v="125451"/>
    <n v="13.66"/>
    <n v="18"/>
    <n v="0.13"/>
    <n v="23.66"/>
    <n v="65.849999999999994"/>
    <n v="4.9000000000000004"/>
    <n v="7477"/>
    <n v="9055"/>
    <n v="10"/>
    <n v="4607331.34"/>
    <n v="90.646107396599646"/>
    <n v="5082768"/>
    <n v="5.6457044197457104E-2"/>
    <n v="36.726331396322067"/>
  </r>
  <r>
    <s v="P0771"/>
    <s v="Model_948"/>
    <x v="2"/>
    <x v="0"/>
    <n v="2024"/>
    <s v="Q2"/>
    <n v="2206"/>
    <n v="6382"/>
    <n v="6840"/>
    <n v="68990"/>
    <n v="7.65"/>
    <n v="17"/>
    <n v="6.44"/>
    <n v="18.16"/>
    <n v="33.31"/>
    <n v="1.4"/>
    <n v="12919"/>
    <n v="7155"/>
    <n v="5"/>
    <n v="-1079356.1599999999"/>
    <n v="-7.6665940273428808"/>
    <n v="14078692"/>
    <n v="0.44164623936024955"/>
    <n v="-15.644847079286853"/>
  </r>
  <r>
    <s v="P0772"/>
    <s v="Model_327"/>
    <x v="0"/>
    <x v="1"/>
    <n v="2024"/>
    <s v="Q1"/>
    <n v="1219"/>
    <n v="15613"/>
    <n v="14926"/>
    <n v="402414"/>
    <n v="7.52"/>
    <n v="16"/>
    <n v="1.83"/>
    <n v="5.49"/>
    <n v="36.89"/>
    <n v="1.1000000000000001"/>
    <n v="11280"/>
    <n v="6790"/>
    <n v="10"/>
    <n v="435033.51"/>
    <n v="2.2857706186768172"/>
    <n v="19032247"/>
    <n v="0.24404658466914969"/>
    <n v="1.0810732230986"/>
  </r>
  <r>
    <s v="P0773"/>
    <s v="Model_262"/>
    <x v="2"/>
    <x v="1"/>
    <n v="2023"/>
    <s v="Q1"/>
    <n v="2208"/>
    <n v="15145"/>
    <n v="6725"/>
    <n v="392504"/>
    <n v="0.75"/>
    <n v="19"/>
    <n v="2.3199999999999998"/>
    <n v="11.23"/>
    <n v="34.68"/>
    <n v="1.2"/>
    <n v="12181"/>
    <n v="9716"/>
    <n v="12"/>
    <n v="18198844.77"/>
    <n v="54.42212229247707"/>
    <n v="33440160"/>
    <n v="0.44204664392902587"/>
    <n v="46.366039581762223"/>
  </r>
  <r>
    <s v="P0774"/>
    <s v="Model_791"/>
    <x v="0"/>
    <x v="0"/>
    <n v="2023"/>
    <s v="Q3"/>
    <n v="4256"/>
    <n v="7512"/>
    <n v="8158"/>
    <n v="300541"/>
    <n v="0.52"/>
    <n v="12"/>
    <n v="6.36"/>
    <n v="19.91"/>
    <n v="11.6"/>
    <n v="1.2"/>
    <n v="8484"/>
    <n v="3932"/>
    <n v="14"/>
    <n v="-3049936.91"/>
    <n v="-9.5396767114971937"/>
    <n v="31971072"/>
    <n v="0.85206092235594844"/>
    <n v="-10.148089611733507"/>
  </r>
  <r>
    <s v="P0775"/>
    <s v="Model_662"/>
    <x v="2"/>
    <x v="2"/>
    <n v="2024"/>
    <s v="Q2"/>
    <n v="1543"/>
    <n v="18847"/>
    <n v="5428"/>
    <n v="348225"/>
    <n v="8.27"/>
    <n v="2"/>
    <n v="9.93"/>
    <n v="13.68"/>
    <n v="56.61"/>
    <n v="4.5999999999999996"/>
    <n v="6471"/>
    <n v="9967"/>
    <n v="10"/>
    <n v="20357278.32"/>
    <n v="70.00217881682633"/>
    <n v="29080921"/>
    <n v="0.30891212481090891"/>
    <n v="58.460167994830925"/>
  </r>
  <r>
    <s v="P0776"/>
    <s v="Model_301"/>
    <x v="1"/>
    <x v="0"/>
    <n v="2024"/>
    <s v="Q4"/>
    <n v="4768"/>
    <n v="8651"/>
    <n v="7170"/>
    <n v="192105"/>
    <n v="6.57"/>
    <n v="0"/>
    <n v="7.78"/>
    <n v="16.25"/>
    <n v="65.91"/>
    <n v="3.9"/>
    <n v="2444"/>
    <n v="659"/>
    <n v="7"/>
    <n v="6869286.75"/>
    <n v="16.653636731874887"/>
    <n v="41247968"/>
    <n v="0.95456449196267901"/>
    <n v="35.758064600088495"/>
  </r>
  <r>
    <s v="P0777"/>
    <s v="Model_421"/>
    <x v="1"/>
    <x v="1"/>
    <n v="2023"/>
    <s v="Q1"/>
    <n v="4057"/>
    <n v="5110"/>
    <n v="10328"/>
    <n v="420416"/>
    <n v="12.59"/>
    <n v="3"/>
    <n v="2.2599999999999998"/>
    <n v="18.84"/>
    <n v="78.31"/>
    <n v="3.7"/>
    <n v="10614"/>
    <n v="8057"/>
    <n v="6"/>
    <n v="-21589860.84"/>
    <n v="-104.14152553123857"/>
    <n v="20731270"/>
    <n v="0.8122206677627074"/>
    <n v="-51.353521274166539"/>
  </r>
  <r>
    <s v="P0778"/>
    <s v="Model_296"/>
    <x v="2"/>
    <x v="1"/>
    <n v="2024"/>
    <s v="Q3"/>
    <n v="2522"/>
    <n v="11384"/>
    <n v="12692"/>
    <n v="328385"/>
    <n v="2.41"/>
    <n v="12"/>
    <n v="1.76"/>
    <n v="15.55"/>
    <n v="21.21"/>
    <n v="3.1"/>
    <n v="8578"/>
    <n v="3931"/>
    <n v="4"/>
    <n v="-3627176.55"/>
    <n v="-12.633646643201107"/>
    <n v="28710448"/>
    <n v="0.50491016122690369"/>
    <n v="-11.045452746014586"/>
  </r>
  <r>
    <s v="P0779"/>
    <s v="Model_998"/>
    <x v="2"/>
    <x v="3"/>
    <n v="2024"/>
    <s v="Q2"/>
    <n v="2710"/>
    <n v="8394"/>
    <n v="1748"/>
    <n v="174932"/>
    <n v="0.37"/>
    <n v="16"/>
    <n v="8.66"/>
    <n v="13.5"/>
    <n v="53.53"/>
    <n v="4.0999999999999996"/>
    <n v="19630"/>
    <n v="7444"/>
    <n v="6"/>
    <n v="17835714.5"/>
    <n v="78.4065340117304"/>
    <n v="22747740"/>
    <n v="0.54254819069187499"/>
    <n v="101.95806370475384"/>
  </r>
  <r>
    <s v="P0780"/>
    <s v="Model_789"/>
    <x v="1"/>
    <x v="3"/>
    <n v="2023"/>
    <s v="Q1"/>
    <n v="2789"/>
    <n v="14967"/>
    <n v="12365"/>
    <n v="318083"/>
    <n v="6.74"/>
    <n v="10"/>
    <n v="4.4400000000000004"/>
    <n v="18.739999999999998"/>
    <n v="10.64"/>
    <n v="1.6"/>
    <n v="13812"/>
    <n v="5271"/>
    <n v="4"/>
    <n v="6938876.2599999998"/>
    <n v="16.622864696978983"/>
    <n v="41742963"/>
    <n v="0.55836417115853854"/>
    <n v="21.814730746377517"/>
  </r>
  <r>
    <s v="P0781"/>
    <s v="Model_731"/>
    <x v="2"/>
    <x v="3"/>
    <n v="2023"/>
    <s v="Q2"/>
    <n v="1811"/>
    <n v="17989"/>
    <n v="8979"/>
    <n v="163000"/>
    <n v="3.56"/>
    <n v="1"/>
    <n v="1.37"/>
    <n v="18.190000000000001"/>
    <n v="17.61"/>
    <n v="2.6"/>
    <n v="7283"/>
    <n v="178"/>
    <n v="6"/>
    <n v="16154091.810000001"/>
    <n v="49.585771493770395"/>
    <n v="32578079"/>
    <n v="0.36256633702693197"/>
    <n v="99.104969325153377"/>
  </r>
  <r>
    <s v="P0782"/>
    <s v="Model_300"/>
    <x v="1"/>
    <x v="1"/>
    <n v="2023"/>
    <s v="Q3"/>
    <n v="3564"/>
    <n v="11373"/>
    <n v="6915"/>
    <n v="228634"/>
    <n v="0.74"/>
    <n v="15"/>
    <n v="8.6199999999999992"/>
    <n v="15.75"/>
    <n v="14.34"/>
    <n v="3"/>
    <n v="11251"/>
    <n v="5029"/>
    <n v="6"/>
    <n v="15659662.25"/>
    <n v="38.63399830144899"/>
    <n v="40533372"/>
    <n v="0.71352094155935153"/>
    <n v="68.492341471522167"/>
  </r>
  <r>
    <s v="P0783"/>
    <s v="Model_691"/>
    <x v="2"/>
    <x v="1"/>
    <n v="2023"/>
    <s v="Q3"/>
    <n v="2025"/>
    <n v="13789"/>
    <n v="1259"/>
    <n v="85063"/>
    <n v="10.87"/>
    <n v="1"/>
    <n v="8.16"/>
    <n v="8.99"/>
    <n v="68.040000000000006"/>
    <n v="1.4"/>
    <n v="8407"/>
    <n v="3747"/>
    <n v="3"/>
    <n v="25288178.010000002"/>
    <n v="90.564864317504828"/>
    <n v="27922725"/>
    <n v="0.40540962588599516"/>
    <n v="297.28773967529946"/>
  </r>
  <r>
    <s v="P0784"/>
    <s v="Model_194"/>
    <x v="0"/>
    <x v="3"/>
    <n v="2024"/>
    <s v="Q4"/>
    <n v="2412"/>
    <n v="13708"/>
    <n v="8368"/>
    <n v="257793"/>
    <n v="1.67"/>
    <n v="18"/>
    <n v="9.84"/>
    <n v="10.15"/>
    <n v="16.48"/>
    <n v="2.7"/>
    <n v="20810"/>
    <n v="1131"/>
    <n v="10"/>
    <n v="12622276.85"/>
    <n v="38.175637865772778"/>
    <n v="33063696"/>
    <n v="0.48288790994420761"/>
    <n v="48.962877192165806"/>
  </r>
  <r>
    <s v="P0785"/>
    <s v="Model_739"/>
    <x v="0"/>
    <x v="0"/>
    <n v="2024"/>
    <s v="Q4"/>
    <n v="926"/>
    <n v="12328"/>
    <n v="5446"/>
    <n v="208117"/>
    <n v="9.1199999999999992"/>
    <n v="18"/>
    <n v="9.1"/>
    <n v="24.26"/>
    <n v="67.319999999999993"/>
    <n v="2.2999999999999998"/>
    <n v="18973"/>
    <n v="7481"/>
    <n v="8"/>
    <n v="6164590.7400000002"/>
    <n v="54.000855136001846"/>
    <n v="11415728"/>
    <n v="0.18538731534342298"/>
    <n v="29.62091035331088"/>
  </r>
  <r>
    <s v="P0786"/>
    <s v="Model_681"/>
    <x v="2"/>
    <x v="0"/>
    <n v="2024"/>
    <s v="Q1"/>
    <n v="3862"/>
    <n v="3637"/>
    <n v="1192"/>
    <n v="487985"/>
    <n v="4.22"/>
    <n v="15"/>
    <n v="8.52"/>
    <n v="2.81"/>
    <n v="29.97"/>
    <n v="1.1000000000000001"/>
    <n v="4457"/>
    <n v="2172"/>
    <n v="7"/>
    <n v="8954602.1899999995"/>
    <n v="63.751546800128203"/>
    <n v="14046094"/>
    <n v="0.77318122230701891"/>
    <n v="18.35016445177618"/>
  </r>
  <r>
    <s v="P0787"/>
    <s v="Model_756"/>
    <x v="1"/>
    <x v="3"/>
    <n v="2024"/>
    <s v="Q3"/>
    <n v="3498"/>
    <n v="2786"/>
    <n v="12930"/>
    <n v="359262"/>
    <n v="2.6"/>
    <n v="18"/>
    <n v="0.53"/>
    <n v="6.71"/>
    <n v="80.22"/>
    <n v="1.5"/>
    <n v="20496"/>
    <n v="7011"/>
    <n v="6"/>
    <n v="-35842980.710000001"/>
    <n v="-367.79278149712871"/>
    <n v="9745428"/>
    <n v="0.70030759078973392"/>
    <n v="-99.768341767289613"/>
  </r>
  <r>
    <s v="P0788"/>
    <s v="Model_208"/>
    <x v="0"/>
    <x v="0"/>
    <n v="2024"/>
    <s v="Q3"/>
    <n v="1362"/>
    <n v="17210"/>
    <n v="2587"/>
    <n v="134703"/>
    <n v="5.7"/>
    <n v="8"/>
    <n v="1.04"/>
    <n v="12.31"/>
    <n v="75.05"/>
    <n v="4.0999999999999996"/>
    <n v="7547"/>
    <n v="6188"/>
    <n v="5"/>
    <n v="19781810.690000001"/>
    <n v="84.393318307748885"/>
    <n v="23440020"/>
    <n v="0.27267551133665452"/>
    <n v="146.85510344981182"/>
  </r>
  <r>
    <s v="P0789"/>
    <s v="Model_942"/>
    <x v="0"/>
    <x v="2"/>
    <n v="2024"/>
    <s v="Q3"/>
    <n v="1510"/>
    <n v="12871"/>
    <n v="13932"/>
    <n v="464841"/>
    <n v="12.02"/>
    <n v="0"/>
    <n v="5.69"/>
    <n v="20.92"/>
    <n v="86.63"/>
    <n v="1.1000000000000001"/>
    <n v="7749"/>
    <n v="1584"/>
    <n v="9"/>
    <n v="-2066971.92"/>
    <n v="-10.63519210752032"/>
    <n v="19435210"/>
    <n v="0.3023054494261001"/>
    <n v="-4.4465763562164264"/>
  </r>
  <r>
    <s v="P0790"/>
    <s v="Model_629"/>
    <x v="0"/>
    <x v="1"/>
    <n v="2023"/>
    <s v="Q1"/>
    <n v="2759"/>
    <n v="17445"/>
    <n v="8174"/>
    <n v="285796"/>
    <n v="5.88"/>
    <n v="9"/>
    <n v="5.31"/>
    <n v="4.09"/>
    <n v="80.7"/>
    <n v="4.7"/>
    <n v="17847"/>
    <n v="5938"/>
    <n v="3"/>
    <n v="25292888.91"/>
    <n v="52.550368075464426"/>
    <n v="48130755"/>
    <n v="0.55235810262689422"/>
    <n v="88.499814553037837"/>
  </r>
  <r>
    <s v="P0791"/>
    <s v="Model_923"/>
    <x v="2"/>
    <x v="3"/>
    <n v="2024"/>
    <s v="Q4"/>
    <n v="2374"/>
    <n v="8552"/>
    <n v="11249"/>
    <n v="178557"/>
    <n v="11.26"/>
    <n v="18"/>
    <n v="4.58"/>
    <n v="6.92"/>
    <n v="84.67"/>
    <n v="1.3"/>
    <n v="5259"/>
    <n v="1650"/>
    <n v="9"/>
    <n v="-6581241.9199999999"/>
    <n v="-32.416001853569583"/>
    <n v="20302448"/>
    <n v="0.47528022313745805"/>
    <n v="-36.857894117844722"/>
  </r>
  <r>
    <s v="P0792"/>
    <s v="Model_800"/>
    <x v="2"/>
    <x v="0"/>
    <n v="2024"/>
    <s v="Q3"/>
    <n v="1783"/>
    <n v="5154"/>
    <n v="1938"/>
    <n v="339220"/>
    <n v="1.88"/>
    <n v="0"/>
    <n v="3.97"/>
    <n v="1.64"/>
    <n v="78.7"/>
    <n v="4.2"/>
    <n v="5763"/>
    <n v="5597"/>
    <n v="2"/>
    <n v="5394906.3600000003"/>
    <n v="58.706765552557236"/>
    <n v="9189582"/>
    <n v="0.35696067306406393"/>
    <n v="15.90386180060138"/>
  </r>
  <r>
    <s v="P0793"/>
    <s v="Model_846"/>
    <x v="1"/>
    <x v="1"/>
    <n v="2024"/>
    <s v="Q1"/>
    <n v="1655"/>
    <n v="17100"/>
    <n v="12800"/>
    <n v="303317"/>
    <n v="11.59"/>
    <n v="1"/>
    <n v="4.3099999999999996"/>
    <n v="17.649999999999999"/>
    <n v="65.47"/>
    <n v="4.5999999999999996"/>
    <n v="11781"/>
    <n v="4782"/>
    <n v="11"/>
    <n v="6813165.3499999996"/>
    <n v="24.074363880496811"/>
    <n v="28300500"/>
    <n v="0.33133478066238126"/>
    <n v="22.46225236303933"/>
  </r>
  <r>
    <s v="P0794"/>
    <s v="Model_820"/>
    <x v="2"/>
    <x v="0"/>
    <n v="2024"/>
    <s v="Q4"/>
    <n v="2613"/>
    <n v="10136"/>
    <n v="5541"/>
    <n v="245877"/>
    <n v="3.55"/>
    <n v="15"/>
    <n v="5.69"/>
    <n v="5.96"/>
    <n v="23.62"/>
    <n v="4.8"/>
    <n v="3402"/>
    <n v="1929"/>
    <n v="2"/>
    <n v="11760852.039999999"/>
    <n v="44.405092049315684"/>
    <n v="26485368"/>
    <n v="0.52312856910622485"/>
    <n v="47.832281994655865"/>
  </r>
  <r>
    <s v="P0795"/>
    <s v="Model_689"/>
    <x v="0"/>
    <x v="1"/>
    <n v="2023"/>
    <s v="Q2"/>
    <n v="3471"/>
    <n v="7941"/>
    <n v="8218"/>
    <n v="356749"/>
    <n v="10.16"/>
    <n v="11"/>
    <n v="0.02"/>
    <n v="9.7200000000000006"/>
    <n v="31.74"/>
    <n v="4.5"/>
    <n v="4067"/>
    <n v="3851"/>
    <n v="4"/>
    <n v="-1318225.72"/>
    <n v="-4.7825549788085286"/>
    <n v="27563211"/>
    <n v="0.69490212911125393"/>
    <n v="-3.6950797339305788"/>
  </r>
  <r>
    <s v="P0796"/>
    <s v="Model_464"/>
    <x v="2"/>
    <x v="3"/>
    <n v="2024"/>
    <s v="Q4"/>
    <n v="3567"/>
    <n v="11167"/>
    <n v="7162"/>
    <n v="396709"/>
    <n v="8.49"/>
    <n v="7"/>
    <n v="2.61"/>
    <n v="11.09"/>
    <n v="27.02"/>
    <n v="2.2000000000000002"/>
    <n v="11690"/>
    <n v="6181"/>
    <n v="6"/>
    <n v="13889114.91"/>
    <n v="34.868634929467099"/>
    <n v="39832689"/>
    <n v="0.71412154841251596"/>
    <n v="35.010866907481301"/>
  </r>
  <r>
    <s v="P0797"/>
    <s v="Model_480"/>
    <x v="2"/>
    <x v="2"/>
    <n v="2023"/>
    <s v="Q3"/>
    <n v="2447"/>
    <n v="13649"/>
    <n v="3254"/>
    <n v="351265"/>
    <n v="13.94"/>
    <n v="17"/>
    <n v="5.18"/>
    <n v="22.28"/>
    <n v="58.29"/>
    <n v="2.2999999999999998"/>
    <n v="9575"/>
    <n v="6701"/>
    <n v="7"/>
    <n v="25085277.719999999"/>
    <n v="75.107639028509226"/>
    <n v="33399103"/>
    <n v="0.48989498989779268"/>
    <n v="71.414174483651948"/>
  </r>
  <r>
    <s v="P0798"/>
    <s v="Model_906"/>
    <x v="0"/>
    <x v="3"/>
    <n v="2024"/>
    <s v="Q3"/>
    <n v="3785"/>
    <n v="3298"/>
    <n v="10458"/>
    <n v="343577"/>
    <n v="5.81"/>
    <n v="1"/>
    <n v="7.22"/>
    <n v="10.28"/>
    <n v="50.29"/>
    <n v="2.7"/>
    <n v="4494"/>
    <n v="4559"/>
    <n v="5"/>
    <n v="-27444187.280000001"/>
    <n v="-219.85373049436311"/>
    <n v="12482930"/>
    <n v="0.75776564640913169"/>
    <n v="-79.877806139526214"/>
  </r>
  <r>
    <s v="P0799"/>
    <s v="Model_310"/>
    <x v="0"/>
    <x v="2"/>
    <n v="2023"/>
    <s v="Q2"/>
    <n v="2920"/>
    <n v="11100"/>
    <n v="4474"/>
    <n v="93309"/>
    <n v="0.99"/>
    <n v="12"/>
    <n v="1.74"/>
    <n v="3.63"/>
    <n v="79.37"/>
    <n v="1.6"/>
    <n v="6729"/>
    <n v="3956"/>
    <n v="8"/>
    <n v="19254607.370000001"/>
    <n v="59.405798377144272"/>
    <n v="32412000"/>
    <n v="0.58459067041338564"/>
    <n v="206.35320279930124"/>
  </r>
  <r>
    <s v="P0800"/>
    <s v="Model_276"/>
    <x v="0"/>
    <x v="0"/>
    <n v="2023"/>
    <s v="Q3"/>
    <n v="1210"/>
    <n v="6995"/>
    <n v="2177"/>
    <n v="379612"/>
    <n v="0.28999999999999998"/>
    <n v="5"/>
    <n v="5.47"/>
    <n v="13.11"/>
    <n v="86.21"/>
    <n v="1.1000000000000001"/>
    <n v="3510"/>
    <n v="6282"/>
    <n v="8"/>
    <n v="5450154.8899999997"/>
    <n v="64.392569544952423"/>
    <n v="8463950"/>
    <n v="0.24224476410965637"/>
    <n v="14.357206832239234"/>
  </r>
  <r>
    <s v="P0801"/>
    <s v="Model_392"/>
    <x v="0"/>
    <x v="2"/>
    <n v="2024"/>
    <s v="Q2"/>
    <n v="4904"/>
    <n v="11400"/>
    <n v="7501"/>
    <n v="487470"/>
    <n v="12.4"/>
    <n v="5"/>
    <n v="7.14"/>
    <n v="24.07"/>
    <n v="42.39"/>
    <n v="4.5"/>
    <n v="8877"/>
    <n v="6183"/>
    <n v="3"/>
    <n v="18633201.93"/>
    <n v="33.32975932643599"/>
    <n v="55905600"/>
    <n v="0.98179200263946687"/>
    <n v="38.224354319240156"/>
  </r>
  <r>
    <s v="P0802"/>
    <s v="Model_547"/>
    <x v="1"/>
    <x v="2"/>
    <n v="2023"/>
    <s v="Q3"/>
    <n v="292"/>
    <n v="15173"/>
    <n v="3397"/>
    <n v="379437"/>
    <n v="7.87"/>
    <n v="8"/>
    <n v="4.45"/>
    <n v="15.19"/>
    <n v="50.51"/>
    <n v="3.2"/>
    <n v="14536"/>
    <n v="8070"/>
    <n v="3"/>
    <n v="3059139.81"/>
    <n v="69.047032219271969"/>
    <n v="4430516"/>
    <n v="5.8459067041338568E-2"/>
    <n v="8.0623529070702116"/>
  </r>
  <r>
    <s v="P0803"/>
    <s v="Model_939"/>
    <x v="2"/>
    <x v="2"/>
    <n v="2023"/>
    <s v="Q4"/>
    <n v="2640"/>
    <n v="12630"/>
    <n v="941"/>
    <n v="408402"/>
    <n v="11.63"/>
    <n v="15"/>
    <n v="0.27"/>
    <n v="24.58"/>
    <n v="87.72"/>
    <n v="3.4"/>
    <n v="18714"/>
    <n v="2194"/>
    <n v="3"/>
    <n v="30450533.420000002"/>
    <n v="91.324568187816411"/>
    <n v="33343200"/>
    <n v="0.52853403078470484"/>
    <n v="74.560256805794296"/>
  </r>
  <r>
    <s v="P0804"/>
    <s v="Model_176"/>
    <x v="1"/>
    <x v="2"/>
    <n v="2023"/>
    <s v="Q1"/>
    <n v="1113"/>
    <n v="16722"/>
    <n v="3459"/>
    <n v="481069"/>
    <n v="3.52"/>
    <n v="10"/>
    <n v="4.49"/>
    <n v="21.03"/>
    <n v="32.1"/>
    <n v="4.7"/>
    <n v="1548"/>
    <n v="6338"/>
    <n v="3"/>
    <n v="14280628.970000001"/>
    <n v="76.729779880124141"/>
    <n v="18611586"/>
    <n v="0.22282514252400623"/>
    <n v="29.685242657498197"/>
  </r>
  <r>
    <s v="P0805"/>
    <s v="Model_761"/>
    <x v="1"/>
    <x v="0"/>
    <n v="2023"/>
    <s v="Q1"/>
    <n v="4374"/>
    <n v="2800"/>
    <n v="5396"/>
    <n v="350549"/>
    <n v="5.18"/>
    <n v="6"/>
    <n v="2.96"/>
    <n v="0.9"/>
    <n v="73.39"/>
    <n v="3.7"/>
    <n v="5710"/>
    <n v="3132"/>
    <n v="14"/>
    <n v="-11705453.9"/>
    <n v="-95.576571787837224"/>
    <n v="12247200"/>
    <n v="0.87568479191374959"/>
    <n v="-33.391774045853786"/>
  </r>
  <r>
    <s v="P0806"/>
    <s v="Model_784"/>
    <x v="0"/>
    <x v="0"/>
    <n v="2023"/>
    <s v="Q4"/>
    <n v="2645"/>
    <n v="10935"/>
    <n v="9831"/>
    <n v="93527"/>
    <n v="0.45"/>
    <n v="9"/>
    <n v="9.3000000000000007"/>
    <n v="16.46"/>
    <n v="28.02"/>
    <n v="3.8"/>
    <n v="19062"/>
    <n v="1648"/>
    <n v="10"/>
    <n v="2826536.54"/>
    <n v="9.7726003891356648"/>
    <n v="28923075"/>
    <n v="0.5295350422066456"/>
    <n v="30.221786222160446"/>
  </r>
  <r>
    <s v="P0807"/>
    <s v="Model_871"/>
    <x v="1"/>
    <x v="2"/>
    <n v="2023"/>
    <s v="Q1"/>
    <n v="969"/>
    <n v="6116"/>
    <n v="12610"/>
    <n v="389371"/>
    <n v="14.42"/>
    <n v="9"/>
    <n v="1.25"/>
    <n v="7.17"/>
    <n v="64.52"/>
    <n v="4.0999999999999996"/>
    <n v="16338"/>
    <n v="8659"/>
    <n v="6"/>
    <n v="-6682064.1699999999"/>
    <n v="-112.75073670306648"/>
    <n v="5926404"/>
    <n v="0.19399601357211324"/>
    <n v="-17.161157353783409"/>
  </r>
  <r>
    <s v="P0808"/>
    <s v="Model_731"/>
    <x v="0"/>
    <x v="3"/>
    <n v="2023"/>
    <s v="Q4"/>
    <n v="55"/>
    <n v="17893"/>
    <n v="14770"/>
    <n v="443708"/>
    <n v="10.02"/>
    <n v="19"/>
    <n v="6.52"/>
    <n v="13.99"/>
    <n v="30.29"/>
    <n v="1.5"/>
    <n v="17538"/>
    <n v="164"/>
    <n v="12"/>
    <n v="-271956.99"/>
    <n v="-27.634675825487875"/>
    <n v="984115"/>
    <n v="1.1011125641348018E-2"/>
    <n v="-0.61288730426316407"/>
  </r>
  <r>
    <s v="P0809"/>
    <s v="Model_261"/>
    <x v="2"/>
    <x v="0"/>
    <n v="2023"/>
    <s v="Q1"/>
    <n v="517"/>
    <n v="12117"/>
    <n v="6461"/>
    <n v="274490"/>
    <n v="14"/>
    <n v="17"/>
    <n v="0.53"/>
    <n v="6.98"/>
    <n v="80.7"/>
    <n v="2.4"/>
    <n v="9378"/>
    <n v="3399"/>
    <n v="9"/>
    <n v="2649655.02"/>
    <n v="42.296427050953397"/>
    <n v="6264489"/>
    <n v="0.10350458102867137"/>
    <n v="9.6530365404932787"/>
  </r>
  <r>
    <s v="P0810"/>
    <s v="Model_953"/>
    <x v="0"/>
    <x v="1"/>
    <n v="2023"/>
    <s v="Q3"/>
    <n v="4220"/>
    <n v="7252"/>
    <n v="6942"/>
    <n v="189883"/>
    <n v="3.98"/>
    <n v="19"/>
    <n v="4.46"/>
    <n v="8.7200000000000006"/>
    <n v="54.92"/>
    <n v="4.9000000000000004"/>
    <n v="17954"/>
    <n v="4949"/>
    <n v="6"/>
    <n v="1118308.28"/>
    <n v="3.6541914242320472"/>
    <n v="30603440"/>
    <n v="0.84485364011797515"/>
    <n v="5.8895056429485528"/>
  </r>
  <r>
    <s v="P0811"/>
    <s v="Model_929"/>
    <x v="2"/>
    <x v="3"/>
    <n v="2023"/>
    <s v="Q4"/>
    <n v="53"/>
    <n v="11352"/>
    <n v="12909"/>
    <n v="143344"/>
    <n v="9.17"/>
    <n v="8"/>
    <n v="5.54"/>
    <n v="23.08"/>
    <n v="24.87"/>
    <n v="4.7"/>
    <n v="16847"/>
    <n v="5739"/>
    <n v="14"/>
    <n v="-225888.08"/>
    <n v="-37.544390814684803"/>
    <n v="601656"/>
    <n v="1.0610721072571726E-2"/>
    <n v="-1.5756850652974663"/>
  </r>
  <r>
    <s v="P0812"/>
    <s v="Model_610"/>
    <x v="0"/>
    <x v="0"/>
    <n v="2024"/>
    <s v="Q2"/>
    <n v="695"/>
    <n v="7795"/>
    <n v="6426"/>
    <n v="205344"/>
    <n v="10.18"/>
    <n v="14"/>
    <n v="2.98"/>
    <n v="5.17"/>
    <n v="27.95"/>
    <n v="4.5"/>
    <n v="9379"/>
    <n v="2135"/>
    <n v="12"/>
    <n v="746105.83"/>
    <n v="13.772079132075993"/>
    <n v="5417525"/>
    <n v="0.13914058764976131"/>
    <n v="3.6334687159108618"/>
  </r>
  <r>
    <s v="P0813"/>
    <s v="Model_516"/>
    <x v="2"/>
    <x v="1"/>
    <n v="2023"/>
    <s v="Q4"/>
    <n v="167"/>
    <n v="18956"/>
    <n v="9587"/>
    <n v="273564"/>
    <n v="4.76"/>
    <n v="3"/>
    <n v="4.55"/>
    <n v="21.85"/>
    <n v="49.51"/>
    <n v="2.8"/>
    <n v="19661"/>
    <n v="5774"/>
    <n v="6"/>
    <n v="1291037.1499999999"/>
    <n v="40.782661833960262"/>
    <n v="3165652"/>
    <n v="3.3433781492820343E-2"/>
    <n v="4.7194038689301223"/>
  </r>
  <r>
    <s v="P0814"/>
    <s v="Model_975"/>
    <x v="0"/>
    <x v="2"/>
    <n v="2023"/>
    <s v="Q3"/>
    <n v="2978"/>
    <n v="4725"/>
    <n v="10896"/>
    <n v="97153"/>
    <n v="12.72"/>
    <n v="7"/>
    <n v="1.64"/>
    <n v="0.76"/>
    <n v="86.93"/>
    <n v="4.4000000000000004"/>
    <n v="14754"/>
    <n v="2328"/>
    <n v="2"/>
    <n v="-18474391.760000002"/>
    <n v="-131.29362599095307"/>
    <n v="14071050"/>
    <n v="0.59620240290789805"/>
    <n v="-190.15769971076548"/>
  </r>
  <r>
    <s v="P0815"/>
    <s v="Model_843"/>
    <x v="0"/>
    <x v="0"/>
    <n v="2024"/>
    <s v="Q2"/>
    <n v="2601"/>
    <n v="2816"/>
    <n v="9272"/>
    <n v="158042"/>
    <n v="14.21"/>
    <n v="8"/>
    <n v="3.04"/>
    <n v="2.27"/>
    <n v="71.569999999999993"/>
    <n v="1.2"/>
    <n v="8880"/>
    <n v="5720"/>
    <n v="7"/>
    <n v="-16950100.27"/>
    <n v="-231.41913662468107"/>
    <n v="7324416"/>
    <n v="0.52072614169356712"/>
    <n v="-107.25059161488718"/>
  </r>
  <r>
    <s v="P0816"/>
    <s v="Model_546"/>
    <x v="0"/>
    <x v="1"/>
    <n v="2023"/>
    <s v="Q2"/>
    <n v="4339"/>
    <n v="13837"/>
    <n v="1223"/>
    <n v="104110"/>
    <n v="13.27"/>
    <n v="12"/>
    <n v="6.21"/>
    <n v="21.37"/>
    <n v="49.06"/>
    <n v="1.6"/>
    <n v="3728"/>
    <n v="696"/>
    <n v="5"/>
    <n v="54628014.630000003"/>
    <n v="90.987938621566414"/>
    <n v="60038743"/>
    <n v="0.86867771196016452"/>
    <n v="524.71459033714336"/>
  </r>
  <r>
    <s v="P0817"/>
    <s v="Model_906"/>
    <x v="1"/>
    <x v="0"/>
    <n v="2024"/>
    <s v="Q4"/>
    <n v="896"/>
    <n v="8307"/>
    <n v="7799"/>
    <n v="195051"/>
    <n v="11.09"/>
    <n v="8"/>
    <n v="3.02"/>
    <n v="15.76"/>
    <n v="37.020000000000003"/>
    <n v="2.7"/>
    <n v="11314"/>
    <n v="3706"/>
    <n v="4"/>
    <n v="260101.24"/>
    <n v="3.4945415011436136"/>
    <n v="7443072"/>
    <n v="0.17938124681177861"/>
    <n v="1.3335845496818781"/>
  </r>
  <r>
    <s v="P0818"/>
    <s v="Model_345"/>
    <x v="1"/>
    <x v="3"/>
    <n v="2024"/>
    <s v="Q1"/>
    <n v="2812"/>
    <n v="5183"/>
    <n v="13357"/>
    <n v="291131"/>
    <n v="4.16"/>
    <n v="3"/>
    <n v="9"/>
    <n v="18.68"/>
    <n v="53.94"/>
    <n v="2.9"/>
    <n v="10388"/>
    <n v="3989"/>
    <n v="7"/>
    <n v="-23276437.68"/>
    <n v="-159.70554298726358"/>
    <n v="14574596"/>
    <n v="0.56296882369946588"/>
    <n v="-79.951702154700115"/>
  </r>
  <r>
    <s v="P0819"/>
    <s v="Model_876"/>
    <x v="1"/>
    <x v="0"/>
    <n v="2023"/>
    <s v="Q2"/>
    <n v="1191"/>
    <n v="8727"/>
    <n v="5049"/>
    <n v="289173"/>
    <n v="4.22"/>
    <n v="16"/>
    <n v="6.28"/>
    <n v="5.24"/>
    <n v="69.87"/>
    <n v="2.1"/>
    <n v="7891"/>
    <n v="3606"/>
    <n v="3"/>
    <n v="4091319.76"/>
    <n v="39.362863660718055"/>
    <n v="10393857"/>
    <n v="0.23844092070628162"/>
    <n v="14.148364473861667"/>
  </r>
  <r>
    <s v="P0820"/>
    <s v="Model_866"/>
    <x v="2"/>
    <x v="3"/>
    <n v="2023"/>
    <s v="Q2"/>
    <n v="1860"/>
    <n v="4773"/>
    <n v="2550"/>
    <n v="78328"/>
    <n v="14.45"/>
    <n v="15"/>
    <n v="4.3899999999999997"/>
    <n v="13.43"/>
    <n v="72.709999999999994"/>
    <n v="2.4"/>
    <n v="10929"/>
    <n v="1495"/>
    <n v="9"/>
    <n v="4056438.57"/>
    <n v="45.692037536411128"/>
    <n v="8877780"/>
    <n v="0.37237624896195115"/>
    <n v="51.788019609845776"/>
  </r>
  <r>
    <s v="P0821"/>
    <s v="Model_986"/>
    <x v="0"/>
    <x v="2"/>
    <n v="2023"/>
    <s v="Q4"/>
    <n v="773"/>
    <n v="1645"/>
    <n v="5557"/>
    <n v="162911"/>
    <n v="0.15"/>
    <n v="14"/>
    <n v="0.39"/>
    <n v="18.43"/>
    <n v="35.97"/>
    <n v="1.7"/>
    <n v="20290"/>
    <n v="9878"/>
    <n v="2"/>
    <n v="-3186905.43"/>
    <n v="-250.62464797870376"/>
    <n v="1271585"/>
    <n v="0.15475636583203667"/>
    <n v="-19.562135153550098"/>
  </r>
  <r>
    <s v="P0822"/>
    <s v="Model_565"/>
    <x v="2"/>
    <x v="0"/>
    <n v="2023"/>
    <s v="Q1"/>
    <n v="274"/>
    <n v="6510"/>
    <n v="2767"/>
    <n v="325011"/>
    <n v="10.74"/>
    <n v="2"/>
    <n v="5"/>
    <n v="15.68"/>
    <n v="67.69"/>
    <n v="3"/>
    <n v="2137"/>
    <n v="7629"/>
    <n v="13"/>
    <n v="700555.32"/>
    <n v="39.274519829123079"/>
    <n v="1783740"/>
    <n v="5.4855425922351944E-2"/>
    <n v="2.1555301205189976"/>
  </r>
  <r>
    <s v="P0823"/>
    <s v="Model_956"/>
    <x v="0"/>
    <x v="3"/>
    <n v="2024"/>
    <s v="Q3"/>
    <n v="4677"/>
    <n v="17535"/>
    <n v="4888"/>
    <n v="109234"/>
    <n v="10.59"/>
    <n v="19"/>
    <n v="7.65"/>
    <n v="11.79"/>
    <n v="62.62"/>
    <n v="4.2"/>
    <n v="18833"/>
    <n v="8403"/>
    <n v="10"/>
    <n v="59040773.210000001"/>
    <n v="71.991114396028493"/>
    <n v="82011195"/>
    <n v="0.93634608408335773"/>
    <n v="540.49824230550928"/>
  </r>
  <r>
    <s v="P0824"/>
    <s v="Model_171"/>
    <x v="1"/>
    <x v="1"/>
    <n v="2024"/>
    <s v="Q1"/>
    <n v="4258"/>
    <n v="4540"/>
    <n v="4978"/>
    <n v="337995"/>
    <n v="9.34"/>
    <n v="4"/>
    <n v="2.66"/>
    <n v="23.99"/>
    <n v="86.73"/>
    <n v="3.6"/>
    <n v="11596"/>
    <n v="552"/>
    <n v="9"/>
    <n v="-2203022.9900000002"/>
    <n v="-11.396133269740504"/>
    <n v="19331320"/>
    <n v="0.85246132692472465"/>
    <n v="-6.5178449385345933"/>
  </r>
  <r>
    <s v="P0825"/>
    <s v="Model_324"/>
    <x v="1"/>
    <x v="0"/>
    <n v="2024"/>
    <s v="Q2"/>
    <n v="4704"/>
    <n v="11154"/>
    <n v="8589"/>
    <n v="343423"/>
    <n v="14.85"/>
    <n v="4"/>
    <n v="8.07"/>
    <n v="16.899999999999999"/>
    <n v="84.49"/>
    <n v="1.4"/>
    <n v="5087"/>
    <n v="7436"/>
    <n v="2"/>
    <n v="11722320.1"/>
    <n v="22.341669510282149"/>
    <n v="52468416"/>
    <n v="0.94175154576183773"/>
    <n v="34.133814566875252"/>
  </r>
  <r>
    <s v="P0826"/>
    <s v="Model_741"/>
    <x v="2"/>
    <x v="3"/>
    <n v="2023"/>
    <s v="Q4"/>
    <n v="2098"/>
    <n v="18366"/>
    <n v="3746"/>
    <n v="298503"/>
    <n v="4.68"/>
    <n v="19"/>
    <n v="2.52"/>
    <n v="22.69"/>
    <n v="73.150000000000006"/>
    <n v="3"/>
    <n v="2611"/>
    <n v="2731"/>
    <n v="11"/>
    <n v="30374234.309999999"/>
    <n v="78.828865265499189"/>
    <n v="38531868"/>
    <n v="0.42002439264632985"/>
    <n v="101.75528219146877"/>
  </r>
  <r>
    <s v="P0827"/>
    <s v="Model_835"/>
    <x v="2"/>
    <x v="1"/>
    <n v="2023"/>
    <s v="Q3"/>
    <n v="4799"/>
    <n v="19133"/>
    <n v="10441"/>
    <n v="277135"/>
    <n v="5.0999999999999996"/>
    <n v="14"/>
    <n v="8.24"/>
    <n v="18.239999999999998"/>
    <n v="67.87"/>
    <n v="3.8"/>
    <n v="9867"/>
    <n v="2286"/>
    <n v="13"/>
    <n v="41435754.759999998"/>
    <n v="45.12751638498704"/>
    <n v="91819267"/>
    <n v="0.96077076277871154"/>
    <n v="149.51475995453478"/>
  </r>
  <r>
    <s v="P0828"/>
    <s v="Model_575"/>
    <x v="1"/>
    <x v="2"/>
    <n v="2023"/>
    <s v="Q4"/>
    <n v="4465"/>
    <n v="18514"/>
    <n v="6194"/>
    <n v="123402"/>
    <n v="1.18"/>
    <n v="17"/>
    <n v="0.85"/>
    <n v="18.39"/>
    <n v="31.92"/>
    <n v="3.1"/>
    <n v="2222"/>
    <n v="6067"/>
    <n v="10"/>
    <n v="54885379.609999999"/>
    <n v="66.39493494284946"/>
    <n v="82665010"/>
    <n v="0.89390319979307087"/>
    <n v="444.76911233205294"/>
  </r>
  <r>
    <s v="P0829"/>
    <s v="Model_337"/>
    <x v="1"/>
    <x v="2"/>
    <n v="2024"/>
    <s v="Q1"/>
    <n v="1623"/>
    <n v="16496"/>
    <n v="8680"/>
    <n v="327593"/>
    <n v="6.64"/>
    <n v="14"/>
    <n v="8.66"/>
    <n v="2"/>
    <n v="77.680000000000007"/>
    <n v="2.6"/>
    <n v="6366"/>
    <n v="6474"/>
    <n v="3"/>
    <n v="12357773"/>
    <n v="46.157581546309629"/>
    <n v="26773008"/>
    <n v="0.32492830756196056"/>
    <n v="37.72295195562787"/>
  </r>
  <r>
    <s v="P0830"/>
    <s v="Model_577"/>
    <x v="1"/>
    <x v="2"/>
    <n v="2024"/>
    <s v="Q4"/>
    <n v="1878"/>
    <n v="17836"/>
    <n v="11323"/>
    <n v="388365"/>
    <n v="3.92"/>
    <n v="1"/>
    <n v="4.99"/>
    <n v="8.99"/>
    <n v="44.2"/>
    <n v="3.5"/>
    <n v="11639"/>
    <n v="5458"/>
    <n v="4"/>
    <n v="11843040.01"/>
    <n v="35.356571475621813"/>
    <n v="33496008"/>
    <n v="0.37597989008093774"/>
    <n v="30.494635201421342"/>
  </r>
  <r>
    <s v="P0831"/>
    <s v="Model_708"/>
    <x v="0"/>
    <x v="1"/>
    <n v="2023"/>
    <s v="Q1"/>
    <n v="1967"/>
    <n v="10353"/>
    <n v="5875"/>
    <n v="401224"/>
    <n v="5.15"/>
    <n v="12"/>
    <n v="2.97"/>
    <n v="21.46"/>
    <n v="31.78"/>
    <n v="4.9000000000000004"/>
    <n v="18586"/>
    <n v="4448"/>
    <n v="3"/>
    <n v="8406980.5399999991"/>
    <n v="41.282830668161239"/>
    <n v="20364351"/>
    <n v="0.39379789339148275"/>
    <n v="20.95338763384045"/>
  </r>
  <r>
    <s v="P0832"/>
    <s v="Model_395"/>
    <x v="1"/>
    <x v="2"/>
    <n v="2024"/>
    <s v="Q4"/>
    <n v="4284"/>
    <n v="13195"/>
    <n v="11212"/>
    <n v="55451"/>
    <n v="12.52"/>
    <n v="3"/>
    <n v="2.65"/>
    <n v="5.82"/>
    <n v="40.729999999999997"/>
    <n v="1.4"/>
    <n v="3628"/>
    <n v="1559"/>
    <n v="14"/>
    <n v="8439715.1799999997"/>
    <n v="14.930313734689276"/>
    <n v="56527380"/>
    <n v="0.85766658631881643"/>
    <n v="152.20142107446213"/>
  </r>
  <r>
    <s v="P0833"/>
    <s v="Model_225"/>
    <x v="2"/>
    <x v="1"/>
    <n v="2024"/>
    <s v="Q4"/>
    <n v="2076"/>
    <n v="4352"/>
    <n v="12781"/>
    <n v="137178"/>
    <n v="14.03"/>
    <n v="9"/>
    <n v="4.32"/>
    <n v="2.89"/>
    <n v="76.87"/>
    <n v="2.6"/>
    <n v="10618"/>
    <n v="2042"/>
    <n v="9"/>
    <n v="-17635784.890000001"/>
    <n v="-195.19943535804859"/>
    <n v="9034752"/>
    <n v="0.41561994238979061"/>
    <n v="-128.5612999168963"/>
  </r>
  <r>
    <s v="P0834"/>
    <s v="Model_714"/>
    <x v="0"/>
    <x v="2"/>
    <n v="2024"/>
    <s v="Q1"/>
    <n v="3794"/>
    <n v="17514"/>
    <n v="8030"/>
    <n v="484532"/>
    <n v="2.79"/>
    <n v="12"/>
    <n v="9.99"/>
    <n v="8.15"/>
    <n v="21.89"/>
    <n v="2.6"/>
    <n v="4017"/>
    <n v="5522"/>
    <n v="3"/>
    <n v="35497755.850000001"/>
    <n v="53.421764207731634"/>
    <n v="66448116"/>
    <n v="0.75956746696862509"/>
    <n v="73.261959994386331"/>
  </r>
  <r>
    <s v="P0835"/>
    <s v="Model_554"/>
    <x v="0"/>
    <x v="0"/>
    <n v="2024"/>
    <s v="Q2"/>
    <n v="951"/>
    <n v="2487"/>
    <n v="11802"/>
    <n v="375905"/>
    <n v="5.59"/>
    <n v="9"/>
    <n v="2.2000000000000002"/>
    <n v="5.51"/>
    <n v="46.49"/>
    <n v="3.3"/>
    <n v="19033"/>
    <n v="5296"/>
    <n v="11"/>
    <n v="-9234475.5099999998"/>
    <n v="-390.44146322179222"/>
    <n v="2365137"/>
    <n v="0.19039237245312662"/>
    <n v="-24.565967465184023"/>
  </r>
  <r>
    <s v="P0836"/>
    <s v="Model_571"/>
    <x v="2"/>
    <x v="1"/>
    <n v="2024"/>
    <s v="Q2"/>
    <n v="4835"/>
    <n v="9122"/>
    <n v="14747"/>
    <n v="286562"/>
    <n v="13.93"/>
    <n v="8"/>
    <n v="1.03"/>
    <n v="23.13"/>
    <n v="49.39"/>
    <n v="1.6"/>
    <n v="15728"/>
    <n v="161"/>
    <n v="3"/>
    <n v="-27483460.129999999"/>
    <n v="-62.313889894698704"/>
    <n v="44104870"/>
    <n v="0.96797804501668483"/>
    <n v="-95.90747203048555"/>
  </r>
  <r>
    <s v="P0837"/>
    <s v="Model_605"/>
    <x v="0"/>
    <x v="0"/>
    <n v="2024"/>
    <s v="Q4"/>
    <n v="2089"/>
    <n v="10660"/>
    <n v="14486"/>
    <n v="351014"/>
    <n v="0.93"/>
    <n v="7"/>
    <n v="5.85"/>
    <n v="21.7"/>
    <n v="12.93"/>
    <n v="1.7"/>
    <n v="15679"/>
    <n v="1594"/>
    <n v="2"/>
    <n v="-8343549.7000000002"/>
    <n v="-37.467542842567653"/>
    <n v="22268740"/>
    <n v="0.4182225720868365"/>
    <n v="-23.76978696006427"/>
  </r>
  <r>
    <s v="P0838"/>
    <s v="Model_355"/>
    <x v="2"/>
    <x v="2"/>
    <n v="2024"/>
    <s v="Q1"/>
    <n v="59"/>
    <n v="18984"/>
    <n v="13720"/>
    <n v="408710"/>
    <n v="1.39"/>
    <n v="2"/>
    <n v="4.8899999999999997"/>
    <n v="12.49"/>
    <n v="25.66"/>
    <n v="2.1"/>
    <n v="19762"/>
    <n v="1280"/>
    <n v="8"/>
    <n v="-98146.49"/>
    <n v="-8.7626413322191041"/>
    <n v="1120056"/>
    <n v="1.18119347789006E-2"/>
    <n v="-0.24010667710601649"/>
  </r>
  <r>
    <s v="P0839"/>
    <s v="Model_215"/>
    <x v="0"/>
    <x v="1"/>
    <n v="2023"/>
    <s v="Q1"/>
    <n v="310"/>
    <n v="8152"/>
    <n v="2331"/>
    <n v="435893"/>
    <n v="2.44"/>
    <n v="15"/>
    <n v="5.24"/>
    <n v="1.53"/>
    <n v="76.14"/>
    <n v="4.8"/>
    <n v="11175"/>
    <n v="6368"/>
    <n v="13"/>
    <n v="1368615.47"/>
    <n v="54.157122336889415"/>
    <n v="2527120"/>
    <n v="6.2062708160325192E-2"/>
    <n v="3.1398003638507617"/>
  </r>
  <r>
    <s v="P0840"/>
    <s v="Model_268"/>
    <x v="2"/>
    <x v="2"/>
    <n v="2023"/>
    <s v="Q4"/>
    <n v="1723"/>
    <n v="8921"/>
    <n v="13874"/>
    <n v="173765"/>
    <n v="8.93"/>
    <n v="13"/>
    <n v="6.67"/>
    <n v="17.86"/>
    <n v="76.459999999999994"/>
    <n v="3.9"/>
    <n v="1809"/>
    <n v="2888"/>
    <n v="3"/>
    <n v="-8707801.8599999994"/>
    <n v="-56.651279305164181"/>
    <n v="15370883"/>
    <n v="0.34494853600077519"/>
    <n v="-50.112416194285387"/>
  </r>
  <r>
    <s v="P0841"/>
    <s v="Model_904"/>
    <x v="0"/>
    <x v="1"/>
    <n v="2023"/>
    <s v="Q1"/>
    <n v="2269"/>
    <n v="2269"/>
    <n v="3790"/>
    <n v="437025"/>
    <n v="2.2599999999999998"/>
    <n v="8"/>
    <n v="2.67"/>
    <n v="15.59"/>
    <n v="33.39"/>
    <n v="3.6"/>
    <n v="5452"/>
    <n v="4736"/>
    <n v="11"/>
    <n v="-3888189.59"/>
    <n v="-75.522862324533961"/>
    <n v="5148361"/>
    <n v="0.45425898327670278"/>
    <n v="-8.8969143641668094"/>
  </r>
  <r>
    <s v="P0842"/>
    <s v="Model_798"/>
    <x v="0"/>
    <x v="0"/>
    <n v="2023"/>
    <s v="Q1"/>
    <n v="2110"/>
    <n v="19227"/>
    <n v="7955"/>
    <n v="474089"/>
    <n v="14.52"/>
    <n v="10"/>
    <n v="9.11"/>
    <n v="24.26"/>
    <n v="79.989999999999995"/>
    <n v="4.3"/>
    <n v="20933"/>
    <n v="4821"/>
    <n v="6"/>
    <n v="23309806.739999998"/>
    <n v="57.457230834305129"/>
    <n v="40568970"/>
    <n v="0.42242682005898757"/>
    <n v="49.167626753626429"/>
  </r>
  <r>
    <s v="P0843"/>
    <s v="Model_542"/>
    <x v="0"/>
    <x v="1"/>
    <n v="2024"/>
    <s v="Q4"/>
    <n v="3763"/>
    <n v="15614"/>
    <n v="5293"/>
    <n v="178389"/>
    <n v="6.7"/>
    <n v="2"/>
    <n v="4.3600000000000003"/>
    <n v="13.97"/>
    <n v="71.739999999999995"/>
    <n v="1.5"/>
    <n v="15371"/>
    <n v="5810"/>
    <n v="6"/>
    <n v="38659520.030000001"/>
    <n v="65.797298760990515"/>
    <n v="58755482"/>
    <n v="0.75336119615259256"/>
    <n v="216.71478622560809"/>
  </r>
  <r>
    <s v="P0844"/>
    <s v="Model_277"/>
    <x v="2"/>
    <x v="3"/>
    <n v="2024"/>
    <s v="Q3"/>
    <n v="1669"/>
    <n v="5858"/>
    <n v="10135"/>
    <n v="239699"/>
    <n v="7.52"/>
    <n v="4"/>
    <n v="1.29"/>
    <n v="8.41"/>
    <n v="43.43"/>
    <n v="4.4000000000000004"/>
    <n v="11192"/>
    <n v="7802"/>
    <n v="4"/>
    <n v="-7378020.4100000001"/>
    <n v="-75.463014224605857"/>
    <n v="9777002"/>
    <n v="0.33413761264381531"/>
    <n v="-30.780320318399326"/>
  </r>
  <r>
    <s v="P0845"/>
    <s v="Model_244"/>
    <x v="1"/>
    <x v="1"/>
    <n v="2023"/>
    <s v="Q1"/>
    <n v="370"/>
    <n v="13043"/>
    <n v="1733"/>
    <n v="247227"/>
    <n v="3.7"/>
    <n v="9"/>
    <n v="7.42"/>
    <n v="12.98"/>
    <n v="69.87"/>
    <n v="3.4"/>
    <n v="1515"/>
    <n v="205"/>
    <n v="4"/>
    <n v="3937460.02"/>
    <n v="81.590001056795501"/>
    <n v="4825910"/>
    <n v="7.4074845223613933E-2"/>
    <n v="15.92654928466551"/>
  </r>
  <r>
    <s v="P0846"/>
    <s v="Model_401"/>
    <x v="2"/>
    <x v="2"/>
    <n v="2024"/>
    <s v="Q1"/>
    <n v="1392"/>
    <n v="7199"/>
    <n v="2260"/>
    <n v="337516"/>
    <n v="7.06"/>
    <n v="12"/>
    <n v="6.43"/>
    <n v="24.48"/>
    <n v="86.91"/>
    <n v="2.2999999999999998"/>
    <n v="18489"/>
    <n v="9446"/>
    <n v="14"/>
    <n v="6537547.5199999996"/>
    <n v="65.238422322385119"/>
    <n v="10021008"/>
    <n v="0.27868157986829889"/>
    <n v="19.369665438082937"/>
  </r>
  <r>
    <s v="P0847"/>
    <s v="Model_679"/>
    <x v="0"/>
    <x v="3"/>
    <n v="2023"/>
    <s v="Q2"/>
    <n v="2426"/>
    <n v="19125"/>
    <n v="14940"/>
    <n v="315786"/>
    <n v="9.93"/>
    <n v="3"/>
    <n v="3.16"/>
    <n v="17.41"/>
    <n v="46.72"/>
    <n v="4.3"/>
    <n v="17505"/>
    <n v="4187"/>
    <n v="13"/>
    <n v="9837006.5899999999"/>
    <n v="21.201701803447403"/>
    <n v="46397250"/>
    <n v="0.48569074192564166"/>
    <n v="31.150918660105262"/>
  </r>
  <r>
    <s v="P0848"/>
    <s v="Model_890"/>
    <x v="2"/>
    <x v="0"/>
    <n v="2024"/>
    <s v="Q3"/>
    <n v="2882"/>
    <n v="2625"/>
    <n v="3523"/>
    <n v="310220"/>
    <n v="11.27"/>
    <n v="12"/>
    <n v="6.22"/>
    <n v="16.8"/>
    <n v="29.07"/>
    <n v="4.2"/>
    <n v="15778"/>
    <n v="4025"/>
    <n v="4"/>
    <n v="-2898272.8"/>
    <n v="-38.310337397970983"/>
    <n v="7565250"/>
    <n v="0.57698298360663614"/>
    <n v="-9.342582683257044"/>
  </r>
  <r>
    <s v="P0849"/>
    <s v="Model_206"/>
    <x v="1"/>
    <x v="1"/>
    <n v="2024"/>
    <s v="Q2"/>
    <n v="2874"/>
    <n v="12293"/>
    <n v="11504"/>
    <n v="471217"/>
    <n v="11.31"/>
    <n v="11"/>
    <n v="2.2000000000000002"/>
    <n v="6.02"/>
    <n v="85.35"/>
    <n v="4.4000000000000004"/>
    <n v="16317"/>
    <n v="2008"/>
    <n v="7"/>
    <n v="1796362.98"/>
    <n v="5.0845140410373233"/>
    <n v="35330082"/>
    <n v="0.57538136533153095"/>
    <n v="3.8121905618855005"/>
  </r>
  <r>
    <s v="P0850"/>
    <s v="Model_740"/>
    <x v="2"/>
    <x v="1"/>
    <n v="2024"/>
    <s v="Q3"/>
    <n v="2044"/>
    <n v="8264"/>
    <n v="1085"/>
    <n v="346208"/>
    <n v="8.67"/>
    <n v="4"/>
    <n v="4.45"/>
    <n v="18.59"/>
    <n v="58.3"/>
    <n v="1.5"/>
    <n v="11259"/>
    <n v="2149"/>
    <n v="5"/>
    <n v="14327649.41"/>
    <n v="84.821069872770011"/>
    <n v="16891616"/>
    <n v="0.40921346928936997"/>
    <n v="41.384566503373698"/>
  </r>
  <r>
    <s v="P0851"/>
    <s v="Model_563"/>
    <x v="2"/>
    <x v="3"/>
    <n v="2023"/>
    <s v="Q4"/>
    <n v="3008"/>
    <n v="13823"/>
    <n v="1064"/>
    <n v="275898"/>
    <n v="13.57"/>
    <n v="9"/>
    <n v="8.99"/>
    <n v="18.760000000000002"/>
    <n v="18.420000000000002"/>
    <n v="4.9000000000000004"/>
    <n v="17164"/>
    <n v="9566"/>
    <n v="14"/>
    <n v="38103155.240000002"/>
    <n v="91.639096822132714"/>
    <n v="41579584"/>
    <n v="0.60220847143954248"/>
    <n v="138.10601744122829"/>
  </r>
  <r>
    <s v="P0852"/>
    <s v="Model_343"/>
    <x v="1"/>
    <x v="3"/>
    <n v="2023"/>
    <s v="Q4"/>
    <n v="2088"/>
    <n v="14531"/>
    <n v="11359"/>
    <n v="326266"/>
    <n v="12.26"/>
    <n v="8"/>
    <n v="1.34"/>
    <n v="7.93"/>
    <n v="55.81"/>
    <n v="4.8"/>
    <n v="7912"/>
    <n v="9237"/>
    <n v="4"/>
    <n v="6296862.0700000003"/>
    <n v="20.753826572651786"/>
    <n v="30340728"/>
    <n v="0.41802236980244839"/>
    <n v="19.299804454034437"/>
  </r>
  <r>
    <s v="P0853"/>
    <s v="Model_840"/>
    <x v="0"/>
    <x v="1"/>
    <n v="2024"/>
    <s v="Q4"/>
    <n v="3540"/>
    <n v="15552"/>
    <n v="7616"/>
    <n v="468036"/>
    <n v="11.36"/>
    <n v="19"/>
    <n v="3.87"/>
    <n v="12.09"/>
    <n v="50.05"/>
    <n v="2.4"/>
    <n v="11696"/>
    <n v="8272"/>
    <n v="3"/>
    <n v="27625391.91"/>
    <n v="50.17864599680896"/>
    <n v="55054080"/>
    <n v="0.70871608673403608"/>
    <n v="59.024100710201779"/>
  </r>
  <r>
    <s v="P0854"/>
    <s v="Model_897"/>
    <x v="1"/>
    <x v="2"/>
    <n v="2023"/>
    <s v="Q4"/>
    <n v="3727"/>
    <n v="14140"/>
    <n v="12439"/>
    <n v="118431"/>
    <n v="0.83"/>
    <n v="6"/>
    <n v="8.2100000000000009"/>
    <n v="7.37"/>
    <n v="78.45"/>
    <n v="1.3"/>
    <n v="10007"/>
    <n v="4004"/>
    <n v="14"/>
    <n v="6221188.6299999999"/>
    <n v="11.804961292058525"/>
    <n v="52699780"/>
    <n v="0.74615391391461927"/>
    <n v="52.530131468956604"/>
  </r>
  <r>
    <s v="P0855"/>
    <s v="Model_602"/>
    <x v="1"/>
    <x v="3"/>
    <n v="2024"/>
    <s v="Q3"/>
    <n v="1168"/>
    <n v="9343"/>
    <n v="14765"/>
    <n v="105745"/>
    <n v="0.1"/>
    <n v="1"/>
    <n v="9.69"/>
    <n v="6.47"/>
    <n v="52.46"/>
    <n v="1.7"/>
    <n v="6320"/>
    <n v="3896"/>
    <n v="4"/>
    <n v="-6438647.4699999997"/>
    <n v="-59.001826416817806"/>
    <n v="10912624"/>
    <n v="0.23383626816535427"/>
    <n v="-60.888372972717384"/>
  </r>
  <r>
    <s v="P0856"/>
    <s v="Model_146"/>
    <x v="2"/>
    <x v="1"/>
    <n v="2023"/>
    <s v="Q2"/>
    <n v="1654"/>
    <n v="15710"/>
    <n v="14314"/>
    <n v="100081"/>
    <n v="3.19"/>
    <n v="6"/>
    <n v="4.54"/>
    <n v="0.65"/>
    <n v="30.42"/>
    <n v="5"/>
    <n v="9335"/>
    <n v="392"/>
    <n v="5"/>
    <n v="2208902.35"/>
    <n v="8.500898425744122"/>
    <n v="25984340"/>
    <n v="0.33113457837799309"/>
    <n v="22.071152366583068"/>
  </r>
  <r>
    <s v="P0857"/>
    <s v="Model_721"/>
    <x v="0"/>
    <x v="0"/>
    <n v="2023"/>
    <s v="Q4"/>
    <n v="4077"/>
    <n v="17956"/>
    <n v="13908"/>
    <n v="451927"/>
    <n v="9.9499999999999993"/>
    <n v="7"/>
    <n v="5.07"/>
    <n v="7.13"/>
    <n v="64.05"/>
    <n v="3.3"/>
    <n v="3349"/>
    <n v="6366"/>
    <n v="7"/>
    <n v="16051761.869999999"/>
    <n v="21.926655846332569"/>
    <n v="73206612"/>
    <n v="0.81622471345047032"/>
    <n v="35.518499669194362"/>
  </r>
  <r>
    <s v="P0858"/>
    <s v="Model_924"/>
    <x v="0"/>
    <x v="0"/>
    <n v="2023"/>
    <s v="Q2"/>
    <n v="285"/>
    <n v="11606"/>
    <n v="2562"/>
    <n v="266204"/>
    <n v="6.17"/>
    <n v="6"/>
    <n v="5.72"/>
    <n v="13.85"/>
    <n v="53.41"/>
    <n v="2.4"/>
    <n v="15087"/>
    <n v="6470"/>
    <n v="5"/>
    <n v="2311322.15"/>
    <n v="69.876807519401638"/>
    <n v="3307710"/>
    <n v="5.7057651050621543E-2"/>
    <n v="8.6825742663521215"/>
  </r>
  <r>
    <s v="P0859"/>
    <s v="Model_803"/>
    <x v="1"/>
    <x v="1"/>
    <n v="2024"/>
    <s v="Q4"/>
    <n v="2019"/>
    <n v="6689"/>
    <n v="12040"/>
    <n v="462009"/>
    <n v="6.04"/>
    <n v="13"/>
    <n v="9.32"/>
    <n v="0.04"/>
    <n v="28.64"/>
    <n v="2.2000000000000002"/>
    <n v="3453"/>
    <n v="4960"/>
    <n v="9"/>
    <n v="-11265678.039999999"/>
    <n v="-83.418009104862747"/>
    <n v="13505091"/>
    <n v="0.4042084121796663"/>
    <n v="-24.384109400466226"/>
  </r>
  <r>
    <s v="P0860"/>
    <s v="Model_898"/>
    <x v="1"/>
    <x v="0"/>
    <n v="2023"/>
    <s v="Q4"/>
    <n v="4479"/>
    <n v="3972"/>
    <n v="11373"/>
    <n v="451415"/>
    <n v="13.27"/>
    <n v="18"/>
    <n v="8.58"/>
    <n v="7.08"/>
    <n v="55.89"/>
    <n v="2"/>
    <n v="20653"/>
    <n v="3829"/>
    <n v="4"/>
    <n v="-33600501.079999998"/>
    <n v="-188.86672593396011"/>
    <n v="17790588"/>
    <n v="0.89670603177450492"/>
    <n v="-74.433711772980516"/>
  </r>
  <r>
    <s v="P0861"/>
    <s v="Model_228"/>
    <x v="2"/>
    <x v="0"/>
    <n v="2024"/>
    <s v="Q2"/>
    <n v="1958"/>
    <n v="18591"/>
    <n v="11261"/>
    <n v="126253"/>
    <n v="13.43"/>
    <n v="4"/>
    <n v="1.71"/>
    <n v="22.04"/>
    <n v="75.72"/>
    <n v="3.7"/>
    <n v="14231"/>
    <n v="8062"/>
    <n v="13"/>
    <n v="14225864.960000001"/>
    <n v="39.080781836236184"/>
    <n v="36401178"/>
    <n v="0.3919960728319894"/>
    <n v="112.67761558141193"/>
  </r>
  <r>
    <s v="P0862"/>
    <s v="Model_622"/>
    <x v="0"/>
    <x v="0"/>
    <n v="2024"/>
    <s v="Q2"/>
    <n v="425"/>
    <n v="19688"/>
    <n v="840"/>
    <n v="348335"/>
    <n v="13.64"/>
    <n v="17"/>
    <n v="4.37"/>
    <n v="14.84"/>
    <n v="12.29"/>
    <n v="2.7"/>
    <n v="20930"/>
    <n v="5610"/>
    <n v="4"/>
    <n v="7662050.1600000001"/>
    <n v="91.570262686139074"/>
    <n v="8367400"/>
    <n v="8.5085970864961946E-2"/>
    <n v="21.996253606442075"/>
  </r>
  <r>
    <s v="P0863"/>
    <s v="Model_268"/>
    <x v="1"/>
    <x v="3"/>
    <n v="2023"/>
    <s v="Q1"/>
    <n v="3580"/>
    <n v="8204"/>
    <n v="6627"/>
    <n v="322355"/>
    <n v="4.71"/>
    <n v="19"/>
    <n v="4.6399999999999997"/>
    <n v="15.2"/>
    <n v="60.47"/>
    <n v="4.9000000000000004"/>
    <n v="8340"/>
    <n v="8719"/>
    <n v="4"/>
    <n v="5323289.8"/>
    <n v="18.124725232820072"/>
    <n v="29370320"/>
    <n v="0.7167241781095619"/>
    <n v="16.513796900932203"/>
  </r>
  <r>
    <s v="P0864"/>
    <s v="Model_693"/>
    <x v="1"/>
    <x v="2"/>
    <n v="2024"/>
    <s v="Q1"/>
    <n v="2685"/>
    <n v="5213"/>
    <n v="9059"/>
    <n v="161086"/>
    <n v="10.37"/>
    <n v="11"/>
    <n v="7.89"/>
    <n v="10.08"/>
    <n v="37.97"/>
    <n v="3.7"/>
    <n v="6566"/>
    <n v="6861"/>
    <n v="9"/>
    <n v="-10487606.08"/>
    <n v="-74.928036448057625"/>
    <n v="13996905"/>
    <n v="0.53754313358217143"/>
    <n v="-65.105570937263323"/>
  </r>
  <r>
    <s v="P0865"/>
    <s v="Model_228"/>
    <x v="1"/>
    <x v="1"/>
    <n v="2024"/>
    <s v="Q4"/>
    <n v="1620"/>
    <n v="6551"/>
    <n v="1787"/>
    <n v="499962"/>
    <n v="4.07"/>
    <n v="16"/>
    <n v="6.03"/>
    <n v="16.91"/>
    <n v="33.409999999999997"/>
    <n v="4.2"/>
    <n v="3915"/>
    <n v="6210"/>
    <n v="5"/>
    <n v="7217701.0899999999"/>
    <n v="68.01054866752979"/>
    <n v="10612620"/>
    <n v="0.32432770070879613"/>
    <n v="14.436533176521415"/>
  </r>
  <r>
    <s v="P0866"/>
    <s v="Model_688"/>
    <x v="0"/>
    <x v="1"/>
    <n v="2023"/>
    <s v="Q2"/>
    <n v="2610"/>
    <n v="12256"/>
    <n v="14887"/>
    <n v="464758"/>
    <n v="2.86"/>
    <n v="12"/>
    <n v="6.54"/>
    <n v="4.75"/>
    <n v="41.41"/>
    <n v="2.2000000000000002"/>
    <n v="3889"/>
    <n v="7055"/>
    <n v="2"/>
    <n v="-7331672.75"/>
    <n v="-22.919957728109399"/>
    <n v="31988160"/>
    <n v="0.52252796225306042"/>
    <n v="-15.77523786572797"/>
  </r>
  <r>
    <s v="P0867"/>
    <s v="Model_708"/>
    <x v="0"/>
    <x v="1"/>
    <n v="2024"/>
    <s v="Q2"/>
    <n v="3441"/>
    <n v="3975"/>
    <n v="8604"/>
    <n v="474528"/>
    <n v="2.77"/>
    <n v="1"/>
    <n v="9.98"/>
    <n v="20.47"/>
    <n v="37.36"/>
    <n v="1.3"/>
    <n v="17711"/>
    <n v="206"/>
    <n v="3"/>
    <n v="-16402937.470000001"/>
    <n v="-119.9222653207072"/>
    <n v="13677975"/>
    <n v="0.68889606057960961"/>
    <n v="-34.566805330770784"/>
  </r>
  <r>
    <s v="P0868"/>
    <s v="Model_625"/>
    <x v="1"/>
    <x v="2"/>
    <n v="2024"/>
    <s v="Q3"/>
    <n v="3015"/>
    <n v="5110"/>
    <n v="8589"/>
    <n v="488458"/>
    <n v="5.13"/>
    <n v="12"/>
    <n v="0.75"/>
    <n v="2.92"/>
    <n v="76.58"/>
    <n v="3"/>
    <n v="2263"/>
    <n v="4854"/>
    <n v="14"/>
    <n v="-10977645.92"/>
    <n v="-71.252646876511122"/>
    <n v="15406650"/>
    <n v="0.60360988743025945"/>
    <n v="-22.474077607491331"/>
  </r>
  <r>
    <s v="P0869"/>
    <s v="Model_207"/>
    <x v="1"/>
    <x v="2"/>
    <n v="2024"/>
    <s v="Q3"/>
    <n v="3693"/>
    <n v="5755"/>
    <n v="6517"/>
    <n v="414115"/>
    <n v="6.45"/>
    <n v="6"/>
    <n v="2.23"/>
    <n v="16.399999999999999"/>
    <n v="31.98"/>
    <n v="2.2999999999999998"/>
    <n v="18699"/>
    <n v="5378"/>
    <n v="11"/>
    <n v="-3228197.4"/>
    <n v="-15.189219136963514"/>
    <n v="21253215"/>
    <n v="0.73934703624542231"/>
    <n v="-7.7953732658802508"/>
  </r>
  <r>
    <s v="P0870"/>
    <s v="Model_873"/>
    <x v="0"/>
    <x v="1"/>
    <n v="2024"/>
    <s v="Q2"/>
    <n v="3900"/>
    <n v="15984"/>
    <n v="13000"/>
    <n v="143783"/>
    <n v="12.46"/>
    <n v="9"/>
    <n v="4.08"/>
    <n v="8.5299999999999994"/>
    <n v="68.650000000000006"/>
    <n v="1.8"/>
    <n v="7755"/>
    <n v="6508"/>
    <n v="14"/>
    <n v="11493808.470000001"/>
    <n v="18.438002858627861"/>
    <n v="62337600"/>
    <n v="0.78078890911376853"/>
    <n v="79.938636695575966"/>
  </r>
  <r>
    <s v="P0871"/>
    <s v="Model_119"/>
    <x v="1"/>
    <x v="3"/>
    <n v="2024"/>
    <s v="Q3"/>
    <n v="922"/>
    <n v="3235"/>
    <n v="14743"/>
    <n v="175681"/>
    <n v="1.8"/>
    <n v="5"/>
    <n v="3.48"/>
    <n v="18.690000000000001"/>
    <n v="17.52"/>
    <n v="4.8"/>
    <n v="18761"/>
    <n v="7735"/>
    <n v="14"/>
    <n v="-10786075.689999999"/>
    <n v="-361.62484250688141"/>
    <n v="2982670"/>
    <n v="0.18458650620587039"/>
    <n v="-61.39569446895225"/>
  </r>
  <r>
    <s v="P0872"/>
    <s v="Model_354"/>
    <x v="2"/>
    <x v="2"/>
    <n v="2023"/>
    <s v="Q4"/>
    <n v="1302"/>
    <n v="9758"/>
    <n v="3998"/>
    <n v="137893"/>
    <n v="11.02"/>
    <n v="2"/>
    <n v="0.22"/>
    <n v="13.74"/>
    <n v="86.11"/>
    <n v="2.8"/>
    <n v="8673"/>
    <n v="1325"/>
    <n v="3"/>
    <n v="7361613.2599999998"/>
    <n v="57.943029768949273"/>
    <n v="12704916"/>
    <n v="0.26066337427336578"/>
    <n v="53.386517082085383"/>
  </r>
  <r>
    <s v="P0873"/>
    <s v="Model_195"/>
    <x v="1"/>
    <x v="3"/>
    <n v="2024"/>
    <s v="Q3"/>
    <n v="1364"/>
    <n v="9479"/>
    <n v="6174"/>
    <n v="498604"/>
    <n v="7.97"/>
    <n v="2"/>
    <n v="0.92"/>
    <n v="11.31"/>
    <n v="59.79"/>
    <n v="1.7"/>
    <n v="12018"/>
    <n v="4350"/>
    <n v="4"/>
    <n v="4009404.69"/>
    <n v="31.010088128132601"/>
    <n v="12929356"/>
    <n v="0.27307591590543084"/>
    <n v="8.041283262869932"/>
  </r>
  <r>
    <s v="P0874"/>
    <s v="Model_950"/>
    <x v="0"/>
    <x v="3"/>
    <n v="2024"/>
    <s v="Q1"/>
    <n v="4870"/>
    <n v="3928"/>
    <n v="5590"/>
    <n v="208763"/>
    <n v="4.32"/>
    <n v="17"/>
    <n v="6.81"/>
    <n v="4.24"/>
    <n v="66.540000000000006"/>
    <n v="1.8"/>
    <n v="11752"/>
    <n v="995"/>
    <n v="7"/>
    <n v="-8302707.2400000002"/>
    <n v="-43.402953575028121"/>
    <n v="19129360"/>
    <n v="0.9749851249702699"/>
    <n v="-39.77095079108846"/>
  </r>
  <r>
    <s v="P0875"/>
    <s v="Model_163"/>
    <x v="2"/>
    <x v="1"/>
    <n v="2024"/>
    <s v="Q2"/>
    <n v="2948"/>
    <n v="13845"/>
    <n v="7983"/>
    <n v="127960"/>
    <n v="7.39"/>
    <n v="10"/>
    <n v="8.7899999999999991"/>
    <n v="15.92"/>
    <n v="33.840000000000003"/>
    <n v="2.1"/>
    <n v="13947"/>
    <n v="1720"/>
    <n v="9"/>
    <n v="17153200.079999998"/>
    <n v="42.026644282772089"/>
    <n v="40815060"/>
    <n v="0.59019633437625374"/>
    <n v="134.05139105970616"/>
  </r>
  <r>
    <s v="P0876"/>
    <s v="Model_273"/>
    <x v="2"/>
    <x v="1"/>
    <n v="2024"/>
    <s v="Q2"/>
    <n v="127"/>
    <n v="8926"/>
    <n v="3324"/>
    <n v="396532"/>
    <n v="4.5"/>
    <n v="19"/>
    <n v="5.14"/>
    <n v="24.37"/>
    <n v="42.97"/>
    <n v="5"/>
    <n v="16589"/>
    <n v="5188"/>
    <n v="13"/>
    <n v="314897.63"/>
    <n v="27.77849986150342"/>
    <n v="1133602"/>
    <n v="2.5425690117294512E-2"/>
    <n v="0.7941906327862569"/>
  </r>
  <r>
    <s v="P0877"/>
    <s v="Model_607"/>
    <x v="2"/>
    <x v="3"/>
    <n v="2023"/>
    <s v="Q1"/>
    <n v="2671"/>
    <n v="10033"/>
    <n v="10077"/>
    <n v="72601"/>
    <n v="8.94"/>
    <n v="4"/>
    <n v="5.39"/>
    <n v="20.64"/>
    <n v="27.9"/>
    <n v="2.1"/>
    <n v="10895"/>
    <n v="5519"/>
    <n v="2"/>
    <n v="-190145.64"/>
    <n v="-0.70954782202632483"/>
    <n v="26798143"/>
    <n v="0.53474030160073738"/>
    <n v="-2.6187655817412985"/>
  </r>
  <r>
    <s v="P0878"/>
    <s v="Model_894"/>
    <x v="1"/>
    <x v="0"/>
    <n v="2024"/>
    <s v="Q3"/>
    <n v="4277"/>
    <n v="6749"/>
    <n v="3279"/>
    <n v="461236"/>
    <n v="6.51"/>
    <n v="18"/>
    <n v="2.5499999999999998"/>
    <n v="1.5"/>
    <n v="84.6"/>
    <n v="2.2999999999999998"/>
    <n v="13567"/>
    <n v="1485"/>
    <n v="10"/>
    <n v="14379952.5"/>
    <n v="49.817137934999366"/>
    <n v="28865473"/>
    <n v="0.85626517032809946"/>
    <n v="31.176998326236461"/>
  </r>
  <r>
    <s v="P0879"/>
    <s v="Model_128"/>
    <x v="1"/>
    <x v="2"/>
    <n v="2023"/>
    <s v="Q1"/>
    <n v="650"/>
    <n v="11186"/>
    <n v="10685"/>
    <n v="189227"/>
    <n v="2.4700000000000002"/>
    <n v="18"/>
    <n v="7.68"/>
    <n v="9.41"/>
    <n v="49.05"/>
    <n v="3.6"/>
    <n v="20707"/>
    <n v="2533"/>
    <n v="2"/>
    <n v="136413.59"/>
    <n v="1.8761582472596239"/>
    <n v="7270900"/>
    <n v="0.13013148485229475"/>
    <n v="0.72094891321005983"/>
  </r>
  <r>
    <s v="P0880"/>
    <s v="Model_935"/>
    <x v="2"/>
    <x v="1"/>
    <n v="2024"/>
    <s v="Q1"/>
    <n v="1115"/>
    <n v="15609"/>
    <n v="11307"/>
    <n v="250191"/>
    <n v="1.75"/>
    <n v="14"/>
    <n v="7.52"/>
    <n v="23.14"/>
    <n v="60.44"/>
    <n v="2.2000000000000002"/>
    <n v="6787"/>
    <n v="1401"/>
    <n v="11"/>
    <n v="4546515.8600000003"/>
    <n v="26.123343580956949"/>
    <n v="17404035"/>
    <n v="0.22322554709278253"/>
    <n v="18.172272383898701"/>
  </r>
  <r>
    <s v="P0881"/>
    <s v="Model_326"/>
    <x v="1"/>
    <x v="0"/>
    <n v="2023"/>
    <s v="Q3"/>
    <n v="2186"/>
    <n v="2161"/>
    <n v="5954"/>
    <n v="217849"/>
    <n v="8.1999999999999993"/>
    <n v="15"/>
    <n v="5.88"/>
    <n v="12.58"/>
    <n v="68.739999999999995"/>
    <n v="1.9"/>
    <n v="14961"/>
    <n v="6958"/>
    <n v="3"/>
    <n v="-8509359.5800000001"/>
    <n v="-180.13244816939061"/>
    <n v="4723946"/>
    <n v="0.43764219367248663"/>
    <n v="-39.060757680778892"/>
  </r>
  <r>
    <s v="P0882"/>
    <s v="Model_613"/>
    <x v="1"/>
    <x v="0"/>
    <n v="2023"/>
    <s v="Q2"/>
    <n v="2499"/>
    <n v="13575"/>
    <n v="1578"/>
    <n v="331854"/>
    <n v="13.54"/>
    <n v="8"/>
    <n v="2.13"/>
    <n v="16.55"/>
    <n v="39.69"/>
    <n v="1.6"/>
    <n v="14902"/>
    <n v="9050"/>
    <n v="4"/>
    <n v="29648632.449999999"/>
    <n v="87.397411856086819"/>
    <n v="33923925"/>
    <n v="0.50030550868597623"/>
    <n v="89.342448787719903"/>
  </r>
  <r>
    <s v="P0883"/>
    <s v="Model_364"/>
    <x v="2"/>
    <x v="2"/>
    <n v="2024"/>
    <s v="Q1"/>
    <n v="2393"/>
    <n v="16288"/>
    <n v="13581"/>
    <n v="420858"/>
    <n v="5.16"/>
    <n v="3"/>
    <n v="0.97"/>
    <n v="22.81"/>
    <n v="67.61"/>
    <n v="2.2999999999999998"/>
    <n v="8933"/>
    <n v="9038"/>
    <n v="8"/>
    <n v="6056970.1900000004"/>
    <n v="15.539783966948459"/>
    <n v="38977184"/>
    <n v="0.47908406654083285"/>
    <n v="14.392011082122711"/>
  </r>
  <r>
    <s v="P0884"/>
    <s v="Model_153"/>
    <x v="1"/>
    <x v="3"/>
    <n v="2023"/>
    <s v="Q2"/>
    <n v="1913"/>
    <n v="11560"/>
    <n v="10577"/>
    <n v="205604"/>
    <n v="11"/>
    <n v="14"/>
    <n v="0.64"/>
    <n v="21.84"/>
    <n v="64.08"/>
    <n v="1.4"/>
    <n v="12784"/>
    <n v="8884"/>
    <n v="10"/>
    <n v="1674853.16"/>
    <n v="7.5736273575264486"/>
    <n v="22114280"/>
    <n v="0.38298697003452287"/>
    <n v="8.1461206980408942"/>
  </r>
  <r>
    <s v="P0885"/>
    <s v="Model_212"/>
    <x v="2"/>
    <x v="1"/>
    <n v="2024"/>
    <s v="Q4"/>
    <n v="1368"/>
    <n v="17336"/>
    <n v="2292"/>
    <n v="178727"/>
    <n v="9.8800000000000008"/>
    <n v="11"/>
    <n v="5.93"/>
    <n v="12.55"/>
    <n v="66.45"/>
    <n v="1.1000000000000001"/>
    <n v="6326"/>
    <n v="5744"/>
    <n v="4"/>
    <n v="20401452.449999999"/>
    <n v="86.025279385155315"/>
    <n v="23715648"/>
    <n v="0.27387672504298344"/>
    <n v="114.1487576023768"/>
  </r>
  <r>
    <s v="P0886"/>
    <s v="Model_744"/>
    <x v="0"/>
    <x v="1"/>
    <n v="2023"/>
    <s v="Q1"/>
    <n v="4761"/>
    <n v="12026"/>
    <n v="14878"/>
    <n v="461817"/>
    <n v="13.97"/>
    <n v="2"/>
    <n v="8.25"/>
    <n v="10.94"/>
    <n v="49.14"/>
    <n v="4.2"/>
    <n v="5164"/>
    <n v="5188"/>
    <n v="9"/>
    <n v="-14040199.939999999"/>
    <n v="-24.521888390458912"/>
    <n v="57255786"/>
    <n v="0.95316307597196204"/>
    <n v="-30.402061855670102"/>
  </r>
  <r>
    <s v="P0887"/>
    <s v="Model_508"/>
    <x v="1"/>
    <x v="2"/>
    <n v="2023"/>
    <s v="Q2"/>
    <n v="3647"/>
    <n v="4874"/>
    <n v="1460"/>
    <n v="113227"/>
    <n v="12.31"/>
    <n v="13"/>
    <n v="8.58"/>
    <n v="8.49"/>
    <n v="40.630000000000003"/>
    <n v="1.6"/>
    <n v="12028"/>
    <n v="9360"/>
    <n v="10"/>
    <n v="12337622.51"/>
    <n v="69.408105424788019"/>
    <n v="17775478"/>
    <n v="0.73013773116356762"/>
    <n v="108.96368357370592"/>
  </r>
  <r>
    <s v="P0888"/>
    <s v="Model_626"/>
    <x v="2"/>
    <x v="0"/>
    <n v="2023"/>
    <s v="Q3"/>
    <n v="3812"/>
    <n v="1707"/>
    <n v="2148"/>
    <n v="186039"/>
    <n v="8.5"/>
    <n v="16"/>
    <n v="4.6399999999999997"/>
    <n v="17.98"/>
    <n v="27.77"/>
    <n v="4.0999999999999996"/>
    <n v="1997"/>
    <n v="5540"/>
    <n v="11"/>
    <n v="-1867148.98"/>
    <n v="-28.694096772071791"/>
    <n v="6507084"/>
    <n v="0.76317110808761168"/>
    <n v="-10.036234337961396"/>
  </r>
  <r>
    <s v="P0889"/>
    <s v="Model_904"/>
    <x v="0"/>
    <x v="2"/>
    <n v="2024"/>
    <s v="Q1"/>
    <n v="4720"/>
    <n v="4165"/>
    <n v="14415"/>
    <n v="134289"/>
    <n v="9.86"/>
    <n v="18"/>
    <n v="7.84"/>
    <n v="7.17"/>
    <n v="75.97"/>
    <n v="4.2"/>
    <n v="9141"/>
    <n v="7593"/>
    <n v="8"/>
    <n v="-48514296.170000002"/>
    <n v="-246.78157451116039"/>
    <n v="19658800"/>
    <n v="0.94495478231204799"/>
    <n v="-361.26778068196205"/>
  </r>
  <r>
    <s v="P0890"/>
    <s v="Model_947"/>
    <x v="2"/>
    <x v="0"/>
    <n v="2024"/>
    <s v="Q2"/>
    <n v="2240"/>
    <n v="2132"/>
    <n v="10291"/>
    <n v="201094"/>
    <n v="13.48"/>
    <n v="5"/>
    <n v="9.4700000000000006"/>
    <n v="6.25"/>
    <n v="58.67"/>
    <n v="3.2"/>
    <n v="6143"/>
    <n v="6391"/>
    <n v="5"/>
    <n v="-18477260.25"/>
    <n v="-386.90323158168047"/>
    <n v="4775680"/>
    <n v="0.44845311702944651"/>
    <n v="-91.883666345092351"/>
  </r>
  <r>
    <s v="P0891"/>
    <s v="Model_930"/>
    <x v="0"/>
    <x v="1"/>
    <n v="2023"/>
    <s v="Q3"/>
    <n v="1042"/>
    <n v="4583"/>
    <n v="12932"/>
    <n v="486679"/>
    <n v="5.99"/>
    <n v="3"/>
    <n v="2.75"/>
    <n v="8.91"/>
    <n v="45.55"/>
    <n v="2.2000000000000002"/>
    <n v="6556"/>
    <n v="3407"/>
    <n v="5"/>
    <n v="-9186345.9100000001"/>
    <n v="-192.36462864722043"/>
    <n v="4775486"/>
    <n v="0.2086107803324479"/>
    <n v="-18.875556578360687"/>
  </r>
  <r>
    <s v="P0892"/>
    <s v="Model_295"/>
    <x v="2"/>
    <x v="3"/>
    <n v="2024"/>
    <s v="Q2"/>
    <n v="2762"/>
    <n v="15211"/>
    <n v="10978"/>
    <n v="255743"/>
    <n v="4.9000000000000004"/>
    <n v="6"/>
    <n v="3.98"/>
    <n v="4.43"/>
    <n v="85.52"/>
    <n v="1.6"/>
    <n v="1631"/>
    <n v="8994"/>
    <n v="5"/>
    <n v="11435798.57"/>
    <n v="27.219807938450728"/>
    <n v="42012782"/>
    <n v="0.55295870948005865"/>
    <n v="44.715996136746654"/>
  </r>
  <r>
    <s v="P0893"/>
    <s v="Model_120"/>
    <x v="1"/>
    <x v="3"/>
    <n v="2023"/>
    <s v="Q2"/>
    <n v="2242"/>
    <n v="11623"/>
    <n v="8651"/>
    <n v="317866"/>
    <n v="0.16"/>
    <n v="18"/>
    <n v="9.31"/>
    <n v="17.38"/>
    <n v="13.83"/>
    <n v="3.9"/>
    <n v="6943"/>
    <n v="4808"/>
    <n v="7"/>
    <n v="6345340.6200000001"/>
    <n v="24.350119341798457"/>
    <n v="26058766"/>
    <n v="0.44885352159822284"/>
    <n v="19.962367790200901"/>
  </r>
  <r>
    <s v="P0894"/>
    <s v="Model_269"/>
    <x v="0"/>
    <x v="1"/>
    <n v="2024"/>
    <s v="Q1"/>
    <n v="1298"/>
    <n v="8623"/>
    <n v="7956"/>
    <n v="208485"/>
    <n v="12.4"/>
    <n v="16"/>
    <n v="3.38"/>
    <n v="15.41"/>
    <n v="78.010000000000005"/>
    <n v="3.4"/>
    <n v="18741"/>
    <n v="204"/>
    <n v="5"/>
    <n v="657265.59"/>
    <n v="5.8722943637853895"/>
    <n v="11192654"/>
    <n v="0.25986256513581318"/>
    <n v="3.1526536681296018"/>
  </r>
  <r>
    <s v="P0895"/>
    <s v="Model_340"/>
    <x v="1"/>
    <x v="1"/>
    <n v="2024"/>
    <s v="Q2"/>
    <n v="3104"/>
    <n v="12254"/>
    <n v="2844"/>
    <n v="393194"/>
    <n v="12.01"/>
    <n v="15"/>
    <n v="9.14"/>
    <n v="12.07"/>
    <n v="89.81"/>
    <n v="3.6"/>
    <n v="14943"/>
    <n v="9789"/>
    <n v="6"/>
    <n v="28815433.93"/>
    <n v="75.757489690931976"/>
    <n v="38036416"/>
    <n v="0.62142789074080451"/>
    <n v="73.285568955782637"/>
  </r>
  <r>
    <s v="P0896"/>
    <s v="Model_980"/>
    <x v="1"/>
    <x v="3"/>
    <n v="2024"/>
    <s v="Q1"/>
    <n v="4648"/>
    <n v="3179"/>
    <n v="8168"/>
    <n v="283820"/>
    <n v="1.57"/>
    <n v="14"/>
    <n v="9.81"/>
    <n v="9.76"/>
    <n v="80.959999999999994"/>
    <n v="1"/>
    <n v="10212"/>
    <n v="3933"/>
    <n v="10"/>
    <n v="-23472701.760000002"/>
    <n v="-158.85702807635522"/>
    <n v="14775992"/>
    <n v="0.93054021783610152"/>
    <n v="-82.702741173983512"/>
  </r>
  <r>
    <s v="P0897"/>
    <s v="Model_965"/>
    <x v="2"/>
    <x v="1"/>
    <n v="2024"/>
    <s v="Q3"/>
    <n v="4083"/>
    <n v="17401"/>
    <n v="4316"/>
    <n v="286994"/>
    <n v="8.65"/>
    <n v="7"/>
    <n v="6.62"/>
    <n v="22.73"/>
    <n v="74.83"/>
    <n v="4.7"/>
    <n v="9721"/>
    <n v="495"/>
    <n v="13"/>
    <n v="53139038.270000003"/>
    <n v="74.792853572548694"/>
    <n v="71048283"/>
    <n v="0.81742592715679918"/>
    <n v="185.15739353435961"/>
  </r>
  <r>
    <s v="P0898"/>
    <s v="Model_997"/>
    <x v="2"/>
    <x v="3"/>
    <n v="2023"/>
    <s v="Q3"/>
    <n v="2047"/>
    <n v="1736"/>
    <n v="14435"/>
    <n v="395740"/>
    <n v="6.96"/>
    <n v="18"/>
    <n v="8.17"/>
    <n v="0.73"/>
    <n v="39.94"/>
    <n v="1.3"/>
    <n v="17160"/>
    <n v="3617"/>
    <n v="8"/>
    <n v="-26390593.73"/>
    <n v="-742.64557467486418"/>
    <n v="3553592"/>
    <n v="0.4098140761425344"/>
    <n v="-66.686695810380556"/>
  </r>
  <r>
    <s v="P0899"/>
    <s v="Model_818"/>
    <x v="1"/>
    <x v="3"/>
    <n v="2024"/>
    <s v="Q4"/>
    <n v="4966"/>
    <n v="8946"/>
    <n v="10050"/>
    <n v="378876"/>
    <n v="1.78"/>
    <n v="7"/>
    <n v="7.5"/>
    <n v="19.23"/>
    <n v="28.51"/>
    <n v="2.5"/>
    <n v="7647"/>
    <n v="3391"/>
    <n v="9"/>
    <n v="-5861359.2300000004"/>
    <n v="-13.193582288468358"/>
    <n v="44425836"/>
    <n v="0.99420454427153193"/>
    <n v="-15.470338580432648"/>
  </r>
  <r>
    <s v="P0900"/>
    <s v="Model_343"/>
    <x v="1"/>
    <x v="2"/>
    <n v="2023"/>
    <s v="Q3"/>
    <n v="3737"/>
    <n v="5943"/>
    <n v="9968"/>
    <n v="455513"/>
    <n v="14.71"/>
    <n v="17"/>
    <n v="7"/>
    <n v="22.55"/>
    <n v="68.790000000000006"/>
    <n v="2.6"/>
    <n v="13088"/>
    <n v="2110"/>
    <n v="6"/>
    <n v="-15496960.550000001"/>
    <n v="-69.77786856683403"/>
    <n v="22208991"/>
    <n v="0.74815593675850078"/>
    <n v="-34.02084682544735"/>
  </r>
  <r>
    <s v="P0901"/>
    <s v="Model_829"/>
    <x v="2"/>
    <x v="2"/>
    <n v="2023"/>
    <s v="Q1"/>
    <n v="2201"/>
    <n v="16963"/>
    <n v="5377"/>
    <n v="118323"/>
    <n v="3.22"/>
    <n v="15"/>
    <n v="3.07"/>
    <n v="11.16"/>
    <n v="34.369999999999997"/>
    <n v="1"/>
    <n v="6104"/>
    <n v="4637"/>
    <n v="6"/>
    <n v="25382451.84"/>
    <n v="67.984650023892769"/>
    <n v="37335563"/>
    <n v="0.44064522793830885"/>
    <n v="214.51841991835906"/>
  </r>
  <r>
    <s v="P0902"/>
    <s v="Model_120"/>
    <x v="1"/>
    <x v="0"/>
    <n v="2024"/>
    <s v="Q1"/>
    <n v="4068"/>
    <n v="10055"/>
    <n v="1527"/>
    <n v="335960"/>
    <n v="1.01"/>
    <n v="19"/>
    <n v="0.56999999999999995"/>
    <n v="13.77"/>
    <n v="24.08"/>
    <n v="3"/>
    <n v="10952"/>
    <n v="9960"/>
    <n v="14"/>
    <n v="34355930.229999997"/>
    <n v="83.992148957528073"/>
    <n v="40903740"/>
    <n v="0.81442289289097702"/>
    <n v="102.26200738183117"/>
  </r>
  <r>
    <s v="P0903"/>
    <s v="Model_840"/>
    <x v="2"/>
    <x v="1"/>
    <n v="2024"/>
    <s v="Q4"/>
    <n v="3160"/>
    <n v="18169"/>
    <n v="11519"/>
    <n v="90695"/>
    <n v="8.92"/>
    <n v="18"/>
    <n v="3.43"/>
    <n v="23.61"/>
    <n v="72.92"/>
    <n v="4"/>
    <n v="19442"/>
    <n v="5068"/>
    <n v="12"/>
    <n v="20923281.390000001"/>
    <n v="36.442795856205208"/>
    <n v="57414040"/>
    <n v="0.6326392186665406"/>
    <n v="230.69965268206627"/>
  </r>
  <r>
    <s v="P0904"/>
    <s v="Model_982"/>
    <x v="2"/>
    <x v="0"/>
    <n v="2024"/>
    <s v="Q2"/>
    <n v="2020"/>
    <n v="1648"/>
    <n v="12128"/>
    <n v="462918"/>
    <n v="11.08"/>
    <n v="9"/>
    <n v="6.67"/>
    <n v="5.31"/>
    <n v="35"/>
    <n v="4.3"/>
    <n v="17899"/>
    <n v="4862"/>
    <n v="8"/>
    <n v="-21632523.309999999"/>
    <n v="-649.82827399548205"/>
    <n v="3328960"/>
    <n v="0.40440861446405446"/>
    <n v="-46.730777373098476"/>
  </r>
  <r>
    <s v="P0905"/>
    <s v="Model_484"/>
    <x v="2"/>
    <x v="2"/>
    <n v="2024"/>
    <s v="Q2"/>
    <n v="247"/>
    <n v="14895"/>
    <n v="14119"/>
    <n v="468458"/>
    <n v="0.49"/>
    <n v="16"/>
    <n v="1.03"/>
    <n v="13"/>
    <n v="83.16"/>
    <n v="4.5"/>
    <n v="5105"/>
    <n v="1151"/>
    <n v="12"/>
    <n v="-276799"/>
    <n v="-7.5236235293478098"/>
    <n v="3679065"/>
    <n v="4.9449964243872005E-2"/>
    <n v="-0.59084485695622657"/>
  </r>
  <r>
    <s v="P0906"/>
    <s v="Model_419"/>
    <x v="2"/>
    <x v="0"/>
    <n v="2024"/>
    <s v="Q3"/>
    <n v="2676"/>
    <n v="6395"/>
    <n v="8268"/>
    <n v="105841"/>
    <n v="9.8800000000000008"/>
    <n v="12"/>
    <n v="0.12"/>
    <n v="11.87"/>
    <n v="77.25"/>
    <n v="3"/>
    <n v="14784"/>
    <n v="2941"/>
    <n v="14"/>
    <n v="-5118000.87"/>
    <n v="-29.907058309988539"/>
    <n v="17113020"/>
    <n v="0.53574131302267813"/>
    <n v="-48.355448266739735"/>
  </r>
  <r>
    <s v="P0907"/>
    <s v="Model_861"/>
    <x v="1"/>
    <x v="3"/>
    <n v="2024"/>
    <s v="Q3"/>
    <n v="1252"/>
    <n v="18896"/>
    <n v="1142"/>
    <n v="440642"/>
    <n v="7.98"/>
    <n v="12"/>
    <n v="1.4"/>
    <n v="6.46"/>
    <n v="77.81"/>
    <n v="3.5"/>
    <n v="3107"/>
    <n v="6718"/>
    <n v="13"/>
    <n v="21787359.539999999"/>
    <n v="92.09379953970344"/>
    <n v="23657792"/>
    <n v="0.25065326005395849"/>
    <n v="49.444596747473007"/>
  </r>
  <r>
    <s v="P0908"/>
    <s v="Model_626"/>
    <x v="2"/>
    <x v="3"/>
    <n v="2024"/>
    <s v="Q1"/>
    <n v="2085"/>
    <n v="12523"/>
    <n v="2247"/>
    <n v="248784"/>
    <n v="1.55"/>
    <n v="6"/>
    <n v="7.16"/>
    <n v="20.46"/>
    <n v="71.73"/>
    <n v="1.3"/>
    <n v="13209"/>
    <n v="4823"/>
    <n v="9"/>
    <n v="21176655.539999999"/>
    <n v="81.10412300360143"/>
    <n v="26110455"/>
    <n v="0.4174217629492839"/>
    <n v="85.12073123673548"/>
  </r>
  <r>
    <s v="P0909"/>
    <s v="Model_902"/>
    <x v="2"/>
    <x v="3"/>
    <n v="2024"/>
    <s v="Q4"/>
    <n v="527"/>
    <n v="12199"/>
    <n v="11371"/>
    <n v="157096"/>
    <n v="2.59"/>
    <n v="9"/>
    <n v="9.73"/>
    <n v="22.49"/>
    <n v="80.47"/>
    <n v="3"/>
    <n v="3516"/>
    <n v="7572"/>
    <n v="10"/>
    <n v="279237.51"/>
    <n v="4.3434908420185003"/>
    <n v="6428873"/>
    <n v="0.10550660387255283"/>
    <n v="1.7776391505830829"/>
  </r>
  <r>
    <s v="P0910"/>
    <s v="Model_712"/>
    <x v="0"/>
    <x v="1"/>
    <n v="2023"/>
    <s v="Q4"/>
    <n v="1304"/>
    <n v="11215"/>
    <n v="7381"/>
    <n v="142764"/>
    <n v="8.52"/>
    <n v="1"/>
    <n v="9.83"/>
    <n v="19.55"/>
    <n v="74.459999999999994"/>
    <n v="1.6"/>
    <n v="5074"/>
    <n v="8013"/>
    <n v="3"/>
    <n v="4856752.45"/>
    <n v="33.210017053737737"/>
    <n v="14624360"/>
    <n v="0.2610637788421421"/>
    <n v="34.019584769269564"/>
  </r>
  <r>
    <s v="P0911"/>
    <s v="Model_563"/>
    <x v="1"/>
    <x v="0"/>
    <n v="2024"/>
    <s v="Q2"/>
    <n v="972"/>
    <n v="17663"/>
    <n v="12651"/>
    <n v="496790"/>
    <n v="4.45"/>
    <n v="3"/>
    <n v="4.9400000000000004"/>
    <n v="4.88"/>
    <n v="58.2"/>
    <n v="2.5"/>
    <n v="15041"/>
    <n v="5624"/>
    <n v="4"/>
    <n v="4374869.12"/>
    <n v="25.482048102692641"/>
    <n v="17168436"/>
    <n v="0.1945966204252777"/>
    <n v="8.8062843454980975"/>
  </r>
  <r>
    <s v="P0912"/>
    <s v="Model_441"/>
    <x v="2"/>
    <x v="0"/>
    <n v="2023"/>
    <s v="Q4"/>
    <n v="469"/>
    <n v="7282"/>
    <n v="7117"/>
    <n v="135744"/>
    <n v="14.07"/>
    <n v="5"/>
    <n v="8.69"/>
    <n v="2.17"/>
    <n v="33.67"/>
    <n v="2.2999999999999998"/>
    <n v="8774"/>
    <n v="3684"/>
    <n v="13"/>
    <n v="-58361.17"/>
    <n v="-1.7088363455996589"/>
    <n v="3415258"/>
    <n v="9.3894871378040368E-2"/>
    <n v="-0.42991955445544555"/>
  </r>
  <r>
    <s v="P0913"/>
    <s v="Model_689"/>
    <x v="1"/>
    <x v="3"/>
    <n v="2024"/>
    <s v="Q4"/>
    <n v="2254"/>
    <n v="18224"/>
    <n v="1326"/>
    <n v="340626"/>
    <n v="12.28"/>
    <n v="17"/>
    <n v="7.37"/>
    <n v="15.14"/>
    <n v="81.06"/>
    <n v="2.7"/>
    <n v="11435"/>
    <n v="8639"/>
    <n v="13"/>
    <n v="37747450.859999999"/>
    <n v="91.894603866854979"/>
    <n v="41076896"/>
    <n v="0.45125594901088056"/>
    <n v="110.81792347031642"/>
  </r>
  <r>
    <s v="P0914"/>
    <s v="Model_667"/>
    <x v="1"/>
    <x v="3"/>
    <n v="2023"/>
    <s v="Q1"/>
    <n v="2647"/>
    <n v="4317"/>
    <n v="10888"/>
    <n v="59171"/>
    <n v="14.75"/>
    <n v="5"/>
    <n v="5.01"/>
    <n v="1.43"/>
    <n v="77.25"/>
    <n v="3.3"/>
    <n v="17248"/>
    <n v="1363"/>
    <n v="3"/>
    <n v="-17452609.43"/>
    <n v="-152.730009865146"/>
    <n v="11427099"/>
    <n v="0.52993544677542181"/>
    <n v="-294.95205421574758"/>
  </r>
  <r>
    <s v="P0915"/>
    <s v="Model_221"/>
    <x v="0"/>
    <x v="3"/>
    <n v="2023"/>
    <s v="Q1"/>
    <n v="1170"/>
    <n v="16596"/>
    <n v="13746"/>
    <n v="150755"/>
    <n v="3.9"/>
    <n v="16"/>
    <n v="5.73"/>
    <n v="16.82"/>
    <n v="47.83"/>
    <n v="4.5999999999999996"/>
    <n v="7906"/>
    <n v="4765"/>
    <n v="11"/>
    <n v="3183728.18"/>
    <n v="16.396331625579638"/>
    <n v="19417320"/>
    <n v="0.23423667273413054"/>
    <n v="21.118669364200194"/>
  </r>
  <r>
    <s v="P0916"/>
    <s v="Model_957"/>
    <x v="2"/>
    <x v="3"/>
    <n v="2023"/>
    <s v="Q2"/>
    <n v="3118"/>
    <n v="6799"/>
    <n v="11065"/>
    <n v="158125"/>
    <n v="14.55"/>
    <n v="13"/>
    <n v="1.37"/>
    <n v="13.26"/>
    <n v="13.13"/>
    <n v="2.6"/>
    <n v="13326"/>
    <n v="8114"/>
    <n v="8"/>
    <n v="-13459526.26"/>
    <n v="-63.490481705937022"/>
    <n v="21199282"/>
    <n v="0.62423072272223856"/>
    <n v="-85.119449802371548"/>
  </r>
  <r>
    <s v="P0917"/>
    <s v="Model_594"/>
    <x v="0"/>
    <x v="0"/>
    <n v="2024"/>
    <s v="Q4"/>
    <n v="1000"/>
    <n v="11417"/>
    <n v="13907"/>
    <n v="442866"/>
    <n v="6.47"/>
    <n v="10"/>
    <n v="9.3800000000000008"/>
    <n v="16.57"/>
    <n v="61.08"/>
    <n v="4.9000000000000004"/>
    <n v="18972"/>
    <n v="1451"/>
    <n v="13"/>
    <n v="-2932882.57"/>
    <n v="-25.688732328983093"/>
    <n v="11417000"/>
    <n v="0.20020228438814577"/>
    <n v="-6.6224681957973743"/>
  </r>
  <r>
    <s v="P0918"/>
    <s v="Model_474"/>
    <x v="0"/>
    <x v="3"/>
    <n v="2024"/>
    <s v="Q2"/>
    <n v="2386"/>
    <n v="19573"/>
    <n v="7548"/>
    <n v="418226"/>
    <n v="5.21"/>
    <n v="18"/>
    <n v="3.52"/>
    <n v="14.75"/>
    <n v="14.05"/>
    <n v="4"/>
    <n v="2861"/>
    <n v="7080"/>
    <n v="3"/>
    <n v="28273409.25"/>
    <n v="60.541105087327772"/>
    <n v="46701178"/>
    <n v="0.47768265055011583"/>
    <n v="67.603219312046591"/>
  </r>
  <r>
    <s v="P0919"/>
    <s v="Model_886"/>
    <x v="1"/>
    <x v="3"/>
    <n v="2023"/>
    <s v="Q4"/>
    <n v="2293"/>
    <n v="4767"/>
    <n v="1205"/>
    <n v="53696"/>
    <n v="0.76"/>
    <n v="1"/>
    <n v="4.46"/>
    <n v="10.57"/>
    <n v="84.1"/>
    <n v="3"/>
    <n v="5973"/>
    <n v="7290"/>
    <n v="13"/>
    <n v="8113959.4299999997"/>
    <n v="74.23071183436862"/>
    <n v="10930731"/>
    <n v="0.45906383810201823"/>
    <n v="151.10939362336114"/>
  </r>
  <r>
    <s v="P0920"/>
    <s v="Model_244"/>
    <x v="2"/>
    <x v="3"/>
    <n v="2023"/>
    <s v="Q2"/>
    <n v="2695"/>
    <n v="5906"/>
    <n v="8786"/>
    <n v="176310"/>
    <n v="0.79"/>
    <n v="2"/>
    <n v="6.72"/>
    <n v="5.0199999999999996"/>
    <n v="86.93"/>
    <n v="3.6"/>
    <n v="8819"/>
    <n v="3927"/>
    <n v="3"/>
    <n v="-7937915.0199999996"/>
    <n v="-49.871706958804822"/>
    <n v="15916670"/>
    <n v="0.53954515642605283"/>
    <n v="-45.022460438999488"/>
  </r>
  <r>
    <s v="P0921"/>
    <s v="Model_357"/>
    <x v="0"/>
    <x v="0"/>
    <n v="2023"/>
    <s v="Q1"/>
    <n v="1907"/>
    <n v="19326"/>
    <n v="10565"/>
    <n v="463274"/>
    <n v="10.38"/>
    <n v="10"/>
    <n v="3.34"/>
    <n v="7.64"/>
    <n v="25.16"/>
    <n v="1.4"/>
    <n v="10167"/>
    <n v="8961"/>
    <n v="3"/>
    <n v="16243945.359999999"/>
    <n v="44.075662788244927"/>
    <n v="36854682"/>
    <n v="0.381785756328194"/>
    <n v="35.063381497774536"/>
  </r>
  <r>
    <s v="P0922"/>
    <s v="Model_187"/>
    <x v="0"/>
    <x v="1"/>
    <n v="2024"/>
    <s v="Q4"/>
    <n v="4662"/>
    <n v="11882"/>
    <n v="14899"/>
    <n v="201385"/>
    <n v="6.87"/>
    <n v="5"/>
    <n v="2.54"/>
    <n v="13.11"/>
    <n v="64.11"/>
    <n v="4.4000000000000004"/>
    <n v="10981"/>
    <n v="2746"/>
    <n v="13"/>
    <n v="-14266652.109999999"/>
    <n v="-25.75492289004324"/>
    <n v="55393884"/>
    <n v="0.93334304981753557"/>
    <n v="-70.84260992626065"/>
  </r>
  <r>
    <s v="P0923"/>
    <s v="Model_986"/>
    <x v="2"/>
    <x v="0"/>
    <n v="2023"/>
    <s v="Q4"/>
    <n v="1915"/>
    <n v="5937"/>
    <n v="13592"/>
    <n v="331293"/>
    <n v="3.4"/>
    <n v="13"/>
    <n v="6.31"/>
    <n v="16.3"/>
    <n v="17.38"/>
    <n v="3.3"/>
    <n v="10020"/>
    <n v="366"/>
    <n v="14"/>
    <n v="-14990634.300000001"/>
    <n v="-131.85122902750422"/>
    <n v="11369355"/>
    <n v="0.38338737460329914"/>
    <n v="-45.248822039705033"/>
  </r>
  <r>
    <s v="P0924"/>
    <s v="Model_468"/>
    <x v="0"/>
    <x v="1"/>
    <n v="2024"/>
    <s v="Q4"/>
    <n v="2962"/>
    <n v="6935"/>
    <n v="4540"/>
    <n v="442208"/>
    <n v="9.2100000000000009"/>
    <n v="18"/>
    <n v="0.25"/>
    <n v="19.489999999999998"/>
    <n v="68.36"/>
    <n v="4.9000000000000004"/>
    <n v="19070"/>
    <n v="9730"/>
    <n v="5"/>
    <n v="6651762.5099999998"/>
    <n v="32.382115350069881"/>
    <n v="20541470"/>
    <n v="0.59299916635768779"/>
    <n v="15.042201859758304"/>
  </r>
  <r>
    <s v="P0925"/>
    <s v="Model_552"/>
    <x v="1"/>
    <x v="2"/>
    <n v="2023"/>
    <s v="Q2"/>
    <n v="2903"/>
    <n v="5607"/>
    <n v="13266"/>
    <n v="365665"/>
    <n v="3.79"/>
    <n v="15"/>
    <n v="7.21"/>
    <n v="19.18"/>
    <n v="37.78"/>
    <n v="3.5"/>
    <n v="5036"/>
    <n v="7534"/>
    <n v="2"/>
    <n v="-22599761.18"/>
    <n v="-138.84372537379306"/>
    <n v="16277121"/>
    <n v="0.58118723157878716"/>
    <n v="-61.804498653138801"/>
  </r>
  <r>
    <s v="P0926"/>
    <s v="Model_955"/>
    <x v="0"/>
    <x v="2"/>
    <n v="2023"/>
    <s v="Q3"/>
    <n v="4960"/>
    <n v="2060"/>
    <n v="13219"/>
    <n v="95740"/>
    <n v="8.66"/>
    <n v="6"/>
    <n v="5.14"/>
    <n v="24.32"/>
    <n v="64.48"/>
    <n v="4.3"/>
    <n v="3273"/>
    <n v="1122"/>
    <n v="3"/>
    <n v="-55444404.32"/>
    <n v="-542.63627779517697"/>
    <n v="10217600"/>
    <n v="0.99300333056520307"/>
    <n v="-579.11405890954666"/>
  </r>
  <r>
    <s v="P0927"/>
    <s v="Model_868"/>
    <x v="0"/>
    <x v="3"/>
    <n v="2023"/>
    <s v="Q4"/>
    <n v="3278"/>
    <n v="13829"/>
    <n v="2646"/>
    <n v="156611"/>
    <n v="5.39"/>
    <n v="7"/>
    <n v="6.06"/>
    <n v="7.15"/>
    <n v="39.83"/>
    <n v="4.2"/>
    <n v="11755"/>
    <n v="8047"/>
    <n v="4"/>
    <n v="36501255.850000001"/>
    <n v="80.520799990964335"/>
    <n v="45331462"/>
    <n v="0.65626308822434187"/>
    <n v="233.06959919801292"/>
  </r>
  <r>
    <s v="P0928"/>
    <s v="Model_259"/>
    <x v="2"/>
    <x v="3"/>
    <n v="2023"/>
    <s v="Q4"/>
    <n v="3769"/>
    <n v="3326"/>
    <n v="2278"/>
    <n v="448172"/>
    <n v="12.35"/>
    <n v="18"/>
    <n v="6.32"/>
    <n v="1.78"/>
    <n v="21.65"/>
    <n v="2.4"/>
    <n v="4058"/>
    <n v="2137"/>
    <n v="8"/>
    <n v="3501738.22"/>
    <n v="27.934139266641324"/>
    <n v="12535694"/>
    <n v="0.75456240985892142"/>
    <n v="7.8133841471577874"/>
  </r>
  <r>
    <s v="P0929"/>
    <s v="Model_325"/>
    <x v="1"/>
    <x v="3"/>
    <n v="2023"/>
    <s v="Q1"/>
    <n v="3278"/>
    <n v="12921"/>
    <n v="11387"/>
    <n v="298922"/>
    <n v="12.31"/>
    <n v="19"/>
    <n v="5.27"/>
    <n v="8.64"/>
    <n v="42.49"/>
    <n v="2"/>
    <n v="6579"/>
    <n v="8856"/>
    <n v="11"/>
    <n v="4729521.3600000003"/>
    <n v="11.16637260483629"/>
    <n v="42355038"/>
    <n v="0.65626308822434187"/>
    <n v="15.821953553100808"/>
  </r>
  <r>
    <s v="P0930"/>
    <s v="Model_500"/>
    <x v="1"/>
    <x v="2"/>
    <n v="2023"/>
    <s v="Q2"/>
    <n v="2421"/>
    <n v="13765"/>
    <n v="1571"/>
    <n v="378785"/>
    <n v="7.16"/>
    <n v="15"/>
    <n v="5.83"/>
    <n v="18.579999999999998"/>
    <n v="19.010000000000002"/>
    <n v="2.7"/>
    <n v="15841"/>
    <n v="7878"/>
    <n v="2"/>
    <n v="29142870.420000002"/>
    <n v="87.450303307735481"/>
    <n v="33325065"/>
    <n v="0.4846897305037009"/>
    <n v="76.937811687368821"/>
  </r>
  <r>
    <s v="P0931"/>
    <s v="Model_165"/>
    <x v="0"/>
    <x v="2"/>
    <n v="2024"/>
    <s v="Q2"/>
    <n v="2941"/>
    <n v="9129"/>
    <n v="6325"/>
    <n v="113811"/>
    <n v="5.26"/>
    <n v="6"/>
    <n v="6.84"/>
    <n v="10.95"/>
    <n v="56.15"/>
    <n v="2.9"/>
    <n v="11481"/>
    <n v="1159"/>
    <n v="7"/>
    <n v="8132742.0499999998"/>
    <n v="30.291359567235116"/>
    <n v="26848389"/>
    <n v="0.58879491838553666"/>
    <n v="71.458409116869191"/>
  </r>
  <r>
    <s v="P0932"/>
    <s v="Model_468"/>
    <x v="1"/>
    <x v="0"/>
    <n v="2024"/>
    <s v="Q4"/>
    <n v="3806"/>
    <n v="9825"/>
    <n v="9570"/>
    <n v="495376"/>
    <n v="5.44"/>
    <n v="8"/>
    <n v="7.53"/>
    <n v="20.440000000000001"/>
    <n v="13.28"/>
    <n v="2"/>
    <n v="5024"/>
    <n v="1524"/>
    <n v="4"/>
    <n v="475133.56"/>
    <n v="1.2706161290797042"/>
    <n v="37393950"/>
    <n v="0.76196989438128282"/>
    <n v="0.95917848260715088"/>
  </r>
  <r>
    <s v="P0933"/>
    <s v="Model_455"/>
    <x v="2"/>
    <x v="3"/>
    <n v="2023"/>
    <s v="Q4"/>
    <n v="4275"/>
    <n v="9193"/>
    <n v="11893"/>
    <n v="232385"/>
    <n v="12.09"/>
    <n v="12"/>
    <n v="7.27"/>
    <n v="13.73"/>
    <n v="52.19"/>
    <n v="4.5999999999999996"/>
    <n v="10498"/>
    <n v="4223"/>
    <n v="4"/>
    <n v="-11774898.73"/>
    <n v="-29.961517198122394"/>
    <n v="39300075"/>
    <n v="0.85586476575932313"/>
    <n v="-50.66972911332487"/>
  </r>
  <r>
    <s v="P0934"/>
    <s v="Model_623"/>
    <x v="2"/>
    <x v="1"/>
    <n v="2024"/>
    <s v="Q3"/>
    <n v="144"/>
    <n v="9764"/>
    <n v="14603"/>
    <n v="113232"/>
    <n v="4.92"/>
    <n v="0"/>
    <n v="8.6999999999999993"/>
    <n v="23.24"/>
    <n v="80.91"/>
    <n v="3.2"/>
    <n v="15197"/>
    <n v="319"/>
    <n v="5"/>
    <n v="-810071.24"/>
    <n v="-57.614653033820382"/>
    <n v="1406016"/>
    <n v="2.8829128951892991E-2"/>
    <n v="-7.1538787621873672"/>
  </r>
  <r>
    <s v="P0935"/>
    <s v="Model_670"/>
    <x v="2"/>
    <x v="3"/>
    <n v="2023"/>
    <s v="Q1"/>
    <n v="2724"/>
    <n v="14186"/>
    <n v="993"/>
    <n v="327561"/>
    <n v="3.14"/>
    <n v="7"/>
    <n v="1.89"/>
    <n v="23.7"/>
    <n v="77.03"/>
    <n v="4.9000000000000004"/>
    <n v="20550"/>
    <n v="505"/>
    <n v="14"/>
    <n v="35610147.299999997"/>
    <n v="92.152412939232136"/>
    <n v="38642664"/>
    <n v="0.54535102267330904"/>
    <n v="108.71309771309771"/>
  </r>
  <r>
    <s v="P0936"/>
    <s v="Model_114"/>
    <x v="0"/>
    <x v="3"/>
    <n v="2024"/>
    <s v="Q2"/>
    <n v="2005"/>
    <n v="15216"/>
    <n v="2807"/>
    <n v="205801"/>
    <n v="1.27"/>
    <n v="3"/>
    <n v="4.01"/>
    <n v="1.73"/>
    <n v="80.62"/>
    <n v="4.2"/>
    <n v="15106"/>
    <n v="9929"/>
    <n v="5"/>
    <n v="24674242.27"/>
    <n v="80.8777290147397"/>
    <n v="30508080"/>
    <n v="0.40140558019823225"/>
    <n v="119.89370314041234"/>
  </r>
  <r>
    <s v="P0937"/>
    <s v="Model_535"/>
    <x v="1"/>
    <x v="2"/>
    <n v="2024"/>
    <s v="Q3"/>
    <n v="843"/>
    <n v="8221"/>
    <n v="1985"/>
    <n v="162492"/>
    <n v="7"/>
    <n v="2"/>
    <n v="9.48"/>
    <n v="11.41"/>
    <n v="83.76"/>
    <n v="3.2"/>
    <n v="14929"/>
    <n v="2418"/>
    <n v="8"/>
    <n v="5094444.59"/>
    <n v="73.509694886356343"/>
    <n v="6930303"/>
    <n v="0.16877052573920689"/>
    <n v="31.352041946680451"/>
  </r>
  <r>
    <s v="P0938"/>
    <s v="Model_598"/>
    <x v="1"/>
    <x v="2"/>
    <n v="2024"/>
    <s v="Q1"/>
    <n v="1884"/>
    <n v="8873"/>
    <n v="3194"/>
    <n v="80099"/>
    <n v="7.23"/>
    <n v="2"/>
    <n v="3.97"/>
    <n v="15.24"/>
    <n v="18.36"/>
    <n v="4.8"/>
    <n v="17539"/>
    <n v="9966"/>
    <n v="4"/>
    <n v="10619121.76"/>
    <n v="63.523909816823043"/>
    <n v="16716732"/>
    <n v="0.3771811037872666"/>
    <n v="132.57515075094571"/>
  </r>
  <r>
    <s v="P0939"/>
    <s v="Model_292"/>
    <x v="0"/>
    <x v="3"/>
    <n v="2023"/>
    <s v="Q1"/>
    <n v="2166"/>
    <n v="7407"/>
    <n v="11990"/>
    <n v="279206"/>
    <n v="12.61"/>
    <n v="12"/>
    <n v="1.25"/>
    <n v="6.4"/>
    <n v="20.3"/>
    <n v="3"/>
    <n v="8640"/>
    <n v="9083"/>
    <n v="9"/>
    <n v="-10205990.4"/>
    <n v="-63.614242273629763"/>
    <n v="16043562"/>
    <n v="0.43363814798472372"/>
    <n v="-36.553598418372097"/>
  </r>
  <r>
    <s v="P0940"/>
    <s v="Model_764"/>
    <x v="1"/>
    <x v="3"/>
    <n v="2024"/>
    <s v="Q3"/>
    <n v="4156"/>
    <n v="17627"/>
    <n v="14472"/>
    <n v="473177"/>
    <n v="3.32"/>
    <n v="7"/>
    <n v="5.25"/>
    <n v="10.18"/>
    <n v="54.56"/>
    <n v="4.5"/>
    <n v="10285"/>
    <n v="5158"/>
    <n v="9"/>
    <n v="12638992.82"/>
    <n v="17.252757726370536"/>
    <n v="73257812"/>
    <n v="0.83204069391713387"/>
    <n v="26.710941148872408"/>
  </r>
  <r>
    <s v="P0941"/>
    <s v="Model_258"/>
    <x v="0"/>
    <x v="1"/>
    <n v="2023"/>
    <s v="Q1"/>
    <n v="3375"/>
    <n v="7156"/>
    <n v="10784"/>
    <n v="455818"/>
    <n v="5.71"/>
    <n v="6"/>
    <n v="1.0900000000000001"/>
    <n v="16.940000000000001"/>
    <n v="81.52"/>
    <n v="2.4"/>
    <n v="16401"/>
    <n v="1409"/>
    <n v="12"/>
    <n v="-12700334.939999999"/>
    <n v="-52.586112415377926"/>
    <n v="24151500"/>
    <n v="0.67568270980999201"/>
    <n v="-27.862695198522218"/>
  </r>
  <r>
    <s v="P0942"/>
    <s v="Model_705"/>
    <x v="2"/>
    <x v="2"/>
    <n v="2023"/>
    <s v="Q2"/>
    <n v="2969"/>
    <n v="10484"/>
    <n v="10102"/>
    <n v="168474"/>
    <n v="12.13"/>
    <n v="0"/>
    <n v="2.0299999999999998"/>
    <n v="5.67"/>
    <n v="87.95"/>
    <n v="2.5"/>
    <n v="4780"/>
    <n v="7721"/>
    <n v="14"/>
    <n v="965678.33"/>
    <n v="3.1023820287701387"/>
    <n v="31126996"/>
    <n v="0.59440058234840476"/>
    <n v="5.7319467692344217"/>
  </r>
  <r>
    <s v="P0943"/>
    <s v="Model_864"/>
    <x v="0"/>
    <x v="2"/>
    <n v="2024"/>
    <s v="Q1"/>
    <n v="2647"/>
    <n v="9786"/>
    <n v="4805"/>
    <n v="321400"/>
    <n v="12.35"/>
    <n v="15"/>
    <n v="9.98"/>
    <n v="15.05"/>
    <n v="13.7"/>
    <n v="2.7"/>
    <n v="3712"/>
    <n v="5029"/>
    <n v="8"/>
    <n v="12863291.949999999"/>
    <n v="49.658428758507235"/>
    <n v="25903542"/>
    <n v="0.52993544677542181"/>
    <n v="40.02273490976976"/>
  </r>
  <r>
    <s v="P0944"/>
    <s v="Model_839"/>
    <x v="2"/>
    <x v="1"/>
    <n v="2024"/>
    <s v="Q1"/>
    <n v="3255"/>
    <n v="7401"/>
    <n v="8229"/>
    <n v="293588"/>
    <n v="5.77"/>
    <n v="5"/>
    <n v="5.41"/>
    <n v="17.440000000000001"/>
    <n v="38.46"/>
    <n v="3.2"/>
    <n v="16713"/>
    <n v="9622"/>
    <n v="3"/>
    <n v="-2988745.44"/>
    <n v="-12.406449993991346"/>
    <n v="24090255"/>
    <n v="0.65165843568341453"/>
    <n v="-10.180007357248934"/>
  </r>
  <r>
    <s v="P0945"/>
    <s v="Model_265"/>
    <x v="1"/>
    <x v="3"/>
    <n v="2024"/>
    <s v="Q4"/>
    <n v="4857"/>
    <n v="6417"/>
    <n v="3061"/>
    <n v="84681"/>
    <n v="6.89"/>
    <n v="6"/>
    <n v="2.84"/>
    <n v="2.2599999999999998"/>
    <n v="27.03"/>
    <n v="3.2"/>
    <n v="9578"/>
    <n v="8802"/>
    <n v="6"/>
    <n v="16215408.74"/>
    <n v="52.026877020001272"/>
    <n v="31167369"/>
    <n v="0.97238249527322396"/>
    <n v="191.4881850710313"/>
  </r>
  <r>
    <s v="P0946"/>
    <s v="Model_974"/>
    <x v="0"/>
    <x v="0"/>
    <n v="2023"/>
    <s v="Q3"/>
    <n v="864"/>
    <n v="9929"/>
    <n v="4536"/>
    <n v="141328"/>
    <n v="4.55"/>
    <n v="11"/>
    <n v="9.9499999999999993"/>
    <n v="12.44"/>
    <n v="70.48"/>
    <n v="3"/>
    <n v="17436"/>
    <n v="8783"/>
    <n v="7"/>
    <n v="4518211.5599999996"/>
    <n v="52.668058493078632"/>
    <n v="8578656"/>
    <n v="0.17297477371135794"/>
    <n v="31.96977244424318"/>
  </r>
  <r>
    <s v="P0947"/>
    <s v="Model_714"/>
    <x v="2"/>
    <x v="1"/>
    <n v="2023"/>
    <s v="Q3"/>
    <n v="395"/>
    <n v="16216"/>
    <n v="12785"/>
    <n v="268512"/>
    <n v="13.99"/>
    <n v="8"/>
    <n v="9.67"/>
    <n v="6.58"/>
    <n v="61.22"/>
    <n v="2.2000000000000002"/>
    <n v="18497"/>
    <n v="1717"/>
    <n v="13"/>
    <n v="1086726.42"/>
    <n v="16.965997327221746"/>
    <n v="6405320"/>
    <n v="7.9079902333317575E-2"/>
    <n v="4.0472418364914793"/>
  </r>
  <r>
    <s v="P0948"/>
    <s v="Model_360"/>
    <x v="1"/>
    <x v="1"/>
    <n v="2024"/>
    <s v="Q3"/>
    <n v="2399"/>
    <n v="17295"/>
    <n v="10928"/>
    <n v="355505"/>
    <n v="1.78"/>
    <n v="10"/>
    <n v="4.41"/>
    <n v="18.11"/>
    <n v="19.59"/>
    <n v="4.7"/>
    <n v="15774"/>
    <n v="1620"/>
    <n v="11"/>
    <n v="14918909.890000001"/>
    <n v="35.957234011810598"/>
    <n v="41490705"/>
    <n v="0.48028528024716172"/>
    <n v="41.965451962700946"/>
  </r>
  <r>
    <s v="P0949"/>
    <s v="Model_674"/>
    <x v="1"/>
    <x v="2"/>
    <n v="2023"/>
    <s v="Q1"/>
    <n v="412"/>
    <n v="12638"/>
    <n v="7516"/>
    <n v="84540"/>
    <n v="14.01"/>
    <n v="9"/>
    <n v="2.6"/>
    <n v="4.74"/>
    <n v="48.68"/>
    <n v="3.4"/>
    <n v="2368"/>
    <n v="7992"/>
    <n v="5"/>
    <n v="2025719.26"/>
    <n v="38.904845073495409"/>
    <n v="5206856"/>
    <n v="8.2483341167916058E-2"/>
    <n v="23.961722261651289"/>
  </r>
  <r>
    <s v="P0950"/>
    <s v="Model_907"/>
    <x v="2"/>
    <x v="3"/>
    <n v="2023"/>
    <s v="Q3"/>
    <n v="2493"/>
    <n v="4030"/>
    <n v="5675"/>
    <n v="207608"/>
    <n v="10.26"/>
    <n v="0"/>
    <n v="8.3800000000000008"/>
    <n v="22.31"/>
    <n v="64.84"/>
    <n v="2.6"/>
    <n v="18695"/>
    <n v="1683"/>
    <n v="14"/>
    <n v="-4308615.3099999996"/>
    <n v="-42.885491883477208"/>
    <n v="10046790"/>
    <n v="0.49910429497964742"/>
    <n v="-20.753501791838463"/>
  </r>
  <r>
    <s v="P0951"/>
    <s v="Model_605"/>
    <x v="1"/>
    <x v="3"/>
    <n v="2024"/>
    <s v="Q2"/>
    <n v="2315"/>
    <n v="19844"/>
    <n v="13349"/>
    <n v="134700"/>
    <n v="7.97"/>
    <n v="17"/>
    <n v="7.16"/>
    <n v="10.77"/>
    <n v="72.319999999999993"/>
    <n v="3.6"/>
    <n v="17542"/>
    <n v="6804"/>
    <n v="11"/>
    <n v="14901214.23"/>
    <n v="32.437057058011455"/>
    <n v="45938860"/>
    <n v="0.46346828835855747"/>
    <n v="110.62527839643653"/>
  </r>
  <r>
    <s v="P0952"/>
    <s v="Model_693"/>
    <x v="1"/>
    <x v="1"/>
    <n v="2024"/>
    <s v="Q3"/>
    <n v="2238"/>
    <n v="18932"/>
    <n v="9721"/>
    <n v="390676"/>
    <n v="0.49"/>
    <n v="3"/>
    <n v="6.87"/>
    <n v="4.95"/>
    <n v="11.6"/>
    <n v="4.0999999999999996"/>
    <n v="16907"/>
    <n v="8088"/>
    <n v="6"/>
    <n v="20223537.050000001"/>
    <n v="47.731000413124285"/>
    <n v="42369816"/>
    <n v="0.44805271246067024"/>
    <n v="51.765509015142982"/>
  </r>
  <r>
    <s v="P0953"/>
    <s v="Model_765"/>
    <x v="2"/>
    <x v="2"/>
    <n v="2023"/>
    <s v="Q2"/>
    <n v="3055"/>
    <n v="7272"/>
    <n v="5178"/>
    <n v="237647"/>
    <n v="7.13"/>
    <n v="4"/>
    <n v="8.93"/>
    <n v="10.95"/>
    <n v="81.239999999999995"/>
    <n v="4.8"/>
    <n v="17754"/>
    <n v="6683"/>
    <n v="10"/>
    <n v="6159512.0499999998"/>
    <n v="27.725617303956252"/>
    <n v="22215960"/>
    <n v="0.61161797880578528"/>
    <n v="25.918791316532506"/>
  </r>
  <r>
    <s v="P0954"/>
    <s v="Model_742"/>
    <x v="1"/>
    <x v="2"/>
    <n v="2023"/>
    <s v="Q3"/>
    <n v="3331"/>
    <n v="16976"/>
    <n v="8615"/>
    <n v="439770"/>
    <n v="6.12"/>
    <n v="8"/>
    <n v="6.89"/>
    <n v="10.220000000000001"/>
    <n v="55.54"/>
    <n v="3"/>
    <n v="3244"/>
    <n v="1675"/>
    <n v="12"/>
    <n v="27410710.780000001"/>
    <n v="48.474160670716444"/>
    <n v="56547056"/>
    <n v="0.66687380929691353"/>
    <n v="62.329674602633197"/>
  </r>
  <r>
    <s v="P0955"/>
    <s v="Model_155"/>
    <x v="2"/>
    <x v="3"/>
    <n v="2024"/>
    <s v="Q1"/>
    <n v="1034"/>
    <n v="17251"/>
    <n v="14578"/>
    <n v="446087"/>
    <n v="2.42"/>
    <n v="16"/>
    <n v="2.84"/>
    <n v="10.72"/>
    <n v="74.95"/>
    <n v="1.4"/>
    <n v="3756"/>
    <n v="7035"/>
    <n v="8"/>
    <n v="2317784.2799999998"/>
    <n v="12.993860474211289"/>
    <n v="17837534"/>
    <n v="0.20700916205734274"/>
    <n v="5.1958362382225891"/>
  </r>
  <r>
    <s v="P0956"/>
    <s v="Model_967"/>
    <x v="2"/>
    <x v="0"/>
    <n v="2023"/>
    <s v="Q4"/>
    <n v="1689"/>
    <n v="4464"/>
    <n v="4251"/>
    <n v="96002"/>
    <n v="9.85"/>
    <n v="2"/>
    <n v="6.94"/>
    <n v="14.64"/>
    <n v="74.64"/>
    <n v="2.8"/>
    <n v="13359"/>
    <n v="6276"/>
    <n v="3"/>
    <n v="263740.36"/>
    <n v="3.4980237930017339"/>
    <n v="7539696"/>
    <n v="0.33814165833157822"/>
    <n v="2.7473906793608465"/>
  </r>
  <r>
    <s v="P0957"/>
    <s v="Model_456"/>
    <x v="1"/>
    <x v="1"/>
    <n v="2023"/>
    <s v="Q3"/>
    <n v="877"/>
    <n v="8637"/>
    <n v="13449"/>
    <n v="99812"/>
    <n v="14.57"/>
    <n v="15"/>
    <n v="3.06"/>
    <n v="13.03"/>
    <n v="25.19"/>
    <n v="2.9"/>
    <n v="6923"/>
    <n v="9338"/>
    <n v="12"/>
    <n v="-4319949.03"/>
    <n v="-57.031672754737549"/>
    <n v="7574649"/>
    <n v="0.17557740340840383"/>
    <n v="-43.280727768204223"/>
  </r>
  <r>
    <s v="P0958"/>
    <s v="Model_924"/>
    <x v="1"/>
    <x v="3"/>
    <n v="2023"/>
    <s v="Q2"/>
    <n v="2780"/>
    <n v="18847"/>
    <n v="8416"/>
    <n v="465842"/>
    <n v="8.43"/>
    <n v="4"/>
    <n v="7.59"/>
    <n v="3.74"/>
    <n v="18.809999999999999"/>
    <n v="4.5999999999999996"/>
    <n v="6589"/>
    <n v="2713"/>
    <n v="2"/>
    <n v="28532334.260000002"/>
    <n v="54.456569161819168"/>
    <n v="52394660"/>
    <n v="0.55656235059904524"/>
    <n v="61.248959947793459"/>
  </r>
  <r>
    <s v="P0959"/>
    <s v="Model_760"/>
    <x v="0"/>
    <x v="3"/>
    <n v="2023"/>
    <s v="Q1"/>
    <n v="3581"/>
    <n v="18420"/>
    <n v="13528"/>
    <n v="241051"/>
    <n v="10.72"/>
    <n v="15"/>
    <n v="6.2"/>
    <n v="1.64"/>
    <n v="67.7"/>
    <n v="2.6"/>
    <n v="8108"/>
    <n v="3992"/>
    <n v="3"/>
    <n v="17277199.359999999"/>
    <n v="26.192647465920537"/>
    <n v="65962020"/>
    <n v="0.71692438039395001"/>
    <n v="71.67446308042696"/>
  </r>
  <r>
    <s v="P0960"/>
    <s v="Model_286"/>
    <x v="1"/>
    <x v="1"/>
    <n v="2024"/>
    <s v="Q2"/>
    <n v="4501"/>
    <n v="15391"/>
    <n v="11132"/>
    <n v="307906"/>
    <n v="1.03"/>
    <n v="2"/>
    <n v="0.77"/>
    <n v="18.239999999999998"/>
    <n v="22.51"/>
    <n v="4.8"/>
    <n v="11217"/>
    <n v="8753"/>
    <n v="4"/>
    <n v="18861834.760000002"/>
    <n v="27.227519939367355"/>
    <n v="69274891"/>
    <n v="0.90111048203104416"/>
    <n v="61.258478236864498"/>
  </r>
  <r>
    <s v="P0961"/>
    <s v="Model_499"/>
    <x v="1"/>
    <x v="2"/>
    <n v="2024"/>
    <s v="Q2"/>
    <n v="2985"/>
    <n v="8840"/>
    <n v="10636"/>
    <n v="158946"/>
    <n v="6.27"/>
    <n v="19"/>
    <n v="5.13"/>
    <n v="13.99"/>
    <n v="77.989999999999995"/>
    <n v="2.9"/>
    <n v="19353"/>
    <n v="6833"/>
    <n v="12"/>
    <n v="-5520019.9900000002"/>
    <n v="-20.919150768927594"/>
    <n v="26387400"/>
    <n v="0.59760381889861514"/>
    <n v="-34.728813559322035"/>
  </r>
  <r>
    <s v="P0962"/>
    <s v="Model_708"/>
    <x v="2"/>
    <x v="0"/>
    <n v="2024"/>
    <s v="Q4"/>
    <n v="3926"/>
    <n v="9467"/>
    <n v="3600"/>
    <n v="116668"/>
    <n v="1.75"/>
    <n v="14"/>
    <n v="3.43"/>
    <n v="8.98"/>
    <n v="68.099999999999994"/>
    <n v="4.9000000000000004"/>
    <n v="20559"/>
    <n v="4531"/>
    <n v="3"/>
    <n v="22917165.02"/>
    <n v="61.659247413367858"/>
    <n v="37167442"/>
    <n v="0.7859941685078603"/>
    <n v="196.4306750779991"/>
  </r>
  <r>
    <s v="P0963"/>
    <s v="Model_153"/>
    <x v="1"/>
    <x v="2"/>
    <n v="2023"/>
    <s v="Q2"/>
    <n v="176"/>
    <n v="13915"/>
    <n v="13954"/>
    <n v="149003"/>
    <n v="9.19"/>
    <n v="2"/>
    <n v="3.29"/>
    <n v="20.21"/>
    <n v="77.349999999999994"/>
    <n v="1"/>
    <n v="19397"/>
    <n v="8212"/>
    <n v="12"/>
    <n v="-155887.21"/>
    <n v="-6.3652373991441538"/>
    <n v="2449040"/>
    <n v="3.5235602052313658E-2"/>
    <n v="-1.0460661865868472"/>
  </r>
  <r>
    <s v="P0964"/>
    <s v="Model_991"/>
    <x v="2"/>
    <x v="2"/>
    <n v="2023"/>
    <s v="Q2"/>
    <n v="3227"/>
    <n v="13371"/>
    <n v="14535"/>
    <n v="261142"/>
    <n v="14.08"/>
    <n v="19"/>
    <n v="6.02"/>
    <n v="9.6999999999999993"/>
    <n v="33.92"/>
    <n v="4.5999999999999996"/>
    <n v="6376"/>
    <n v="1481"/>
    <n v="4"/>
    <n v="-4017379.7"/>
    <n v="-9.3106505420606371"/>
    <n v="43148217"/>
    <n v="0.64605277172054643"/>
    <n v="-15.383852463410712"/>
  </r>
  <r>
    <s v="P0965"/>
    <s v="Model_717"/>
    <x v="0"/>
    <x v="1"/>
    <n v="2023"/>
    <s v="Q1"/>
    <n v="3106"/>
    <n v="13416"/>
    <n v="9133"/>
    <n v="270462"/>
    <n v="9.93"/>
    <n v="13"/>
    <n v="3.22"/>
    <n v="19.899999999999999"/>
    <n v="35.33"/>
    <n v="4.7"/>
    <n v="19335"/>
    <n v="9437"/>
    <n v="11"/>
    <n v="13032516.1"/>
    <n v="31.275464544166155"/>
    <n v="41670096"/>
    <n v="0.62182829530958073"/>
    <n v="48.186199909784001"/>
  </r>
  <r>
    <s v="P0966"/>
    <s v="Model_341"/>
    <x v="0"/>
    <x v="0"/>
    <n v="2024"/>
    <s v="Q1"/>
    <n v="653"/>
    <n v="10234"/>
    <n v="6210"/>
    <n v="355142"/>
    <n v="1.1499999999999999"/>
    <n v="15"/>
    <n v="7.77"/>
    <n v="7.64"/>
    <n v="63.7"/>
    <n v="4.8"/>
    <n v="4507"/>
    <n v="3615"/>
    <n v="12"/>
    <n v="2272522.36"/>
    <n v="34.005531811356974"/>
    <n v="6682802"/>
    <n v="0.13073209170545919"/>
    <n v="6.3989333843927216"/>
  </r>
  <r>
    <s v="P0967"/>
    <s v="Model_667"/>
    <x v="2"/>
    <x v="2"/>
    <n v="2024"/>
    <s v="Q2"/>
    <n v="3499"/>
    <n v="2345"/>
    <n v="2255"/>
    <n v="244886"/>
    <n v="5.32"/>
    <n v="16"/>
    <n v="0.71"/>
    <n v="1.82"/>
    <n v="12.52"/>
    <n v="1.1000000000000001"/>
    <n v="15825"/>
    <n v="4554"/>
    <n v="12"/>
    <n v="70022.179999999993"/>
    <n v="0.85339253189001296"/>
    <n v="8205155"/>
    <n v="0.70050779307412203"/>
    <n v="0.28594529699533661"/>
  </r>
  <r>
    <s v="P0968"/>
    <s v="Model_791"/>
    <x v="0"/>
    <x v="1"/>
    <n v="2024"/>
    <s v="Q3"/>
    <n v="4196"/>
    <n v="3994"/>
    <n v="7692"/>
    <n v="154601"/>
    <n v="8.26"/>
    <n v="19"/>
    <n v="6.6"/>
    <n v="23.32"/>
    <n v="68.12"/>
    <n v="1.7"/>
    <n v="4624"/>
    <n v="7869"/>
    <n v="13"/>
    <n v="-15671432.32"/>
    <n v="-93.511527539163851"/>
    <n v="16758824"/>
    <n v="0.84004878529265969"/>
    <n v="-101.36680228459066"/>
  </r>
  <r>
    <s v="P0969"/>
    <s v="Model_983"/>
    <x v="1"/>
    <x v="0"/>
    <n v="2023"/>
    <s v="Q1"/>
    <n v="3583"/>
    <n v="14177"/>
    <n v="14963"/>
    <n v="488823"/>
    <n v="6.05"/>
    <n v="17"/>
    <n v="8.09"/>
    <n v="9.86"/>
    <n v="76.86"/>
    <n v="3.6"/>
    <n v="3253"/>
    <n v="6589"/>
    <n v="13"/>
    <n v="-3305070.86"/>
    <n v="-6.5065328618832847"/>
    <n v="50796191"/>
    <n v="0.71732478496272634"/>
    <n v="-6.7612632793465117"/>
  </r>
  <r>
    <s v="P0970"/>
    <s v="Model_526"/>
    <x v="0"/>
    <x v="3"/>
    <n v="2024"/>
    <s v="Q1"/>
    <n v="3417"/>
    <n v="19768"/>
    <n v="14935"/>
    <n v="319956"/>
    <n v="12.5"/>
    <n v="17"/>
    <n v="6.73"/>
    <n v="19.82"/>
    <n v="43.21"/>
    <n v="1.1000000000000001"/>
    <n v="19496"/>
    <n v="8484"/>
    <n v="10"/>
    <n v="16194385.18"/>
    <n v="23.974897189013866"/>
    <n v="67547256"/>
    <n v="0.68409120575429405"/>
    <n v="50.614475115328361"/>
  </r>
  <r>
    <s v="P0971"/>
    <s v="Model_861"/>
    <x v="0"/>
    <x v="0"/>
    <n v="2024"/>
    <s v="Q2"/>
    <n v="3418"/>
    <n v="13830"/>
    <n v="6608"/>
    <n v="111844"/>
    <n v="12.22"/>
    <n v="13"/>
    <n v="4.97"/>
    <n v="6.98"/>
    <n v="71.19"/>
    <n v="1.3"/>
    <n v="4775"/>
    <n v="3634"/>
    <n v="5"/>
    <n v="24572945.02"/>
    <n v="51.983195214649847"/>
    <n v="47270940"/>
    <n v="0.68429140803868227"/>
    <n v="219.70737813382925"/>
  </r>
  <r>
    <s v="P0972"/>
    <s v="Model_956"/>
    <x v="1"/>
    <x v="0"/>
    <n v="2023"/>
    <s v="Q2"/>
    <n v="3847"/>
    <n v="6679"/>
    <n v="7596"/>
    <n v="251165"/>
    <n v="9.18"/>
    <n v="17"/>
    <n v="9.5"/>
    <n v="16.16"/>
    <n v="23.97"/>
    <n v="1.9"/>
    <n v="10247"/>
    <n v="855"/>
    <n v="13"/>
    <n v="-3778880.16"/>
    <n v="-14.707182769843039"/>
    <n v="25694113"/>
    <n v="0.77017818804119675"/>
    <n v="-15.04534469372723"/>
  </r>
  <r>
    <s v="P0973"/>
    <s v="Model_538"/>
    <x v="2"/>
    <x v="3"/>
    <n v="2023"/>
    <s v="Q4"/>
    <n v="1842"/>
    <n v="8110"/>
    <n v="5596"/>
    <n v="445395"/>
    <n v="5.6"/>
    <n v="14"/>
    <n v="3"/>
    <n v="21.83"/>
    <n v="35.78"/>
    <n v="3"/>
    <n v="13943"/>
    <n v="9976"/>
    <n v="10"/>
    <n v="4185371.17"/>
    <n v="28.017120523850263"/>
    <n v="14938620"/>
    <n v="0.36877260784296451"/>
    <n v="9.3970363385309668"/>
  </r>
  <r>
    <s v="P0974"/>
    <s v="Model_312"/>
    <x v="0"/>
    <x v="0"/>
    <n v="2024"/>
    <s v="Q1"/>
    <n v="2911"/>
    <n v="7930"/>
    <n v="5893"/>
    <n v="224870"/>
    <n v="3.83"/>
    <n v="14"/>
    <n v="0.19"/>
    <n v="1.04"/>
    <n v="87.94"/>
    <n v="3.2"/>
    <n v="19933"/>
    <n v="2625"/>
    <n v="12"/>
    <n v="5704835.96"/>
    <n v="24.713130825676231"/>
    <n v="23084230"/>
    <n v="0.58278884985389234"/>
    <n v="25.36948903811091"/>
  </r>
  <r>
    <s v="P0975"/>
    <s v="Model_149"/>
    <x v="0"/>
    <x v="3"/>
    <n v="2023"/>
    <s v="Q1"/>
    <n v="3526"/>
    <n v="8654"/>
    <n v="11088"/>
    <n v="124601"/>
    <n v="1.59"/>
    <n v="5"/>
    <n v="4.32"/>
    <n v="20.77"/>
    <n v="88.91"/>
    <n v="1.1000000000000001"/>
    <n v="2324"/>
    <n v="927"/>
    <n v="4"/>
    <n v="-8706905.7699999996"/>
    <n v="-28.534130656861677"/>
    <n v="30514004"/>
    <n v="0.70591325475260203"/>
    <n v="-69.878130994133272"/>
  </r>
  <r>
    <s v="P0976"/>
    <s v="Model_137"/>
    <x v="1"/>
    <x v="2"/>
    <n v="2023"/>
    <s v="Q4"/>
    <n v="3467"/>
    <n v="15328"/>
    <n v="2125"/>
    <n v="451491"/>
    <n v="5.32"/>
    <n v="14"/>
    <n v="0.33"/>
    <n v="14.28"/>
    <n v="51.01"/>
    <n v="1.7"/>
    <n v="15380"/>
    <n v="9181"/>
    <n v="13"/>
    <n v="45323295.719999999"/>
    <n v="85.286864655297506"/>
    <n v="53142176"/>
    <n v="0.69410131997370139"/>
    <n v="100.38585486753888"/>
  </r>
  <r>
    <s v="P0977"/>
    <s v="Model_299"/>
    <x v="2"/>
    <x v="0"/>
    <n v="2024"/>
    <s v="Q3"/>
    <n v="1695"/>
    <n v="11645"/>
    <n v="5776"/>
    <n v="493790"/>
    <n v="6.2"/>
    <n v="17"/>
    <n v="9.5399999999999991"/>
    <n v="15.19"/>
    <n v="84.74"/>
    <n v="3"/>
    <n v="12541"/>
    <n v="4848"/>
    <n v="2"/>
    <n v="9454149.8100000005"/>
    <n v="47.897548341990372"/>
    <n v="19738275"/>
    <n v="0.33934287203790708"/>
    <n v="19.146124870896536"/>
  </r>
  <r>
    <s v="P0978"/>
    <s v="Model_288"/>
    <x v="1"/>
    <x v="3"/>
    <n v="2024"/>
    <s v="Q3"/>
    <n v="1255"/>
    <n v="7988"/>
    <n v="10205"/>
    <n v="360001"/>
    <n v="10.14"/>
    <n v="3"/>
    <n v="2.1"/>
    <n v="13.08"/>
    <n v="51.82"/>
    <n v="3.4"/>
    <n v="20914"/>
    <n v="2433"/>
    <n v="12"/>
    <n v="-3142349.08"/>
    <n v="-31.345315582936156"/>
    <n v="10024940"/>
    <n v="0.25125386690712292"/>
    <n v="-8.7286868647587088"/>
  </r>
  <r>
    <s v="P0979"/>
    <s v="Model_123"/>
    <x v="1"/>
    <x v="2"/>
    <n v="2024"/>
    <s v="Q1"/>
    <n v="3080"/>
    <n v="5350"/>
    <n v="1959"/>
    <n v="437699"/>
    <n v="9.8699999999999992"/>
    <n v="7"/>
    <n v="7.89"/>
    <n v="21.86"/>
    <n v="33.33"/>
    <n v="1.6"/>
    <n v="2581"/>
    <n v="5046"/>
    <n v="6"/>
    <n v="10006559.140000001"/>
    <n v="60.726782012380141"/>
    <n v="16478000"/>
    <n v="0.61662303591548895"/>
    <n v="22.861786296061904"/>
  </r>
  <r>
    <s v="P0980"/>
    <s v="Model_159"/>
    <x v="0"/>
    <x v="2"/>
    <n v="2023"/>
    <s v="Q2"/>
    <n v="2922"/>
    <n v="18573"/>
    <n v="5450"/>
    <n v="332844"/>
    <n v="1.05"/>
    <n v="14"/>
    <n v="7.75"/>
    <n v="1.0900000000000001"/>
    <n v="31.35"/>
    <n v="2.6"/>
    <n v="13017"/>
    <n v="8402"/>
    <n v="11"/>
    <n v="38012560.909999996"/>
    <n v="70.043019307832893"/>
    <n v="54270306"/>
    <n v="0.58499107498216196"/>
    <n v="114.20533943829541"/>
  </r>
  <r>
    <s v="P0981"/>
    <s v="Model_370"/>
    <x v="0"/>
    <x v="2"/>
    <n v="2024"/>
    <s v="Q4"/>
    <n v="3122"/>
    <n v="15064"/>
    <n v="13491"/>
    <n v="307927"/>
    <n v="5.93"/>
    <n v="2"/>
    <n v="2.1800000000000002"/>
    <n v="6.53"/>
    <n v="84.36"/>
    <n v="4.5999999999999996"/>
    <n v="18376"/>
    <n v="8146"/>
    <n v="11"/>
    <n v="4602972.47"/>
    <n v="9.7873511837428726"/>
    <n v="47029808"/>
    <n v="0.6250315318597911"/>
    <n v="14.948279949468542"/>
  </r>
  <r>
    <s v="P0982"/>
    <s v="Model_145"/>
    <x v="0"/>
    <x v="0"/>
    <n v="2024"/>
    <s v="Q3"/>
    <n v="1904"/>
    <n v="6578"/>
    <n v="5787"/>
    <n v="482680"/>
    <n v="2.73"/>
    <n v="14"/>
    <n v="6.21"/>
    <n v="21.89"/>
    <n v="23.8"/>
    <n v="5"/>
    <n v="6264"/>
    <n v="9084"/>
    <n v="3"/>
    <n v="1023362.11"/>
    <n v="8.170874122680388"/>
    <n v="12524512"/>
    <n v="0.38118514947502957"/>
    <n v="2.1202121488356673"/>
  </r>
  <r>
    <s v="P0983"/>
    <s v="Model_138"/>
    <x v="0"/>
    <x v="2"/>
    <n v="2024"/>
    <s v="Q2"/>
    <n v="4071"/>
    <n v="13668"/>
    <n v="5497"/>
    <n v="223423"/>
    <n v="2.35"/>
    <n v="12"/>
    <n v="0.48"/>
    <n v="18.809999999999999"/>
    <n v="56.37"/>
    <n v="4.9000000000000004"/>
    <n v="9766"/>
    <n v="7281"/>
    <n v="5"/>
    <n v="33040699.190000001"/>
    <n v="59.380405164921989"/>
    <n v="55642428"/>
    <n v="0.81502349974414146"/>
    <n v="147.88413905461837"/>
  </r>
  <r>
    <s v="P0984"/>
    <s v="Model_357"/>
    <x v="1"/>
    <x v="2"/>
    <n v="2024"/>
    <s v="Q2"/>
    <n v="4712"/>
    <n v="6948"/>
    <n v="14918"/>
    <n v="143330"/>
    <n v="12.41"/>
    <n v="8"/>
    <n v="4.84"/>
    <n v="0.44"/>
    <n v="54.44"/>
    <n v="4.5"/>
    <n v="12683"/>
    <n v="3514"/>
    <n v="3"/>
    <n v="-37697970.439999998"/>
    <n v="-115.14706642015926"/>
    <n v="32738976"/>
    <n v="0.94335316403694291"/>
    <n v="-263.01520965603851"/>
  </r>
  <r>
    <s v="P0985"/>
    <s v="Model_700"/>
    <x v="2"/>
    <x v="1"/>
    <n v="2024"/>
    <s v="Q3"/>
    <n v="2758"/>
    <n v="19063"/>
    <n v="1140"/>
    <n v="275391"/>
    <n v="0.63"/>
    <n v="1"/>
    <n v="0.15"/>
    <n v="12.93"/>
    <n v="69.17"/>
    <n v="2.6"/>
    <n v="18212"/>
    <n v="9601"/>
    <n v="3"/>
    <n v="49156230.07"/>
    <n v="93.496005915578507"/>
    <n v="52575754"/>
    <n v="0.552157900342506"/>
    <n v="178.49618542363405"/>
  </r>
  <r>
    <s v="P0986"/>
    <s v="Model_924"/>
    <x v="1"/>
    <x v="2"/>
    <n v="2023"/>
    <s v="Q2"/>
    <n v="3552"/>
    <n v="10574"/>
    <n v="4628"/>
    <n v="263606"/>
    <n v="6.29"/>
    <n v="7"/>
    <n v="9.2100000000000009"/>
    <n v="13.24"/>
    <n v="49.94"/>
    <n v="3.7"/>
    <n v="14377"/>
    <n v="6557"/>
    <n v="14"/>
    <n v="20856572.760000002"/>
    <n v="55.53038463799529"/>
    <n v="37558848"/>
    <n v="0.7111185141466938"/>
    <n v="79.120300751879697"/>
  </r>
  <r>
    <s v="P0987"/>
    <s v="Model_565"/>
    <x v="2"/>
    <x v="1"/>
    <n v="2024"/>
    <s v="Q1"/>
    <n v="1382"/>
    <n v="7906"/>
    <n v="2768"/>
    <n v="457085"/>
    <n v="2.52"/>
    <n v="19"/>
    <n v="9.76"/>
    <n v="10.02"/>
    <n v="31.78"/>
    <n v="2.7"/>
    <n v="11482"/>
    <n v="6849"/>
    <n v="4"/>
    <n v="6643620.9800000004"/>
    <n v="60.805098291319538"/>
    <n v="10926092"/>
    <n v="0.27667955702441743"/>
    <n v="14.534782370893817"/>
  </r>
  <r>
    <s v="P0988"/>
    <s v="Model_732"/>
    <x v="1"/>
    <x v="0"/>
    <n v="2024"/>
    <s v="Q2"/>
    <n v="251"/>
    <n v="10300"/>
    <n v="1503"/>
    <n v="241387"/>
    <n v="13.19"/>
    <n v="16"/>
    <n v="2.2200000000000002"/>
    <n v="7.43"/>
    <n v="23.55"/>
    <n v="3.6"/>
    <n v="10468"/>
    <n v="396"/>
    <n v="6"/>
    <n v="1966652.57"/>
    <n v="76.070574788225741"/>
    <n v="2585300"/>
    <n v="5.0250773381424585E-2"/>
    <n v="8.1473318778558905"/>
  </r>
  <r>
    <s v="P0989"/>
    <s v="Model_356"/>
    <x v="0"/>
    <x v="1"/>
    <n v="2023"/>
    <s v="Q4"/>
    <n v="3557"/>
    <n v="15583"/>
    <n v="13405"/>
    <n v="291133"/>
    <n v="8.36"/>
    <n v="12"/>
    <n v="2.08"/>
    <n v="17.04"/>
    <n v="59.67"/>
    <n v="2.2000000000000002"/>
    <n v="16139"/>
    <n v="9921"/>
    <n v="5"/>
    <n v="7455995.96"/>
    <n v="13.451500378025974"/>
    <n v="55428731"/>
    <n v="0.71211952556863445"/>
    <n v="25.610332734523396"/>
  </r>
  <r>
    <s v="P0990"/>
    <s v="Model_524"/>
    <x v="1"/>
    <x v="2"/>
    <n v="2023"/>
    <s v="Q4"/>
    <n v="4262"/>
    <n v="3138"/>
    <n v="6282"/>
    <n v="464170"/>
    <n v="3.47"/>
    <n v="0"/>
    <n v="7.54"/>
    <n v="5.19"/>
    <n v="67.52"/>
    <n v="3.4"/>
    <n v="6174"/>
    <n v="668"/>
    <n v="3"/>
    <n v="-13863903.189999999"/>
    <n v="-103.66189230931657"/>
    <n v="13374156"/>
    <n v="0.8532621360622773"/>
    <n v="-29.868147445978845"/>
  </r>
  <r>
    <s v="P0991"/>
    <s v="Model_414"/>
    <x v="2"/>
    <x v="3"/>
    <n v="2024"/>
    <s v="Q3"/>
    <n v="624"/>
    <n v="11840"/>
    <n v="11421"/>
    <n v="212627"/>
    <n v="7.54"/>
    <n v="1"/>
    <n v="2.5299999999999998"/>
    <n v="19.97"/>
    <n v="55.56"/>
    <n v="3.1"/>
    <n v="5816"/>
    <n v="5383"/>
    <n v="12"/>
    <n v="48809.03"/>
    <n v="0.66063850809944558"/>
    <n v="7388160"/>
    <n v="0.12492622545820296"/>
    <n v="0.22964628198676557"/>
  </r>
  <r>
    <s v="P0992"/>
    <s v="Model_830"/>
    <x v="1"/>
    <x v="1"/>
    <n v="2024"/>
    <s v="Q4"/>
    <n v="586"/>
    <n v="2882"/>
    <n v="7176"/>
    <n v="375497"/>
    <n v="10.97"/>
    <n v="14"/>
    <n v="8.9499999999999993"/>
    <n v="20.079999999999998"/>
    <n v="69.069999999999993"/>
    <n v="1.1000000000000001"/>
    <n v="16814"/>
    <n v="7764"/>
    <n v="11"/>
    <n v="-2891801.08"/>
    <n v="-171.22880394492827"/>
    <n v="1688852"/>
    <n v="0.11731853865145342"/>
    <n v="-7.701209330567222"/>
  </r>
  <r>
    <s v="P0993"/>
    <s v="Model_146"/>
    <x v="1"/>
    <x v="0"/>
    <n v="2024"/>
    <s v="Q1"/>
    <n v="1675"/>
    <n v="2903"/>
    <n v="2600"/>
    <n v="488242"/>
    <n v="14.37"/>
    <n v="11"/>
    <n v="5.74"/>
    <n v="10.38"/>
    <n v="21.32"/>
    <n v="4.2"/>
    <n v="11195"/>
    <n v="7611"/>
    <n v="3"/>
    <n v="19272.62"/>
    <n v="0.396350044472779"/>
    <n v="4862525"/>
    <n v="0.33533882635014417"/>
    <n v="3.9494758746687092E-2"/>
  </r>
  <r>
    <s v="P0994"/>
    <s v="Model_377"/>
    <x v="2"/>
    <x v="2"/>
    <n v="2023"/>
    <s v="Q1"/>
    <n v="2172"/>
    <n v="10511"/>
    <n v="6263"/>
    <n v="412916"/>
    <n v="3.31"/>
    <n v="13"/>
    <n v="3.51"/>
    <n v="7.09"/>
    <n v="80.599999999999994"/>
    <n v="1"/>
    <n v="17314"/>
    <n v="5565"/>
    <n v="7"/>
    <n v="8813732.9100000001"/>
    <n v="38.606108649134214"/>
    <n v="22829892"/>
    <n v="0.43483936169105264"/>
    <n v="21.345116197967624"/>
  </r>
  <r>
    <s v="P0995"/>
    <s v="Model_775"/>
    <x v="0"/>
    <x v="3"/>
    <n v="2024"/>
    <s v="Q4"/>
    <n v="435"/>
    <n v="4792"/>
    <n v="14660"/>
    <n v="228048"/>
    <n v="13.29"/>
    <n v="1"/>
    <n v="8.33"/>
    <n v="7.1"/>
    <n v="56.59"/>
    <n v="2.2000000000000002"/>
    <n v="9879"/>
    <n v="8363"/>
    <n v="8"/>
    <n v="-4520635.0999999996"/>
    <n v="-216.86695738107571"/>
    <n v="2084520"/>
    <n v="8.7087993708843403E-2"/>
    <n v="-19.823142496316564"/>
  </r>
  <r>
    <s v="P0996"/>
    <s v="Model_562"/>
    <x v="2"/>
    <x v="3"/>
    <n v="2024"/>
    <s v="Q2"/>
    <n v="3331"/>
    <n v="10511"/>
    <n v="5712"/>
    <n v="403646"/>
    <n v="14.01"/>
    <n v="17"/>
    <n v="4.93"/>
    <n v="12.06"/>
    <n v="20.149999999999999"/>
    <n v="1"/>
    <n v="2714"/>
    <n v="4482"/>
    <n v="13"/>
    <n v="15581810.939999999"/>
    <n v="44.504022019104745"/>
    <n v="35012141"/>
    <n v="0.66687380929691353"/>
    <n v="38.60269394469411"/>
  </r>
  <r>
    <s v="P0997"/>
    <s v="Model_765"/>
    <x v="0"/>
    <x v="3"/>
    <n v="2023"/>
    <s v="Q2"/>
    <n v="524"/>
    <n v="1919"/>
    <n v="5448"/>
    <n v="426087"/>
    <n v="13.75"/>
    <n v="6"/>
    <n v="9.1199999999999992"/>
    <n v="17.989999999999998"/>
    <n v="46.95"/>
    <n v="2.5"/>
    <n v="13138"/>
    <n v="165"/>
    <n v="11"/>
    <n v="-2275300.9900000002"/>
    <n v="-226.27292661970097"/>
    <n v="1005556"/>
    <n v="0.10490599701938838"/>
    <n v="-5.3399493530663928"/>
  </r>
  <r>
    <s v="P0998"/>
    <s v="Model_514"/>
    <x v="0"/>
    <x v="1"/>
    <n v="2024"/>
    <s v="Q1"/>
    <n v="467"/>
    <n v="13911"/>
    <n v="1655"/>
    <n v="421994"/>
    <n v="9.5299999999999994"/>
    <n v="5"/>
    <n v="9.2799999999999994"/>
    <n v="8.9700000000000006"/>
    <n v="77.58"/>
    <n v="1.3"/>
    <n v="12213"/>
    <n v="979"/>
    <n v="7"/>
    <n v="5301549.03"/>
    <n v="81.607025974391817"/>
    <n v="6496437"/>
    <n v="9.3494466809264071E-2"/>
    <n v="12.563112271738461"/>
  </r>
  <r>
    <s v="P0999"/>
    <s v="Model_271"/>
    <x v="0"/>
    <x v="0"/>
    <n v="2023"/>
    <s v="Q3"/>
    <n v="3650"/>
    <n v="6017"/>
    <n v="10804"/>
    <n v="95095"/>
    <n v="9.4499999999999993"/>
    <n v="13"/>
    <n v="1.65"/>
    <n v="15.25"/>
    <n v="81.8"/>
    <n v="4.7"/>
    <n v="17477"/>
    <n v="8359"/>
    <n v="8"/>
    <n v="-17567660.25"/>
    <n v="-79.990985586500358"/>
    <n v="21962050"/>
    <n v="0.73073833801673205"/>
    <n v="-184.73784110626215"/>
  </r>
  <r>
    <s v="P1000"/>
    <s v="Model_210"/>
    <x v="2"/>
    <x v="0"/>
    <n v="2024"/>
    <s v="Q3"/>
    <n v="1004"/>
    <n v="16922"/>
    <n v="3666"/>
    <n v="195342"/>
    <n v="6.05"/>
    <n v="7"/>
    <n v="0.02"/>
    <n v="9.56"/>
    <n v="31.17"/>
    <n v="2.7"/>
    <n v="13571"/>
    <n v="9508"/>
    <n v="2"/>
    <n v="13113672.439999999"/>
    <n v="77.18606980893351"/>
    <n v="16989688"/>
    <n v="0.20100309352569834"/>
    <n v="67.131912235975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DBB30-644D-4B8F-82DF-BA5B90BDE6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9" firstHeaderRow="1" firstDataRow="3" firstDataCol="1"/>
  <pivotFields count="21">
    <pivotField showAll="0"/>
    <pivotField showAll="0">
      <items count="614">
        <item x="323"/>
        <item x="456"/>
        <item x="434"/>
        <item x="293"/>
        <item x="475"/>
        <item x="167"/>
        <item x="132"/>
        <item x="449"/>
        <item x="195"/>
        <item x="162"/>
        <item x="484"/>
        <item x="306"/>
        <item x="252"/>
        <item x="221"/>
        <item x="422"/>
        <item x="565"/>
        <item x="570"/>
        <item x="605"/>
        <item x="282"/>
        <item x="253"/>
        <item x="487"/>
        <item x="392"/>
        <item x="251"/>
        <item x="477"/>
        <item x="289"/>
        <item x="45"/>
        <item x="388"/>
        <item x="133"/>
        <item x="401"/>
        <item x="603"/>
        <item x="607"/>
        <item x="227"/>
        <item x="104"/>
        <item x="174"/>
        <item x="233"/>
        <item x="91"/>
        <item x="557"/>
        <item x="145"/>
        <item x="602"/>
        <item x="567"/>
        <item x="342"/>
        <item x="415"/>
        <item x="99"/>
        <item x="79"/>
        <item x="338"/>
        <item x="226"/>
        <item x="222"/>
        <item x="507"/>
        <item x="480"/>
        <item x="587"/>
        <item x="283"/>
        <item x="127"/>
        <item x="316"/>
        <item x="59"/>
        <item x="191"/>
        <item x="534"/>
        <item x="429"/>
        <item x="25"/>
        <item x="425"/>
        <item x="113"/>
        <item x="343"/>
        <item x="583"/>
        <item x="10"/>
        <item x="406"/>
        <item x="505"/>
        <item x="382"/>
        <item x="275"/>
        <item x="334"/>
        <item x="513"/>
        <item x="243"/>
        <item x="85"/>
        <item x="331"/>
        <item x="430"/>
        <item x="351"/>
        <item x="260"/>
        <item x="554"/>
        <item x="471"/>
        <item x="18"/>
        <item x="264"/>
        <item x="612"/>
        <item x="312"/>
        <item x="568"/>
        <item x="428"/>
        <item x="305"/>
        <item x="211"/>
        <item x="183"/>
        <item x="326"/>
        <item x="228"/>
        <item x="225"/>
        <item x="396"/>
        <item x="547"/>
        <item x="367"/>
        <item x="560"/>
        <item x="177"/>
        <item x="86"/>
        <item x="317"/>
        <item x="53"/>
        <item x="101"/>
        <item x="499"/>
        <item x="297"/>
        <item x="155"/>
        <item x="462"/>
        <item x="19"/>
        <item x="249"/>
        <item x="466"/>
        <item x="341"/>
        <item x="273"/>
        <item x="279"/>
        <item x="585"/>
        <item x="315"/>
        <item x="536"/>
        <item x="520"/>
        <item x="1"/>
        <item x="592"/>
        <item x="265"/>
        <item x="179"/>
        <item x="97"/>
        <item x="66"/>
        <item x="41"/>
        <item x="88"/>
        <item x="455"/>
        <item x="551"/>
        <item x="126"/>
        <item x="69"/>
        <item x="220"/>
        <item x="278"/>
        <item x="479"/>
        <item x="595"/>
        <item x="271"/>
        <item x="131"/>
        <item x="372"/>
        <item x="397"/>
        <item x="590"/>
        <item x="517"/>
        <item x="122"/>
        <item x="523"/>
        <item x="344"/>
        <item x="368"/>
        <item x="604"/>
        <item x="524"/>
        <item x="117"/>
        <item x="360"/>
        <item x="349"/>
        <item x="58"/>
        <item x="21"/>
        <item x="506"/>
        <item x="439"/>
        <item x="601"/>
        <item x="239"/>
        <item x="13"/>
        <item x="418"/>
        <item x="205"/>
        <item x="218"/>
        <item x="335"/>
        <item x="277"/>
        <item x="274"/>
        <item x="545"/>
        <item x="207"/>
        <item x="34"/>
        <item x="519"/>
        <item x="380"/>
        <item x="217"/>
        <item x="81"/>
        <item x="298"/>
        <item x="180"/>
        <item x="70"/>
        <item x="571"/>
        <item x="30"/>
        <item x="24"/>
        <item x="3"/>
        <item x="542"/>
        <item x="200"/>
        <item x="151"/>
        <item x="5"/>
        <item x="313"/>
        <item x="164"/>
        <item x="147"/>
        <item x="549"/>
        <item x="474"/>
        <item x="391"/>
        <item x="28"/>
        <item x="32"/>
        <item x="90"/>
        <item x="300"/>
        <item x="74"/>
        <item x="52"/>
        <item x="459"/>
        <item x="606"/>
        <item x="50"/>
        <item x="12"/>
        <item x="384"/>
        <item x="610"/>
        <item x="281"/>
        <item x="165"/>
        <item x="223"/>
        <item x="93"/>
        <item x="124"/>
        <item x="236"/>
        <item x="198"/>
        <item x="134"/>
        <item x="332"/>
        <item x="416"/>
        <item x="215"/>
        <item x="347"/>
        <item x="498"/>
        <item x="36"/>
        <item x="290"/>
        <item x="366"/>
        <item x="552"/>
        <item x="43"/>
        <item x="54"/>
        <item x="47"/>
        <item x="314"/>
        <item x="108"/>
        <item x="22"/>
        <item x="411"/>
        <item x="441"/>
        <item x="40"/>
        <item x="419"/>
        <item x="44"/>
        <item x="71"/>
        <item x="378"/>
        <item x="578"/>
        <item x="141"/>
        <item x="181"/>
        <item x="490"/>
        <item x="295"/>
        <item x="250"/>
        <item x="284"/>
        <item x="109"/>
        <item x="413"/>
        <item x="328"/>
        <item x="154"/>
        <item x="57"/>
        <item x="4"/>
        <item x="464"/>
        <item x="440"/>
        <item x="518"/>
        <item x="324"/>
        <item x="153"/>
        <item x="356"/>
        <item x="346"/>
        <item x="94"/>
        <item x="355"/>
        <item x="433"/>
        <item x="362"/>
        <item x="453"/>
        <item x="266"/>
        <item x="175"/>
        <item x="38"/>
        <item x="224"/>
        <item x="137"/>
        <item x="500"/>
        <item x="96"/>
        <item x="531"/>
        <item x="190"/>
        <item x="248"/>
        <item x="582"/>
        <item x="189"/>
        <item x="301"/>
        <item x="424"/>
        <item x="532"/>
        <item x="123"/>
        <item x="577"/>
        <item x="209"/>
        <item x="87"/>
        <item x="345"/>
        <item x="72"/>
        <item x="48"/>
        <item x="353"/>
        <item x="460"/>
        <item x="450"/>
        <item x="586"/>
        <item x="481"/>
        <item x="241"/>
        <item x="9"/>
        <item x="92"/>
        <item x="387"/>
        <item x="240"/>
        <item x="494"/>
        <item x="611"/>
        <item x="491"/>
        <item x="540"/>
        <item x="254"/>
        <item x="56"/>
        <item x="65"/>
        <item x="163"/>
        <item x="608"/>
        <item x="599"/>
        <item x="386"/>
        <item x="202"/>
        <item x="320"/>
        <item x="398"/>
        <item x="589"/>
        <item x="82"/>
        <item x="600"/>
        <item x="143"/>
        <item x="443"/>
        <item x="161"/>
        <item x="173"/>
        <item x="229"/>
        <item x="515"/>
        <item x="457"/>
        <item x="375"/>
        <item x="584"/>
        <item x="232"/>
        <item x="493"/>
        <item x="258"/>
        <item x="294"/>
        <item x="286"/>
        <item x="303"/>
        <item x="390"/>
        <item x="409"/>
        <item x="543"/>
        <item x="193"/>
        <item x="0"/>
        <item x="417"/>
        <item x="130"/>
        <item x="138"/>
        <item x="436"/>
        <item x="129"/>
        <item x="100"/>
        <item x="329"/>
        <item x="546"/>
        <item x="80"/>
        <item x="31"/>
        <item x="340"/>
        <item x="15"/>
        <item x="383"/>
        <item x="472"/>
        <item x="259"/>
        <item x="255"/>
        <item x="370"/>
        <item x="327"/>
        <item x="581"/>
        <item x="84"/>
        <item x="246"/>
        <item x="150"/>
        <item x="431"/>
        <item x="238"/>
        <item x="379"/>
        <item x="208"/>
        <item x="169"/>
        <item x="548"/>
        <item x="118"/>
        <item x="539"/>
        <item x="414"/>
        <item x="330"/>
        <item x="308"/>
        <item x="410"/>
        <item x="561"/>
        <item x="496"/>
        <item x="427"/>
        <item x="563"/>
        <item x="333"/>
        <item x="504"/>
        <item x="444"/>
        <item x="73"/>
        <item x="501"/>
        <item x="159"/>
        <item x="106"/>
        <item x="307"/>
        <item x="128"/>
        <item x="377"/>
        <item x="272"/>
        <item x="136"/>
        <item x="446"/>
        <item x="156"/>
        <item x="116"/>
        <item x="267"/>
        <item x="235"/>
        <item x="394"/>
        <item x="234"/>
        <item x="363"/>
        <item x="522"/>
        <item x="55"/>
        <item x="157"/>
        <item x="403"/>
        <item x="257"/>
        <item x="588"/>
        <item x="111"/>
        <item x="486"/>
        <item x="288"/>
        <item x="2"/>
        <item x="454"/>
        <item x="399"/>
        <item x="89"/>
        <item x="268"/>
        <item x="510"/>
        <item x="461"/>
        <item x="562"/>
        <item x="269"/>
        <item x="95"/>
        <item x="525"/>
        <item x="98"/>
        <item x="146"/>
        <item x="437"/>
        <item x="168"/>
        <item x="75"/>
        <item x="27"/>
        <item x="245"/>
        <item x="476"/>
        <item x="304"/>
        <item x="160"/>
        <item x="508"/>
        <item x="591"/>
        <item x="478"/>
        <item x="291"/>
        <item x="412"/>
        <item x="247"/>
        <item x="580"/>
        <item x="302"/>
        <item x="114"/>
        <item x="597"/>
        <item x="120"/>
        <item x="46"/>
        <item x="77"/>
        <item x="270"/>
        <item x="158"/>
        <item x="216"/>
        <item x="381"/>
        <item x="389"/>
        <item x="407"/>
        <item x="212"/>
        <item x="318"/>
        <item x="42"/>
        <item x="6"/>
        <item x="135"/>
        <item x="594"/>
        <item x="60"/>
        <item x="376"/>
        <item x="511"/>
        <item x="354"/>
        <item x="395"/>
        <item x="256"/>
        <item x="485"/>
        <item x="263"/>
        <item x="468"/>
        <item x="296"/>
        <item x="526"/>
        <item x="17"/>
        <item x="495"/>
        <item x="285"/>
        <item x="473"/>
        <item x="402"/>
        <item x="172"/>
        <item x="357"/>
        <item x="421"/>
        <item x="369"/>
        <item x="447"/>
        <item x="336"/>
        <item x="170"/>
        <item x="405"/>
        <item x="112"/>
        <item x="514"/>
        <item x="489"/>
        <item x="7"/>
        <item x="23"/>
        <item x="76"/>
        <item x="51"/>
        <item x="280"/>
        <item x="78"/>
        <item x="311"/>
        <item x="231"/>
        <item x="11"/>
        <item x="521"/>
        <item x="29"/>
        <item x="61"/>
        <item x="204"/>
        <item x="423"/>
        <item x="178"/>
        <item x="337"/>
        <item x="408"/>
        <item x="559"/>
        <item x="107"/>
        <item x="448"/>
        <item x="451"/>
        <item x="482"/>
        <item x="359"/>
        <item x="497"/>
        <item x="438"/>
        <item x="435"/>
        <item x="194"/>
        <item x="237"/>
        <item x="119"/>
        <item x="210"/>
        <item x="20"/>
        <item x="530"/>
        <item x="125"/>
        <item x="393"/>
        <item x="371"/>
        <item x="352"/>
        <item x="503"/>
        <item x="575"/>
        <item x="609"/>
        <item x="148"/>
        <item x="184"/>
        <item x="319"/>
        <item x="373"/>
        <item x="322"/>
        <item x="149"/>
        <item x="361"/>
        <item x="555"/>
        <item x="261"/>
        <item x="541"/>
        <item x="16"/>
        <item x="420"/>
        <item x="529"/>
        <item x="196"/>
        <item x="310"/>
        <item x="33"/>
        <item x="140"/>
        <item x="579"/>
        <item x="465"/>
        <item x="244"/>
        <item x="348"/>
        <item x="432"/>
        <item x="110"/>
        <item x="171"/>
        <item x="535"/>
        <item x="242"/>
        <item x="564"/>
        <item x="230"/>
        <item x="103"/>
        <item x="37"/>
        <item x="299"/>
        <item x="339"/>
        <item x="374"/>
        <item x="502"/>
        <item x="262"/>
        <item x="219"/>
        <item x="39"/>
        <item x="26"/>
        <item x="400"/>
        <item x="553"/>
        <item x="309"/>
        <item x="152"/>
        <item x="199"/>
        <item x="483"/>
        <item x="469"/>
        <item x="556"/>
        <item x="68"/>
        <item x="121"/>
        <item x="49"/>
        <item x="102"/>
        <item x="213"/>
        <item x="550"/>
        <item x="442"/>
        <item x="325"/>
        <item x="593"/>
        <item x="35"/>
        <item x="385"/>
        <item x="8"/>
        <item x="192"/>
        <item x="287"/>
        <item x="488"/>
        <item x="364"/>
        <item x="206"/>
        <item x="321"/>
        <item x="467"/>
        <item x="516"/>
        <item x="528"/>
        <item x="558"/>
        <item x="185"/>
        <item x="538"/>
        <item x="569"/>
        <item x="64"/>
        <item x="197"/>
        <item x="458"/>
        <item x="115"/>
        <item x="426"/>
        <item x="187"/>
        <item x="533"/>
        <item x="509"/>
        <item x="201"/>
        <item x="527"/>
        <item x="186"/>
        <item x="83"/>
        <item x="276"/>
        <item x="404"/>
        <item x="566"/>
        <item x="105"/>
        <item x="214"/>
        <item x="537"/>
        <item x="182"/>
        <item x="544"/>
        <item x="144"/>
        <item x="176"/>
        <item x="166"/>
        <item x="139"/>
        <item x="358"/>
        <item x="573"/>
        <item x="470"/>
        <item x="452"/>
        <item x="62"/>
        <item x="14"/>
        <item x="188"/>
        <item x="512"/>
        <item x="142"/>
        <item x="292"/>
        <item x="572"/>
        <item x="445"/>
        <item x="576"/>
        <item x="598"/>
        <item x="350"/>
        <item x="67"/>
        <item x="596"/>
        <item x="203"/>
        <item x="463"/>
        <item x="365"/>
        <item x="492"/>
        <item x="574"/>
        <item x="63"/>
        <item t="default"/>
      </items>
    </pivotField>
    <pivotField axis="axisRow" showAll="0">
      <items count="4">
        <item x="0"/>
        <item x="2"/>
        <item x="1"/>
        <item t="default"/>
      </items>
    </pivotField>
    <pivotField axis="axisCol"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4">
    <i>
      <x/>
    </i>
    <i>
      <x v="1"/>
    </i>
    <i>
      <x v="2"/>
    </i>
    <i t="grand">
      <x/>
    </i>
  </rowItems>
  <colFields count="2">
    <field x="3"/>
    <field x="-2"/>
  </colFields>
  <colItems count="10">
    <i>
      <x/>
      <x/>
    </i>
    <i r="1" i="1">
      <x v="1"/>
    </i>
    <i>
      <x v="1"/>
      <x/>
    </i>
    <i r="1" i="1">
      <x v="1"/>
    </i>
    <i>
      <x v="2"/>
      <x/>
    </i>
    <i r="1" i="1">
      <x v="1"/>
    </i>
    <i>
      <x v="3"/>
      <x/>
    </i>
    <i r="1" i="1">
      <x v="1"/>
    </i>
    <i t="grand">
      <x/>
    </i>
    <i t="grand" i="1">
      <x/>
    </i>
  </colItems>
  <dataFields count="2">
    <dataField name="Sum of Units_Sold" fld="6"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70215-D876-4433-9C80-BF57C3FBFFF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K9" firstHeaderRow="1" firstDataRow="3" firstDataCol="1"/>
  <pivotFields count="22">
    <pivotField showAll="0"/>
    <pivotField showAll="0"/>
    <pivotField axis="axisRow" showAll="0">
      <items count="4">
        <item x="0"/>
        <item x="2"/>
        <item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numFmtId="164" showAll="0"/>
  </pivotFields>
  <rowFields count="1">
    <field x="2"/>
  </rowFields>
  <rowItems count="4">
    <i>
      <x/>
    </i>
    <i>
      <x v="1"/>
    </i>
    <i>
      <x v="2"/>
    </i>
    <i t="grand">
      <x/>
    </i>
  </rowItems>
  <colFields count="2">
    <field x="3"/>
    <field x="-2"/>
  </colFields>
  <colItems count="10">
    <i>
      <x/>
      <x/>
    </i>
    <i r="1" i="1">
      <x v="1"/>
    </i>
    <i>
      <x v="1"/>
      <x/>
    </i>
    <i r="1" i="1">
      <x v="1"/>
    </i>
    <i>
      <x v="2"/>
      <x/>
    </i>
    <i r="1" i="1">
      <x v="1"/>
    </i>
    <i>
      <x v="3"/>
      <x/>
    </i>
    <i r="1" i="1">
      <x v="1"/>
    </i>
    <i t="grand">
      <x/>
    </i>
    <i t="grand" i="1">
      <x/>
    </i>
  </colItems>
  <dataFields count="2">
    <dataField name="Average of Stockout_Days" fld="11" subtotal="average" baseField="2" baseItem="0"/>
    <dataField name="Average of Inventory_Level" fld="17" subtotal="average" baseField="2"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1"/>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1"/>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2C9F4F-ED6B-47EA-A307-789C82A26E9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U9" firstHeaderRow="1" firstDataRow="3" firstDataCol="1"/>
  <pivotFields count="23">
    <pivotField showAll="0"/>
    <pivotField showAll="0"/>
    <pivotField axis="axisRow" showAll="0">
      <items count="4">
        <item x="0"/>
        <item x="2"/>
        <item x="1"/>
        <item t="default"/>
      </items>
    </pivotField>
    <pivotField axis="axisCol" showAll="0">
      <items count="5">
        <item x="0"/>
        <item x="2"/>
        <item x="1"/>
        <item x="3"/>
        <item t="default"/>
      </items>
    </pivotField>
    <pivotField showAll="0">
      <items count="3">
        <item x="1"/>
        <item x="0"/>
        <item t="default"/>
      </items>
    </pivotField>
    <pivotField showAll="0"/>
    <pivotField dataField="1" showAll="0"/>
    <pivotField dataField="1"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numFmtId="164" showAll="0"/>
    <pivotField numFmtId="2" showAll="0"/>
  </pivotFields>
  <rowFields count="1">
    <field x="2"/>
  </rowFields>
  <rowItems count="4">
    <i>
      <x/>
    </i>
    <i>
      <x v="1"/>
    </i>
    <i>
      <x v="2"/>
    </i>
    <i t="grand">
      <x/>
    </i>
  </rowItems>
  <colFields count="2">
    <field x="3"/>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dataFields count="4">
    <dataField name="Sum of Units_Sold" fld="6" baseField="0" baseItem="0"/>
    <dataField name="Average of Selling_Price_per_Unit" fld="7" subtotal="average" baseField="2" baseItem="0"/>
    <dataField name="Average of Customer_Rating" fld="15" subtotal="average" baseField="2" baseItem="0"/>
    <dataField name="Sum of Marketing_Spend" fld="9" baseField="0" baseItem="0"/>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2"/>
          </reference>
          <reference field="3" count="1" selected="0">
            <x v="0"/>
          </reference>
        </references>
      </pivotArea>
    </chartFormat>
    <chartFormat chart="0" format="3" series="1">
      <pivotArea type="data" outline="0" fieldPosition="0">
        <references count="2">
          <reference field="4294967294" count="1" selected="0">
            <x v="3"/>
          </reference>
          <reference field="3" count="1" selected="0">
            <x v="0"/>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1"/>
          </reference>
          <reference field="3" count="1" selected="0">
            <x v="1"/>
          </reference>
        </references>
      </pivotArea>
    </chartFormat>
    <chartFormat chart="0" format="6" series="1">
      <pivotArea type="data" outline="0" fieldPosition="0">
        <references count="2">
          <reference field="4294967294" count="1" selected="0">
            <x v="2"/>
          </reference>
          <reference field="3" count="1" selected="0">
            <x v="1"/>
          </reference>
        </references>
      </pivotArea>
    </chartFormat>
    <chartFormat chart="0" format="7" series="1">
      <pivotArea type="data" outline="0" fieldPosition="0">
        <references count="2">
          <reference field="4294967294" count="1" selected="0">
            <x v="3"/>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1"/>
          </reference>
          <reference field="3" count="1" selected="0">
            <x v="2"/>
          </reference>
        </references>
      </pivotArea>
    </chartFormat>
    <chartFormat chart="0" format="10" series="1">
      <pivotArea type="data" outline="0" fieldPosition="0">
        <references count="2">
          <reference field="4294967294" count="1" selected="0">
            <x v="2"/>
          </reference>
          <reference field="3" count="1" selected="0">
            <x v="2"/>
          </reference>
        </references>
      </pivotArea>
    </chartFormat>
    <chartFormat chart="0" format="11" series="1">
      <pivotArea type="data" outline="0" fieldPosition="0">
        <references count="2">
          <reference field="4294967294" count="1" selected="0">
            <x v="3"/>
          </reference>
          <reference field="3" count="1" selected="0">
            <x v="2"/>
          </reference>
        </references>
      </pivotArea>
    </chartFormat>
    <chartFormat chart="0" format="12" series="1">
      <pivotArea type="data" outline="0" fieldPosition="0">
        <references count="2">
          <reference field="4294967294" count="1" selected="0">
            <x v="0"/>
          </reference>
          <reference field="3" count="1" selected="0">
            <x v="3"/>
          </reference>
        </references>
      </pivotArea>
    </chartFormat>
    <chartFormat chart="0" format="13" series="1">
      <pivotArea type="data" outline="0" fieldPosition="0">
        <references count="2">
          <reference field="4294967294" count="1" selected="0">
            <x v="1"/>
          </reference>
          <reference field="3" count="1" selected="0">
            <x v="3"/>
          </reference>
        </references>
      </pivotArea>
    </chartFormat>
    <chartFormat chart="0" format="14" series="1">
      <pivotArea type="data" outline="0" fieldPosition="0">
        <references count="2">
          <reference field="4294967294" count="1" selected="0">
            <x v="2"/>
          </reference>
          <reference field="3" count="1" selected="0">
            <x v="3"/>
          </reference>
        </references>
      </pivotArea>
    </chartFormat>
    <chartFormat chart="0" format="15" series="1">
      <pivotArea type="data" outline="0" fieldPosition="0">
        <references count="2">
          <reference field="4294967294" count="1" selected="0">
            <x v="3"/>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FFFF0-A746-4556-A8FE-7112858F0CB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8" firstHeaderRow="1" firstDataRow="2" firstDataCol="1"/>
  <pivotFields count="24">
    <pivotField showAll="0"/>
    <pivotField showAll="0"/>
    <pivotField axis="axisRow" showAll="0">
      <items count="4">
        <item x="0"/>
        <item x="2"/>
        <item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dataField="1" numFmtId="165" showAll="0"/>
  </pivotFields>
  <rowFields count="1">
    <field x="2"/>
  </rowFields>
  <rowItems count="4">
    <i>
      <x/>
    </i>
    <i>
      <x v="1"/>
    </i>
    <i>
      <x v="2"/>
    </i>
    <i t="grand">
      <x/>
    </i>
  </rowItems>
  <colFields count="1">
    <field x="3"/>
  </colFields>
  <colItems count="5">
    <i>
      <x/>
    </i>
    <i>
      <x v="1"/>
    </i>
    <i>
      <x v="2"/>
    </i>
    <i>
      <x v="3"/>
    </i>
    <i t="grand">
      <x/>
    </i>
  </colItems>
  <dataFields count="1">
    <dataField name="Average of adv roi" fld="23" subtotal="average" baseField="2" baseItem="0" numFmtId="165"/>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A99BF88-C0A1-464A-AF82-9223292EA012}" sourceName="Year">
  <pivotTables>
    <pivotTable tabId="4" name="PivotTable6"/>
  </pivotTables>
  <data>
    <tabular pivotCacheId="17415649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DF5165D-A453-4B5F-92C4-82BD870C7C27}"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D75766-8F34-4E82-98C4-DB06227EB8E5}" name="Table1" displayName="Table1" ref="A1:X1001" totalsRowShown="0" headerRowDxfId="27" dataDxfId="25" headerRowBorderDxfId="26" tableBorderDxfId="24">
  <autoFilter ref="A1:X1001" xr:uid="{BDD75766-8F34-4E82-98C4-DB06227EB8E5}">
    <filterColumn colId="6">
      <top10 percent="1" val="25" filterVal="3694"/>
    </filterColumn>
  </autoFilter>
  <tableColumns count="24">
    <tableColumn id="1" xr3:uid="{69895A09-E617-46AF-A5E1-1F2F0F44840B}" name="Product_ID" dataDxfId="23"/>
    <tableColumn id="2" xr3:uid="{6744E3AE-A2B7-467B-992A-E41C4E27DFDC}" name="Product_Name" dataDxfId="22"/>
    <tableColumn id="3" xr3:uid="{4DA5EC58-7A23-40E2-998B-90EE2DC629FA}" name="Product_Category" dataDxfId="21"/>
    <tableColumn id="4" xr3:uid="{C63A98B9-3864-4CCA-81EE-B64071CB604C}" name="Region" dataDxfId="20"/>
    <tableColumn id="5" xr3:uid="{9CD14D24-2693-479C-B9A4-3A840AB592A0}" name="Year" dataDxfId="19"/>
    <tableColumn id="6" xr3:uid="{218A7D9C-2B8E-409F-9DC8-BC473C6FD851}" name="Quarter" dataDxfId="18"/>
    <tableColumn id="7" xr3:uid="{77C3846D-7643-4318-A216-EAB8FAE348EB}" name="Units_Sold" dataDxfId="17"/>
    <tableColumn id="8" xr3:uid="{7C647591-CD08-4169-B19E-1D08BC396DD3}" name="Selling_Price_per_Unit" dataDxfId="16"/>
    <tableColumn id="9" xr3:uid="{CE3591DE-1580-48E8-87CA-4D4403E764F9}" name="Manufacturing_Cost_per_Unit" dataDxfId="15"/>
    <tableColumn id="10" xr3:uid="{25DA9213-4775-4810-ADB4-6F5E928F773E}" name="Marketing_Spend" dataDxfId="14"/>
    <tableColumn id="11" xr3:uid="{F5974525-54E6-44A5-A7B7-693DE70469DB}" name="Return_Rate_%" dataDxfId="13"/>
    <tableColumn id="12" xr3:uid="{E463D16C-F2C7-4C7F-B430-21FEC914C3CF}" name="Stockout_Days" dataDxfId="12"/>
    <tableColumn id="13" xr3:uid="{8E1AC94D-77C8-4AA4-AC62-7C2B9EC2207F}" name="Warranty_Claims_%" dataDxfId="11"/>
    <tableColumn id="14" xr3:uid="{EBAC6461-9BF3-4C83-99BE-2955EB8C7E5F}" name="Discount_%" dataDxfId="10"/>
    <tableColumn id="15" xr3:uid="{A226A4E9-7E40-4FF6-ACE1-906B3F5085AC}" name="Online_Sales_%" dataDxfId="9"/>
    <tableColumn id="16" xr3:uid="{0B08FC5F-A888-4786-AC4E-799907FC099F}" name="Customer_Rating" dataDxfId="8"/>
    <tableColumn id="17" xr3:uid="{68EA9441-E2DF-4046-A9BB-225BC4904FAC}" name="Competitor_Price" dataDxfId="7"/>
    <tableColumn id="18" xr3:uid="{D97C2D53-5261-4879-B6A6-256CC460A20D}" name="Inventory_Level" dataDxfId="6"/>
    <tableColumn id="19" xr3:uid="{CBAB9A2A-22BC-46C7-8573-9A7F163AAFEB}" name="Lead_Time_Days" dataDxfId="5"/>
    <tableColumn id="20" xr3:uid="{B9BA058A-76E1-4B71-84C6-14890B4C5F49}" name="profit" dataDxfId="4">
      <calculatedColumnFormula>(Table1[[#This Row],[Selling_Price_per_Unit]]-Table1[[#This Row],[Manufacturing_Cost_per_Unit]])*Table1[[#This Row],[Units_Sold]]-Table1[[#This Row],[Marketing_Spend]]-Table1[[#This Row],[Discount_%]]</calculatedColumnFormula>
    </tableColumn>
    <tableColumn id="21" xr3:uid="{7DE7DE02-E94A-429A-9B67-376F866D6AA8}" name="profit margin" dataDxfId="3" dataCellStyle="Percent">
      <calculatedColumnFormula>Table1[[#This Row],[profit]]/(Table1[[#This Row],[Units_Sold]]*Table1[[#This Row],[Selling_Price_per_Unit]])*100</calculatedColumnFormula>
    </tableColumn>
    <tableColumn id="22" xr3:uid="{1AE6EB81-D7B9-46AD-82B0-A4EE5238395E}" name="total re" dataDxfId="2">
      <calculatedColumnFormula>Table1[[#This Row],[Units_Sold]]*Table1[[#This Row],[Selling_Price_per_Unit]]</calculatedColumnFormula>
    </tableColumn>
    <tableColumn id="23" xr3:uid="{199B09A7-3137-487A-85CF-44A8F32B92D5}" name="inventry trunover" dataDxfId="1">
      <calculatedColumnFormula>(Table1[[#This Row],[Units_Sold]]/$Z$1)</calculatedColumnFormula>
    </tableColumn>
    <tableColumn id="24" xr3:uid="{8A4A0DBA-03AD-4841-A6D8-47683EF9AD3A}" name="adv roi" dataDxfId="0">
      <calculatedColumnFormula>((Table1[[#This Row],[Units_Sold]]*(Table1[[#This Row],[Selling_Price_per_Unit]]-Table1[[#This Row],[Manufacturing_Cost_per_Unit]]))-Table1[[#This Row],[Marketing_Spend]])/Table1[[#This Row],[Marketing_Spend]]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election activeCell="T6" sqref="T6"/>
    </sheetView>
  </sheetViews>
  <sheetFormatPr defaultRowHeight="14.4" x14ac:dyDescent="0.3"/>
  <cols>
    <col min="1" max="1" width="13" customWidth="1"/>
    <col min="2" max="2" width="16.44140625" customWidth="1"/>
    <col min="3" max="3" width="19.21875" customWidth="1"/>
    <col min="4" max="4" width="9" customWidth="1"/>
    <col min="5" max="5" width="7.109375" customWidth="1"/>
    <col min="6" max="6" width="9.88671875" customWidth="1"/>
    <col min="7" max="7" width="12.6640625" customWidth="1"/>
    <col min="8" max="8" width="23.33203125" customWidth="1"/>
    <col min="9" max="9" width="29.77734375" customWidth="1"/>
    <col min="10" max="10" width="18.77734375" customWidth="1"/>
    <col min="11" max="12" width="16.44140625" customWidth="1"/>
    <col min="13" max="13" width="21.21875" customWidth="1"/>
    <col min="14" max="14" width="13.5546875" customWidth="1"/>
    <col min="15" max="15" width="17.21875" customWidth="1"/>
    <col min="16" max="16" width="18.44140625" customWidth="1"/>
    <col min="17" max="17" width="19" customWidth="1"/>
    <col min="18" max="18" width="17" customWidth="1"/>
    <col min="19" max="19" width="18.109375" customWidth="1"/>
    <col min="20" max="20" width="11.6640625" bestFit="1" customWidth="1"/>
    <col min="22" max="22" width="16" bestFit="1" customWidth="1"/>
    <col min="23" max="23" width="9.33203125" bestFit="1" customWidth="1"/>
  </cols>
  <sheetData>
    <row r="1" spans="1:2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1643</v>
      </c>
      <c r="U1" s="2" t="s">
        <v>1644</v>
      </c>
      <c r="V1" s="2" t="s">
        <v>1652</v>
      </c>
      <c r="W1" s="2" t="s">
        <v>1657</v>
      </c>
      <c r="X1" s="2" t="s">
        <v>1664</v>
      </c>
      <c r="Z1">
        <f>AVERAGE(Table1[Inventory_Level])</f>
        <v>4994.9480000000003</v>
      </c>
    </row>
    <row r="2" spans="1:26" hidden="1" x14ac:dyDescent="0.3">
      <c r="A2" s="1" t="s">
        <v>19</v>
      </c>
      <c r="B2" s="1" t="s">
        <v>1019</v>
      </c>
      <c r="C2" s="1" t="s">
        <v>1632</v>
      </c>
      <c r="D2" s="1" t="s">
        <v>1635</v>
      </c>
      <c r="E2" s="1">
        <v>2024</v>
      </c>
      <c r="F2" s="1" t="s">
        <v>1639</v>
      </c>
      <c r="G2" s="1">
        <v>910</v>
      </c>
      <c r="H2" s="1">
        <v>6471</v>
      </c>
      <c r="I2" s="1">
        <v>10500</v>
      </c>
      <c r="J2" s="1">
        <v>487818</v>
      </c>
      <c r="K2" s="1">
        <v>4.9800000000000004</v>
      </c>
      <c r="L2" s="1">
        <v>9</v>
      </c>
      <c r="M2" s="1">
        <v>3.97</v>
      </c>
      <c r="N2" s="1">
        <v>24.6</v>
      </c>
      <c r="O2" s="1">
        <v>34.36</v>
      </c>
      <c r="P2" s="1">
        <v>3.8</v>
      </c>
      <c r="Q2" s="1">
        <v>2476</v>
      </c>
      <c r="R2" s="1">
        <v>8822</v>
      </c>
      <c r="S2" s="1">
        <v>8</v>
      </c>
      <c r="T2" s="1">
        <f>(Table1[[#This Row],[Selling_Price_per_Unit]]-Table1[[#This Row],[Manufacturing_Cost_per_Unit]])*Table1[[#This Row],[Units_Sold]]-Table1[[#This Row],[Marketing_Spend]]-Table1[[#This Row],[Discount_%]]</f>
        <v>-4154232.6</v>
      </c>
      <c r="U2" s="3">
        <f>Table1[[#This Row],[profit]]/(Table1[[#This Row],[Units_Sold]]*Table1[[#This Row],[Selling_Price_per_Unit]])*100</f>
        <v>-70.546913448165185</v>
      </c>
      <c r="V2" s="6">
        <f>Table1[[#This Row],[Units_Sold]]*Table1[[#This Row],[Selling_Price_per_Unit]]</f>
        <v>5888610</v>
      </c>
      <c r="W2" s="7">
        <f>(Table1[[#This Row],[Units_Sold]]/$Z$1)</f>
        <v>0.18218407879321266</v>
      </c>
      <c r="X2" s="8">
        <f>((Table1[[#This Row],[Units_Sold]]*(Table1[[#This Row],[Selling_Price_per_Unit]]-Table1[[#This Row],[Manufacturing_Cost_per_Unit]]))-Table1[[#This Row],[Marketing_Spend]])/Table1[[#This Row],[Marketing_Spend]]</f>
        <v>-8.5158973223620293</v>
      </c>
    </row>
    <row r="3" spans="1:26" x14ac:dyDescent="0.3">
      <c r="A3" s="1" t="s">
        <v>226</v>
      </c>
      <c r="B3" s="1" t="s">
        <v>1203</v>
      </c>
      <c r="C3" s="1" t="s">
        <v>1633</v>
      </c>
      <c r="D3" s="1" t="s">
        <v>1636</v>
      </c>
      <c r="E3" s="1">
        <v>2023</v>
      </c>
      <c r="F3" s="1" t="s">
        <v>1641</v>
      </c>
      <c r="G3" s="1">
        <v>4786</v>
      </c>
      <c r="H3" s="1">
        <v>19350</v>
      </c>
      <c r="I3" s="1">
        <v>838</v>
      </c>
      <c r="J3" s="1">
        <v>211475</v>
      </c>
      <c r="K3" s="1">
        <v>1.53</v>
      </c>
      <c r="L3" s="1">
        <v>16</v>
      </c>
      <c r="M3" s="1">
        <v>5.82</v>
      </c>
      <c r="N3" s="1">
        <v>4.54</v>
      </c>
      <c r="O3" s="1">
        <v>31.93</v>
      </c>
      <c r="P3" s="1">
        <v>2.2000000000000002</v>
      </c>
      <c r="Q3" s="1">
        <v>6339</v>
      </c>
      <c r="R3" s="1">
        <v>8931</v>
      </c>
      <c r="S3" s="1">
        <v>2</v>
      </c>
      <c r="T3" s="1">
        <f>(Table1[[#This Row],[Selling_Price_per_Unit]]-Table1[[#This Row],[Manufacturing_Cost_per_Unit]])*Table1[[#This Row],[Units_Sold]]-Table1[[#This Row],[Marketing_Spend]]-Table1[[#This Row],[Discount_%]]</f>
        <v>88386952.459999993</v>
      </c>
      <c r="U3" s="3">
        <f>Table1[[#This Row],[profit]]/(Table1[[#This Row],[Units_Sold]]*Table1[[#This Row],[Selling_Price_per_Unit]])*100</f>
        <v>95.44089345431496</v>
      </c>
      <c r="V3" s="6">
        <f>Table1[[#This Row],[Units_Sold]]*Table1[[#This Row],[Selling_Price_per_Unit]]</f>
        <v>92609100</v>
      </c>
      <c r="W3" s="7">
        <f>(Table1[[#This Row],[Units_Sold]]/$Z$1)</f>
        <v>0.95816813308166571</v>
      </c>
      <c r="X3" s="8">
        <f>((Table1[[#This Row],[Units_Sold]]*(Table1[[#This Row],[Selling_Price_per_Unit]]-Table1[[#This Row],[Manufacturing_Cost_per_Unit]]))-Table1[[#This Row],[Marketing_Spend]])/Table1[[#This Row],[Marketing_Spend]]</f>
        <v>417.95463766402651</v>
      </c>
    </row>
    <row r="4" spans="1:26" x14ac:dyDescent="0.3">
      <c r="A4" s="1" t="s">
        <v>139</v>
      </c>
      <c r="B4" s="1" t="s">
        <v>1133</v>
      </c>
      <c r="C4" s="1" t="s">
        <v>1632</v>
      </c>
      <c r="D4" s="1" t="s">
        <v>1636</v>
      </c>
      <c r="E4" s="1">
        <v>2024</v>
      </c>
      <c r="F4" s="1" t="s">
        <v>1642</v>
      </c>
      <c r="G4" s="1">
        <v>4686</v>
      </c>
      <c r="H4" s="1">
        <v>19958</v>
      </c>
      <c r="I4" s="1">
        <v>1165</v>
      </c>
      <c r="J4" s="1">
        <v>223921</v>
      </c>
      <c r="K4" s="1">
        <v>8.23</v>
      </c>
      <c r="L4" s="1">
        <v>11</v>
      </c>
      <c r="M4" s="1">
        <v>6.06</v>
      </c>
      <c r="N4" s="1">
        <v>7.65</v>
      </c>
      <c r="O4" s="1">
        <v>74.75</v>
      </c>
      <c r="P4" s="1">
        <v>3.5</v>
      </c>
      <c r="Q4" s="1">
        <v>18069</v>
      </c>
      <c r="R4" s="1">
        <v>2491</v>
      </c>
      <c r="S4" s="1">
        <v>5</v>
      </c>
      <c r="T4" s="1">
        <f>(Table1[[#This Row],[Selling_Price_per_Unit]]-Table1[[#This Row],[Manufacturing_Cost_per_Unit]])*Table1[[#This Row],[Units_Sold]]-Table1[[#This Row],[Marketing_Spend]]-Table1[[#This Row],[Discount_%]]</f>
        <v>87840069.349999994</v>
      </c>
      <c r="U4" s="3">
        <f>Table1[[#This Row],[profit]]/(Table1[[#This Row],[Units_Sold]]*Table1[[#This Row],[Selling_Price_per_Unit]])*100</f>
        <v>93.923305255590734</v>
      </c>
      <c r="V4" s="6">
        <f>Table1[[#This Row],[Units_Sold]]*Table1[[#This Row],[Selling_Price_per_Unit]]</f>
        <v>93523188</v>
      </c>
      <c r="W4" s="7">
        <f>(Table1[[#This Row],[Units_Sold]]/$Z$1)</f>
        <v>0.93814790464285103</v>
      </c>
      <c r="X4" s="8">
        <f>((Table1[[#This Row],[Units_Sold]]*(Table1[[#This Row],[Selling_Price_per_Unit]]-Table1[[#This Row],[Manufacturing_Cost_per_Unit]]))-Table1[[#This Row],[Marketing_Spend]])/Table1[[#This Row],[Marketing_Spend]]</f>
        <v>392.2815501895758</v>
      </c>
    </row>
    <row r="5" spans="1:26" hidden="1" x14ac:dyDescent="0.3">
      <c r="A5" s="1" t="s">
        <v>22</v>
      </c>
      <c r="B5" s="1" t="s">
        <v>1022</v>
      </c>
      <c r="C5" s="1" t="s">
        <v>1632</v>
      </c>
      <c r="D5" s="1" t="s">
        <v>1637</v>
      </c>
      <c r="E5" s="1">
        <v>2023</v>
      </c>
      <c r="F5" s="1" t="s">
        <v>1640</v>
      </c>
      <c r="G5" s="1">
        <v>516</v>
      </c>
      <c r="H5" s="1">
        <v>14451</v>
      </c>
      <c r="I5" s="1">
        <v>1567</v>
      </c>
      <c r="J5" s="1">
        <v>380792</v>
      </c>
      <c r="K5" s="1">
        <v>9.82</v>
      </c>
      <c r="L5" s="1">
        <v>17</v>
      </c>
      <c r="M5" s="1">
        <v>8.69</v>
      </c>
      <c r="N5" s="1">
        <v>20.83</v>
      </c>
      <c r="O5" s="1">
        <v>28.18</v>
      </c>
      <c r="P5" s="1">
        <v>3.2</v>
      </c>
      <c r="Q5" s="1">
        <v>17457</v>
      </c>
      <c r="R5" s="1">
        <v>9254</v>
      </c>
      <c r="S5" s="1">
        <v>9</v>
      </c>
      <c r="T5" s="1">
        <f>(Table1[[#This Row],[Selling_Price_per_Unit]]-Table1[[#This Row],[Manufacturing_Cost_per_Unit]])*Table1[[#This Row],[Units_Sold]]-Table1[[#This Row],[Marketing_Spend]]-Table1[[#This Row],[Discount_%]]</f>
        <v>6267331.1699999999</v>
      </c>
      <c r="U5" s="3">
        <f>Table1[[#This Row],[profit]]/(Table1[[#This Row],[Units_Sold]]*Table1[[#This Row],[Selling_Price_per_Unit]])*100</f>
        <v>84.049481970347259</v>
      </c>
      <c r="V5" s="6">
        <f>Table1[[#This Row],[Units_Sold]]*Table1[[#This Row],[Selling_Price_per_Unit]]</f>
        <v>7456716</v>
      </c>
      <c r="W5" s="7">
        <f>(Table1[[#This Row],[Units_Sold]]/$Z$1)</f>
        <v>0.10330437874428322</v>
      </c>
      <c r="X5" s="8">
        <f>((Table1[[#This Row],[Units_Sold]]*(Table1[[#This Row],[Selling_Price_per_Unit]]-Table1[[#This Row],[Manufacturing_Cost_per_Unit]]))-Table1[[#This Row],[Marketing_Spend]])/Table1[[#This Row],[Marketing_Spend]]</f>
        <v>16.458728124540432</v>
      </c>
    </row>
    <row r="6" spans="1:26" x14ac:dyDescent="0.3">
      <c r="A6" s="1" t="s">
        <v>638</v>
      </c>
      <c r="B6" s="1" t="s">
        <v>1462</v>
      </c>
      <c r="C6" s="1" t="s">
        <v>1632</v>
      </c>
      <c r="D6" s="1" t="s">
        <v>1636</v>
      </c>
      <c r="E6" s="1">
        <v>2023</v>
      </c>
      <c r="F6" s="1" t="s">
        <v>1639</v>
      </c>
      <c r="G6" s="1">
        <v>4998</v>
      </c>
      <c r="H6" s="1">
        <v>17135</v>
      </c>
      <c r="I6" s="1">
        <v>807</v>
      </c>
      <c r="J6" s="1">
        <v>374635</v>
      </c>
      <c r="K6" s="1">
        <v>0.94</v>
      </c>
      <c r="L6" s="1">
        <v>5</v>
      </c>
      <c r="M6" s="1">
        <v>4.72</v>
      </c>
      <c r="N6" s="1">
        <v>2.11</v>
      </c>
      <c r="O6" s="1">
        <v>35.659999999999997</v>
      </c>
      <c r="P6" s="1">
        <v>1.2</v>
      </c>
      <c r="Q6" s="1">
        <v>13019</v>
      </c>
      <c r="R6" s="1">
        <v>2336</v>
      </c>
      <c r="S6" s="1">
        <v>8</v>
      </c>
      <c r="T6" s="1">
        <f>(Table1[[#This Row],[Selling_Price_per_Unit]]-Table1[[#This Row],[Manufacturing_Cost_per_Unit]])*Table1[[#This Row],[Units_Sold]]-Table1[[#This Row],[Marketing_Spend]]-Table1[[#This Row],[Discount_%]]</f>
        <v>81232706.890000001</v>
      </c>
      <c r="U6" s="3">
        <f>Table1[[#This Row],[profit]]/(Table1[[#This Row],[Units_Sold]]*Table1[[#This Row],[Selling_Price_per_Unit]])*100</f>
        <v>94.852889378686996</v>
      </c>
      <c r="V6" s="6">
        <f>Table1[[#This Row],[Units_Sold]]*Table1[[#This Row],[Selling_Price_per_Unit]]</f>
        <v>85640730</v>
      </c>
      <c r="W6" s="7">
        <f>(Table1[[#This Row],[Units_Sold]]/$Z$1)</f>
        <v>1.0006110173719525</v>
      </c>
      <c r="X6" s="8">
        <f>((Table1[[#This Row],[Units_Sold]]*(Table1[[#This Row],[Selling_Price_per_Unit]]-Table1[[#This Row],[Manufacturing_Cost_per_Unit]]))-Table1[[#This Row],[Marketing_Spend]])/Table1[[#This Row],[Marketing_Spend]]</f>
        <v>216.83160676391688</v>
      </c>
    </row>
    <row r="7" spans="1:26" hidden="1" x14ac:dyDescent="0.3">
      <c r="A7" s="1" t="s">
        <v>24</v>
      </c>
      <c r="B7" s="1" t="s">
        <v>1024</v>
      </c>
      <c r="C7" s="1" t="s">
        <v>1634</v>
      </c>
      <c r="D7" s="1" t="s">
        <v>1638</v>
      </c>
      <c r="E7" s="1">
        <v>2024</v>
      </c>
      <c r="F7" s="1" t="s">
        <v>1641</v>
      </c>
      <c r="G7" s="1">
        <v>3494</v>
      </c>
      <c r="H7" s="1">
        <v>3490</v>
      </c>
      <c r="I7" s="1">
        <v>11131</v>
      </c>
      <c r="J7" s="1">
        <v>120028</v>
      </c>
      <c r="K7" s="1">
        <v>13.14</v>
      </c>
      <c r="L7" s="1">
        <v>6</v>
      </c>
      <c r="M7" s="1">
        <v>4.68</v>
      </c>
      <c r="N7" s="1">
        <v>6.47</v>
      </c>
      <c r="O7" s="1">
        <v>78.099999999999994</v>
      </c>
      <c r="P7" s="1">
        <v>4.2</v>
      </c>
      <c r="Q7" s="1">
        <v>14740</v>
      </c>
      <c r="R7" s="1">
        <v>5365</v>
      </c>
      <c r="S7" s="1">
        <v>13</v>
      </c>
      <c r="T7" s="1">
        <f>(Table1[[#This Row],[Selling_Price_per_Unit]]-Table1[[#This Row],[Manufacturing_Cost_per_Unit]])*Table1[[#This Row],[Units_Sold]]-Table1[[#This Row],[Marketing_Spend]]-Table1[[#This Row],[Discount_%]]</f>
        <v>-26817688.469999999</v>
      </c>
      <c r="U7" s="3">
        <f>Table1[[#This Row],[profit]]/(Table1[[#This Row],[Units_Sold]]*Table1[[#This Row],[Selling_Price_per_Unit]])*100</f>
        <v>-219.92419645302709</v>
      </c>
      <c r="V7" s="6">
        <f>Table1[[#This Row],[Units_Sold]]*Table1[[#This Row],[Selling_Price_per_Unit]]</f>
        <v>12194060</v>
      </c>
      <c r="W7" s="7">
        <f>(Table1[[#This Row],[Units_Sold]]/$Z$1)</f>
        <v>0.69950678165218128</v>
      </c>
      <c r="X7" s="8">
        <f>((Table1[[#This Row],[Units_Sold]]*(Table1[[#This Row],[Selling_Price_per_Unit]]-Table1[[#This Row],[Manufacturing_Cost_per_Unit]]))-Table1[[#This Row],[Marketing_Spend]])/Table1[[#This Row],[Marketing_Spend]]</f>
        <v>-223.42855000499884</v>
      </c>
    </row>
    <row r="8" spans="1:26" hidden="1" x14ac:dyDescent="0.3">
      <c r="A8" s="1" t="s">
        <v>25</v>
      </c>
      <c r="B8" s="1" t="s">
        <v>1025</v>
      </c>
      <c r="C8" s="1" t="s">
        <v>1634</v>
      </c>
      <c r="D8" s="1" t="s">
        <v>1637</v>
      </c>
      <c r="E8" s="1">
        <v>2024</v>
      </c>
      <c r="F8" s="1" t="s">
        <v>1642</v>
      </c>
      <c r="G8" s="1">
        <v>3221</v>
      </c>
      <c r="H8" s="1">
        <v>6799</v>
      </c>
      <c r="I8" s="1">
        <v>12021</v>
      </c>
      <c r="J8" s="1">
        <v>72207</v>
      </c>
      <c r="K8" s="1">
        <v>8.09</v>
      </c>
      <c r="L8" s="1">
        <v>1</v>
      </c>
      <c r="M8" s="1">
        <v>4.1100000000000003</v>
      </c>
      <c r="N8" s="1">
        <v>21.97</v>
      </c>
      <c r="O8" s="1">
        <v>73.88</v>
      </c>
      <c r="P8" s="1">
        <v>2.4</v>
      </c>
      <c r="Q8" s="1">
        <v>1607</v>
      </c>
      <c r="R8" s="1">
        <v>7189</v>
      </c>
      <c r="S8" s="1">
        <v>10</v>
      </c>
      <c r="T8" s="1">
        <f>(Table1[[#This Row],[Selling_Price_per_Unit]]-Table1[[#This Row],[Manufacturing_Cost_per_Unit]])*Table1[[#This Row],[Units_Sold]]-Table1[[#This Row],[Marketing_Spend]]-Table1[[#This Row],[Discount_%]]</f>
        <v>-16892290.969999999</v>
      </c>
      <c r="U8" s="3">
        <f>Table1[[#This Row],[profit]]/(Table1[[#This Row],[Units_Sold]]*Table1[[#This Row],[Selling_Price_per_Unit]])*100</f>
        <v>-77.135231549428411</v>
      </c>
      <c r="V8" s="6">
        <f>Table1[[#This Row],[Units_Sold]]*Table1[[#This Row],[Selling_Price_per_Unit]]</f>
        <v>21899579</v>
      </c>
      <c r="W8" s="7">
        <f>(Table1[[#This Row],[Units_Sold]]/$Z$1)</f>
        <v>0.64485155801421756</v>
      </c>
      <c r="X8" s="8">
        <f>((Table1[[#This Row],[Units_Sold]]*(Table1[[#This Row],[Selling_Price_per_Unit]]-Table1[[#This Row],[Manufacturing_Cost_per_Unit]]))-Table1[[#This Row],[Marketing_Spend]])/Table1[[#This Row],[Marketing_Spend]]</f>
        <v>-233.94226321547774</v>
      </c>
    </row>
    <row r="9" spans="1:26" x14ac:dyDescent="0.3">
      <c r="A9" s="1" t="s">
        <v>88</v>
      </c>
      <c r="B9" s="1" t="s">
        <v>1085</v>
      </c>
      <c r="C9" s="1" t="s">
        <v>1632</v>
      </c>
      <c r="D9" s="1" t="s">
        <v>1636</v>
      </c>
      <c r="E9" s="1">
        <v>2024</v>
      </c>
      <c r="F9" s="1" t="s">
        <v>1642</v>
      </c>
      <c r="G9" s="1">
        <v>4601</v>
      </c>
      <c r="H9" s="1">
        <v>18827</v>
      </c>
      <c r="I9" s="1">
        <v>1192</v>
      </c>
      <c r="J9" s="1">
        <v>305948</v>
      </c>
      <c r="K9" s="1">
        <v>12.11</v>
      </c>
      <c r="L9" s="1">
        <v>2</v>
      </c>
      <c r="M9" s="1">
        <v>5.35</v>
      </c>
      <c r="N9" s="1">
        <v>6.79</v>
      </c>
      <c r="O9" s="1">
        <v>31.14</v>
      </c>
      <c r="P9" s="1">
        <v>3.6</v>
      </c>
      <c r="Q9" s="1">
        <v>16337</v>
      </c>
      <c r="R9" s="1">
        <v>2523</v>
      </c>
      <c r="S9" s="1">
        <v>5</v>
      </c>
      <c r="T9" s="1">
        <f>(Table1[[#This Row],[Selling_Price_per_Unit]]-Table1[[#This Row],[Manufacturing_Cost_per_Unit]])*Table1[[#This Row],[Units_Sold]]-Table1[[#This Row],[Marketing_Spend]]-Table1[[#This Row],[Discount_%]]</f>
        <v>80832680.209999993</v>
      </c>
      <c r="U9" s="3">
        <f>Table1[[#This Row],[profit]]/(Table1[[#This Row],[Units_Sold]]*Table1[[#This Row],[Selling_Price_per_Unit]])*100</f>
        <v>93.315464732027891</v>
      </c>
      <c r="V9" s="6">
        <f>Table1[[#This Row],[Units_Sold]]*Table1[[#This Row],[Selling_Price_per_Unit]]</f>
        <v>86623027</v>
      </c>
      <c r="W9" s="7">
        <f>(Table1[[#This Row],[Units_Sold]]/$Z$1)</f>
        <v>0.92113071046985873</v>
      </c>
      <c r="X9" s="8">
        <f>((Table1[[#This Row],[Units_Sold]]*(Table1[[#This Row],[Selling_Price_per_Unit]]-Table1[[#This Row],[Manufacturing_Cost_per_Unit]]))-Table1[[#This Row],[Marketing_Spend]])/Table1[[#This Row],[Marketing_Spend]]</f>
        <v>264.2040052557951</v>
      </c>
    </row>
    <row r="10" spans="1:26" hidden="1" x14ac:dyDescent="0.3">
      <c r="A10" s="1" t="s">
        <v>27</v>
      </c>
      <c r="B10" s="1" t="s">
        <v>1027</v>
      </c>
      <c r="C10" s="1" t="s">
        <v>1634</v>
      </c>
      <c r="D10" s="1" t="s">
        <v>1638</v>
      </c>
      <c r="E10" s="1">
        <v>2024</v>
      </c>
      <c r="F10" s="1" t="s">
        <v>1641</v>
      </c>
      <c r="G10" s="1">
        <v>180</v>
      </c>
      <c r="H10" s="1">
        <v>14972</v>
      </c>
      <c r="I10" s="1">
        <v>10756</v>
      </c>
      <c r="J10" s="1">
        <v>131554</v>
      </c>
      <c r="K10" s="1">
        <v>6.38</v>
      </c>
      <c r="L10" s="1">
        <v>12</v>
      </c>
      <c r="M10" s="1">
        <v>8.9499999999999993</v>
      </c>
      <c r="N10" s="1">
        <v>23.68</v>
      </c>
      <c r="O10" s="1">
        <v>29.56</v>
      </c>
      <c r="P10" s="1">
        <v>2.9</v>
      </c>
      <c r="Q10" s="1">
        <v>3126</v>
      </c>
      <c r="R10" s="1">
        <v>9697</v>
      </c>
      <c r="S10" s="1">
        <v>6</v>
      </c>
      <c r="T10" s="1">
        <f>(Table1[[#This Row],[Selling_Price_per_Unit]]-Table1[[#This Row],[Manufacturing_Cost_per_Unit]])*Table1[[#This Row],[Units_Sold]]-Table1[[#This Row],[Marketing_Spend]]-Table1[[#This Row],[Discount_%]]</f>
        <v>627302.31999999995</v>
      </c>
      <c r="U10" s="3">
        <f>Table1[[#This Row],[profit]]/(Table1[[#This Row],[Units_Sold]]*Table1[[#This Row],[Selling_Price_per_Unit]])*100</f>
        <v>23.276869415501526</v>
      </c>
      <c r="V10" s="6">
        <f>Table1[[#This Row],[Units_Sold]]*Table1[[#This Row],[Selling_Price_per_Unit]]</f>
        <v>2694960</v>
      </c>
      <c r="W10" s="7">
        <f>(Table1[[#This Row],[Units_Sold]]/$Z$1)</f>
        <v>3.6036411189866238E-2</v>
      </c>
      <c r="X10" s="8">
        <f>((Table1[[#This Row],[Units_Sold]]*(Table1[[#This Row],[Selling_Price_per_Unit]]-Table1[[#This Row],[Manufacturing_Cost_per_Unit]]))-Table1[[#This Row],[Marketing_Spend]])/Table1[[#This Row],[Marketing_Spend]]</f>
        <v>4.768581723094699</v>
      </c>
    </row>
    <row r="11" spans="1:26" hidden="1" x14ac:dyDescent="0.3">
      <c r="A11" s="1" t="s">
        <v>28</v>
      </c>
      <c r="B11" s="1" t="s">
        <v>1028</v>
      </c>
      <c r="C11" s="1" t="s">
        <v>1634</v>
      </c>
      <c r="D11" s="1" t="s">
        <v>1636</v>
      </c>
      <c r="E11" s="1">
        <v>2024</v>
      </c>
      <c r="F11" s="1" t="s">
        <v>1641</v>
      </c>
      <c r="G11" s="1">
        <v>1735</v>
      </c>
      <c r="H11" s="1">
        <v>5880</v>
      </c>
      <c r="I11" s="1">
        <v>6940</v>
      </c>
      <c r="J11" s="1">
        <v>202458</v>
      </c>
      <c r="K11" s="1">
        <v>0.56000000000000005</v>
      </c>
      <c r="L11" s="1">
        <v>4</v>
      </c>
      <c r="M11" s="1">
        <v>8.5299999999999994</v>
      </c>
      <c r="N11" s="1">
        <v>5.14</v>
      </c>
      <c r="O11" s="1">
        <v>28.19</v>
      </c>
      <c r="P11" s="1">
        <v>1.1000000000000001</v>
      </c>
      <c r="Q11" s="1">
        <v>7729</v>
      </c>
      <c r="R11" s="1">
        <v>8808</v>
      </c>
      <c r="S11" s="1">
        <v>7</v>
      </c>
      <c r="T11" s="1">
        <f>(Table1[[#This Row],[Selling_Price_per_Unit]]-Table1[[#This Row],[Manufacturing_Cost_per_Unit]])*Table1[[#This Row],[Units_Sold]]-Table1[[#This Row],[Marketing_Spend]]-Table1[[#This Row],[Discount_%]]</f>
        <v>-2041563.14</v>
      </c>
      <c r="U11" s="3">
        <f>Table1[[#This Row],[profit]]/(Table1[[#This Row],[Units_Sold]]*Table1[[#This Row],[Selling_Price_per_Unit]])*100</f>
        <v>-20.011793409006255</v>
      </c>
      <c r="V11" s="6">
        <f>Table1[[#This Row],[Units_Sold]]*Table1[[#This Row],[Selling_Price_per_Unit]]</f>
        <v>10201800</v>
      </c>
      <c r="W11" s="7">
        <f>(Table1[[#This Row],[Units_Sold]]/$Z$1)</f>
        <v>0.34735096341343291</v>
      </c>
      <c r="X11" s="8">
        <f>((Table1[[#This Row],[Units_Sold]]*(Table1[[#This Row],[Selling_Price_per_Unit]]-Table1[[#This Row],[Manufacturing_Cost_per_Unit]]))-Table1[[#This Row],[Marketing_Spend]])/Table1[[#This Row],[Marketing_Spend]]</f>
        <v>-10.083859368362821</v>
      </c>
    </row>
    <row r="12" spans="1:26" hidden="1" x14ac:dyDescent="0.3">
      <c r="A12" s="1" t="s">
        <v>29</v>
      </c>
      <c r="B12" s="1" t="s">
        <v>1029</v>
      </c>
      <c r="C12" s="1" t="s">
        <v>1633</v>
      </c>
      <c r="D12" s="1" t="s">
        <v>1636</v>
      </c>
      <c r="E12" s="1">
        <v>2024</v>
      </c>
      <c r="F12" s="1" t="s">
        <v>1640</v>
      </c>
      <c r="G12" s="1">
        <v>819</v>
      </c>
      <c r="H12" s="1">
        <v>6257</v>
      </c>
      <c r="I12" s="1">
        <v>11637</v>
      </c>
      <c r="J12" s="1">
        <v>133276</v>
      </c>
      <c r="K12" s="1">
        <v>1.92</v>
      </c>
      <c r="L12" s="1">
        <v>5</v>
      </c>
      <c r="M12" s="1">
        <v>6.74</v>
      </c>
      <c r="N12" s="1">
        <v>15.34</v>
      </c>
      <c r="O12" s="1">
        <v>37.14</v>
      </c>
      <c r="P12" s="1">
        <v>1.4</v>
      </c>
      <c r="Q12" s="1">
        <v>8377</v>
      </c>
      <c r="R12" s="1">
        <v>6669</v>
      </c>
      <c r="S12" s="1">
        <v>7</v>
      </c>
      <c r="T12" s="1">
        <f>(Table1[[#This Row],[Selling_Price_per_Unit]]-Table1[[#This Row],[Manufacturing_Cost_per_Unit]])*Table1[[#This Row],[Units_Sold]]-Table1[[#This Row],[Marketing_Spend]]-Table1[[#This Row],[Discount_%]]</f>
        <v>-4539511.34</v>
      </c>
      <c r="U12" s="3">
        <f>Table1[[#This Row],[profit]]/(Table1[[#This Row],[Units_Sold]]*Table1[[#This Row],[Selling_Price_per_Unit]])*100</f>
        <v>-88.5847672828654</v>
      </c>
      <c r="V12" s="6">
        <f>Table1[[#This Row],[Units_Sold]]*Table1[[#This Row],[Selling_Price_per_Unit]]</f>
        <v>5124483</v>
      </c>
      <c r="W12" s="7">
        <f>(Table1[[#This Row],[Units_Sold]]/$Z$1)</f>
        <v>0.16396567091389139</v>
      </c>
      <c r="X12" s="8">
        <f>((Table1[[#This Row],[Units_Sold]]*(Table1[[#This Row],[Selling_Price_per_Unit]]-Table1[[#This Row],[Manufacturing_Cost_per_Unit]]))-Table1[[#This Row],[Marketing_Spend]])/Table1[[#This Row],[Marketing_Spend]]</f>
        <v>-34.060866172454155</v>
      </c>
    </row>
    <row r="13" spans="1:26" x14ac:dyDescent="0.3">
      <c r="A13" s="1" t="s">
        <v>86</v>
      </c>
      <c r="B13" s="1" t="s">
        <v>1083</v>
      </c>
      <c r="C13" s="1" t="s">
        <v>1634</v>
      </c>
      <c r="D13" s="1" t="s">
        <v>1635</v>
      </c>
      <c r="E13" s="1">
        <v>2023</v>
      </c>
      <c r="F13" s="1" t="s">
        <v>1639</v>
      </c>
      <c r="G13" s="1">
        <v>4961</v>
      </c>
      <c r="H13" s="1">
        <v>16570</v>
      </c>
      <c r="I13" s="1">
        <v>816</v>
      </c>
      <c r="J13" s="1">
        <v>477826</v>
      </c>
      <c r="K13" s="1">
        <v>12.93</v>
      </c>
      <c r="L13" s="1">
        <v>8</v>
      </c>
      <c r="M13" s="1">
        <v>8.6300000000000008</v>
      </c>
      <c r="N13" s="1">
        <v>11.85</v>
      </c>
      <c r="O13" s="1">
        <v>51.61</v>
      </c>
      <c r="P13" s="1">
        <v>4.2</v>
      </c>
      <c r="Q13" s="1">
        <v>13760</v>
      </c>
      <c r="R13" s="1">
        <v>336</v>
      </c>
      <c r="S13" s="1">
        <v>9</v>
      </c>
      <c r="T13" s="1">
        <f>(Table1[[#This Row],[Selling_Price_per_Unit]]-Table1[[#This Row],[Manufacturing_Cost_per_Unit]])*Table1[[#This Row],[Units_Sold]]-Table1[[#This Row],[Marketing_Spend]]-Table1[[#This Row],[Discount_%]]</f>
        <v>77677756.150000006</v>
      </c>
      <c r="U13" s="3">
        <f>Table1[[#This Row],[profit]]/(Table1[[#This Row],[Units_Sold]]*Table1[[#This Row],[Selling_Price_per_Unit]])*100</f>
        <v>94.494152944566906</v>
      </c>
      <c r="V13" s="6">
        <f>Table1[[#This Row],[Units_Sold]]*Table1[[#This Row],[Selling_Price_per_Unit]]</f>
        <v>82203770</v>
      </c>
      <c r="W13" s="7">
        <f>(Table1[[#This Row],[Units_Sold]]/$Z$1)</f>
        <v>0.99320353284959118</v>
      </c>
      <c r="X13" s="8">
        <f>((Table1[[#This Row],[Units_Sold]]*(Table1[[#This Row],[Selling_Price_per_Unit]]-Table1[[#This Row],[Manufacturing_Cost_per_Unit]]))-Table1[[#This Row],[Marketing_Spend]])/Table1[[#This Row],[Marketing_Spend]]</f>
        <v>162.56496716377927</v>
      </c>
    </row>
    <row r="14" spans="1:26" hidden="1" x14ac:dyDescent="0.3">
      <c r="A14" s="1" t="s">
        <v>31</v>
      </c>
      <c r="B14" s="1" t="s">
        <v>1031</v>
      </c>
      <c r="C14" s="1" t="s">
        <v>1634</v>
      </c>
      <c r="D14" s="1" t="s">
        <v>1636</v>
      </c>
      <c r="E14" s="1">
        <v>2024</v>
      </c>
      <c r="F14" s="1" t="s">
        <v>1640</v>
      </c>
      <c r="G14" s="1">
        <v>2483</v>
      </c>
      <c r="H14" s="1">
        <v>17741</v>
      </c>
      <c r="I14" s="1">
        <v>13597</v>
      </c>
      <c r="J14" s="1">
        <v>233852</v>
      </c>
      <c r="K14" s="1">
        <v>0</v>
      </c>
      <c r="L14" s="1">
        <v>11</v>
      </c>
      <c r="M14" s="1">
        <v>2.77</v>
      </c>
      <c r="N14" s="1">
        <v>13.64</v>
      </c>
      <c r="O14" s="1">
        <v>45.09</v>
      </c>
      <c r="P14" s="1">
        <v>2.7</v>
      </c>
      <c r="Q14" s="1">
        <v>7043</v>
      </c>
      <c r="R14" s="1">
        <v>5313</v>
      </c>
      <c r="S14" s="1">
        <v>9</v>
      </c>
      <c r="T14" s="1">
        <f>(Table1[[#This Row],[Selling_Price_per_Unit]]-Table1[[#This Row],[Manufacturing_Cost_per_Unit]])*Table1[[#This Row],[Units_Sold]]-Table1[[#This Row],[Marketing_Spend]]-Table1[[#This Row],[Discount_%]]</f>
        <v>10055686.359999999</v>
      </c>
      <c r="U14" s="3">
        <f>Table1[[#This Row],[profit]]/(Table1[[#This Row],[Units_Sold]]*Table1[[#This Row],[Selling_Price_per_Unit]])*100</f>
        <v>22.827423900935695</v>
      </c>
      <c r="V14" s="6">
        <f>Table1[[#This Row],[Units_Sold]]*Table1[[#This Row],[Selling_Price_per_Unit]]</f>
        <v>44050903</v>
      </c>
      <c r="W14" s="7">
        <f>(Table1[[#This Row],[Units_Sold]]/$Z$1)</f>
        <v>0.49710227213576597</v>
      </c>
      <c r="X14" s="8">
        <f>((Table1[[#This Row],[Units_Sold]]*(Table1[[#This Row],[Selling_Price_per_Unit]]-Table1[[#This Row],[Manufacturing_Cost_per_Unit]]))-Table1[[#This Row],[Marketing_Spend]])/Table1[[#This Row],[Marketing_Spend]]</f>
        <v>43.00027367736859</v>
      </c>
    </row>
    <row r="15" spans="1:26" hidden="1" x14ac:dyDescent="0.3">
      <c r="A15" s="1" t="s">
        <v>32</v>
      </c>
      <c r="B15" s="1" t="s">
        <v>1032</v>
      </c>
      <c r="C15" s="1" t="s">
        <v>1633</v>
      </c>
      <c r="D15" s="1" t="s">
        <v>1636</v>
      </c>
      <c r="E15" s="1">
        <v>2023</v>
      </c>
      <c r="F15" s="1" t="s">
        <v>1642</v>
      </c>
      <c r="G15" s="1">
        <v>1234</v>
      </c>
      <c r="H15" s="1">
        <v>7088</v>
      </c>
      <c r="I15" s="1">
        <v>14294</v>
      </c>
      <c r="J15" s="1">
        <v>242512</v>
      </c>
      <c r="K15" s="1">
        <v>6.25</v>
      </c>
      <c r="L15" s="1">
        <v>3</v>
      </c>
      <c r="M15" s="1">
        <v>0.46</v>
      </c>
      <c r="N15" s="1">
        <v>17.100000000000001</v>
      </c>
      <c r="O15" s="1">
        <v>27.46</v>
      </c>
      <c r="P15" s="1">
        <v>2.1</v>
      </c>
      <c r="Q15" s="1">
        <v>5309</v>
      </c>
      <c r="R15" s="1">
        <v>4328</v>
      </c>
      <c r="S15" s="1">
        <v>7</v>
      </c>
      <c r="T15" s="1">
        <f>(Table1[[#This Row],[Selling_Price_per_Unit]]-Table1[[#This Row],[Manufacturing_Cost_per_Unit]])*Table1[[#This Row],[Units_Sold]]-Table1[[#This Row],[Marketing_Spend]]-Table1[[#This Row],[Discount_%]]</f>
        <v>-9134733.0999999996</v>
      </c>
      <c r="U15" s="3">
        <f>Table1[[#This Row],[profit]]/(Table1[[#This Row],[Units_Sold]]*Table1[[#This Row],[Selling_Price_per_Unit]])*100</f>
        <v>-104.43762667791066</v>
      </c>
      <c r="V15" s="6">
        <f>Table1[[#This Row],[Units_Sold]]*Table1[[#This Row],[Selling_Price_per_Unit]]</f>
        <v>8746592</v>
      </c>
      <c r="W15" s="7">
        <f>(Table1[[#This Row],[Units_Sold]]/$Z$1)</f>
        <v>0.24704961893497188</v>
      </c>
      <c r="X15" s="8">
        <f>((Table1[[#This Row],[Units_Sold]]*(Table1[[#This Row],[Selling_Price_per_Unit]]-Table1[[#This Row],[Manufacturing_Cost_per_Unit]]))-Table1[[#This Row],[Marketing_Spend]])/Table1[[#This Row],[Marketing_Spend]]</f>
        <v>-37.667068021376259</v>
      </c>
    </row>
    <row r="16" spans="1:26" x14ac:dyDescent="0.3">
      <c r="A16" s="1" t="s">
        <v>289</v>
      </c>
      <c r="B16" s="1" t="s">
        <v>1258</v>
      </c>
      <c r="C16" s="1" t="s">
        <v>1633</v>
      </c>
      <c r="D16" s="1" t="s">
        <v>1636</v>
      </c>
      <c r="E16" s="1">
        <v>2024</v>
      </c>
      <c r="F16" s="1" t="s">
        <v>1639</v>
      </c>
      <c r="G16" s="1">
        <v>4943</v>
      </c>
      <c r="H16" s="1">
        <v>16061</v>
      </c>
      <c r="I16" s="1">
        <v>1314</v>
      </c>
      <c r="J16" s="1">
        <v>127988</v>
      </c>
      <c r="K16" s="1">
        <v>6.66</v>
      </c>
      <c r="L16" s="1">
        <v>1</v>
      </c>
      <c r="M16" s="1">
        <v>8.06</v>
      </c>
      <c r="N16" s="1">
        <v>20.34</v>
      </c>
      <c r="O16" s="1">
        <v>18.989999999999998</v>
      </c>
      <c r="P16" s="1">
        <v>1.9</v>
      </c>
      <c r="Q16" s="1">
        <v>11655</v>
      </c>
      <c r="R16" s="1">
        <v>3443</v>
      </c>
      <c r="S16" s="1">
        <v>2</v>
      </c>
      <c r="T16" s="1">
        <f>(Table1[[#This Row],[Selling_Price_per_Unit]]-Table1[[#This Row],[Manufacturing_Cost_per_Unit]])*Table1[[#This Row],[Units_Sold]]-Table1[[#This Row],[Marketing_Spend]]-Table1[[#This Row],[Discount_%]]</f>
        <v>72766412.659999996</v>
      </c>
      <c r="U16" s="3">
        <f>Table1[[#This Row],[profit]]/(Table1[[#This Row],[Units_Sold]]*Table1[[#This Row],[Selling_Price_per_Unit]])*100</f>
        <v>91.657450391785318</v>
      </c>
      <c r="V16" s="6">
        <f>Table1[[#This Row],[Units_Sold]]*Table1[[#This Row],[Selling_Price_per_Unit]]</f>
        <v>79389523</v>
      </c>
      <c r="W16" s="7">
        <f>(Table1[[#This Row],[Units_Sold]]/$Z$1)</f>
        <v>0.98959989173060459</v>
      </c>
      <c r="X16" s="8">
        <f>((Table1[[#This Row],[Units_Sold]]*(Table1[[#This Row],[Selling_Price_per_Unit]]-Table1[[#This Row],[Manufacturing_Cost_per_Unit]]))-Table1[[#This Row],[Marketing_Spend]])/Table1[[#This Row],[Marketing_Spend]]</f>
        <v>568.54105853673786</v>
      </c>
    </row>
    <row r="17" spans="1:24" hidden="1" x14ac:dyDescent="0.3">
      <c r="A17" s="1" t="s">
        <v>34</v>
      </c>
      <c r="B17" s="1" t="s">
        <v>1034</v>
      </c>
      <c r="C17" s="1" t="s">
        <v>1633</v>
      </c>
      <c r="D17" s="1" t="s">
        <v>1638</v>
      </c>
      <c r="E17" s="1">
        <v>2023</v>
      </c>
      <c r="F17" s="1" t="s">
        <v>1642</v>
      </c>
      <c r="G17" s="1">
        <v>3435</v>
      </c>
      <c r="H17" s="1">
        <v>6444</v>
      </c>
      <c r="I17" s="1">
        <v>14685</v>
      </c>
      <c r="J17" s="1">
        <v>373179</v>
      </c>
      <c r="K17" s="1">
        <v>0.82</v>
      </c>
      <c r="L17" s="1">
        <v>9</v>
      </c>
      <c r="M17" s="1">
        <v>6.61</v>
      </c>
      <c r="N17" s="1">
        <v>13.02</v>
      </c>
      <c r="O17" s="1">
        <v>11.01</v>
      </c>
      <c r="P17" s="1">
        <v>1.2</v>
      </c>
      <c r="Q17" s="1">
        <v>3607</v>
      </c>
      <c r="R17" s="1">
        <v>4509</v>
      </c>
      <c r="S17" s="1">
        <v>5</v>
      </c>
      <c r="T17" s="1">
        <f>(Table1[[#This Row],[Selling_Price_per_Unit]]-Table1[[#This Row],[Manufacturing_Cost_per_Unit]])*Table1[[#This Row],[Units_Sold]]-Table1[[#This Row],[Marketing_Spend]]-Table1[[#This Row],[Discount_%]]</f>
        <v>-28681027.02</v>
      </c>
      <c r="U17" s="3">
        <f>Table1[[#This Row],[profit]]/(Table1[[#This Row],[Units_Sold]]*Table1[[#This Row],[Selling_Price_per_Unit]])*100</f>
        <v>-129.57237686321389</v>
      </c>
      <c r="V17" s="6">
        <f>Table1[[#This Row],[Units_Sold]]*Table1[[#This Row],[Selling_Price_per_Unit]]</f>
        <v>22135140</v>
      </c>
      <c r="W17" s="7">
        <f>(Table1[[#This Row],[Units_Sold]]/$Z$1)</f>
        <v>0.68769484687328075</v>
      </c>
      <c r="X17" s="8">
        <f>((Table1[[#This Row],[Units_Sold]]*(Table1[[#This Row],[Selling_Price_per_Unit]]-Table1[[#This Row],[Manufacturing_Cost_per_Unit]]))-Table1[[#This Row],[Marketing_Spend]])/Table1[[#This Row],[Marketing_Spend]]</f>
        <v>-76.85591632969701</v>
      </c>
    </row>
    <row r="18" spans="1:24" x14ac:dyDescent="0.3">
      <c r="A18" s="1" t="s">
        <v>662</v>
      </c>
      <c r="B18" s="1" t="s">
        <v>1476</v>
      </c>
      <c r="C18" s="1" t="s">
        <v>1633</v>
      </c>
      <c r="D18" s="1" t="s">
        <v>1636</v>
      </c>
      <c r="E18" s="1">
        <v>2024</v>
      </c>
      <c r="F18" s="1" t="s">
        <v>1642</v>
      </c>
      <c r="G18" s="1">
        <v>4594</v>
      </c>
      <c r="H18" s="1">
        <v>16860</v>
      </c>
      <c r="I18" s="1">
        <v>1058</v>
      </c>
      <c r="J18" s="1">
        <v>330343</v>
      </c>
      <c r="K18" s="1">
        <v>4.49</v>
      </c>
      <c r="L18" s="1">
        <v>4</v>
      </c>
      <c r="M18" s="1">
        <v>5.7</v>
      </c>
      <c r="N18" s="1">
        <v>15.89</v>
      </c>
      <c r="O18" s="1">
        <v>37.979999999999997</v>
      </c>
      <c r="P18" s="1">
        <v>1.1000000000000001</v>
      </c>
      <c r="Q18" s="1">
        <v>10929</v>
      </c>
      <c r="R18" s="1">
        <v>5371</v>
      </c>
      <c r="S18" s="1">
        <v>13</v>
      </c>
      <c r="T18" s="1">
        <f>(Table1[[#This Row],[Selling_Price_per_Unit]]-Table1[[#This Row],[Manufacturing_Cost_per_Unit]])*Table1[[#This Row],[Units_Sold]]-Table1[[#This Row],[Marketing_Spend]]-Table1[[#This Row],[Discount_%]]</f>
        <v>72264029.109999999</v>
      </c>
      <c r="U18" s="3">
        <f>Table1[[#This Row],[profit]]/(Table1[[#This Row],[Units_Sold]]*Table1[[#This Row],[Selling_Price_per_Unit]])*100</f>
        <v>93.29827433637459</v>
      </c>
      <c r="V18" s="6">
        <f>Table1[[#This Row],[Units_Sold]]*Table1[[#This Row],[Selling_Price_per_Unit]]</f>
        <v>77454840</v>
      </c>
      <c r="W18" s="7">
        <f>(Table1[[#This Row],[Units_Sold]]/$Z$1)</f>
        <v>0.91972929447914165</v>
      </c>
      <c r="X18" s="8">
        <f>((Table1[[#This Row],[Units_Sold]]*(Table1[[#This Row],[Selling_Price_per_Unit]]-Table1[[#This Row],[Manufacturing_Cost_per_Unit]]))-Table1[[#This Row],[Marketing_Spend]])/Table1[[#This Row],[Marketing_Spend]]</f>
        <v>218.75458235833665</v>
      </c>
    </row>
    <row r="19" spans="1:24" x14ac:dyDescent="0.3">
      <c r="A19" s="1" t="s">
        <v>674</v>
      </c>
      <c r="B19" s="1" t="s">
        <v>1483</v>
      </c>
      <c r="C19" s="1" t="s">
        <v>1633</v>
      </c>
      <c r="D19" s="1" t="s">
        <v>1637</v>
      </c>
      <c r="E19" s="1">
        <v>2024</v>
      </c>
      <c r="F19" s="1" t="s">
        <v>1642</v>
      </c>
      <c r="G19" s="1">
        <v>4413</v>
      </c>
      <c r="H19" s="1">
        <v>17670</v>
      </c>
      <c r="I19" s="1">
        <v>1487</v>
      </c>
      <c r="J19" s="1">
        <v>366275</v>
      </c>
      <c r="K19" s="1">
        <v>2.3199999999999998</v>
      </c>
      <c r="L19" s="1">
        <v>0</v>
      </c>
      <c r="M19" s="1">
        <v>8.83</v>
      </c>
      <c r="N19" s="1">
        <v>11.17</v>
      </c>
      <c r="O19" s="1">
        <v>16.079999999999998</v>
      </c>
      <c r="P19" s="1">
        <v>4.3</v>
      </c>
      <c r="Q19" s="1">
        <v>8757</v>
      </c>
      <c r="R19" s="1">
        <v>6962</v>
      </c>
      <c r="S19" s="1">
        <v>2</v>
      </c>
      <c r="T19" s="1">
        <f>(Table1[[#This Row],[Selling_Price_per_Unit]]-Table1[[#This Row],[Manufacturing_Cost_per_Unit]])*Table1[[#This Row],[Units_Sold]]-Table1[[#This Row],[Marketing_Spend]]-Table1[[#This Row],[Discount_%]]</f>
        <v>71049292.829999998</v>
      </c>
      <c r="U19" s="3">
        <f>Table1[[#This Row],[profit]]/(Table1[[#This Row],[Units_Sold]]*Table1[[#This Row],[Selling_Price_per_Unit]])*100</f>
        <v>91.114874789218618</v>
      </c>
      <c r="V19" s="6">
        <f>Table1[[#This Row],[Units_Sold]]*Table1[[#This Row],[Selling_Price_per_Unit]]</f>
        <v>77977710</v>
      </c>
      <c r="W19" s="7">
        <f>(Table1[[#This Row],[Units_Sold]]/$Z$1)</f>
        <v>0.88349268100488731</v>
      </c>
      <c r="X19" s="8">
        <f>((Table1[[#This Row],[Units_Sold]]*(Table1[[#This Row],[Selling_Price_per_Unit]]-Table1[[#This Row],[Manufacturing_Cost_per_Unit]]))-Table1[[#This Row],[Marketing_Spend]])/Table1[[#This Row],[Marketing_Spend]]</f>
        <v>193.97803289877825</v>
      </c>
    </row>
    <row r="20" spans="1:24" hidden="1" x14ac:dyDescent="0.3">
      <c r="A20" s="1" t="s">
        <v>37</v>
      </c>
      <c r="B20" s="1" t="s">
        <v>1037</v>
      </c>
      <c r="C20" s="1" t="s">
        <v>1632</v>
      </c>
      <c r="D20" s="1" t="s">
        <v>1636</v>
      </c>
      <c r="E20" s="1">
        <v>2024</v>
      </c>
      <c r="F20" s="1" t="s">
        <v>1641</v>
      </c>
      <c r="G20" s="1">
        <v>2954</v>
      </c>
      <c r="H20" s="1">
        <v>5743</v>
      </c>
      <c r="I20" s="1">
        <v>3093</v>
      </c>
      <c r="J20" s="1">
        <v>292247</v>
      </c>
      <c r="K20" s="1">
        <v>4.5599999999999996</v>
      </c>
      <c r="L20" s="1">
        <v>7</v>
      </c>
      <c r="M20" s="1">
        <v>8.4600000000000009</v>
      </c>
      <c r="N20" s="1">
        <v>20.46</v>
      </c>
      <c r="O20" s="1">
        <v>29.49</v>
      </c>
      <c r="P20" s="1">
        <v>1.6</v>
      </c>
      <c r="Q20" s="1">
        <v>2059</v>
      </c>
      <c r="R20" s="1">
        <v>9835</v>
      </c>
      <c r="S20" s="1">
        <v>4</v>
      </c>
      <c r="T20" s="1">
        <f>(Table1[[#This Row],[Selling_Price_per_Unit]]-Table1[[#This Row],[Manufacturing_Cost_per_Unit]])*Table1[[#This Row],[Units_Sold]]-Table1[[#This Row],[Marketing_Spend]]-Table1[[#This Row],[Discount_%]]</f>
        <v>7535832.54</v>
      </c>
      <c r="U20" s="3">
        <f>Table1[[#This Row],[profit]]/(Table1[[#This Row],[Units_Sold]]*Table1[[#This Row],[Selling_Price_per_Unit]])*100</f>
        <v>44.420345465457878</v>
      </c>
      <c r="V20" s="6">
        <f>Table1[[#This Row],[Units_Sold]]*Table1[[#This Row],[Selling_Price_per_Unit]]</f>
        <v>16964822</v>
      </c>
      <c r="W20" s="7">
        <f>(Table1[[#This Row],[Units_Sold]]/$Z$1)</f>
        <v>0.5913975480825826</v>
      </c>
      <c r="X20" s="8">
        <f>((Table1[[#This Row],[Units_Sold]]*(Table1[[#This Row],[Selling_Price_per_Unit]]-Table1[[#This Row],[Manufacturing_Cost_per_Unit]]))-Table1[[#This Row],[Marketing_Spend]])/Table1[[#This Row],[Marketing_Spend]]</f>
        <v>25.785903704742907</v>
      </c>
    </row>
    <row r="21" spans="1:24" hidden="1" x14ac:dyDescent="0.3">
      <c r="A21" s="1" t="s">
        <v>38</v>
      </c>
      <c r="B21" s="1" t="s">
        <v>1038</v>
      </c>
      <c r="C21" s="1" t="s">
        <v>1633</v>
      </c>
      <c r="D21" s="1" t="s">
        <v>1635</v>
      </c>
      <c r="E21" s="1">
        <v>2024</v>
      </c>
      <c r="F21" s="1" t="s">
        <v>1639</v>
      </c>
      <c r="G21" s="1">
        <v>524</v>
      </c>
      <c r="H21" s="1">
        <v>11416</v>
      </c>
      <c r="I21" s="1">
        <v>5637</v>
      </c>
      <c r="J21" s="1">
        <v>128279</v>
      </c>
      <c r="K21" s="1">
        <v>4.5599999999999996</v>
      </c>
      <c r="L21" s="1">
        <v>8</v>
      </c>
      <c r="M21" s="1">
        <v>2.6</v>
      </c>
      <c r="N21" s="1">
        <v>8.39</v>
      </c>
      <c r="O21" s="1">
        <v>47.49</v>
      </c>
      <c r="P21" s="1">
        <v>3.6</v>
      </c>
      <c r="Q21" s="1">
        <v>9808</v>
      </c>
      <c r="R21" s="1">
        <v>3156</v>
      </c>
      <c r="S21" s="1">
        <v>8</v>
      </c>
      <c r="T21" s="1">
        <f>(Table1[[#This Row],[Selling_Price_per_Unit]]-Table1[[#This Row],[Manufacturing_Cost_per_Unit]])*Table1[[#This Row],[Units_Sold]]-Table1[[#This Row],[Marketing_Spend]]-Table1[[#This Row],[Discount_%]]</f>
        <v>2899908.61</v>
      </c>
      <c r="U21" s="3">
        <f>Table1[[#This Row],[profit]]/(Table1[[#This Row],[Units_Sold]]*Table1[[#This Row],[Selling_Price_per_Unit]])*100</f>
        <v>48.477371554320435</v>
      </c>
      <c r="V21" s="6">
        <f>Table1[[#This Row],[Units_Sold]]*Table1[[#This Row],[Selling_Price_per_Unit]]</f>
        <v>5981984</v>
      </c>
      <c r="W21" s="7">
        <f>(Table1[[#This Row],[Units_Sold]]/$Z$1)</f>
        <v>0.10490599701938838</v>
      </c>
      <c r="X21" s="8">
        <f>((Table1[[#This Row],[Units_Sold]]*(Table1[[#This Row],[Selling_Price_per_Unit]]-Table1[[#This Row],[Manufacturing_Cost_per_Unit]]))-Table1[[#This Row],[Marketing_Spend]])/Table1[[#This Row],[Marketing_Spend]]</f>
        <v>22.606326834477972</v>
      </c>
    </row>
    <row r="22" spans="1:24" hidden="1" x14ac:dyDescent="0.3">
      <c r="A22" s="1" t="s">
        <v>39</v>
      </c>
      <c r="B22" s="1" t="s">
        <v>1039</v>
      </c>
      <c r="C22" s="1" t="s">
        <v>1632</v>
      </c>
      <c r="D22" s="1" t="s">
        <v>1638</v>
      </c>
      <c r="E22" s="1">
        <v>2023</v>
      </c>
      <c r="F22" s="1" t="s">
        <v>1641</v>
      </c>
      <c r="G22" s="1">
        <v>1132</v>
      </c>
      <c r="H22" s="1">
        <v>11484</v>
      </c>
      <c r="I22" s="1">
        <v>8558</v>
      </c>
      <c r="J22" s="1">
        <v>241420</v>
      </c>
      <c r="K22" s="1">
        <v>3.46</v>
      </c>
      <c r="L22" s="1">
        <v>4</v>
      </c>
      <c r="M22" s="1">
        <v>0.02</v>
      </c>
      <c r="N22" s="1">
        <v>14.36</v>
      </c>
      <c r="O22" s="1">
        <v>57.3</v>
      </c>
      <c r="P22" s="1">
        <v>1.2</v>
      </c>
      <c r="Q22" s="1">
        <v>16750</v>
      </c>
      <c r="R22" s="1">
        <v>2306</v>
      </c>
      <c r="S22" s="1">
        <v>4</v>
      </c>
      <c r="T22" s="1">
        <f>(Table1[[#This Row],[Selling_Price_per_Unit]]-Table1[[#This Row],[Manufacturing_Cost_per_Unit]])*Table1[[#This Row],[Units_Sold]]-Table1[[#This Row],[Marketing_Spend]]-Table1[[#This Row],[Discount_%]]</f>
        <v>3070797.64</v>
      </c>
      <c r="U22" s="3">
        <f>Table1[[#This Row],[profit]]/(Table1[[#This Row],[Units_Sold]]*Table1[[#This Row],[Selling_Price_per_Unit]])*100</f>
        <v>23.621723817928277</v>
      </c>
      <c r="V22" s="6">
        <f>Table1[[#This Row],[Units_Sold]]*Table1[[#This Row],[Selling_Price_per_Unit]]</f>
        <v>12999888</v>
      </c>
      <c r="W22" s="7">
        <f>(Table1[[#This Row],[Units_Sold]]/$Z$1)</f>
        <v>0.22662898592738101</v>
      </c>
      <c r="X22" s="8">
        <f>((Table1[[#This Row],[Units_Sold]]*(Table1[[#This Row],[Selling_Price_per_Unit]]-Table1[[#This Row],[Manufacturing_Cost_per_Unit]]))-Table1[[#This Row],[Marketing_Spend]])/Table1[[#This Row],[Marketing_Spend]]</f>
        <v>12.719791235191781</v>
      </c>
    </row>
    <row r="23" spans="1:24" hidden="1" x14ac:dyDescent="0.3">
      <c r="A23" s="1" t="s">
        <v>40</v>
      </c>
      <c r="B23" s="1" t="s">
        <v>1040</v>
      </c>
      <c r="C23" s="1" t="s">
        <v>1632</v>
      </c>
      <c r="D23" s="1" t="s">
        <v>1638</v>
      </c>
      <c r="E23" s="1">
        <v>2024</v>
      </c>
      <c r="F23" s="1" t="s">
        <v>1641</v>
      </c>
      <c r="G23" s="1">
        <v>2608</v>
      </c>
      <c r="H23" s="1">
        <v>3259</v>
      </c>
      <c r="I23" s="1">
        <v>11700</v>
      </c>
      <c r="J23" s="1">
        <v>236356</v>
      </c>
      <c r="K23" s="1">
        <v>0.02</v>
      </c>
      <c r="L23" s="1">
        <v>9</v>
      </c>
      <c r="M23" s="1">
        <v>3.76</v>
      </c>
      <c r="N23" s="1">
        <v>12.87</v>
      </c>
      <c r="O23" s="1">
        <v>80.95</v>
      </c>
      <c r="P23" s="1">
        <v>2.6</v>
      </c>
      <c r="Q23" s="1">
        <v>14755</v>
      </c>
      <c r="R23" s="1">
        <v>2808</v>
      </c>
      <c r="S23" s="1">
        <v>9</v>
      </c>
      <c r="T23" s="1">
        <f>(Table1[[#This Row],[Selling_Price_per_Unit]]-Table1[[#This Row],[Manufacturing_Cost_per_Unit]])*Table1[[#This Row],[Units_Sold]]-Table1[[#This Row],[Marketing_Spend]]-Table1[[#This Row],[Discount_%]]</f>
        <v>-22250496.870000001</v>
      </c>
      <c r="U23" s="3">
        <f>Table1[[#This Row],[profit]]/(Table1[[#This Row],[Units_Sold]]*Table1[[#This Row],[Selling_Price_per_Unit]])*100</f>
        <v>-261.78681299261888</v>
      </c>
      <c r="V23" s="6">
        <f>Table1[[#This Row],[Units_Sold]]*Table1[[#This Row],[Selling_Price_per_Unit]]</f>
        <v>8499472</v>
      </c>
      <c r="W23" s="7">
        <f>(Table1[[#This Row],[Units_Sold]]/$Z$1)</f>
        <v>0.5221275576842842</v>
      </c>
      <c r="X23" s="8">
        <f>((Table1[[#This Row],[Units_Sold]]*(Table1[[#This Row],[Selling_Price_per_Unit]]-Table1[[#This Row],[Manufacturing_Cost_per_Unit]]))-Table1[[#This Row],[Marketing_Spend]])/Table1[[#This Row],[Marketing_Spend]]</f>
        <v>-94.139704513530432</v>
      </c>
    </row>
    <row r="24" spans="1:24" hidden="1" x14ac:dyDescent="0.3">
      <c r="A24" s="1" t="s">
        <v>41</v>
      </c>
      <c r="B24" s="1" t="s">
        <v>1041</v>
      </c>
      <c r="C24" s="1" t="s">
        <v>1634</v>
      </c>
      <c r="D24" s="1" t="s">
        <v>1635</v>
      </c>
      <c r="E24" s="1">
        <v>2023</v>
      </c>
      <c r="F24" s="1" t="s">
        <v>1640</v>
      </c>
      <c r="G24" s="1">
        <v>2097</v>
      </c>
      <c r="H24" s="1">
        <v>10681</v>
      </c>
      <c r="I24" s="1">
        <v>7593</v>
      </c>
      <c r="J24" s="1">
        <v>253196</v>
      </c>
      <c r="K24" s="1">
        <v>10.94</v>
      </c>
      <c r="L24" s="1">
        <v>19</v>
      </c>
      <c r="M24" s="1">
        <v>5.71</v>
      </c>
      <c r="N24" s="1">
        <v>12.83</v>
      </c>
      <c r="O24" s="1">
        <v>81.11</v>
      </c>
      <c r="P24" s="1">
        <v>1.7</v>
      </c>
      <c r="Q24" s="1">
        <v>4546</v>
      </c>
      <c r="R24" s="1">
        <v>6081</v>
      </c>
      <c r="S24" s="1">
        <v>2</v>
      </c>
      <c r="T24" s="1">
        <f>(Table1[[#This Row],[Selling_Price_per_Unit]]-Table1[[#This Row],[Manufacturing_Cost_per_Unit]])*Table1[[#This Row],[Units_Sold]]-Table1[[#This Row],[Marketing_Spend]]-Table1[[#This Row],[Discount_%]]</f>
        <v>6222327.1699999999</v>
      </c>
      <c r="U24" s="3">
        <f>Table1[[#This Row],[profit]]/(Table1[[#This Row],[Units_Sold]]*Table1[[#This Row],[Selling_Price_per_Unit]])*100</f>
        <v>27.780656018510889</v>
      </c>
      <c r="V24" s="6">
        <f>Table1[[#This Row],[Units_Sold]]*Table1[[#This Row],[Selling_Price_per_Unit]]</f>
        <v>22398057</v>
      </c>
      <c r="W24" s="7">
        <f>(Table1[[#This Row],[Units_Sold]]/$Z$1)</f>
        <v>0.41982419036194168</v>
      </c>
      <c r="X24" s="8">
        <f>((Table1[[#This Row],[Units_Sold]]*(Table1[[#This Row],[Selling_Price_per_Unit]]-Table1[[#This Row],[Manufacturing_Cost_per_Unit]]))-Table1[[#This Row],[Marketing_Spend]])/Table1[[#This Row],[Marketing_Spend]]</f>
        <v>24.575190761307447</v>
      </c>
    </row>
    <row r="25" spans="1:24" hidden="1" x14ac:dyDescent="0.3">
      <c r="A25" s="1" t="s">
        <v>42</v>
      </c>
      <c r="B25" s="1" t="s">
        <v>1042</v>
      </c>
      <c r="C25" s="1" t="s">
        <v>1632</v>
      </c>
      <c r="D25" s="1" t="s">
        <v>1635</v>
      </c>
      <c r="E25" s="1">
        <v>2023</v>
      </c>
      <c r="F25" s="1" t="s">
        <v>1639</v>
      </c>
      <c r="G25" s="1">
        <v>2797</v>
      </c>
      <c r="H25" s="1">
        <v>3982</v>
      </c>
      <c r="I25" s="1">
        <v>8438</v>
      </c>
      <c r="J25" s="1">
        <v>249919</v>
      </c>
      <c r="K25" s="1">
        <v>14.5</v>
      </c>
      <c r="L25" s="1">
        <v>5</v>
      </c>
      <c r="M25" s="1">
        <v>4.79</v>
      </c>
      <c r="N25" s="1">
        <v>2.68</v>
      </c>
      <c r="O25" s="1">
        <v>69.66</v>
      </c>
      <c r="P25" s="1">
        <v>1.4</v>
      </c>
      <c r="Q25" s="1">
        <v>15356</v>
      </c>
      <c r="R25" s="1">
        <v>5822</v>
      </c>
      <c r="S25" s="1">
        <v>2</v>
      </c>
      <c r="T25" s="1">
        <f>(Table1[[#This Row],[Selling_Price_per_Unit]]-Table1[[#This Row],[Manufacturing_Cost_per_Unit]])*Table1[[#This Row],[Units_Sold]]-Table1[[#This Row],[Marketing_Spend]]-Table1[[#This Row],[Discount_%]]</f>
        <v>-12713353.68</v>
      </c>
      <c r="U25" s="3">
        <f>Table1[[#This Row],[profit]]/(Table1[[#This Row],[Units_Sold]]*Table1[[#This Row],[Selling_Price_per_Unit]])*100</f>
        <v>-114.14750072142661</v>
      </c>
      <c r="V25" s="6">
        <f>Table1[[#This Row],[Units_Sold]]*Table1[[#This Row],[Selling_Price_per_Unit]]</f>
        <v>11137654</v>
      </c>
      <c r="W25" s="7">
        <f>(Table1[[#This Row],[Units_Sold]]/$Z$1)</f>
        <v>0.55996578943364372</v>
      </c>
      <c r="X25" s="8">
        <f>((Table1[[#This Row],[Units_Sold]]*(Table1[[#This Row],[Selling_Price_per_Unit]]-Table1[[#This Row],[Manufacturing_Cost_per_Unit]]))-Table1[[#This Row],[Marketing_Spend]])/Table1[[#This Row],[Marketing_Spend]]</f>
        <v>-50.869885843013137</v>
      </c>
    </row>
    <row r="26" spans="1:24" hidden="1" x14ac:dyDescent="0.3">
      <c r="A26" s="1" t="s">
        <v>43</v>
      </c>
      <c r="B26" s="1" t="s">
        <v>1043</v>
      </c>
      <c r="C26" s="1" t="s">
        <v>1632</v>
      </c>
      <c r="D26" s="1" t="s">
        <v>1636</v>
      </c>
      <c r="E26" s="1">
        <v>2023</v>
      </c>
      <c r="F26" s="1" t="s">
        <v>1639</v>
      </c>
      <c r="G26" s="1">
        <v>1025</v>
      </c>
      <c r="H26" s="1">
        <v>2451</v>
      </c>
      <c r="I26" s="1">
        <v>8793</v>
      </c>
      <c r="J26" s="1">
        <v>465648</v>
      </c>
      <c r="K26" s="1">
        <v>3.36</v>
      </c>
      <c r="L26" s="1">
        <v>15</v>
      </c>
      <c r="M26" s="1">
        <v>8.6199999999999992</v>
      </c>
      <c r="N26" s="1">
        <v>10.59</v>
      </c>
      <c r="O26" s="1">
        <v>12.81</v>
      </c>
      <c r="P26" s="1">
        <v>3.3</v>
      </c>
      <c r="Q26" s="1">
        <v>17927</v>
      </c>
      <c r="R26" s="1">
        <v>847</v>
      </c>
      <c r="S26" s="1">
        <v>7</v>
      </c>
      <c r="T26" s="1">
        <f>(Table1[[#This Row],[Selling_Price_per_Unit]]-Table1[[#This Row],[Manufacturing_Cost_per_Unit]])*Table1[[#This Row],[Units_Sold]]-Table1[[#This Row],[Marketing_Spend]]-Table1[[#This Row],[Discount_%]]</f>
        <v>-6966208.5899999999</v>
      </c>
      <c r="U26" s="3">
        <f>Table1[[#This Row],[profit]]/(Table1[[#This Row],[Units_Sold]]*Table1[[#This Row],[Selling_Price_per_Unit]])*100</f>
        <v>-277.28686509239628</v>
      </c>
      <c r="V26" s="6">
        <f>Table1[[#This Row],[Units_Sold]]*Table1[[#This Row],[Selling_Price_per_Unit]]</f>
        <v>2512275</v>
      </c>
      <c r="W26" s="7">
        <f>(Table1[[#This Row],[Units_Sold]]/$Z$1)</f>
        <v>0.20520734149784942</v>
      </c>
      <c r="X26" s="8">
        <f>((Table1[[#This Row],[Units_Sold]]*(Table1[[#This Row],[Selling_Price_per_Unit]]-Table1[[#This Row],[Manufacturing_Cost_per_Unit]]))-Table1[[#This Row],[Marketing_Spend]])/Table1[[#This Row],[Marketing_Spend]]</f>
        <v>-14.960223172868776</v>
      </c>
    </row>
    <row r="27" spans="1:24" hidden="1" x14ac:dyDescent="0.3">
      <c r="A27" s="1" t="s">
        <v>44</v>
      </c>
      <c r="B27" s="1" t="s">
        <v>1044</v>
      </c>
      <c r="C27" s="1" t="s">
        <v>1632</v>
      </c>
      <c r="D27" s="1" t="s">
        <v>1635</v>
      </c>
      <c r="E27" s="1">
        <v>2023</v>
      </c>
      <c r="F27" s="1" t="s">
        <v>1642</v>
      </c>
      <c r="G27" s="1">
        <v>1856</v>
      </c>
      <c r="H27" s="1">
        <v>3579</v>
      </c>
      <c r="I27" s="1">
        <v>6807</v>
      </c>
      <c r="J27" s="1">
        <v>307324</v>
      </c>
      <c r="K27" s="1">
        <v>9.9499999999999993</v>
      </c>
      <c r="L27" s="1">
        <v>2</v>
      </c>
      <c r="M27" s="1">
        <v>1.05</v>
      </c>
      <c r="N27" s="1">
        <v>11.31</v>
      </c>
      <c r="O27" s="1">
        <v>56.01</v>
      </c>
      <c r="P27" s="1">
        <v>4.7</v>
      </c>
      <c r="Q27" s="1">
        <v>2008</v>
      </c>
      <c r="R27" s="1">
        <v>9092</v>
      </c>
      <c r="S27" s="1">
        <v>11</v>
      </c>
      <c r="T27" s="1">
        <f>(Table1[[#This Row],[Selling_Price_per_Unit]]-Table1[[#This Row],[Manufacturing_Cost_per_Unit]])*Table1[[#This Row],[Units_Sold]]-Table1[[#This Row],[Marketing_Spend]]-Table1[[#This Row],[Discount_%]]</f>
        <v>-6298503.3099999996</v>
      </c>
      <c r="U27" s="3">
        <f>Table1[[#This Row],[profit]]/(Table1[[#This Row],[Units_Sold]]*Table1[[#This Row],[Selling_Price_per_Unit]])*100</f>
        <v>-94.819506719031509</v>
      </c>
      <c r="V27" s="6">
        <f>Table1[[#This Row],[Units_Sold]]*Table1[[#This Row],[Selling_Price_per_Unit]]</f>
        <v>6642624</v>
      </c>
      <c r="W27" s="7">
        <f>(Table1[[#This Row],[Units_Sold]]/$Z$1)</f>
        <v>0.37157543982439856</v>
      </c>
      <c r="X27" s="8">
        <f>((Table1[[#This Row],[Units_Sold]]*(Table1[[#This Row],[Selling_Price_per_Unit]]-Table1[[#This Row],[Manufacturing_Cost_per_Unit]]))-Table1[[#This Row],[Marketing_Spend]])/Table1[[#This Row],[Marketing_Spend]]</f>
        <v>-20.494631073394853</v>
      </c>
    </row>
    <row r="28" spans="1:24" hidden="1" x14ac:dyDescent="0.3">
      <c r="A28" s="1" t="s">
        <v>45</v>
      </c>
      <c r="B28" s="1" t="s">
        <v>1045</v>
      </c>
      <c r="C28" s="1" t="s">
        <v>1633</v>
      </c>
      <c r="D28" s="1" t="s">
        <v>1637</v>
      </c>
      <c r="E28" s="1">
        <v>2023</v>
      </c>
      <c r="F28" s="1" t="s">
        <v>1641</v>
      </c>
      <c r="G28" s="1">
        <v>239</v>
      </c>
      <c r="H28" s="1">
        <v>4217</v>
      </c>
      <c r="I28" s="1">
        <v>6342</v>
      </c>
      <c r="J28" s="1">
        <v>245161</v>
      </c>
      <c r="K28" s="1">
        <v>11.13</v>
      </c>
      <c r="L28" s="1">
        <v>9</v>
      </c>
      <c r="M28" s="1">
        <v>5.54</v>
      </c>
      <c r="N28" s="1">
        <v>18.34</v>
      </c>
      <c r="O28" s="1">
        <v>72.930000000000007</v>
      </c>
      <c r="P28" s="1">
        <v>1.2</v>
      </c>
      <c r="Q28" s="1">
        <v>7607</v>
      </c>
      <c r="R28" s="1">
        <v>6653</v>
      </c>
      <c r="S28" s="1">
        <v>10</v>
      </c>
      <c r="T28" s="1">
        <f>(Table1[[#This Row],[Selling_Price_per_Unit]]-Table1[[#This Row],[Manufacturing_Cost_per_Unit]])*Table1[[#This Row],[Units_Sold]]-Table1[[#This Row],[Marketing_Spend]]-Table1[[#This Row],[Discount_%]]</f>
        <v>-753054.34</v>
      </c>
      <c r="U28" s="3">
        <f>Table1[[#This Row],[profit]]/(Table1[[#This Row],[Units_Sold]]*Table1[[#This Row],[Selling_Price_per_Unit]])*100</f>
        <v>-74.717926940467109</v>
      </c>
      <c r="V28" s="6">
        <f>Table1[[#This Row],[Units_Sold]]*Table1[[#This Row],[Selling_Price_per_Unit]]</f>
        <v>1007863</v>
      </c>
      <c r="W28" s="7">
        <f>(Table1[[#This Row],[Units_Sold]]/$Z$1)</f>
        <v>4.7848345968766838E-2</v>
      </c>
      <c r="X28" s="8">
        <f>((Table1[[#This Row],[Units_Sold]]*(Table1[[#This Row],[Selling_Price_per_Unit]]-Table1[[#This Row],[Manufacturing_Cost_per_Unit]]))-Table1[[#This Row],[Marketing_Spend]])/Table1[[#This Row],[Marketing_Spend]]</f>
        <v>-3.0715978479448198</v>
      </c>
    </row>
    <row r="29" spans="1:24" hidden="1" x14ac:dyDescent="0.3">
      <c r="A29" s="1" t="s">
        <v>46</v>
      </c>
      <c r="B29" s="1" t="s">
        <v>1046</v>
      </c>
      <c r="C29" s="1" t="s">
        <v>1633</v>
      </c>
      <c r="D29" s="1" t="s">
        <v>1635</v>
      </c>
      <c r="E29" s="1">
        <v>2023</v>
      </c>
      <c r="F29" s="1" t="s">
        <v>1640</v>
      </c>
      <c r="G29" s="1">
        <v>2784</v>
      </c>
      <c r="H29" s="1">
        <v>11192</v>
      </c>
      <c r="I29" s="1">
        <v>9892</v>
      </c>
      <c r="J29" s="1">
        <v>498614</v>
      </c>
      <c r="K29" s="1">
        <v>12.73</v>
      </c>
      <c r="L29" s="1">
        <v>10</v>
      </c>
      <c r="M29" s="1">
        <v>5.13</v>
      </c>
      <c r="N29" s="1">
        <v>21</v>
      </c>
      <c r="O29" s="1">
        <v>11.38</v>
      </c>
      <c r="P29" s="1">
        <v>2.7</v>
      </c>
      <c r="Q29" s="1">
        <v>14976</v>
      </c>
      <c r="R29" s="1">
        <v>1597</v>
      </c>
      <c r="S29" s="1">
        <v>13</v>
      </c>
      <c r="T29" s="1">
        <f>(Table1[[#This Row],[Selling_Price_per_Unit]]-Table1[[#This Row],[Manufacturing_Cost_per_Unit]])*Table1[[#This Row],[Units_Sold]]-Table1[[#This Row],[Marketing_Spend]]-Table1[[#This Row],[Discount_%]]</f>
        <v>3120565</v>
      </c>
      <c r="U29" s="3">
        <f>Table1[[#This Row],[profit]]/(Table1[[#This Row],[Units_Sold]]*Table1[[#This Row],[Selling_Price_per_Unit]])*100</f>
        <v>10.015123307493859</v>
      </c>
      <c r="V29" s="6">
        <f>Table1[[#This Row],[Units_Sold]]*Table1[[#This Row],[Selling_Price_per_Unit]]</f>
        <v>31158528</v>
      </c>
      <c r="W29" s="7">
        <f>(Table1[[#This Row],[Units_Sold]]/$Z$1)</f>
        <v>0.55736315973659778</v>
      </c>
      <c r="X29" s="8">
        <f>((Table1[[#This Row],[Units_Sold]]*(Table1[[#This Row],[Selling_Price_per_Unit]]-Table1[[#This Row],[Manufacturing_Cost_per_Unit]]))-Table1[[#This Row],[Marketing_Spend]])/Table1[[#This Row],[Marketing_Spend]]</f>
        <v>6.2585206191563012</v>
      </c>
    </row>
    <row r="30" spans="1:24" hidden="1" x14ac:dyDescent="0.3">
      <c r="A30" s="1" t="s">
        <v>47</v>
      </c>
      <c r="B30" s="1" t="s">
        <v>1047</v>
      </c>
      <c r="C30" s="1" t="s">
        <v>1634</v>
      </c>
      <c r="D30" s="1" t="s">
        <v>1636</v>
      </c>
      <c r="E30" s="1">
        <v>2023</v>
      </c>
      <c r="F30" s="1" t="s">
        <v>1641</v>
      </c>
      <c r="G30" s="1">
        <v>3055</v>
      </c>
      <c r="H30" s="1">
        <v>8811</v>
      </c>
      <c r="I30" s="1">
        <v>12076</v>
      </c>
      <c r="J30" s="1">
        <v>280363</v>
      </c>
      <c r="K30" s="1">
        <v>6.34</v>
      </c>
      <c r="L30" s="1">
        <v>10</v>
      </c>
      <c r="M30" s="1">
        <v>2.81</v>
      </c>
      <c r="N30" s="1">
        <v>13.62</v>
      </c>
      <c r="O30" s="1">
        <v>53.97</v>
      </c>
      <c r="P30" s="1">
        <v>3.8</v>
      </c>
      <c r="Q30" s="1">
        <v>4939</v>
      </c>
      <c r="R30" s="1">
        <v>1479</v>
      </c>
      <c r="S30" s="1">
        <v>5</v>
      </c>
      <c r="T30" s="1">
        <f>(Table1[[#This Row],[Selling_Price_per_Unit]]-Table1[[#This Row],[Manufacturing_Cost_per_Unit]])*Table1[[#This Row],[Units_Sold]]-Table1[[#This Row],[Marketing_Spend]]-Table1[[#This Row],[Discount_%]]</f>
        <v>-10254951.619999999</v>
      </c>
      <c r="U30" s="3">
        <f>Table1[[#This Row],[profit]]/(Table1[[#This Row],[Units_Sold]]*Table1[[#This Row],[Selling_Price_per_Unit]])*100</f>
        <v>-38.097563360484706</v>
      </c>
      <c r="V30" s="6">
        <f>Table1[[#This Row],[Units_Sold]]*Table1[[#This Row],[Selling_Price_per_Unit]]</f>
        <v>26917605</v>
      </c>
      <c r="W30" s="7">
        <f>(Table1[[#This Row],[Units_Sold]]/$Z$1)</f>
        <v>0.61161797880578528</v>
      </c>
      <c r="X30" s="8">
        <f>((Table1[[#This Row],[Units_Sold]]*(Table1[[#This Row],[Selling_Price_per_Unit]]-Table1[[#This Row],[Manufacturing_Cost_per_Unit]]))-Table1[[#This Row],[Marketing_Spend]])/Table1[[#This Row],[Marketing_Spend]]</f>
        <v>-36.577358638622073</v>
      </c>
    </row>
    <row r="31" spans="1:24" x14ac:dyDescent="0.3">
      <c r="A31" s="1" t="s">
        <v>377</v>
      </c>
      <c r="B31" s="1" t="s">
        <v>1319</v>
      </c>
      <c r="C31" s="1" t="s">
        <v>1632</v>
      </c>
      <c r="D31" s="1" t="s">
        <v>1638</v>
      </c>
      <c r="E31" s="1">
        <v>2023</v>
      </c>
      <c r="F31" s="1" t="s">
        <v>1640</v>
      </c>
      <c r="G31" s="1">
        <v>4414</v>
      </c>
      <c r="H31" s="1">
        <v>17577</v>
      </c>
      <c r="I31" s="1">
        <v>1463</v>
      </c>
      <c r="J31" s="1">
        <v>140102</v>
      </c>
      <c r="K31" s="1">
        <v>13.06</v>
      </c>
      <c r="L31" s="1">
        <v>14</v>
      </c>
      <c r="M31" s="1">
        <v>8.0500000000000007</v>
      </c>
      <c r="N31" s="1">
        <v>8.4700000000000006</v>
      </c>
      <c r="O31" s="1">
        <v>54.47</v>
      </c>
      <c r="P31" s="1">
        <v>3.6</v>
      </c>
      <c r="Q31" s="1">
        <v>20300</v>
      </c>
      <c r="R31" s="1">
        <v>2130</v>
      </c>
      <c r="S31" s="1">
        <v>3</v>
      </c>
      <c r="T31" s="1">
        <f>(Table1[[#This Row],[Selling_Price_per_Unit]]-Table1[[#This Row],[Manufacturing_Cost_per_Unit]])*Table1[[#This Row],[Units_Sold]]-Table1[[#This Row],[Marketing_Spend]]-Table1[[#This Row],[Discount_%]]</f>
        <v>70987085.530000001</v>
      </c>
      <c r="U31" s="3">
        <f>Table1[[#This Row],[profit]]/(Table1[[#This Row],[Units_Sold]]*Table1[[#This Row],[Selling_Price_per_Unit]])*100</f>
        <v>91.496032938274382</v>
      </c>
      <c r="V31" s="6">
        <f>Table1[[#This Row],[Units_Sold]]*Table1[[#This Row],[Selling_Price_per_Unit]]</f>
        <v>77584878</v>
      </c>
      <c r="W31" s="7">
        <f>(Table1[[#This Row],[Units_Sold]]/$Z$1)</f>
        <v>0.88369288328927542</v>
      </c>
      <c r="X31" s="8">
        <f>((Table1[[#This Row],[Units_Sold]]*(Table1[[#This Row],[Selling_Price_per_Unit]]-Table1[[#This Row],[Manufacturing_Cost_per_Unit]]))-Table1[[#This Row],[Marketing_Spend]])/Table1[[#This Row],[Marketing_Spend]]</f>
        <v>506.6815177513526</v>
      </c>
    </row>
    <row r="32" spans="1:24" hidden="1" x14ac:dyDescent="0.3">
      <c r="A32" s="1" t="s">
        <v>49</v>
      </c>
      <c r="B32" s="1" t="s">
        <v>1049</v>
      </c>
      <c r="C32" s="1" t="s">
        <v>1634</v>
      </c>
      <c r="D32" s="1" t="s">
        <v>1635</v>
      </c>
      <c r="E32" s="1">
        <v>2023</v>
      </c>
      <c r="F32" s="1" t="s">
        <v>1642</v>
      </c>
      <c r="G32" s="1">
        <v>1949</v>
      </c>
      <c r="H32" s="1">
        <v>2268</v>
      </c>
      <c r="I32" s="1">
        <v>11001</v>
      </c>
      <c r="J32" s="1">
        <v>393492</v>
      </c>
      <c r="K32" s="1">
        <v>4.88</v>
      </c>
      <c r="L32" s="1">
        <v>3</v>
      </c>
      <c r="M32" s="1">
        <v>7.53</v>
      </c>
      <c r="N32" s="1">
        <v>5.92</v>
      </c>
      <c r="O32" s="1">
        <v>47.93</v>
      </c>
      <c r="P32" s="1">
        <v>4.2</v>
      </c>
      <c r="Q32" s="1">
        <v>15667</v>
      </c>
      <c r="R32" s="1">
        <v>7460</v>
      </c>
      <c r="S32" s="1">
        <v>13</v>
      </c>
      <c r="T32" s="1">
        <f>(Table1[[#This Row],[Selling_Price_per_Unit]]-Table1[[#This Row],[Manufacturing_Cost_per_Unit]])*Table1[[#This Row],[Units_Sold]]-Table1[[#This Row],[Marketing_Spend]]-Table1[[#This Row],[Discount_%]]</f>
        <v>-17414114.920000002</v>
      </c>
      <c r="U32" s="3">
        <f>Table1[[#This Row],[profit]]/(Table1[[#This Row],[Units_Sold]]*Table1[[#This Row],[Selling_Price_per_Unit]])*100</f>
        <v>-393.95490926925856</v>
      </c>
      <c r="V32" s="6">
        <f>Table1[[#This Row],[Units_Sold]]*Table1[[#This Row],[Selling_Price_per_Unit]]</f>
        <v>4420332</v>
      </c>
      <c r="W32" s="7">
        <f>(Table1[[#This Row],[Units_Sold]]/$Z$1)</f>
        <v>0.3901942522724961</v>
      </c>
      <c r="X32" s="8">
        <f>((Table1[[#This Row],[Units_Sold]]*(Table1[[#This Row],[Selling_Price_per_Unit]]-Table1[[#This Row],[Manufacturing_Cost_per_Unit]]))-Table1[[#This Row],[Marketing_Spend]])/Table1[[#This Row],[Marketing_Spend]]</f>
        <v>-44.255306334055078</v>
      </c>
    </row>
    <row r="33" spans="1:24" hidden="1" x14ac:dyDescent="0.3">
      <c r="A33" s="1" t="s">
        <v>50</v>
      </c>
      <c r="B33" s="1" t="s">
        <v>1050</v>
      </c>
      <c r="C33" s="1" t="s">
        <v>1634</v>
      </c>
      <c r="D33" s="1" t="s">
        <v>1637</v>
      </c>
      <c r="E33" s="1">
        <v>2024</v>
      </c>
      <c r="F33" s="1" t="s">
        <v>1640</v>
      </c>
      <c r="G33" s="1">
        <v>1317</v>
      </c>
      <c r="H33" s="1">
        <v>6990</v>
      </c>
      <c r="I33" s="1">
        <v>9233</v>
      </c>
      <c r="J33" s="1">
        <v>480599</v>
      </c>
      <c r="K33" s="1">
        <v>10.69</v>
      </c>
      <c r="L33" s="1">
        <v>3</v>
      </c>
      <c r="M33" s="1">
        <v>7.33</v>
      </c>
      <c r="N33" s="1">
        <v>4.12</v>
      </c>
      <c r="O33" s="1">
        <v>10.33</v>
      </c>
      <c r="P33" s="1">
        <v>1.7</v>
      </c>
      <c r="Q33" s="1">
        <v>18800</v>
      </c>
      <c r="R33" s="1">
        <v>3870</v>
      </c>
      <c r="S33" s="1">
        <v>6</v>
      </c>
      <c r="T33" s="1">
        <f>(Table1[[#This Row],[Selling_Price_per_Unit]]-Table1[[#This Row],[Manufacturing_Cost_per_Unit]])*Table1[[#This Row],[Units_Sold]]-Table1[[#This Row],[Marketing_Spend]]-Table1[[#This Row],[Discount_%]]</f>
        <v>-3434634.12</v>
      </c>
      <c r="U33" s="3">
        <f>Table1[[#This Row],[profit]]/(Table1[[#This Row],[Units_Sold]]*Table1[[#This Row],[Selling_Price_per_Unit]])*100</f>
        <v>-37.309336800701296</v>
      </c>
      <c r="V33" s="6">
        <f>Table1[[#This Row],[Units_Sold]]*Table1[[#This Row],[Selling_Price_per_Unit]]</f>
        <v>9205830</v>
      </c>
      <c r="W33" s="7">
        <f>(Table1[[#This Row],[Units_Sold]]/$Z$1)</f>
        <v>0.26366640853918799</v>
      </c>
      <c r="X33" s="8">
        <f>((Table1[[#This Row],[Units_Sold]]*(Table1[[#This Row],[Selling_Price_per_Unit]]-Table1[[#This Row],[Manufacturing_Cost_per_Unit]]))-Table1[[#This Row],[Marketing_Spend]])/Table1[[#This Row],[Marketing_Spend]]</f>
        <v>-7.1465608542672792</v>
      </c>
    </row>
    <row r="34" spans="1:24" hidden="1" x14ac:dyDescent="0.3">
      <c r="A34" s="1" t="s">
        <v>51</v>
      </c>
      <c r="B34" s="1" t="s">
        <v>1051</v>
      </c>
      <c r="C34" s="1" t="s">
        <v>1634</v>
      </c>
      <c r="D34" s="1" t="s">
        <v>1638</v>
      </c>
      <c r="E34" s="1">
        <v>2023</v>
      </c>
      <c r="F34" s="1" t="s">
        <v>1642</v>
      </c>
      <c r="G34" s="1">
        <v>1578</v>
      </c>
      <c r="H34" s="1">
        <v>17034</v>
      </c>
      <c r="I34" s="1">
        <v>8180</v>
      </c>
      <c r="J34" s="1">
        <v>425960</v>
      </c>
      <c r="K34" s="1">
        <v>12.25</v>
      </c>
      <c r="L34" s="1">
        <v>16</v>
      </c>
      <c r="M34" s="1">
        <v>8.76</v>
      </c>
      <c r="N34" s="1">
        <v>3.12</v>
      </c>
      <c r="O34" s="1">
        <v>10.88</v>
      </c>
      <c r="P34" s="1">
        <v>4.8</v>
      </c>
      <c r="Q34" s="1">
        <v>18682</v>
      </c>
      <c r="R34" s="1">
        <v>3442</v>
      </c>
      <c r="S34" s="1">
        <v>13</v>
      </c>
      <c r="T34" s="1">
        <f>(Table1[[#This Row],[Selling_Price_per_Unit]]-Table1[[#This Row],[Manufacturing_Cost_per_Unit]])*Table1[[#This Row],[Units_Sold]]-Table1[[#This Row],[Marketing_Spend]]-Table1[[#This Row],[Discount_%]]</f>
        <v>13545648.880000001</v>
      </c>
      <c r="U34" s="3">
        <f>Table1[[#This Row],[profit]]/(Table1[[#This Row],[Units_Sold]]*Table1[[#This Row],[Selling_Price_per_Unit]])*100</f>
        <v>50.393691406421482</v>
      </c>
      <c r="V34" s="6">
        <f>Table1[[#This Row],[Units_Sold]]*Table1[[#This Row],[Selling_Price_per_Unit]]</f>
        <v>26879652</v>
      </c>
      <c r="W34" s="7">
        <f>(Table1[[#This Row],[Units_Sold]]/$Z$1)</f>
        <v>0.31591920476449403</v>
      </c>
      <c r="X34" s="8">
        <f>((Table1[[#This Row],[Units_Sold]]*(Table1[[#This Row],[Selling_Price_per_Unit]]-Table1[[#This Row],[Manufacturing_Cost_per_Unit]]))-Table1[[#This Row],[Marketing_Spend]])/Table1[[#This Row],[Marketing_Spend]]</f>
        <v>31.800291107146212</v>
      </c>
    </row>
    <row r="35" spans="1:24" hidden="1" x14ac:dyDescent="0.3">
      <c r="A35" s="1" t="s">
        <v>52</v>
      </c>
      <c r="B35" s="1" t="s">
        <v>1052</v>
      </c>
      <c r="C35" s="1" t="s">
        <v>1632</v>
      </c>
      <c r="D35" s="1" t="s">
        <v>1637</v>
      </c>
      <c r="E35" s="1">
        <v>2024</v>
      </c>
      <c r="F35" s="1" t="s">
        <v>1642</v>
      </c>
      <c r="G35" s="1">
        <v>3252</v>
      </c>
      <c r="H35" s="1">
        <v>8145</v>
      </c>
      <c r="I35" s="1">
        <v>3185</v>
      </c>
      <c r="J35" s="1">
        <v>259754</v>
      </c>
      <c r="K35" s="1">
        <v>2.72</v>
      </c>
      <c r="L35" s="1">
        <v>8</v>
      </c>
      <c r="M35" s="1">
        <v>7.23</v>
      </c>
      <c r="N35" s="1">
        <v>9.15</v>
      </c>
      <c r="O35" s="1">
        <v>43.33</v>
      </c>
      <c r="P35" s="1">
        <v>2.5</v>
      </c>
      <c r="Q35" s="1">
        <v>6471</v>
      </c>
      <c r="R35" s="1">
        <v>9188</v>
      </c>
      <c r="S35" s="1">
        <v>2</v>
      </c>
      <c r="T35" s="1">
        <f>(Table1[[#This Row],[Selling_Price_per_Unit]]-Table1[[#This Row],[Manufacturing_Cost_per_Unit]])*Table1[[#This Row],[Units_Sold]]-Table1[[#This Row],[Marketing_Spend]]-Table1[[#This Row],[Discount_%]]</f>
        <v>15870156.85</v>
      </c>
      <c r="U35" s="3">
        <f>Table1[[#This Row],[profit]]/(Table1[[#This Row],[Units_Sold]]*Table1[[#This Row],[Selling_Price_per_Unit]])*100</f>
        <v>59.915555955743713</v>
      </c>
      <c r="V35" s="6">
        <f>Table1[[#This Row],[Units_Sold]]*Table1[[#This Row],[Selling_Price_per_Unit]]</f>
        <v>26487540</v>
      </c>
      <c r="W35" s="7">
        <f>(Table1[[#This Row],[Units_Sold]]/$Z$1)</f>
        <v>0.6510578288302501</v>
      </c>
      <c r="X35" s="8">
        <f>((Table1[[#This Row],[Units_Sold]]*(Table1[[#This Row],[Selling_Price_per_Unit]]-Table1[[#This Row],[Manufacturing_Cost_per_Unit]]))-Table1[[#This Row],[Marketing_Spend]])/Table1[[#This Row],[Marketing_Spend]]</f>
        <v>61.096907073615803</v>
      </c>
    </row>
    <row r="36" spans="1:24" hidden="1" x14ac:dyDescent="0.3">
      <c r="A36" s="1" t="s">
        <v>53</v>
      </c>
      <c r="B36" s="1" t="s">
        <v>1053</v>
      </c>
      <c r="C36" s="1" t="s">
        <v>1634</v>
      </c>
      <c r="D36" s="1" t="s">
        <v>1635</v>
      </c>
      <c r="E36" s="1">
        <v>2024</v>
      </c>
      <c r="F36" s="1" t="s">
        <v>1640</v>
      </c>
      <c r="G36" s="1">
        <v>3606</v>
      </c>
      <c r="H36" s="1">
        <v>6732</v>
      </c>
      <c r="I36" s="1">
        <v>5068</v>
      </c>
      <c r="J36" s="1">
        <v>173053</v>
      </c>
      <c r="K36" s="1">
        <v>5.56</v>
      </c>
      <c r="L36" s="1">
        <v>18</v>
      </c>
      <c r="M36" s="1">
        <v>2.3199999999999998</v>
      </c>
      <c r="N36" s="1">
        <v>5.73</v>
      </c>
      <c r="O36" s="1">
        <v>22.4</v>
      </c>
      <c r="P36" s="1">
        <v>2.4</v>
      </c>
      <c r="Q36" s="1">
        <v>19644</v>
      </c>
      <c r="R36" s="1">
        <v>1646</v>
      </c>
      <c r="S36" s="1">
        <v>7</v>
      </c>
      <c r="T36" s="1">
        <f>(Table1[[#This Row],[Selling_Price_per_Unit]]-Table1[[#This Row],[Manufacturing_Cost_per_Unit]])*Table1[[#This Row],[Units_Sold]]-Table1[[#This Row],[Marketing_Spend]]-Table1[[#This Row],[Discount_%]]</f>
        <v>5827325.2699999996</v>
      </c>
      <c r="U36" s="3">
        <f>Table1[[#This Row],[profit]]/(Table1[[#This Row],[Units_Sold]]*Table1[[#This Row],[Selling_Price_per_Unit]])*100</f>
        <v>24.004873990302684</v>
      </c>
      <c r="V36" s="6">
        <f>Table1[[#This Row],[Units_Sold]]*Table1[[#This Row],[Selling_Price_per_Unit]]</f>
        <v>24275592</v>
      </c>
      <c r="W36" s="7">
        <f>(Table1[[#This Row],[Units_Sold]]/$Z$1)</f>
        <v>0.72192943750365368</v>
      </c>
      <c r="X36" s="8">
        <f>((Table1[[#This Row],[Units_Sold]]*(Table1[[#This Row],[Selling_Price_per_Unit]]-Table1[[#This Row],[Manufacturing_Cost_per_Unit]]))-Table1[[#This Row],[Marketing_Spend]])/Table1[[#This Row],[Marketing_Spend]]</f>
        <v>33.67367800615996</v>
      </c>
    </row>
    <row r="37" spans="1:24" x14ac:dyDescent="0.3">
      <c r="A37" s="1" t="s">
        <v>97</v>
      </c>
      <c r="B37" s="1" t="s">
        <v>1090</v>
      </c>
      <c r="C37" s="1" t="s">
        <v>1633</v>
      </c>
      <c r="D37" s="1" t="s">
        <v>1637</v>
      </c>
      <c r="E37" s="1">
        <v>2023</v>
      </c>
      <c r="F37" s="1" t="s">
        <v>1642</v>
      </c>
      <c r="G37" s="1">
        <v>4909</v>
      </c>
      <c r="H37" s="1">
        <v>19192</v>
      </c>
      <c r="I37" s="1">
        <v>4697</v>
      </c>
      <c r="J37" s="1">
        <v>462755</v>
      </c>
      <c r="K37" s="1">
        <v>14.21</v>
      </c>
      <c r="L37" s="1">
        <v>6</v>
      </c>
      <c r="M37" s="1">
        <v>9.51</v>
      </c>
      <c r="N37" s="1">
        <v>2.39</v>
      </c>
      <c r="O37" s="1">
        <v>35.020000000000003</v>
      </c>
      <c r="P37" s="1">
        <v>4</v>
      </c>
      <c r="Q37" s="1">
        <v>15746</v>
      </c>
      <c r="R37" s="1">
        <v>7830</v>
      </c>
      <c r="S37" s="1">
        <v>9</v>
      </c>
      <c r="T37" s="1">
        <f>(Table1[[#This Row],[Selling_Price_per_Unit]]-Table1[[#This Row],[Manufacturing_Cost_per_Unit]])*Table1[[#This Row],[Units_Sold]]-Table1[[#This Row],[Marketing_Spend]]-Table1[[#This Row],[Discount_%]]</f>
        <v>70693197.609999999</v>
      </c>
      <c r="U37" s="3">
        <f>Table1[[#This Row],[profit]]/(Table1[[#This Row],[Units_Sold]]*Table1[[#This Row],[Selling_Price_per_Unit]])*100</f>
        <v>75.035081596774518</v>
      </c>
      <c r="V37" s="6">
        <f>Table1[[#This Row],[Units_Sold]]*Table1[[#This Row],[Selling_Price_per_Unit]]</f>
        <v>94213528</v>
      </c>
      <c r="W37" s="7">
        <f>(Table1[[#This Row],[Units_Sold]]/$Z$1)</f>
        <v>0.98279301406140762</v>
      </c>
      <c r="X37" s="8">
        <f>((Table1[[#This Row],[Units_Sold]]*(Table1[[#This Row],[Selling_Price_per_Unit]]-Table1[[#This Row],[Manufacturing_Cost_per_Unit]]))-Table1[[#This Row],[Marketing_Spend]])/Table1[[#This Row],[Marketing_Spend]]</f>
        <v>152.76593445775842</v>
      </c>
    </row>
    <row r="38" spans="1:24" hidden="1" x14ac:dyDescent="0.3">
      <c r="A38" s="1" t="s">
        <v>55</v>
      </c>
      <c r="B38" s="1" t="s">
        <v>1055</v>
      </c>
      <c r="C38" s="1" t="s">
        <v>1632</v>
      </c>
      <c r="D38" s="1" t="s">
        <v>1636</v>
      </c>
      <c r="E38" s="1">
        <v>2023</v>
      </c>
      <c r="F38" s="1" t="s">
        <v>1640</v>
      </c>
      <c r="G38" s="1">
        <v>696</v>
      </c>
      <c r="H38" s="1">
        <v>7297</v>
      </c>
      <c r="I38" s="1">
        <v>963</v>
      </c>
      <c r="J38" s="1">
        <v>216892</v>
      </c>
      <c r="K38" s="1">
        <v>12.1</v>
      </c>
      <c r="L38" s="1">
        <v>5</v>
      </c>
      <c r="M38" s="1">
        <v>3.08</v>
      </c>
      <c r="N38" s="1">
        <v>1.37</v>
      </c>
      <c r="O38" s="1">
        <v>66.7</v>
      </c>
      <c r="P38" s="1">
        <v>3.3</v>
      </c>
      <c r="Q38" s="1">
        <v>2318</v>
      </c>
      <c r="R38" s="1">
        <v>5989</v>
      </c>
      <c r="S38" s="1">
        <v>13</v>
      </c>
      <c r="T38" s="1">
        <f>(Table1[[#This Row],[Selling_Price_per_Unit]]-Table1[[#This Row],[Manufacturing_Cost_per_Unit]])*Table1[[#This Row],[Units_Sold]]-Table1[[#This Row],[Marketing_Spend]]-Table1[[#This Row],[Discount_%]]</f>
        <v>4191570.63</v>
      </c>
      <c r="U38" s="3">
        <f>Table1[[#This Row],[profit]]/(Table1[[#This Row],[Units_Sold]]*Table1[[#This Row],[Selling_Price_per_Unit]])*100</f>
        <v>82.532158350384904</v>
      </c>
      <c r="V38" s="6">
        <f>Table1[[#This Row],[Units_Sold]]*Table1[[#This Row],[Selling_Price_per_Unit]]</f>
        <v>5078712</v>
      </c>
      <c r="W38" s="7">
        <f>(Table1[[#This Row],[Units_Sold]]/$Z$1)</f>
        <v>0.13934078993414944</v>
      </c>
      <c r="X38" s="8">
        <f>((Table1[[#This Row],[Units_Sold]]*(Table1[[#This Row],[Selling_Price_per_Unit]]-Table1[[#This Row],[Manufacturing_Cost_per_Unit]]))-Table1[[#This Row],[Marketing_Spend]])/Table1[[#This Row],[Marketing_Spend]]</f>
        <v>19.325618280065655</v>
      </c>
    </row>
    <row r="39" spans="1:24" hidden="1" x14ac:dyDescent="0.3">
      <c r="A39" s="1" t="s">
        <v>56</v>
      </c>
      <c r="B39" s="1" t="s">
        <v>1056</v>
      </c>
      <c r="C39" s="1" t="s">
        <v>1634</v>
      </c>
      <c r="D39" s="1" t="s">
        <v>1635</v>
      </c>
      <c r="E39" s="1">
        <v>2024</v>
      </c>
      <c r="F39" s="1" t="s">
        <v>1641</v>
      </c>
      <c r="G39" s="1">
        <v>2938</v>
      </c>
      <c r="H39" s="1">
        <v>13842</v>
      </c>
      <c r="I39" s="1">
        <v>9456</v>
      </c>
      <c r="J39" s="1">
        <v>378406</v>
      </c>
      <c r="K39" s="1">
        <v>14.77</v>
      </c>
      <c r="L39" s="1">
        <v>2</v>
      </c>
      <c r="M39" s="1">
        <v>2.42</v>
      </c>
      <c r="N39" s="1">
        <v>0.44</v>
      </c>
      <c r="O39" s="1">
        <v>24.23</v>
      </c>
      <c r="P39" s="1">
        <v>3.1</v>
      </c>
      <c r="Q39" s="1">
        <v>11860</v>
      </c>
      <c r="R39" s="1">
        <v>6308</v>
      </c>
      <c r="S39" s="1">
        <v>4</v>
      </c>
      <c r="T39" s="1">
        <f>(Table1[[#This Row],[Selling_Price_per_Unit]]-Table1[[#This Row],[Manufacturing_Cost_per_Unit]])*Table1[[#This Row],[Units_Sold]]-Table1[[#This Row],[Marketing_Spend]]-Table1[[#This Row],[Discount_%]]</f>
        <v>12507661.560000001</v>
      </c>
      <c r="U39" s="3">
        <f>Table1[[#This Row],[profit]]/(Table1[[#This Row],[Units_Sold]]*Table1[[#This Row],[Selling_Price_per_Unit]])*100</f>
        <v>30.755690719015117</v>
      </c>
      <c r="V39" s="6">
        <f>Table1[[#This Row],[Units_Sold]]*Table1[[#This Row],[Selling_Price_per_Unit]]</f>
        <v>40667796</v>
      </c>
      <c r="W39" s="7">
        <f>(Table1[[#This Row],[Units_Sold]]/$Z$1)</f>
        <v>0.58819431153237223</v>
      </c>
      <c r="X39" s="8">
        <f>((Table1[[#This Row],[Units_Sold]]*(Table1[[#This Row],[Selling_Price_per_Unit]]-Table1[[#This Row],[Manufacturing_Cost_per_Unit]]))-Table1[[#This Row],[Marketing_Spend]])/Table1[[#This Row],[Marketing_Spend]]</f>
        <v>33.053550947923661</v>
      </c>
    </row>
    <row r="40" spans="1:24" hidden="1" x14ac:dyDescent="0.3">
      <c r="A40" s="1" t="s">
        <v>57</v>
      </c>
      <c r="B40" s="1" t="s">
        <v>1057</v>
      </c>
      <c r="C40" s="1" t="s">
        <v>1634</v>
      </c>
      <c r="D40" s="1" t="s">
        <v>1636</v>
      </c>
      <c r="E40" s="1">
        <v>2024</v>
      </c>
      <c r="F40" s="1" t="s">
        <v>1640</v>
      </c>
      <c r="G40" s="1">
        <v>2485</v>
      </c>
      <c r="H40" s="1">
        <v>9538</v>
      </c>
      <c r="I40" s="1">
        <v>12034</v>
      </c>
      <c r="J40" s="1">
        <v>184832</v>
      </c>
      <c r="K40" s="1">
        <v>11.31</v>
      </c>
      <c r="L40" s="1">
        <v>0</v>
      </c>
      <c r="M40" s="1">
        <v>0.73</v>
      </c>
      <c r="N40" s="1">
        <v>2.57</v>
      </c>
      <c r="O40" s="1">
        <v>81.08</v>
      </c>
      <c r="P40" s="1">
        <v>3.9</v>
      </c>
      <c r="Q40" s="1">
        <v>13427</v>
      </c>
      <c r="R40" s="1">
        <v>8975</v>
      </c>
      <c r="S40" s="1">
        <v>12</v>
      </c>
      <c r="T40" s="1">
        <f>(Table1[[#This Row],[Selling_Price_per_Unit]]-Table1[[#This Row],[Manufacturing_Cost_per_Unit]])*Table1[[#This Row],[Units_Sold]]-Table1[[#This Row],[Marketing_Spend]]-Table1[[#This Row],[Discount_%]]</f>
        <v>-6387394.5700000003</v>
      </c>
      <c r="U40" s="3">
        <f>Table1[[#This Row],[profit]]/(Table1[[#This Row],[Units_Sold]]*Table1[[#This Row],[Selling_Price_per_Unit]])*100</f>
        <v>-26.948837373159062</v>
      </c>
      <c r="V40" s="6">
        <f>Table1[[#This Row],[Units_Sold]]*Table1[[#This Row],[Selling_Price_per_Unit]]</f>
        <v>23701930</v>
      </c>
      <c r="W40" s="7">
        <f>(Table1[[#This Row],[Units_Sold]]/$Z$1)</f>
        <v>0.49750267670454223</v>
      </c>
      <c r="X40" s="8">
        <f>((Table1[[#This Row],[Units_Sold]]*(Table1[[#This Row],[Selling_Price_per_Unit]]-Table1[[#This Row],[Manufacturing_Cost_per_Unit]]))-Table1[[#This Row],[Marketing_Spend]])/Table1[[#This Row],[Marketing_Spend]]</f>
        <v>-34.557825484764543</v>
      </c>
    </row>
    <row r="41" spans="1:24" hidden="1" x14ac:dyDescent="0.3">
      <c r="A41" s="1" t="s">
        <v>58</v>
      </c>
      <c r="B41" s="1" t="s">
        <v>1058</v>
      </c>
      <c r="C41" s="1" t="s">
        <v>1632</v>
      </c>
      <c r="D41" s="1" t="s">
        <v>1637</v>
      </c>
      <c r="E41" s="1">
        <v>2023</v>
      </c>
      <c r="F41" s="1" t="s">
        <v>1641</v>
      </c>
      <c r="G41" s="1">
        <v>650</v>
      </c>
      <c r="H41" s="1">
        <v>17502</v>
      </c>
      <c r="I41" s="1">
        <v>5392</v>
      </c>
      <c r="J41" s="1">
        <v>203262</v>
      </c>
      <c r="K41" s="1">
        <v>5.9</v>
      </c>
      <c r="L41" s="1">
        <v>19</v>
      </c>
      <c r="M41" s="1">
        <v>7.44</v>
      </c>
      <c r="N41" s="1">
        <v>4.3</v>
      </c>
      <c r="O41" s="1">
        <v>45.35</v>
      </c>
      <c r="P41" s="1">
        <v>3.3</v>
      </c>
      <c r="Q41" s="1">
        <v>17523</v>
      </c>
      <c r="R41" s="1">
        <v>1395</v>
      </c>
      <c r="S41" s="1">
        <v>4</v>
      </c>
      <c r="T41" s="1">
        <f>(Table1[[#This Row],[Selling_Price_per_Unit]]-Table1[[#This Row],[Manufacturing_Cost_per_Unit]])*Table1[[#This Row],[Units_Sold]]-Table1[[#This Row],[Marketing_Spend]]-Table1[[#This Row],[Discount_%]]</f>
        <v>7668233.7000000002</v>
      </c>
      <c r="U41" s="3">
        <f>Table1[[#This Row],[profit]]/(Table1[[#This Row],[Units_Sold]]*Table1[[#This Row],[Selling_Price_per_Unit]])*100</f>
        <v>67.405340049049343</v>
      </c>
      <c r="V41" s="6">
        <f>Table1[[#This Row],[Units_Sold]]*Table1[[#This Row],[Selling_Price_per_Unit]]</f>
        <v>11376300</v>
      </c>
      <c r="W41" s="7">
        <f>(Table1[[#This Row],[Units_Sold]]/$Z$1)</f>
        <v>0.13013148485229475</v>
      </c>
      <c r="X41" s="8">
        <f>((Table1[[#This Row],[Units_Sold]]*(Table1[[#This Row],[Selling_Price_per_Unit]]-Table1[[#This Row],[Manufacturing_Cost_per_Unit]]))-Table1[[#This Row],[Marketing_Spend]])/Table1[[#This Row],[Marketing_Spend]]</f>
        <v>37.725880882801505</v>
      </c>
    </row>
    <row r="42" spans="1:24" x14ac:dyDescent="0.3">
      <c r="A42" s="1" t="s">
        <v>656</v>
      </c>
      <c r="B42" s="1" t="s">
        <v>1473</v>
      </c>
      <c r="C42" s="1" t="s">
        <v>1634</v>
      </c>
      <c r="D42" s="1" t="s">
        <v>1636</v>
      </c>
      <c r="E42" s="1">
        <v>2023</v>
      </c>
      <c r="F42" s="1" t="s">
        <v>1639</v>
      </c>
      <c r="G42" s="1">
        <v>4859</v>
      </c>
      <c r="H42" s="1">
        <v>18840</v>
      </c>
      <c r="I42" s="1">
        <v>4325</v>
      </c>
      <c r="J42" s="1">
        <v>183172</v>
      </c>
      <c r="K42" s="1">
        <v>11.39</v>
      </c>
      <c r="L42" s="1">
        <v>13</v>
      </c>
      <c r="M42" s="1">
        <v>2.59</v>
      </c>
      <c r="N42" s="1">
        <v>10.36</v>
      </c>
      <c r="O42" s="1">
        <v>83.76</v>
      </c>
      <c r="P42" s="1">
        <v>1.7</v>
      </c>
      <c r="Q42" s="1">
        <v>15563</v>
      </c>
      <c r="R42" s="1">
        <v>7344</v>
      </c>
      <c r="S42" s="1">
        <v>9</v>
      </c>
      <c r="T42" s="1">
        <f>(Table1[[#This Row],[Selling_Price_per_Unit]]-Table1[[#This Row],[Manufacturing_Cost_per_Unit]])*Table1[[#This Row],[Units_Sold]]-Table1[[#This Row],[Marketing_Spend]]-Table1[[#This Row],[Discount_%]]</f>
        <v>70345202.640000001</v>
      </c>
      <c r="U42" s="3">
        <f>Table1[[#This Row],[profit]]/(Table1[[#This Row],[Units_Sold]]*Table1[[#This Row],[Selling_Price_per_Unit]])*100</f>
        <v>76.843420378233048</v>
      </c>
      <c r="V42" s="6">
        <f>Table1[[#This Row],[Units_Sold]]*Table1[[#This Row],[Selling_Price_per_Unit]]</f>
        <v>91543560</v>
      </c>
      <c r="W42" s="7">
        <f>(Table1[[#This Row],[Units_Sold]]/$Z$1)</f>
        <v>0.97278289984200028</v>
      </c>
      <c r="X42" s="8">
        <f>((Table1[[#This Row],[Units_Sold]]*(Table1[[#This Row],[Selling_Price_per_Unit]]-Table1[[#This Row],[Manufacturing_Cost_per_Unit]]))-Table1[[#This Row],[Marketing_Spend]])/Table1[[#This Row],[Marketing_Spend]]</f>
        <v>384.03911624047345</v>
      </c>
    </row>
    <row r="43" spans="1:24" hidden="1" x14ac:dyDescent="0.3">
      <c r="A43" s="1" t="s">
        <v>60</v>
      </c>
      <c r="B43" s="1" t="s">
        <v>1060</v>
      </c>
      <c r="C43" s="1" t="s">
        <v>1633</v>
      </c>
      <c r="D43" s="1" t="s">
        <v>1638</v>
      </c>
      <c r="E43" s="1">
        <v>2023</v>
      </c>
      <c r="F43" s="1" t="s">
        <v>1639</v>
      </c>
      <c r="G43" s="1">
        <v>2111</v>
      </c>
      <c r="H43" s="1">
        <v>6373</v>
      </c>
      <c r="I43" s="1">
        <v>11434</v>
      </c>
      <c r="J43" s="1">
        <v>335521</v>
      </c>
      <c r="K43" s="1">
        <v>9.92</v>
      </c>
      <c r="L43" s="1">
        <v>10</v>
      </c>
      <c r="M43" s="1">
        <v>2.34</v>
      </c>
      <c r="N43" s="1">
        <v>12.76</v>
      </c>
      <c r="O43" s="1">
        <v>71.14</v>
      </c>
      <c r="P43" s="1">
        <v>3.7</v>
      </c>
      <c r="Q43" s="1">
        <v>4759</v>
      </c>
      <c r="R43" s="1">
        <v>1042</v>
      </c>
      <c r="S43" s="1">
        <v>14</v>
      </c>
      <c r="T43" s="1">
        <f>(Table1[[#This Row],[Selling_Price_per_Unit]]-Table1[[#This Row],[Manufacturing_Cost_per_Unit]])*Table1[[#This Row],[Units_Sold]]-Table1[[#This Row],[Marketing_Spend]]-Table1[[#This Row],[Discount_%]]</f>
        <v>-11019304.76</v>
      </c>
      <c r="U43" s="3">
        <f>Table1[[#This Row],[profit]]/(Table1[[#This Row],[Units_Sold]]*Table1[[#This Row],[Selling_Price_per_Unit]])*100</f>
        <v>-81.907192997935169</v>
      </c>
      <c r="V43" s="6">
        <f>Table1[[#This Row],[Units_Sold]]*Table1[[#This Row],[Selling_Price_per_Unit]]</f>
        <v>13453403</v>
      </c>
      <c r="W43" s="7">
        <f>(Table1[[#This Row],[Units_Sold]]/$Z$1)</f>
        <v>0.42262702234337574</v>
      </c>
      <c r="X43" s="8">
        <f>((Table1[[#This Row],[Units_Sold]]*(Table1[[#This Row],[Selling_Price_per_Unit]]-Table1[[#This Row],[Manufacturing_Cost_per_Unit]]))-Table1[[#This Row],[Marketing_Spend]])/Table1[[#This Row],[Marketing_Spend]]</f>
        <v>-32.842331776550502</v>
      </c>
    </row>
    <row r="44" spans="1:24" hidden="1" x14ac:dyDescent="0.3">
      <c r="A44" s="1" t="s">
        <v>61</v>
      </c>
      <c r="B44" s="1" t="s">
        <v>1061</v>
      </c>
      <c r="C44" s="1" t="s">
        <v>1633</v>
      </c>
      <c r="D44" s="1" t="s">
        <v>1638</v>
      </c>
      <c r="E44" s="1">
        <v>2023</v>
      </c>
      <c r="F44" s="1" t="s">
        <v>1640</v>
      </c>
      <c r="G44" s="1">
        <v>291</v>
      </c>
      <c r="H44" s="1">
        <v>2981</v>
      </c>
      <c r="I44" s="1">
        <v>5598</v>
      </c>
      <c r="J44" s="1">
        <v>489953</v>
      </c>
      <c r="K44" s="1">
        <v>1.18</v>
      </c>
      <c r="L44" s="1">
        <v>12</v>
      </c>
      <c r="M44" s="1">
        <v>7.49</v>
      </c>
      <c r="N44" s="1">
        <v>3.51</v>
      </c>
      <c r="O44" s="1">
        <v>73.2</v>
      </c>
      <c r="P44" s="1">
        <v>1.5</v>
      </c>
      <c r="Q44" s="1">
        <v>18790</v>
      </c>
      <c r="R44" s="1">
        <v>3380</v>
      </c>
      <c r="S44" s="1">
        <v>5</v>
      </c>
      <c r="T44" s="1">
        <f>(Table1[[#This Row],[Selling_Price_per_Unit]]-Table1[[#This Row],[Manufacturing_Cost_per_Unit]])*Table1[[#This Row],[Units_Sold]]-Table1[[#This Row],[Marketing_Spend]]-Table1[[#This Row],[Discount_%]]</f>
        <v>-1251503.51</v>
      </c>
      <c r="U44" s="3">
        <f>Table1[[#This Row],[profit]]/(Table1[[#This Row],[Units_Sold]]*Table1[[#This Row],[Selling_Price_per_Unit]])*100</f>
        <v>-144.27035716467756</v>
      </c>
      <c r="V44" s="6">
        <f>Table1[[#This Row],[Units_Sold]]*Table1[[#This Row],[Selling_Price_per_Unit]]</f>
        <v>867471</v>
      </c>
      <c r="W44" s="7">
        <f>(Table1[[#This Row],[Units_Sold]]/$Z$1)</f>
        <v>5.8258864756950419E-2</v>
      </c>
      <c r="X44" s="8">
        <f>((Table1[[#This Row],[Units_Sold]]*(Table1[[#This Row],[Selling_Price_per_Unit]]-Table1[[#This Row],[Manufacturing_Cost_per_Unit]]))-Table1[[#This Row],[Marketing_Spend]])/Table1[[#This Row],[Marketing_Spend]]</f>
        <v>-2.5543266394939921</v>
      </c>
    </row>
    <row r="45" spans="1:24" hidden="1" x14ac:dyDescent="0.3">
      <c r="A45" s="1" t="s">
        <v>62</v>
      </c>
      <c r="B45" s="1" t="s">
        <v>1062</v>
      </c>
      <c r="C45" s="1" t="s">
        <v>1632</v>
      </c>
      <c r="D45" s="1" t="s">
        <v>1636</v>
      </c>
      <c r="E45" s="1">
        <v>2023</v>
      </c>
      <c r="F45" s="1" t="s">
        <v>1640</v>
      </c>
      <c r="G45" s="1">
        <v>2091</v>
      </c>
      <c r="H45" s="1">
        <v>11593</v>
      </c>
      <c r="I45" s="1">
        <v>6836</v>
      </c>
      <c r="J45" s="1">
        <v>88211</v>
      </c>
      <c r="K45" s="1">
        <v>8.17</v>
      </c>
      <c r="L45" s="1">
        <v>9</v>
      </c>
      <c r="M45" s="1">
        <v>9.18</v>
      </c>
      <c r="N45" s="1">
        <v>10.62</v>
      </c>
      <c r="O45" s="1">
        <v>61.14</v>
      </c>
      <c r="P45" s="1">
        <v>4.2</v>
      </c>
      <c r="Q45" s="1">
        <v>13800</v>
      </c>
      <c r="R45" s="1">
        <v>1133</v>
      </c>
      <c r="S45" s="1">
        <v>11</v>
      </c>
      <c r="T45" s="1">
        <f>(Table1[[#This Row],[Selling_Price_per_Unit]]-Table1[[#This Row],[Manufacturing_Cost_per_Unit]])*Table1[[#This Row],[Units_Sold]]-Table1[[#This Row],[Marketing_Spend]]-Table1[[#This Row],[Discount_%]]</f>
        <v>9858665.3800000008</v>
      </c>
      <c r="U45" s="3">
        <f>Table1[[#This Row],[profit]]/(Table1[[#This Row],[Units_Sold]]*Table1[[#This Row],[Selling_Price_per_Unit]])*100</f>
        <v>40.66944609420014</v>
      </c>
      <c r="V45" s="6">
        <f>Table1[[#This Row],[Units_Sold]]*Table1[[#This Row],[Selling_Price_per_Unit]]</f>
        <v>24240963</v>
      </c>
      <c r="W45" s="7">
        <f>(Table1[[#This Row],[Units_Sold]]/$Z$1)</f>
        <v>0.41862297665561282</v>
      </c>
      <c r="X45" s="8">
        <f>((Table1[[#This Row],[Units_Sold]]*(Table1[[#This Row],[Selling_Price_per_Unit]]-Table1[[#This Row],[Manufacturing_Cost_per_Unit]]))-Table1[[#This Row],[Marketing_Spend]])/Table1[[#This Row],[Marketing_Spend]]</f>
        <v>111.76243325662332</v>
      </c>
    </row>
    <row r="46" spans="1:24" x14ac:dyDescent="0.3">
      <c r="A46" s="1" t="s">
        <v>589</v>
      </c>
      <c r="B46" s="1" t="s">
        <v>1438</v>
      </c>
      <c r="C46" s="1" t="s">
        <v>1634</v>
      </c>
      <c r="D46" s="1" t="s">
        <v>1637</v>
      </c>
      <c r="E46" s="1">
        <v>2023</v>
      </c>
      <c r="F46" s="1" t="s">
        <v>1639</v>
      </c>
      <c r="G46" s="1">
        <v>4348</v>
      </c>
      <c r="H46" s="1">
        <v>16782</v>
      </c>
      <c r="I46" s="1">
        <v>1410</v>
      </c>
      <c r="J46" s="1">
        <v>387501</v>
      </c>
      <c r="K46" s="1">
        <v>4.13</v>
      </c>
      <c r="L46" s="1">
        <v>11</v>
      </c>
      <c r="M46" s="1">
        <v>6.15</v>
      </c>
      <c r="N46" s="1">
        <v>23.52</v>
      </c>
      <c r="O46" s="1">
        <v>81.650000000000006</v>
      </c>
      <c r="P46" s="1">
        <v>1.3</v>
      </c>
      <c r="Q46" s="1">
        <v>9900</v>
      </c>
      <c r="R46" s="1">
        <v>7203</v>
      </c>
      <c r="S46" s="1">
        <v>5</v>
      </c>
      <c r="T46" s="1">
        <f>(Table1[[#This Row],[Selling_Price_per_Unit]]-Table1[[#This Row],[Manufacturing_Cost_per_Unit]])*Table1[[#This Row],[Units_Sold]]-Table1[[#This Row],[Marketing_Spend]]-Table1[[#This Row],[Discount_%]]</f>
        <v>66449931.479999997</v>
      </c>
      <c r="U46" s="3">
        <f>Table1[[#This Row],[profit]]/(Table1[[#This Row],[Units_Sold]]*Table1[[#This Row],[Selling_Price_per_Unit]])*100</f>
        <v>91.067053542384585</v>
      </c>
      <c r="V46" s="6">
        <f>Table1[[#This Row],[Units_Sold]]*Table1[[#This Row],[Selling_Price_per_Unit]]</f>
        <v>72968136</v>
      </c>
      <c r="W46" s="7">
        <f>(Table1[[#This Row],[Units_Sold]]/$Z$1)</f>
        <v>0.87047953251965782</v>
      </c>
      <c r="X46" s="8">
        <f>((Table1[[#This Row],[Units_Sold]]*(Table1[[#This Row],[Selling_Price_per_Unit]]-Table1[[#This Row],[Manufacturing_Cost_per_Unit]]))-Table1[[#This Row],[Marketing_Spend]])/Table1[[#This Row],[Marketing_Spend]]</f>
        <v>171.48331230112956</v>
      </c>
    </row>
    <row r="47" spans="1:24" x14ac:dyDescent="0.3">
      <c r="A47" s="1" t="s">
        <v>260</v>
      </c>
      <c r="B47" s="1" t="s">
        <v>1232</v>
      </c>
      <c r="C47" s="1" t="s">
        <v>1632</v>
      </c>
      <c r="D47" s="1" t="s">
        <v>1637</v>
      </c>
      <c r="E47" s="1">
        <v>2023</v>
      </c>
      <c r="F47" s="1" t="s">
        <v>1642</v>
      </c>
      <c r="G47" s="1">
        <v>4483</v>
      </c>
      <c r="H47" s="1">
        <v>19655</v>
      </c>
      <c r="I47" s="1">
        <v>4983</v>
      </c>
      <c r="J47" s="1">
        <v>180544</v>
      </c>
      <c r="K47" s="1">
        <v>12.34</v>
      </c>
      <c r="L47" s="1">
        <v>8</v>
      </c>
      <c r="M47" s="1">
        <v>7.25</v>
      </c>
      <c r="N47" s="1">
        <v>5.17</v>
      </c>
      <c r="O47" s="1">
        <v>57.44</v>
      </c>
      <c r="P47" s="1">
        <v>3.3</v>
      </c>
      <c r="Q47" s="1">
        <v>10298</v>
      </c>
      <c r="R47" s="1">
        <v>3854</v>
      </c>
      <c r="S47" s="1">
        <v>11</v>
      </c>
      <c r="T47" s="1">
        <f>(Table1[[#This Row],[Selling_Price_per_Unit]]-Table1[[#This Row],[Manufacturing_Cost_per_Unit]])*Table1[[#This Row],[Units_Sold]]-Table1[[#This Row],[Marketing_Spend]]-Table1[[#This Row],[Discount_%]]</f>
        <v>65594026.829999998</v>
      </c>
      <c r="U47" s="3">
        <f>Table1[[#This Row],[profit]]/(Table1[[#This Row],[Units_Sold]]*Table1[[#This Row],[Selling_Price_per_Unit]])*100</f>
        <v>74.442766803878158</v>
      </c>
      <c r="V47" s="6">
        <f>Table1[[#This Row],[Units_Sold]]*Table1[[#This Row],[Selling_Price_per_Unit]]</f>
        <v>88113365</v>
      </c>
      <c r="W47" s="7">
        <f>(Table1[[#This Row],[Units_Sold]]/$Z$1)</f>
        <v>0.89750684091205746</v>
      </c>
      <c r="X47" s="8">
        <f>((Table1[[#This Row],[Units_Sold]]*(Table1[[#This Row],[Selling_Price_per_Unit]]-Table1[[#This Row],[Manufacturing_Cost_per_Unit]]))-Table1[[#This Row],[Marketing_Spend]])/Table1[[#This Row],[Marketing_Spend]]</f>
        <v>363.31327543424317</v>
      </c>
    </row>
    <row r="48" spans="1:24" hidden="1" x14ac:dyDescent="0.3">
      <c r="A48" s="1" t="s">
        <v>65</v>
      </c>
      <c r="B48" s="1" t="s">
        <v>1065</v>
      </c>
      <c r="C48" s="1" t="s">
        <v>1632</v>
      </c>
      <c r="D48" s="1" t="s">
        <v>1638</v>
      </c>
      <c r="E48" s="1">
        <v>2024</v>
      </c>
      <c r="F48" s="1" t="s">
        <v>1642</v>
      </c>
      <c r="G48" s="1">
        <v>1413</v>
      </c>
      <c r="H48" s="1">
        <v>9143</v>
      </c>
      <c r="I48" s="1">
        <v>13270</v>
      </c>
      <c r="J48" s="1">
        <v>306638</v>
      </c>
      <c r="K48" s="1">
        <v>11.71</v>
      </c>
      <c r="L48" s="1">
        <v>11</v>
      </c>
      <c r="M48" s="1">
        <v>7.5</v>
      </c>
      <c r="N48" s="1">
        <v>0.17</v>
      </c>
      <c r="O48" s="1">
        <v>80.58</v>
      </c>
      <c r="P48" s="1">
        <v>2.8</v>
      </c>
      <c r="Q48" s="1">
        <v>11483</v>
      </c>
      <c r="R48" s="1">
        <v>1720</v>
      </c>
      <c r="S48" s="1">
        <v>3</v>
      </c>
      <c r="T48" s="1">
        <f>(Table1[[#This Row],[Selling_Price_per_Unit]]-Table1[[#This Row],[Manufacturing_Cost_per_Unit]])*Table1[[#This Row],[Units_Sold]]-Table1[[#This Row],[Marketing_Spend]]-Table1[[#This Row],[Discount_%]]</f>
        <v>-6138089.1699999999</v>
      </c>
      <c r="U48" s="3">
        <f>Table1[[#This Row],[profit]]/(Table1[[#This Row],[Units_Sold]]*Table1[[#This Row],[Selling_Price_per_Unit]])*100</f>
        <v>-47.51189053320369</v>
      </c>
      <c r="V48" s="6">
        <f>Table1[[#This Row],[Units_Sold]]*Table1[[#This Row],[Selling_Price_per_Unit]]</f>
        <v>12919059</v>
      </c>
      <c r="W48" s="7">
        <f>(Table1[[#This Row],[Units_Sold]]/$Z$1)</f>
        <v>0.28288582784044997</v>
      </c>
      <c r="X48" s="8">
        <f>((Table1[[#This Row],[Units_Sold]]*(Table1[[#This Row],[Selling_Price_per_Unit]]-Table1[[#This Row],[Manufacturing_Cost_per_Unit]]))-Table1[[#This Row],[Marketing_Spend]])/Table1[[#This Row],[Marketing_Spend]]</f>
        <v>-20.017378798452899</v>
      </c>
    </row>
    <row r="49" spans="1:24" hidden="1" x14ac:dyDescent="0.3">
      <c r="A49" s="1" t="s">
        <v>66</v>
      </c>
      <c r="B49" s="1" t="s">
        <v>1066</v>
      </c>
      <c r="C49" s="1" t="s">
        <v>1632</v>
      </c>
      <c r="D49" s="1" t="s">
        <v>1635</v>
      </c>
      <c r="E49" s="1">
        <v>2023</v>
      </c>
      <c r="F49" s="1" t="s">
        <v>1640</v>
      </c>
      <c r="G49" s="1">
        <v>1528</v>
      </c>
      <c r="H49" s="1">
        <v>17208</v>
      </c>
      <c r="I49" s="1">
        <v>13716</v>
      </c>
      <c r="J49" s="1">
        <v>337139</v>
      </c>
      <c r="K49" s="1">
        <v>8.76</v>
      </c>
      <c r="L49" s="1">
        <v>13</v>
      </c>
      <c r="M49" s="1">
        <v>2.75</v>
      </c>
      <c r="N49" s="1">
        <v>11.68</v>
      </c>
      <c r="O49" s="1">
        <v>44.71</v>
      </c>
      <c r="P49" s="1">
        <v>1.2</v>
      </c>
      <c r="Q49" s="1">
        <v>5027</v>
      </c>
      <c r="R49" s="1">
        <v>3635</v>
      </c>
      <c r="S49" s="1">
        <v>2</v>
      </c>
      <c r="T49" s="1">
        <f>(Table1[[#This Row],[Selling_Price_per_Unit]]-Table1[[#This Row],[Manufacturing_Cost_per_Unit]])*Table1[[#This Row],[Units_Sold]]-Table1[[#This Row],[Marketing_Spend]]-Table1[[#This Row],[Discount_%]]</f>
        <v>4998625.32</v>
      </c>
      <c r="U49" s="3">
        <f>Table1[[#This Row],[profit]]/(Table1[[#This Row],[Units_Sold]]*Table1[[#This Row],[Selling_Price_per_Unit]])*100</f>
        <v>19.010644172563111</v>
      </c>
      <c r="V49" s="6">
        <f>Table1[[#This Row],[Units_Sold]]*Table1[[#This Row],[Selling_Price_per_Unit]]</f>
        <v>26293824</v>
      </c>
      <c r="W49" s="7">
        <f>(Table1[[#This Row],[Units_Sold]]/$Z$1)</f>
        <v>0.30590909054508675</v>
      </c>
      <c r="X49" s="8">
        <f>((Table1[[#This Row],[Units_Sold]]*(Table1[[#This Row],[Selling_Price_per_Unit]]-Table1[[#This Row],[Manufacturing_Cost_per_Unit]]))-Table1[[#This Row],[Marketing_Spend]])/Table1[[#This Row],[Marketing_Spend]]</f>
        <v>14.826635304725944</v>
      </c>
    </row>
    <row r="50" spans="1:24" hidden="1" x14ac:dyDescent="0.3">
      <c r="A50" s="1" t="s">
        <v>67</v>
      </c>
      <c r="B50" s="1" t="s">
        <v>1067</v>
      </c>
      <c r="C50" s="1" t="s">
        <v>1634</v>
      </c>
      <c r="D50" s="1" t="s">
        <v>1635</v>
      </c>
      <c r="E50" s="1">
        <v>2024</v>
      </c>
      <c r="F50" s="1" t="s">
        <v>1640</v>
      </c>
      <c r="G50" s="1">
        <v>2606</v>
      </c>
      <c r="H50" s="1">
        <v>12771</v>
      </c>
      <c r="I50" s="1">
        <v>8761</v>
      </c>
      <c r="J50" s="1">
        <v>198049</v>
      </c>
      <c r="K50" s="1">
        <v>14.28</v>
      </c>
      <c r="L50" s="1">
        <v>0</v>
      </c>
      <c r="M50" s="1">
        <v>6.25</v>
      </c>
      <c r="N50" s="1">
        <v>17.14</v>
      </c>
      <c r="O50" s="1">
        <v>69.81</v>
      </c>
      <c r="P50" s="1">
        <v>1.1000000000000001</v>
      </c>
      <c r="Q50" s="1">
        <v>3311</v>
      </c>
      <c r="R50" s="1">
        <v>3305</v>
      </c>
      <c r="S50" s="1">
        <v>4</v>
      </c>
      <c r="T50" s="1">
        <f>(Table1[[#This Row],[Selling_Price_per_Unit]]-Table1[[#This Row],[Manufacturing_Cost_per_Unit]])*Table1[[#This Row],[Units_Sold]]-Table1[[#This Row],[Marketing_Spend]]-Table1[[#This Row],[Discount_%]]</f>
        <v>10251993.859999999</v>
      </c>
      <c r="U50" s="3">
        <f>Table1[[#This Row],[profit]]/(Table1[[#This Row],[Units_Sold]]*Table1[[#This Row],[Selling_Price_per_Unit]])*100</f>
        <v>30.80413522025901</v>
      </c>
      <c r="V50" s="6">
        <f>Table1[[#This Row],[Units_Sold]]*Table1[[#This Row],[Selling_Price_per_Unit]]</f>
        <v>33281226</v>
      </c>
      <c r="W50" s="7">
        <f>(Table1[[#This Row],[Units_Sold]]/$Z$1)</f>
        <v>0.52172715311550788</v>
      </c>
      <c r="X50" s="8">
        <f>((Table1[[#This Row],[Units_Sold]]*(Table1[[#This Row],[Selling_Price_per_Unit]]-Table1[[#This Row],[Manufacturing_Cost_per_Unit]]))-Table1[[#This Row],[Marketing_Spend]])/Table1[[#This Row],[Marketing_Spend]]</f>
        <v>51.765022797388525</v>
      </c>
    </row>
    <row r="51" spans="1:24" hidden="1" x14ac:dyDescent="0.3">
      <c r="A51" s="1" t="s">
        <v>68</v>
      </c>
      <c r="B51" s="1" t="s">
        <v>1068</v>
      </c>
      <c r="C51" s="1" t="s">
        <v>1634</v>
      </c>
      <c r="D51" s="1" t="s">
        <v>1636</v>
      </c>
      <c r="E51" s="1">
        <v>2023</v>
      </c>
      <c r="F51" s="1" t="s">
        <v>1640</v>
      </c>
      <c r="G51" s="1">
        <v>825</v>
      </c>
      <c r="H51" s="1">
        <v>18716</v>
      </c>
      <c r="I51" s="1">
        <v>11549</v>
      </c>
      <c r="J51" s="1">
        <v>279010</v>
      </c>
      <c r="K51" s="1">
        <v>0.64</v>
      </c>
      <c r="L51" s="1">
        <v>17</v>
      </c>
      <c r="M51" s="1">
        <v>0.81</v>
      </c>
      <c r="N51" s="1">
        <v>5.66</v>
      </c>
      <c r="O51" s="1">
        <v>89.98</v>
      </c>
      <c r="P51" s="1">
        <v>4.7</v>
      </c>
      <c r="Q51" s="1">
        <v>13603</v>
      </c>
      <c r="R51" s="1">
        <v>2982</v>
      </c>
      <c r="S51" s="1">
        <v>11</v>
      </c>
      <c r="T51" s="1">
        <f>(Table1[[#This Row],[Selling_Price_per_Unit]]-Table1[[#This Row],[Manufacturing_Cost_per_Unit]])*Table1[[#This Row],[Units_Sold]]-Table1[[#This Row],[Marketing_Spend]]-Table1[[#This Row],[Discount_%]]</f>
        <v>5633759.3399999999</v>
      </c>
      <c r="U51" s="3">
        <f>Table1[[#This Row],[profit]]/(Table1[[#This Row],[Units_Sold]]*Table1[[#This Row],[Selling_Price_per_Unit]])*100</f>
        <v>36.486424449668732</v>
      </c>
      <c r="V51" s="6">
        <f>Table1[[#This Row],[Units_Sold]]*Table1[[#This Row],[Selling_Price_per_Unit]]</f>
        <v>15440700</v>
      </c>
      <c r="W51" s="7">
        <f>(Table1[[#This Row],[Units_Sold]]/$Z$1)</f>
        <v>0.16516688462022025</v>
      </c>
      <c r="X51" s="8">
        <f>((Table1[[#This Row],[Units_Sold]]*(Table1[[#This Row],[Selling_Price_per_Unit]]-Table1[[#This Row],[Manufacturing_Cost_per_Unit]]))-Table1[[#This Row],[Marketing_Spend]])/Table1[[#This Row],[Marketing_Spend]]</f>
        <v>20.191982366223431</v>
      </c>
    </row>
    <row r="52" spans="1:24" x14ac:dyDescent="0.3">
      <c r="A52" s="1" t="s">
        <v>512</v>
      </c>
      <c r="B52" s="1" t="s">
        <v>1399</v>
      </c>
      <c r="C52" s="1" t="s">
        <v>1632</v>
      </c>
      <c r="D52" s="1" t="s">
        <v>1638</v>
      </c>
      <c r="E52" s="1">
        <v>2023</v>
      </c>
      <c r="F52" s="1" t="s">
        <v>1640</v>
      </c>
      <c r="G52" s="1">
        <v>4541</v>
      </c>
      <c r="H52" s="1">
        <v>15951</v>
      </c>
      <c r="I52" s="1">
        <v>1471</v>
      </c>
      <c r="J52" s="1">
        <v>237450</v>
      </c>
      <c r="K52" s="1">
        <v>3.89</v>
      </c>
      <c r="L52" s="1">
        <v>10</v>
      </c>
      <c r="M52" s="1">
        <v>9.24</v>
      </c>
      <c r="N52" s="1">
        <v>25</v>
      </c>
      <c r="O52" s="1">
        <v>70.599999999999994</v>
      </c>
      <c r="P52" s="1">
        <v>1.5</v>
      </c>
      <c r="Q52" s="1">
        <v>13686</v>
      </c>
      <c r="R52" s="1">
        <v>7827</v>
      </c>
      <c r="S52" s="1">
        <v>5</v>
      </c>
      <c r="T52" s="1">
        <f>(Table1[[#This Row],[Selling_Price_per_Unit]]-Table1[[#This Row],[Manufacturing_Cost_per_Unit]])*Table1[[#This Row],[Units_Sold]]-Table1[[#This Row],[Marketing_Spend]]-Table1[[#This Row],[Discount_%]]</f>
        <v>65516205</v>
      </c>
      <c r="U52" s="3">
        <f>Table1[[#This Row],[profit]]/(Table1[[#This Row],[Units_Sold]]*Table1[[#This Row],[Selling_Price_per_Unit]])*100</f>
        <v>90.450155163721163</v>
      </c>
      <c r="V52" s="6">
        <f>Table1[[#This Row],[Units_Sold]]*Table1[[#This Row],[Selling_Price_per_Unit]]</f>
        <v>72433491</v>
      </c>
      <c r="W52" s="7">
        <f>(Table1[[#This Row],[Units_Sold]]/$Z$1)</f>
        <v>0.90911857340656999</v>
      </c>
      <c r="X52" s="8">
        <f>((Table1[[#This Row],[Units_Sold]]*(Table1[[#This Row],[Selling_Price_per_Unit]]-Table1[[#This Row],[Manufacturing_Cost_per_Unit]]))-Table1[[#This Row],[Marketing_Spend]])/Table1[[#This Row],[Marketing_Spend]]</f>
        <v>275.91589808380712</v>
      </c>
    </row>
    <row r="53" spans="1:24" hidden="1" x14ac:dyDescent="0.3">
      <c r="A53" s="1" t="s">
        <v>70</v>
      </c>
      <c r="B53" s="1" t="s">
        <v>1070</v>
      </c>
      <c r="C53" s="1" t="s">
        <v>1634</v>
      </c>
      <c r="D53" s="1" t="s">
        <v>1636</v>
      </c>
      <c r="E53" s="1">
        <v>2023</v>
      </c>
      <c r="F53" s="1" t="s">
        <v>1640</v>
      </c>
      <c r="G53" s="1">
        <v>84</v>
      </c>
      <c r="H53" s="1">
        <v>12498</v>
      </c>
      <c r="I53" s="1">
        <v>9537</v>
      </c>
      <c r="J53" s="1">
        <v>60651</v>
      </c>
      <c r="K53" s="1">
        <v>9.02</v>
      </c>
      <c r="L53" s="1">
        <v>8</v>
      </c>
      <c r="M53" s="1">
        <v>7.39</v>
      </c>
      <c r="N53" s="1">
        <v>22.18</v>
      </c>
      <c r="O53" s="1">
        <v>19.13</v>
      </c>
      <c r="P53" s="1">
        <v>2.8</v>
      </c>
      <c r="Q53" s="1">
        <v>14377</v>
      </c>
      <c r="R53" s="1">
        <v>8240</v>
      </c>
      <c r="S53" s="1">
        <v>10</v>
      </c>
      <c r="T53" s="1">
        <f>(Table1[[#This Row],[Selling_Price_per_Unit]]-Table1[[#This Row],[Manufacturing_Cost_per_Unit]])*Table1[[#This Row],[Units_Sold]]-Table1[[#This Row],[Marketing_Spend]]-Table1[[#This Row],[Discount_%]]</f>
        <v>188050.82</v>
      </c>
      <c r="U53" s="3">
        <f>Table1[[#This Row],[profit]]/(Table1[[#This Row],[Units_Sold]]*Table1[[#This Row],[Selling_Price_per_Unit]])*100</f>
        <v>17.912467899625845</v>
      </c>
      <c r="V53" s="6">
        <f>Table1[[#This Row],[Units_Sold]]*Table1[[#This Row],[Selling_Price_per_Unit]]</f>
        <v>1049832</v>
      </c>
      <c r="W53" s="7">
        <f>(Table1[[#This Row],[Units_Sold]]/$Z$1)</f>
        <v>1.6816991888604246E-2</v>
      </c>
      <c r="X53" s="8">
        <f>((Table1[[#This Row],[Units_Sold]]*(Table1[[#This Row],[Selling_Price_per_Unit]]-Table1[[#This Row],[Manufacturing_Cost_per_Unit]]))-Table1[[#This Row],[Marketing_Spend]])/Table1[[#This Row],[Marketing_Spend]]</f>
        <v>3.1009051788099122</v>
      </c>
    </row>
    <row r="54" spans="1:24" hidden="1" x14ac:dyDescent="0.3">
      <c r="A54" s="1" t="s">
        <v>71</v>
      </c>
      <c r="B54" s="1" t="s">
        <v>1071</v>
      </c>
      <c r="C54" s="1" t="s">
        <v>1632</v>
      </c>
      <c r="D54" s="1" t="s">
        <v>1636</v>
      </c>
      <c r="E54" s="1">
        <v>2023</v>
      </c>
      <c r="F54" s="1" t="s">
        <v>1639</v>
      </c>
      <c r="G54" s="1">
        <v>3202</v>
      </c>
      <c r="H54" s="1">
        <v>15795</v>
      </c>
      <c r="I54" s="1">
        <v>14675</v>
      </c>
      <c r="J54" s="1">
        <v>149239</v>
      </c>
      <c r="K54" s="1">
        <v>4.45</v>
      </c>
      <c r="L54" s="1">
        <v>8</v>
      </c>
      <c r="M54" s="1">
        <v>6.87</v>
      </c>
      <c r="N54" s="1">
        <v>6.88</v>
      </c>
      <c r="O54" s="1">
        <v>51.47</v>
      </c>
      <c r="P54" s="1">
        <v>4.3</v>
      </c>
      <c r="Q54" s="1">
        <v>9463</v>
      </c>
      <c r="R54" s="1">
        <v>9845</v>
      </c>
      <c r="S54" s="1">
        <v>12</v>
      </c>
      <c r="T54" s="1">
        <f>(Table1[[#This Row],[Selling_Price_per_Unit]]-Table1[[#This Row],[Manufacturing_Cost_per_Unit]])*Table1[[#This Row],[Units_Sold]]-Table1[[#This Row],[Marketing_Spend]]-Table1[[#This Row],[Discount_%]]</f>
        <v>3436994.12</v>
      </c>
      <c r="U54" s="3">
        <f>Table1[[#This Row],[profit]]/(Table1[[#This Row],[Units_Sold]]*Table1[[#This Row],[Selling_Price_per_Unit]])*100</f>
        <v>6.7957568463363458</v>
      </c>
      <c r="V54" s="6">
        <f>Table1[[#This Row],[Units_Sold]]*Table1[[#This Row],[Selling_Price_per_Unit]]</f>
        <v>50575590</v>
      </c>
      <c r="W54" s="7">
        <f>(Table1[[#This Row],[Units_Sold]]/$Z$1)</f>
        <v>0.64104771461084276</v>
      </c>
      <c r="X54" s="8">
        <f>((Table1[[#This Row],[Units_Sold]]*(Table1[[#This Row],[Selling_Price_per_Unit]]-Table1[[#This Row],[Manufacturing_Cost_per_Unit]]))-Table1[[#This Row],[Marketing_Spend]])/Table1[[#This Row],[Marketing_Spend]]</f>
        <v>23.030179778744163</v>
      </c>
    </row>
    <row r="55" spans="1:24" hidden="1" x14ac:dyDescent="0.3">
      <c r="A55" s="1" t="s">
        <v>72</v>
      </c>
      <c r="B55" s="1" t="s">
        <v>1072</v>
      </c>
      <c r="C55" s="1" t="s">
        <v>1634</v>
      </c>
      <c r="D55" s="1" t="s">
        <v>1636</v>
      </c>
      <c r="E55" s="1">
        <v>2023</v>
      </c>
      <c r="F55" s="1" t="s">
        <v>1640</v>
      </c>
      <c r="G55" s="1">
        <v>2005</v>
      </c>
      <c r="H55" s="1">
        <v>12182</v>
      </c>
      <c r="I55" s="1">
        <v>5519</v>
      </c>
      <c r="J55" s="1">
        <v>391075</v>
      </c>
      <c r="K55" s="1">
        <v>10.72</v>
      </c>
      <c r="L55" s="1">
        <v>9</v>
      </c>
      <c r="M55" s="1">
        <v>8.15</v>
      </c>
      <c r="N55" s="1">
        <v>5.59</v>
      </c>
      <c r="O55" s="1">
        <v>56.99</v>
      </c>
      <c r="P55" s="1">
        <v>4.5999999999999996</v>
      </c>
      <c r="Q55" s="1">
        <v>16724</v>
      </c>
      <c r="R55" s="1">
        <v>3997</v>
      </c>
      <c r="S55" s="1">
        <v>6</v>
      </c>
      <c r="T55" s="1">
        <f>(Table1[[#This Row],[Selling_Price_per_Unit]]-Table1[[#This Row],[Manufacturing_Cost_per_Unit]])*Table1[[#This Row],[Units_Sold]]-Table1[[#This Row],[Marketing_Spend]]-Table1[[#This Row],[Discount_%]]</f>
        <v>12968234.41</v>
      </c>
      <c r="U55" s="3">
        <f>Table1[[#This Row],[profit]]/(Table1[[#This Row],[Units_Sold]]*Table1[[#This Row],[Selling_Price_per_Unit]])*100</f>
        <v>53.094297624842838</v>
      </c>
      <c r="V55" s="6">
        <f>Table1[[#This Row],[Units_Sold]]*Table1[[#This Row],[Selling_Price_per_Unit]]</f>
        <v>24424910</v>
      </c>
      <c r="W55" s="7">
        <f>(Table1[[#This Row],[Units_Sold]]/$Z$1)</f>
        <v>0.40140558019823225</v>
      </c>
      <c r="X55" s="8">
        <f>((Table1[[#This Row],[Units_Sold]]*(Table1[[#This Row],[Selling_Price_per_Unit]]-Table1[[#This Row],[Manufacturing_Cost_per_Unit]]))-Table1[[#This Row],[Marketing_Spend]])/Table1[[#This Row],[Marketing_Spend]]</f>
        <v>33.160493511474783</v>
      </c>
    </row>
    <row r="56" spans="1:24" hidden="1" x14ac:dyDescent="0.3">
      <c r="A56" s="1" t="s">
        <v>73</v>
      </c>
      <c r="B56" s="1" t="s">
        <v>1073</v>
      </c>
      <c r="C56" s="1" t="s">
        <v>1632</v>
      </c>
      <c r="D56" s="1" t="s">
        <v>1635</v>
      </c>
      <c r="E56" s="1">
        <v>2023</v>
      </c>
      <c r="F56" s="1" t="s">
        <v>1641</v>
      </c>
      <c r="G56" s="1">
        <v>1635</v>
      </c>
      <c r="H56" s="1">
        <v>17880</v>
      </c>
      <c r="I56" s="1">
        <v>12827</v>
      </c>
      <c r="J56" s="1">
        <v>276416</v>
      </c>
      <c r="K56" s="1">
        <v>11.39</v>
      </c>
      <c r="L56" s="1">
        <v>18</v>
      </c>
      <c r="M56" s="1">
        <v>8.77</v>
      </c>
      <c r="N56" s="1">
        <v>21.43</v>
      </c>
      <c r="O56" s="1">
        <v>23.94</v>
      </c>
      <c r="P56" s="1">
        <v>3.1</v>
      </c>
      <c r="Q56" s="1">
        <v>10416</v>
      </c>
      <c r="R56" s="1">
        <v>9887</v>
      </c>
      <c r="S56" s="1">
        <v>4</v>
      </c>
      <c r="T56" s="1">
        <f>(Table1[[#This Row],[Selling_Price_per_Unit]]-Table1[[#This Row],[Manufacturing_Cost_per_Unit]])*Table1[[#This Row],[Units_Sold]]-Table1[[#This Row],[Marketing_Spend]]-Table1[[#This Row],[Discount_%]]</f>
        <v>7985217.5700000003</v>
      </c>
      <c r="U56" s="3">
        <f>Table1[[#This Row],[profit]]/(Table1[[#This Row],[Units_Sold]]*Table1[[#This Row],[Selling_Price_per_Unit]])*100</f>
        <v>27.31501744555959</v>
      </c>
      <c r="V56" s="6">
        <f>Table1[[#This Row],[Units_Sold]]*Table1[[#This Row],[Selling_Price_per_Unit]]</f>
        <v>29233800</v>
      </c>
      <c r="W56" s="7">
        <f>(Table1[[#This Row],[Units_Sold]]/$Z$1)</f>
        <v>0.32733073497461834</v>
      </c>
      <c r="X56" s="8">
        <f>((Table1[[#This Row],[Units_Sold]]*(Table1[[#This Row],[Selling_Price_per_Unit]]-Table1[[#This Row],[Manufacturing_Cost_per_Unit]]))-Table1[[#This Row],[Marketing_Spend]])/Table1[[#This Row],[Marketing_Spend]]</f>
        <v>28.888483300532531</v>
      </c>
    </row>
    <row r="57" spans="1:24" x14ac:dyDescent="0.3">
      <c r="A57" s="1" t="s">
        <v>526</v>
      </c>
      <c r="B57" s="1" t="s">
        <v>1408</v>
      </c>
      <c r="C57" s="1" t="s">
        <v>1634</v>
      </c>
      <c r="D57" s="1" t="s">
        <v>1638</v>
      </c>
      <c r="E57" s="1">
        <v>2023</v>
      </c>
      <c r="F57" s="1" t="s">
        <v>1641</v>
      </c>
      <c r="G57" s="1">
        <v>4896</v>
      </c>
      <c r="H57" s="1">
        <v>18518</v>
      </c>
      <c r="I57" s="1">
        <v>5060</v>
      </c>
      <c r="J57" s="1">
        <v>491904</v>
      </c>
      <c r="K57" s="1">
        <v>12.67</v>
      </c>
      <c r="L57" s="1">
        <v>17</v>
      </c>
      <c r="M57" s="1">
        <v>6.29</v>
      </c>
      <c r="N57" s="1">
        <v>12.09</v>
      </c>
      <c r="O57" s="1">
        <v>45.09</v>
      </c>
      <c r="P57" s="1">
        <v>4.8</v>
      </c>
      <c r="Q57" s="1">
        <v>4838</v>
      </c>
      <c r="R57" s="1">
        <v>689</v>
      </c>
      <c r="S57" s="1">
        <v>14</v>
      </c>
      <c r="T57" s="1">
        <f>(Table1[[#This Row],[Selling_Price_per_Unit]]-Table1[[#This Row],[Manufacturing_Cost_per_Unit]])*Table1[[#This Row],[Units_Sold]]-Table1[[#This Row],[Marketing_Spend]]-Table1[[#This Row],[Discount_%]]</f>
        <v>65398451.909999996</v>
      </c>
      <c r="U57" s="3">
        <f>Table1[[#This Row],[profit]]/(Table1[[#This Row],[Units_Sold]]*Table1[[#This Row],[Selling_Price_per_Unit]])*100</f>
        <v>72.132665203596275</v>
      </c>
      <c r="V57" s="6">
        <f>Table1[[#This Row],[Units_Sold]]*Table1[[#This Row],[Selling_Price_per_Unit]]</f>
        <v>90664128</v>
      </c>
      <c r="W57" s="7">
        <f>(Table1[[#This Row],[Units_Sold]]/$Z$1)</f>
        <v>0.98019038436436168</v>
      </c>
      <c r="X57" s="8">
        <f>((Table1[[#This Row],[Units_Sold]]*(Table1[[#This Row],[Selling_Price_per_Unit]]-Table1[[#This Row],[Manufacturing_Cost_per_Unit]]))-Table1[[#This Row],[Marketing_Spend]])/Table1[[#This Row],[Marketing_Spend]]</f>
        <v>132.94964871194378</v>
      </c>
    </row>
    <row r="58" spans="1:24" hidden="1" x14ac:dyDescent="0.3">
      <c r="A58" s="1" t="s">
        <v>75</v>
      </c>
      <c r="B58" s="1" t="s">
        <v>1075</v>
      </c>
      <c r="C58" s="1" t="s">
        <v>1632</v>
      </c>
      <c r="D58" s="1" t="s">
        <v>1635</v>
      </c>
      <c r="E58" s="1">
        <v>2023</v>
      </c>
      <c r="F58" s="1" t="s">
        <v>1641</v>
      </c>
      <c r="G58" s="1">
        <v>3123</v>
      </c>
      <c r="H58" s="1">
        <v>4800</v>
      </c>
      <c r="I58" s="1">
        <v>5639</v>
      </c>
      <c r="J58" s="1">
        <v>328859</v>
      </c>
      <c r="K58" s="1">
        <v>7.71</v>
      </c>
      <c r="L58" s="1">
        <v>4</v>
      </c>
      <c r="M58" s="1">
        <v>6.72</v>
      </c>
      <c r="N58" s="1">
        <v>11.21</v>
      </c>
      <c r="O58" s="1">
        <v>24.05</v>
      </c>
      <c r="P58" s="1">
        <v>3.7</v>
      </c>
      <c r="Q58" s="1">
        <v>18686</v>
      </c>
      <c r="R58" s="1">
        <v>4222</v>
      </c>
      <c r="S58" s="1">
        <v>6</v>
      </c>
      <c r="T58" s="1">
        <f>(Table1[[#This Row],[Selling_Price_per_Unit]]-Table1[[#This Row],[Manufacturing_Cost_per_Unit]])*Table1[[#This Row],[Units_Sold]]-Table1[[#This Row],[Marketing_Spend]]-Table1[[#This Row],[Discount_%]]</f>
        <v>-2949067.21</v>
      </c>
      <c r="U58" s="3">
        <f>Table1[[#This Row],[profit]]/(Table1[[#This Row],[Units_Sold]]*Table1[[#This Row],[Selling_Price_per_Unit]])*100</f>
        <v>-19.673038811506029</v>
      </c>
      <c r="V58" s="6">
        <f>Table1[[#This Row],[Units_Sold]]*Table1[[#This Row],[Selling_Price_per_Unit]]</f>
        <v>14990400</v>
      </c>
      <c r="W58" s="7">
        <f>(Table1[[#This Row],[Units_Sold]]/$Z$1)</f>
        <v>0.62523173414417921</v>
      </c>
      <c r="X58" s="8">
        <f>((Table1[[#This Row],[Units_Sold]]*(Table1[[#This Row],[Selling_Price_per_Unit]]-Table1[[#This Row],[Manufacturing_Cost_per_Unit]]))-Table1[[#This Row],[Marketing_Spend]])/Table1[[#This Row],[Marketing_Spend]]</f>
        <v>-8.9675392797521134</v>
      </c>
    </row>
    <row r="59" spans="1:24" hidden="1" x14ac:dyDescent="0.3">
      <c r="A59" s="1" t="s">
        <v>76</v>
      </c>
      <c r="B59" s="1" t="s">
        <v>1020</v>
      </c>
      <c r="C59" s="1" t="s">
        <v>1632</v>
      </c>
      <c r="D59" s="1" t="s">
        <v>1636</v>
      </c>
      <c r="E59" s="1">
        <v>2023</v>
      </c>
      <c r="F59" s="1" t="s">
        <v>1642</v>
      </c>
      <c r="G59" s="1">
        <v>1071</v>
      </c>
      <c r="H59" s="1">
        <v>8222</v>
      </c>
      <c r="I59" s="1">
        <v>8194</v>
      </c>
      <c r="J59" s="1">
        <v>487625</v>
      </c>
      <c r="K59" s="1">
        <v>7.63</v>
      </c>
      <c r="L59" s="1">
        <v>14</v>
      </c>
      <c r="M59" s="1">
        <v>0.32</v>
      </c>
      <c r="N59" s="1">
        <v>12.23</v>
      </c>
      <c r="O59" s="1">
        <v>24.2</v>
      </c>
      <c r="P59" s="1">
        <v>4.8</v>
      </c>
      <c r="Q59" s="1">
        <v>20466</v>
      </c>
      <c r="R59" s="1">
        <v>5209</v>
      </c>
      <c r="S59" s="1">
        <v>6</v>
      </c>
      <c r="T59" s="1">
        <f>(Table1[[#This Row],[Selling_Price_per_Unit]]-Table1[[#This Row],[Manufacturing_Cost_per_Unit]])*Table1[[#This Row],[Units_Sold]]-Table1[[#This Row],[Marketing_Spend]]-Table1[[#This Row],[Discount_%]]</f>
        <v>-457649.23</v>
      </c>
      <c r="U59" s="3">
        <f>Table1[[#This Row],[profit]]/(Table1[[#This Row],[Units_Sold]]*Table1[[#This Row],[Selling_Price_per_Unit]])*100</f>
        <v>-5.1971564754986561</v>
      </c>
      <c r="V59" s="6">
        <f>Table1[[#This Row],[Units_Sold]]*Table1[[#This Row],[Selling_Price_per_Unit]]</f>
        <v>8805762</v>
      </c>
      <c r="W59" s="7">
        <f>(Table1[[#This Row],[Units_Sold]]/$Z$1)</f>
        <v>0.21441664657970411</v>
      </c>
      <c r="X59" s="8">
        <f>((Table1[[#This Row],[Units_Sold]]*(Table1[[#This Row],[Selling_Price_per_Unit]]-Table1[[#This Row],[Manufacturing_Cost_per_Unit]]))-Table1[[#This Row],[Marketing_Spend]])/Table1[[#This Row],[Marketing_Spend]]</f>
        <v>-0.93850192258395282</v>
      </c>
    </row>
    <row r="60" spans="1:24" hidden="1" x14ac:dyDescent="0.3">
      <c r="A60" s="1" t="s">
        <v>77</v>
      </c>
      <c r="B60" s="1" t="s">
        <v>1076</v>
      </c>
      <c r="C60" s="1" t="s">
        <v>1633</v>
      </c>
      <c r="D60" s="1" t="s">
        <v>1636</v>
      </c>
      <c r="E60" s="1">
        <v>2024</v>
      </c>
      <c r="F60" s="1" t="s">
        <v>1641</v>
      </c>
      <c r="G60" s="1">
        <v>3511</v>
      </c>
      <c r="H60" s="1">
        <v>8718</v>
      </c>
      <c r="I60" s="1">
        <v>14856</v>
      </c>
      <c r="J60" s="1">
        <v>205378</v>
      </c>
      <c r="K60" s="1">
        <v>5.54</v>
      </c>
      <c r="L60" s="1">
        <v>19</v>
      </c>
      <c r="M60" s="1">
        <v>5.35</v>
      </c>
      <c r="N60" s="1">
        <v>5.44</v>
      </c>
      <c r="O60" s="1">
        <v>83.21</v>
      </c>
      <c r="P60" s="1">
        <v>3.4</v>
      </c>
      <c r="Q60" s="1">
        <v>3165</v>
      </c>
      <c r="R60" s="1">
        <v>9383</v>
      </c>
      <c r="S60" s="1">
        <v>13</v>
      </c>
      <c r="T60" s="1">
        <f>(Table1[[#This Row],[Selling_Price_per_Unit]]-Table1[[#This Row],[Manufacturing_Cost_per_Unit]])*Table1[[#This Row],[Units_Sold]]-Table1[[#This Row],[Marketing_Spend]]-Table1[[#This Row],[Discount_%]]</f>
        <v>-21755901.440000001</v>
      </c>
      <c r="U60" s="3">
        <f>Table1[[#This Row],[profit]]/(Table1[[#This Row],[Units_Sold]]*Table1[[#This Row],[Selling_Price_per_Unit]])*100</f>
        <v>-71.077049033258248</v>
      </c>
      <c r="V60" s="6">
        <f>Table1[[#This Row],[Units_Sold]]*Table1[[#This Row],[Selling_Price_per_Unit]]</f>
        <v>30608898</v>
      </c>
      <c r="W60" s="7">
        <f>(Table1[[#This Row],[Units_Sold]]/$Z$1)</f>
        <v>0.70291022048677976</v>
      </c>
      <c r="X60" s="8">
        <f>((Table1[[#This Row],[Units_Sold]]*(Table1[[#This Row],[Selling_Price_per_Unit]]-Table1[[#This Row],[Manufacturing_Cost_per_Unit]]))-Table1[[#This Row],[Marketing_Spend]])/Table1[[#This Row],[Marketing_Spend]]</f>
        <v>-105.9309955301931</v>
      </c>
    </row>
    <row r="61" spans="1:24" hidden="1" x14ac:dyDescent="0.3">
      <c r="A61" s="1" t="s">
        <v>78</v>
      </c>
      <c r="B61" s="1" t="s">
        <v>1024</v>
      </c>
      <c r="C61" s="1" t="s">
        <v>1632</v>
      </c>
      <c r="D61" s="1" t="s">
        <v>1638</v>
      </c>
      <c r="E61" s="1">
        <v>2024</v>
      </c>
      <c r="F61" s="1" t="s">
        <v>1639</v>
      </c>
      <c r="G61" s="1">
        <v>2663</v>
      </c>
      <c r="H61" s="1">
        <v>4554</v>
      </c>
      <c r="I61" s="1">
        <v>12796</v>
      </c>
      <c r="J61" s="1">
        <v>200158</v>
      </c>
      <c r="K61" s="1">
        <v>13.99</v>
      </c>
      <c r="L61" s="1">
        <v>1</v>
      </c>
      <c r="M61" s="1">
        <v>0.38</v>
      </c>
      <c r="N61" s="1">
        <v>1.96</v>
      </c>
      <c r="O61" s="1">
        <v>47.22</v>
      </c>
      <c r="P61" s="1">
        <v>3.2</v>
      </c>
      <c r="Q61" s="1">
        <v>17432</v>
      </c>
      <c r="R61" s="1">
        <v>2937</v>
      </c>
      <c r="S61" s="1">
        <v>13</v>
      </c>
      <c r="T61" s="1">
        <f>(Table1[[#This Row],[Selling_Price_per_Unit]]-Table1[[#This Row],[Manufacturing_Cost_per_Unit]])*Table1[[#This Row],[Units_Sold]]-Table1[[#This Row],[Marketing_Spend]]-Table1[[#This Row],[Discount_%]]</f>
        <v>-22148605.960000001</v>
      </c>
      <c r="U61" s="3">
        <f>Table1[[#This Row],[profit]]/(Table1[[#This Row],[Units_Sold]]*Table1[[#This Row],[Selling_Price_per_Unit]])*100</f>
        <v>-182.63424098781411</v>
      </c>
      <c r="V61" s="6">
        <f>Table1[[#This Row],[Units_Sold]]*Table1[[#This Row],[Selling_Price_per_Unit]]</f>
        <v>12127302</v>
      </c>
      <c r="W61" s="7">
        <f>(Table1[[#This Row],[Units_Sold]]/$Z$1)</f>
        <v>0.53313868332563219</v>
      </c>
      <c r="X61" s="8">
        <f>((Table1[[#This Row],[Units_Sold]]*(Table1[[#This Row],[Selling_Price_per_Unit]]-Table1[[#This Row],[Manufacturing_Cost_per_Unit]]))-Table1[[#This Row],[Marketing_Spend]])/Table1[[#This Row],[Marketing_Spend]]</f>
        <v>-110.65560207436125</v>
      </c>
    </row>
    <row r="62" spans="1:24" x14ac:dyDescent="0.3">
      <c r="A62" s="1" t="s">
        <v>485</v>
      </c>
      <c r="B62" s="1" t="s">
        <v>1153</v>
      </c>
      <c r="C62" s="1" t="s">
        <v>1633</v>
      </c>
      <c r="D62" s="1" t="s">
        <v>1637</v>
      </c>
      <c r="E62" s="1">
        <v>2024</v>
      </c>
      <c r="F62" s="1" t="s">
        <v>1642</v>
      </c>
      <c r="G62" s="1">
        <v>4129</v>
      </c>
      <c r="H62" s="1">
        <v>18467</v>
      </c>
      <c r="I62" s="1">
        <v>2774</v>
      </c>
      <c r="J62" s="1">
        <v>172258</v>
      </c>
      <c r="K62" s="1">
        <v>10.44</v>
      </c>
      <c r="L62" s="1">
        <v>13</v>
      </c>
      <c r="M62" s="1">
        <v>8.4700000000000006</v>
      </c>
      <c r="N62" s="1">
        <v>11.25</v>
      </c>
      <c r="O62" s="1">
        <v>59.94</v>
      </c>
      <c r="P62" s="1">
        <v>1.1000000000000001</v>
      </c>
      <c r="Q62" s="1">
        <v>4211</v>
      </c>
      <c r="R62" s="1">
        <v>1097</v>
      </c>
      <c r="S62" s="1">
        <v>2</v>
      </c>
      <c r="T62" s="1">
        <f>(Table1[[#This Row],[Selling_Price_per_Unit]]-Table1[[#This Row],[Manufacturing_Cost_per_Unit]])*Table1[[#This Row],[Units_Sold]]-Table1[[#This Row],[Marketing_Spend]]-Table1[[#This Row],[Discount_%]]</f>
        <v>64624127.75</v>
      </c>
      <c r="U62" s="3">
        <f>Table1[[#This Row],[profit]]/(Table1[[#This Row],[Units_Sold]]*Table1[[#This Row],[Selling_Price_per_Unit]])*100</f>
        <v>84.75268432915027</v>
      </c>
      <c r="V62" s="6">
        <f>Table1[[#This Row],[Units_Sold]]*Table1[[#This Row],[Selling_Price_per_Unit]]</f>
        <v>76250243</v>
      </c>
      <c r="W62" s="7">
        <f>(Table1[[#This Row],[Units_Sold]]/$Z$1)</f>
        <v>0.82663523223865387</v>
      </c>
      <c r="X62" s="8">
        <f>((Table1[[#This Row],[Units_Sold]]*(Table1[[#This Row],[Selling_Price_per_Unit]]-Table1[[#This Row],[Manufacturing_Cost_per_Unit]]))-Table1[[#This Row],[Marketing_Spend]])/Table1[[#This Row],[Marketing_Spend]]</f>
        <v>375.1589998722846</v>
      </c>
    </row>
    <row r="63" spans="1:24" hidden="1" x14ac:dyDescent="0.3">
      <c r="A63" s="1" t="s">
        <v>80</v>
      </c>
      <c r="B63" s="1" t="s">
        <v>1078</v>
      </c>
      <c r="C63" s="1" t="s">
        <v>1632</v>
      </c>
      <c r="D63" s="1" t="s">
        <v>1637</v>
      </c>
      <c r="E63" s="1">
        <v>2024</v>
      </c>
      <c r="F63" s="1" t="s">
        <v>1642</v>
      </c>
      <c r="G63" s="1">
        <v>1550</v>
      </c>
      <c r="H63" s="1">
        <v>9470</v>
      </c>
      <c r="I63" s="1">
        <v>4293</v>
      </c>
      <c r="J63" s="1">
        <v>373494</v>
      </c>
      <c r="K63" s="1">
        <v>10.46</v>
      </c>
      <c r="L63" s="1">
        <v>15</v>
      </c>
      <c r="M63" s="1">
        <v>3.21</v>
      </c>
      <c r="N63" s="1">
        <v>2.46</v>
      </c>
      <c r="O63" s="1">
        <v>57.85</v>
      </c>
      <c r="P63" s="1">
        <v>1.3</v>
      </c>
      <c r="Q63" s="1">
        <v>4052</v>
      </c>
      <c r="R63" s="1">
        <v>5328</v>
      </c>
      <c r="S63" s="1">
        <v>6</v>
      </c>
      <c r="T63" s="1">
        <f>(Table1[[#This Row],[Selling_Price_per_Unit]]-Table1[[#This Row],[Manufacturing_Cost_per_Unit]])*Table1[[#This Row],[Units_Sold]]-Table1[[#This Row],[Marketing_Spend]]-Table1[[#This Row],[Discount_%]]</f>
        <v>7650853.54</v>
      </c>
      <c r="U63" s="3">
        <f>Table1[[#This Row],[profit]]/(Table1[[#This Row],[Units_Sold]]*Table1[[#This Row],[Selling_Price_per_Unit]])*100</f>
        <v>52.122856831420108</v>
      </c>
      <c r="V63" s="6">
        <f>Table1[[#This Row],[Units_Sold]]*Table1[[#This Row],[Selling_Price_per_Unit]]</f>
        <v>14678500</v>
      </c>
      <c r="W63" s="7">
        <f>(Table1[[#This Row],[Units_Sold]]/$Z$1)</f>
        <v>0.31031354080162593</v>
      </c>
      <c r="X63" s="8">
        <f>((Table1[[#This Row],[Units_Sold]]*(Table1[[#This Row],[Selling_Price_per_Unit]]-Table1[[#This Row],[Manufacturing_Cost_per_Unit]]))-Table1[[#This Row],[Marketing_Spend]])/Table1[[#This Row],[Marketing_Spend]]</f>
        <v>20.484548613900088</v>
      </c>
    </row>
    <row r="64" spans="1:24" x14ac:dyDescent="0.3">
      <c r="A64" s="1" t="s">
        <v>81</v>
      </c>
      <c r="B64" s="1" t="s">
        <v>1078</v>
      </c>
      <c r="C64" s="1" t="s">
        <v>1633</v>
      </c>
      <c r="D64" s="1" t="s">
        <v>1636</v>
      </c>
      <c r="E64" s="1">
        <v>2024</v>
      </c>
      <c r="F64" s="1" t="s">
        <v>1641</v>
      </c>
      <c r="G64" s="1">
        <v>4848</v>
      </c>
      <c r="H64" s="1">
        <v>3643</v>
      </c>
      <c r="I64" s="1">
        <v>11593</v>
      </c>
      <c r="J64" s="1">
        <v>383569</v>
      </c>
      <c r="K64" s="1">
        <v>10.71</v>
      </c>
      <c r="L64" s="1">
        <v>14</v>
      </c>
      <c r="M64" s="1">
        <v>5.62</v>
      </c>
      <c r="N64" s="1">
        <v>11.23</v>
      </c>
      <c r="O64" s="1">
        <v>58.15</v>
      </c>
      <c r="P64" s="1">
        <v>3.3</v>
      </c>
      <c r="Q64" s="1">
        <v>14719</v>
      </c>
      <c r="R64" s="1">
        <v>4269</v>
      </c>
      <c r="S64" s="1">
        <v>8</v>
      </c>
      <c r="T64" s="1">
        <f>(Table1[[#This Row],[Selling_Price_per_Unit]]-Table1[[#This Row],[Manufacturing_Cost_per_Unit]])*Table1[[#This Row],[Units_Sold]]-Table1[[#This Row],[Marketing_Spend]]-Table1[[#This Row],[Discount_%]]</f>
        <v>-38925180.229999997</v>
      </c>
      <c r="U64" s="3">
        <f>Table1[[#This Row],[profit]]/(Table1[[#This Row],[Units_Sold]]*Table1[[#This Row],[Selling_Price_per_Unit]])*100</f>
        <v>-220.39860923884041</v>
      </c>
      <c r="V64" s="6">
        <f>Table1[[#This Row],[Units_Sold]]*Table1[[#This Row],[Selling_Price_per_Unit]]</f>
        <v>17661264</v>
      </c>
      <c r="W64" s="7">
        <f>(Table1[[#This Row],[Units_Sold]]/$Z$1)</f>
        <v>0.97058067471373066</v>
      </c>
      <c r="X64" s="8">
        <f>((Table1[[#This Row],[Units_Sold]]*(Table1[[#This Row],[Selling_Price_per_Unit]]-Table1[[#This Row],[Manufacturing_Cost_per_Unit]]))-Table1[[#This Row],[Marketing_Spend]])/Table1[[#This Row],[Marketing_Spend]]</f>
        <v>-101.48153005065582</v>
      </c>
    </row>
    <row r="65" spans="1:24" hidden="1" x14ac:dyDescent="0.3">
      <c r="A65" s="1" t="s">
        <v>82</v>
      </c>
      <c r="B65" s="1" t="s">
        <v>1079</v>
      </c>
      <c r="C65" s="1" t="s">
        <v>1634</v>
      </c>
      <c r="D65" s="1" t="s">
        <v>1635</v>
      </c>
      <c r="E65" s="1">
        <v>2024</v>
      </c>
      <c r="F65" s="1" t="s">
        <v>1639</v>
      </c>
      <c r="G65" s="1">
        <v>211</v>
      </c>
      <c r="H65" s="1">
        <v>11003</v>
      </c>
      <c r="I65" s="1">
        <v>6964</v>
      </c>
      <c r="J65" s="1">
        <v>479852</v>
      </c>
      <c r="K65" s="1">
        <v>6.93</v>
      </c>
      <c r="L65" s="1">
        <v>9</v>
      </c>
      <c r="M65" s="1">
        <v>2.79</v>
      </c>
      <c r="N65" s="1">
        <v>23.51</v>
      </c>
      <c r="O65" s="1">
        <v>15.16</v>
      </c>
      <c r="P65" s="1">
        <v>4.7</v>
      </c>
      <c r="Q65" s="1">
        <v>15774</v>
      </c>
      <c r="R65" s="1">
        <v>6821</v>
      </c>
      <c r="S65" s="1">
        <v>10</v>
      </c>
      <c r="T65" s="1">
        <f>(Table1[[#This Row],[Selling_Price_per_Unit]]-Table1[[#This Row],[Manufacturing_Cost_per_Unit]])*Table1[[#This Row],[Units_Sold]]-Table1[[#This Row],[Marketing_Spend]]-Table1[[#This Row],[Discount_%]]</f>
        <v>372353.49</v>
      </c>
      <c r="U65" s="3">
        <f>Table1[[#This Row],[profit]]/(Table1[[#This Row],[Units_Sold]]*Table1[[#This Row],[Selling_Price_per_Unit]])*100</f>
        <v>16.038430277309118</v>
      </c>
      <c r="V65" s="6">
        <f>Table1[[#This Row],[Units_Sold]]*Table1[[#This Row],[Selling_Price_per_Unit]]</f>
        <v>2321633</v>
      </c>
      <c r="W65" s="7">
        <f>(Table1[[#This Row],[Units_Sold]]/$Z$1)</f>
        <v>4.2242682005898757E-2</v>
      </c>
      <c r="X65" s="8">
        <f>((Table1[[#This Row],[Units_Sold]]*(Table1[[#This Row],[Selling_Price_per_Unit]]-Table1[[#This Row],[Manufacturing_Cost_per_Unit]]))-Table1[[#This Row],[Marketing_Spend]])/Table1[[#This Row],[Marketing_Spend]]</f>
        <v>0.77602469094637516</v>
      </c>
    </row>
    <row r="66" spans="1:24" x14ac:dyDescent="0.3">
      <c r="A66" s="1" t="s">
        <v>413</v>
      </c>
      <c r="B66" s="1" t="s">
        <v>1343</v>
      </c>
      <c r="C66" s="1" t="s">
        <v>1632</v>
      </c>
      <c r="D66" s="1" t="s">
        <v>1637</v>
      </c>
      <c r="E66" s="1">
        <v>2023</v>
      </c>
      <c r="F66" s="1" t="s">
        <v>1642</v>
      </c>
      <c r="G66" s="1">
        <v>4095</v>
      </c>
      <c r="H66" s="1">
        <v>18570</v>
      </c>
      <c r="I66" s="1">
        <v>2810</v>
      </c>
      <c r="J66" s="1">
        <v>213864</v>
      </c>
      <c r="K66" s="1">
        <v>6.99</v>
      </c>
      <c r="L66" s="1">
        <v>9</v>
      </c>
      <c r="M66" s="1">
        <v>7.19</v>
      </c>
      <c r="N66" s="1">
        <v>23.63</v>
      </c>
      <c r="O66" s="1">
        <v>13.45</v>
      </c>
      <c r="P66" s="1">
        <v>1.5</v>
      </c>
      <c r="Q66" s="1">
        <v>18988</v>
      </c>
      <c r="R66" s="1">
        <v>9386</v>
      </c>
      <c r="S66" s="1">
        <v>6</v>
      </c>
      <c r="T66" s="1">
        <f>(Table1[[#This Row],[Selling_Price_per_Unit]]-Table1[[#This Row],[Manufacturing_Cost_per_Unit]])*Table1[[#This Row],[Units_Sold]]-Table1[[#This Row],[Marketing_Spend]]-Table1[[#This Row],[Discount_%]]</f>
        <v>64323312.369999997</v>
      </c>
      <c r="U66" s="3">
        <f>Table1[[#This Row],[profit]]/(Table1[[#This Row],[Units_Sold]]*Table1[[#This Row],[Selling_Price_per_Unit]])*100</f>
        <v>84.58679907658906</v>
      </c>
      <c r="V66" s="6">
        <f>Table1[[#This Row],[Units_Sold]]*Table1[[#This Row],[Selling_Price_per_Unit]]</f>
        <v>76044150</v>
      </c>
      <c r="W66" s="7">
        <f>(Table1[[#This Row],[Units_Sold]]/$Z$1)</f>
        <v>0.81982835456945691</v>
      </c>
      <c r="X66" s="8">
        <f>((Table1[[#This Row],[Units_Sold]]*(Table1[[#This Row],[Selling_Price_per_Unit]]-Table1[[#This Row],[Manufacturing_Cost_per_Unit]]))-Table1[[#This Row],[Marketing_Spend]])/Table1[[#This Row],[Marketing_Spend]]</f>
        <v>300.76747839748623</v>
      </c>
    </row>
    <row r="67" spans="1:24" x14ac:dyDescent="0.3">
      <c r="A67" s="1" t="s">
        <v>358</v>
      </c>
      <c r="B67" s="1" t="s">
        <v>1306</v>
      </c>
      <c r="C67" s="1" t="s">
        <v>1632</v>
      </c>
      <c r="D67" s="1" t="s">
        <v>1638</v>
      </c>
      <c r="E67" s="1">
        <v>2024</v>
      </c>
      <c r="F67" s="1" t="s">
        <v>1642</v>
      </c>
      <c r="G67" s="1">
        <v>4196</v>
      </c>
      <c r="H67" s="1">
        <v>19588</v>
      </c>
      <c r="I67" s="1">
        <v>4386</v>
      </c>
      <c r="J67" s="1">
        <v>98456</v>
      </c>
      <c r="K67" s="1">
        <v>3.34</v>
      </c>
      <c r="L67" s="1">
        <v>8</v>
      </c>
      <c r="M67" s="1">
        <v>1.24</v>
      </c>
      <c r="N67" s="1">
        <v>9.6300000000000008</v>
      </c>
      <c r="O67" s="1">
        <v>79.040000000000006</v>
      </c>
      <c r="P67" s="1">
        <v>3.1</v>
      </c>
      <c r="Q67" s="1">
        <v>9387</v>
      </c>
      <c r="R67" s="1">
        <v>5774</v>
      </c>
      <c r="S67" s="1">
        <v>8</v>
      </c>
      <c r="T67" s="1">
        <f>(Table1[[#This Row],[Selling_Price_per_Unit]]-Table1[[#This Row],[Manufacturing_Cost_per_Unit]])*Table1[[#This Row],[Units_Sold]]-Table1[[#This Row],[Marketing_Spend]]-Table1[[#This Row],[Discount_%]]</f>
        <v>63689126.369999997</v>
      </c>
      <c r="U67" s="3">
        <f>Table1[[#This Row],[profit]]/(Table1[[#This Row],[Units_Sold]]*Table1[[#This Row],[Selling_Price_per_Unit]])*100</f>
        <v>77.488939418464597</v>
      </c>
      <c r="V67" s="6">
        <f>Table1[[#This Row],[Units_Sold]]*Table1[[#This Row],[Selling_Price_per_Unit]]</f>
        <v>82191248</v>
      </c>
      <c r="W67" s="7">
        <f>(Table1[[#This Row],[Units_Sold]]/$Z$1)</f>
        <v>0.84004878529265969</v>
      </c>
      <c r="X67" s="8">
        <f>((Table1[[#This Row],[Units_Sold]]*(Table1[[#This Row],[Selling_Price_per_Unit]]-Table1[[#This Row],[Manufacturing_Cost_per_Unit]]))-Table1[[#This Row],[Marketing_Spend]])/Table1[[#This Row],[Marketing_Spend]]</f>
        <v>646.879174453563</v>
      </c>
    </row>
    <row r="68" spans="1:24" hidden="1" x14ac:dyDescent="0.3">
      <c r="A68" s="1" t="s">
        <v>85</v>
      </c>
      <c r="B68" s="1" t="s">
        <v>1082</v>
      </c>
      <c r="C68" s="1" t="s">
        <v>1633</v>
      </c>
      <c r="D68" s="1" t="s">
        <v>1638</v>
      </c>
      <c r="E68" s="1">
        <v>2024</v>
      </c>
      <c r="F68" s="1" t="s">
        <v>1639</v>
      </c>
      <c r="G68" s="1">
        <v>1045</v>
      </c>
      <c r="H68" s="1">
        <v>9856</v>
      </c>
      <c r="I68" s="1">
        <v>5000</v>
      </c>
      <c r="J68" s="1">
        <v>494865</v>
      </c>
      <c r="K68" s="1">
        <v>10.93</v>
      </c>
      <c r="L68" s="1">
        <v>13</v>
      </c>
      <c r="M68" s="1">
        <v>3.99</v>
      </c>
      <c r="N68" s="1">
        <v>15.6</v>
      </c>
      <c r="O68" s="1">
        <v>54.78</v>
      </c>
      <c r="P68" s="1">
        <v>3.1</v>
      </c>
      <c r="Q68" s="1">
        <v>12590</v>
      </c>
      <c r="R68" s="1">
        <v>5587</v>
      </c>
      <c r="S68" s="1">
        <v>6</v>
      </c>
      <c r="T68" s="1">
        <f>(Table1[[#This Row],[Selling_Price_per_Unit]]-Table1[[#This Row],[Manufacturing_Cost_per_Unit]])*Table1[[#This Row],[Units_Sold]]-Table1[[#This Row],[Marketing_Spend]]-Table1[[#This Row],[Discount_%]]</f>
        <v>4579639.4000000004</v>
      </c>
      <c r="U68" s="3">
        <f>Table1[[#This Row],[profit]]/(Table1[[#This Row],[Units_Sold]]*Table1[[#This Row],[Selling_Price_per_Unit]])*100</f>
        <v>44.464590582862115</v>
      </c>
      <c r="V68" s="6">
        <f>Table1[[#This Row],[Units_Sold]]*Table1[[#This Row],[Selling_Price_per_Unit]]</f>
        <v>10299520</v>
      </c>
      <c r="W68" s="7">
        <f>(Table1[[#This Row],[Units_Sold]]/$Z$1)</f>
        <v>0.20921138718561233</v>
      </c>
      <c r="X68" s="8">
        <f>((Table1[[#This Row],[Units_Sold]]*(Table1[[#This Row],[Selling_Price_per_Unit]]-Table1[[#This Row],[Manufacturing_Cost_per_Unit]]))-Table1[[#This Row],[Marketing_Spend]])/Table1[[#This Row],[Marketing_Spend]]</f>
        <v>9.2543521970638452</v>
      </c>
    </row>
    <row r="69" spans="1:24" x14ac:dyDescent="0.3">
      <c r="A69" s="1" t="s">
        <v>715</v>
      </c>
      <c r="B69" s="1" t="s">
        <v>1274</v>
      </c>
      <c r="C69" s="1" t="s">
        <v>1634</v>
      </c>
      <c r="D69" s="1" t="s">
        <v>1637</v>
      </c>
      <c r="E69" s="1">
        <v>2024</v>
      </c>
      <c r="F69" s="1" t="s">
        <v>1641</v>
      </c>
      <c r="G69" s="1">
        <v>4350</v>
      </c>
      <c r="H69" s="1">
        <v>15465</v>
      </c>
      <c r="I69" s="1">
        <v>1026</v>
      </c>
      <c r="J69" s="1">
        <v>96607</v>
      </c>
      <c r="K69" s="1">
        <v>6.81</v>
      </c>
      <c r="L69" s="1">
        <v>17</v>
      </c>
      <c r="M69" s="1">
        <v>3.89</v>
      </c>
      <c r="N69" s="1">
        <v>14.04</v>
      </c>
      <c r="O69" s="1">
        <v>75.010000000000005</v>
      </c>
      <c r="P69" s="1">
        <v>3.3</v>
      </c>
      <c r="Q69" s="1">
        <v>10970</v>
      </c>
      <c r="R69" s="1">
        <v>546</v>
      </c>
      <c r="S69" s="1">
        <v>4</v>
      </c>
      <c r="T69" s="1">
        <f>(Table1[[#This Row],[Selling_Price_per_Unit]]-Table1[[#This Row],[Manufacturing_Cost_per_Unit]])*Table1[[#This Row],[Units_Sold]]-Table1[[#This Row],[Marketing_Spend]]-Table1[[#This Row],[Discount_%]]</f>
        <v>62713028.960000001</v>
      </c>
      <c r="U69" s="3">
        <f>Table1[[#This Row],[profit]]/(Table1[[#This Row],[Units_Sold]]*Table1[[#This Row],[Selling_Price_per_Unit]])*100</f>
        <v>93.222038581743732</v>
      </c>
      <c r="V69" s="6">
        <f>Table1[[#This Row],[Units_Sold]]*Table1[[#This Row],[Selling_Price_per_Unit]]</f>
        <v>67272750</v>
      </c>
      <c r="W69" s="7">
        <f>(Table1[[#This Row],[Units_Sold]]/$Z$1)</f>
        <v>0.87087993708843414</v>
      </c>
      <c r="X69" s="8">
        <f>((Table1[[#This Row],[Units_Sold]]*(Table1[[#This Row],[Selling_Price_per_Unit]]-Table1[[#This Row],[Manufacturing_Cost_per_Unit]]))-Table1[[#This Row],[Marketing_Spend]])/Table1[[#This Row],[Marketing_Spend]]</f>
        <v>649.15630337346158</v>
      </c>
    </row>
    <row r="70" spans="1:24" hidden="1" x14ac:dyDescent="0.3">
      <c r="A70" s="1" t="s">
        <v>87</v>
      </c>
      <c r="B70" s="1" t="s">
        <v>1084</v>
      </c>
      <c r="C70" s="1" t="s">
        <v>1634</v>
      </c>
      <c r="D70" s="1" t="s">
        <v>1635</v>
      </c>
      <c r="E70" s="1">
        <v>2024</v>
      </c>
      <c r="F70" s="1" t="s">
        <v>1641</v>
      </c>
      <c r="G70" s="1">
        <v>3392</v>
      </c>
      <c r="H70" s="1">
        <v>2322</v>
      </c>
      <c r="I70" s="1">
        <v>3991</v>
      </c>
      <c r="J70" s="1">
        <v>191130</v>
      </c>
      <c r="K70" s="1">
        <v>4.1100000000000003</v>
      </c>
      <c r="L70" s="1">
        <v>13</v>
      </c>
      <c r="M70" s="1">
        <v>2.67</v>
      </c>
      <c r="N70" s="1">
        <v>21.89</v>
      </c>
      <c r="O70" s="1">
        <v>58.86</v>
      </c>
      <c r="P70" s="1">
        <v>4.4000000000000004</v>
      </c>
      <c r="Q70" s="1">
        <v>16795</v>
      </c>
      <c r="R70" s="1">
        <v>6904</v>
      </c>
      <c r="S70" s="1">
        <v>13</v>
      </c>
      <c r="T70" s="1">
        <f>(Table1[[#This Row],[Selling_Price_per_Unit]]-Table1[[#This Row],[Manufacturing_Cost_per_Unit]])*Table1[[#This Row],[Units_Sold]]-Table1[[#This Row],[Marketing_Spend]]-Table1[[#This Row],[Discount_%]]</f>
        <v>-5852399.8899999997</v>
      </c>
      <c r="U70" s="3">
        <f>Table1[[#This Row],[profit]]/(Table1[[#This Row],[Units_Sold]]*Table1[[#This Row],[Selling_Price_per_Unit]])*100</f>
        <v>-74.304640015316977</v>
      </c>
      <c r="V70" s="6">
        <f>Table1[[#This Row],[Units_Sold]]*Table1[[#This Row],[Selling_Price_per_Unit]]</f>
        <v>7876224</v>
      </c>
      <c r="W70" s="7">
        <f>(Table1[[#This Row],[Units_Sold]]/$Z$1)</f>
        <v>0.67908614864459049</v>
      </c>
      <c r="X70" s="8">
        <f>((Table1[[#This Row],[Units_Sold]]*(Table1[[#This Row],[Selling_Price_per_Unit]]-Table1[[#This Row],[Manufacturing_Cost_per_Unit]]))-Table1[[#This Row],[Marketing_Spend]])/Table1[[#This Row],[Marketing_Spend]]</f>
        <v>-30.619881755872967</v>
      </c>
    </row>
    <row r="71" spans="1:24" x14ac:dyDescent="0.3">
      <c r="A71" s="1" t="s">
        <v>327</v>
      </c>
      <c r="B71" s="1" t="s">
        <v>1286</v>
      </c>
      <c r="C71" s="1" t="s">
        <v>1633</v>
      </c>
      <c r="D71" s="1" t="s">
        <v>1638</v>
      </c>
      <c r="E71" s="1">
        <v>2024</v>
      </c>
      <c r="F71" s="1" t="s">
        <v>1641</v>
      </c>
      <c r="G71" s="1">
        <v>4771</v>
      </c>
      <c r="H71" s="1">
        <v>19102</v>
      </c>
      <c r="I71" s="1">
        <v>5989</v>
      </c>
      <c r="J71" s="1">
        <v>145071</v>
      </c>
      <c r="K71" s="1">
        <v>1.54</v>
      </c>
      <c r="L71" s="1">
        <v>11</v>
      </c>
      <c r="M71" s="1">
        <v>6.8</v>
      </c>
      <c r="N71" s="1">
        <v>14.62</v>
      </c>
      <c r="O71" s="1">
        <v>18.100000000000001</v>
      </c>
      <c r="P71" s="1">
        <v>1.4</v>
      </c>
      <c r="Q71" s="1">
        <v>3840</v>
      </c>
      <c r="R71" s="1">
        <v>7376</v>
      </c>
      <c r="S71" s="1">
        <v>4</v>
      </c>
      <c r="T71" s="1">
        <f>(Table1[[#This Row],[Selling_Price_per_Unit]]-Table1[[#This Row],[Manufacturing_Cost_per_Unit]])*Table1[[#This Row],[Units_Sold]]-Table1[[#This Row],[Marketing_Spend]]-Table1[[#This Row],[Discount_%]]</f>
        <v>62417037.380000003</v>
      </c>
      <c r="U71" s="3">
        <f>Table1[[#This Row],[profit]]/(Table1[[#This Row],[Units_Sold]]*Table1[[#This Row],[Selling_Price_per_Unit]])*100</f>
        <v>68.488064614720116</v>
      </c>
      <c r="V71" s="6">
        <f>Table1[[#This Row],[Units_Sold]]*Table1[[#This Row],[Selling_Price_per_Unit]]</f>
        <v>91135642</v>
      </c>
      <c r="W71" s="7">
        <f>(Table1[[#This Row],[Units_Sold]]/$Z$1)</f>
        <v>0.95516509881584344</v>
      </c>
      <c r="X71" s="8">
        <f>((Table1[[#This Row],[Units_Sold]]*(Table1[[#This Row],[Selling_Price_per_Unit]]-Table1[[#This Row],[Manufacturing_Cost_per_Unit]]))-Table1[[#This Row],[Marketing_Spend]])/Table1[[#This Row],[Marketing_Spend]]</f>
        <v>430.25175259011104</v>
      </c>
    </row>
    <row r="72" spans="1:24" x14ac:dyDescent="0.3">
      <c r="A72" s="1" t="s">
        <v>33</v>
      </c>
      <c r="B72" s="1" t="s">
        <v>1033</v>
      </c>
      <c r="C72" s="1" t="s">
        <v>1633</v>
      </c>
      <c r="D72" s="1" t="s">
        <v>1636</v>
      </c>
      <c r="E72" s="1">
        <v>2024</v>
      </c>
      <c r="F72" s="1" t="s">
        <v>1641</v>
      </c>
      <c r="G72" s="1">
        <v>4605</v>
      </c>
      <c r="H72" s="1">
        <v>18850</v>
      </c>
      <c r="I72" s="1">
        <v>5281</v>
      </c>
      <c r="J72" s="1">
        <v>487415</v>
      </c>
      <c r="K72" s="1">
        <v>7.84</v>
      </c>
      <c r="L72" s="1">
        <v>5</v>
      </c>
      <c r="M72" s="1">
        <v>9.31</v>
      </c>
      <c r="N72" s="1">
        <v>4.76</v>
      </c>
      <c r="O72" s="1">
        <v>20.440000000000001</v>
      </c>
      <c r="P72" s="1">
        <v>3.3</v>
      </c>
      <c r="Q72" s="1">
        <v>12103</v>
      </c>
      <c r="R72" s="1">
        <v>7608</v>
      </c>
      <c r="S72" s="1">
        <v>7</v>
      </c>
      <c r="T72" s="1">
        <f>(Table1[[#This Row],[Selling_Price_per_Unit]]-Table1[[#This Row],[Manufacturing_Cost_per_Unit]])*Table1[[#This Row],[Units_Sold]]-Table1[[#This Row],[Marketing_Spend]]-Table1[[#This Row],[Discount_%]]</f>
        <v>61997825.240000002</v>
      </c>
      <c r="U72" s="3">
        <f>Table1[[#This Row],[profit]]/(Table1[[#This Row],[Units_Sold]]*Table1[[#This Row],[Selling_Price_per_Unit]])*100</f>
        <v>71.422568871915843</v>
      </c>
      <c r="V72" s="6">
        <f>Table1[[#This Row],[Units_Sold]]*Table1[[#This Row],[Selling_Price_per_Unit]]</f>
        <v>86804250</v>
      </c>
      <c r="W72" s="7">
        <f>(Table1[[#This Row],[Units_Sold]]/$Z$1)</f>
        <v>0.92193151960741127</v>
      </c>
      <c r="X72" s="8">
        <f>((Table1[[#This Row],[Units_Sold]]*(Table1[[#This Row],[Selling_Price_per_Unit]]-Table1[[#This Row],[Manufacturing_Cost_per_Unit]]))-Table1[[#This Row],[Marketing_Spend]])/Table1[[#This Row],[Marketing_Spend]]</f>
        <v>127.19721387318815</v>
      </c>
    </row>
    <row r="73" spans="1:24" hidden="1" x14ac:dyDescent="0.3">
      <c r="A73" s="1" t="s">
        <v>90</v>
      </c>
      <c r="B73" s="1" t="s">
        <v>1087</v>
      </c>
      <c r="C73" s="1" t="s">
        <v>1632</v>
      </c>
      <c r="D73" s="1" t="s">
        <v>1635</v>
      </c>
      <c r="E73" s="1">
        <v>2024</v>
      </c>
      <c r="F73" s="1" t="s">
        <v>1642</v>
      </c>
      <c r="G73" s="1">
        <v>1325</v>
      </c>
      <c r="H73" s="1">
        <v>7650</v>
      </c>
      <c r="I73" s="1">
        <v>7072</v>
      </c>
      <c r="J73" s="1">
        <v>382338</v>
      </c>
      <c r="K73" s="1">
        <v>5.18</v>
      </c>
      <c r="L73" s="1">
        <v>15</v>
      </c>
      <c r="M73" s="1">
        <v>3.26</v>
      </c>
      <c r="N73" s="1">
        <v>4.0599999999999996</v>
      </c>
      <c r="O73" s="1">
        <v>50.91</v>
      </c>
      <c r="P73" s="1">
        <v>2.9</v>
      </c>
      <c r="Q73" s="1">
        <v>12023</v>
      </c>
      <c r="R73" s="1">
        <v>6439</v>
      </c>
      <c r="S73" s="1">
        <v>11</v>
      </c>
      <c r="T73" s="1">
        <f>(Table1[[#This Row],[Selling_Price_per_Unit]]-Table1[[#This Row],[Manufacturing_Cost_per_Unit]])*Table1[[#This Row],[Units_Sold]]-Table1[[#This Row],[Marketing_Spend]]-Table1[[#This Row],[Discount_%]]</f>
        <v>383507.94</v>
      </c>
      <c r="U73" s="3">
        <f>Table1[[#This Row],[profit]]/(Table1[[#This Row],[Units_Sold]]*Table1[[#This Row],[Selling_Price_per_Unit]])*100</f>
        <v>3.7835288198298187</v>
      </c>
      <c r="V73" s="6">
        <f>Table1[[#This Row],[Units_Sold]]*Table1[[#This Row],[Selling_Price_per_Unit]]</f>
        <v>10136250</v>
      </c>
      <c r="W73" s="7">
        <f>(Table1[[#This Row],[Units_Sold]]/$Z$1)</f>
        <v>0.26526802681429312</v>
      </c>
      <c r="X73" s="8">
        <f>((Table1[[#This Row],[Units_Sold]]*(Table1[[#This Row],[Selling_Price_per_Unit]]-Table1[[#This Row],[Manufacturing_Cost_per_Unit]]))-Table1[[#This Row],[Marketing_Spend]])/Table1[[#This Row],[Marketing_Spend]]</f>
        <v>1.0030705815273397</v>
      </c>
    </row>
    <row r="74" spans="1:24" hidden="1" x14ac:dyDescent="0.3">
      <c r="A74" s="1" t="s">
        <v>91</v>
      </c>
      <c r="B74" s="1" t="s">
        <v>1088</v>
      </c>
      <c r="C74" s="1" t="s">
        <v>1633</v>
      </c>
      <c r="D74" s="1" t="s">
        <v>1635</v>
      </c>
      <c r="E74" s="1">
        <v>2024</v>
      </c>
      <c r="F74" s="1" t="s">
        <v>1639</v>
      </c>
      <c r="G74" s="1">
        <v>1066</v>
      </c>
      <c r="H74" s="1">
        <v>5925</v>
      </c>
      <c r="I74" s="1">
        <v>1371</v>
      </c>
      <c r="J74" s="1">
        <v>389061</v>
      </c>
      <c r="K74" s="1">
        <v>5.03</v>
      </c>
      <c r="L74" s="1">
        <v>1</v>
      </c>
      <c r="M74" s="1">
        <v>9.5399999999999991</v>
      </c>
      <c r="N74" s="1">
        <v>8.74</v>
      </c>
      <c r="O74" s="1">
        <v>74.53</v>
      </c>
      <c r="P74" s="1">
        <v>4.4000000000000004</v>
      </c>
      <c r="Q74" s="1">
        <v>14262</v>
      </c>
      <c r="R74" s="1">
        <v>3040</v>
      </c>
      <c r="S74" s="1">
        <v>4</v>
      </c>
      <c r="T74" s="1">
        <f>(Table1[[#This Row],[Selling_Price_per_Unit]]-Table1[[#This Row],[Manufacturing_Cost_per_Unit]])*Table1[[#This Row],[Units_Sold]]-Table1[[#This Row],[Marketing_Spend]]-Table1[[#This Row],[Discount_%]]</f>
        <v>4465494.26</v>
      </c>
      <c r="U74" s="3">
        <f>Table1[[#This Row],[profit]]/(Table1[[#This Row],[Units_Sold]]*Table1[[#This Row],[Selling_Price_per_Unit]])*100</f>
        <v>70.700742711029832</v>
      </c>
      <c r="V74" s="6">
        <f>Table1[[#This Row],[Units_Sold]]*Table1[[#This Row],[Selling_Price_per_Unit]]</f>
        <v>6316050</v>
      </c>
      <c r="W74" s="7">
        <f>(Table1[[#This Row],[Units_Sold]]/$Z$1)</f>
        <v>0.21341563515776338</v>
      </c>
      <c r="X74" s="8">
        <f>((Table1[[#This Row],[Units_Sold]]*(Table1[[#This Row],[Selling_Price_per_Unit]]-Table1[[#This Row],[Manufacturing_Cost_per_Unit]]))-Table1[[#This Row],[Marketing_Spend]])/Table1[[#This Row],[Marketing_Spend]]</f>
        <v>11.477642323440284</v>
      </c>
    </row>
    <row r="75" spans="1:24" hidden="1" x14ac:dyDescent="0.3">
      <c r="A75" s="1" t="s">
        <v>92</v>
      </c>
      <c r="B75" s="1" t="s">
        <v>1089</v>
      </c>
      <c r="C75" s="1" t="s">
        <v>1633</v>
      </c>
      <c r="D75" s="1" t="s">
        <v>1636</v>
      </c>
      <c r="E75" s="1">
        <v>2024</v>
      </c>
      <c r="F75" s="1" t="s">
        <v>1640</v>
      </c>
      <c r="G75" s="1">
        <v>387</v>
      </c>
      <c r="H75" s="1">
        <v>17532</v>
      </c>
      <c r="I75" s="1">
        <v>4431</v>
      </c>
      <c r="J75" s="1">
        <v>114200</v>
      </c>
      <c r="K75" s="1">
        <v>14.68</v>
      </c>
      <c r="L75" s="1">
        <v>9</v>
      </c>
      <c r="M75" s="1">
        <v>1.22</v>
      </c>
      <c r="N75" s="1">
        <v>7.89</v>
      </c>
      <c r="O75" s="1">
        <v>13.99</v>
      </c>
      <c r="P75" s="1">
        <v>2.2000000000000002</v>
      </c>
      <c r="Q75" s="1">
        <v>15269</v>
      </c>
      <c r="R75" s="1">
        <v>5509</v>
      </c>
      <c r="S75" s="1">
        <v>10</v>
      </c>
      <c r="T75" s="1">
        <f>(Table1[[#This Row],[Selling_Price_per_Unit]]-Table1[[#This Row],[Manufacturing_Cost_per_Unit]])*Table1[[#This Row],[Units_Sold]]-Table1[[#This Row],[Marketing_Spend]]-Table1[[#This Row],[Discount_%]]</f>
        <v>4955879.1100000003</v>
      </c>
      <c r="U75" s="3">
        <f>Table1[[#This Row],[profit]]/(Table1[[#This Row],[Units_Sold]]*Table1[[#This Row],[Selling_Price_per_Unit]])*100</f>
        <v>73.042945317856578</v>
      </c>
      <c r="V75" s="6">
        <f>Table1[[#This Row],[Units_Sold]]*Table1[[#This Row],[Selling_Price_per_Unit]]</f>
        <v>6784884</v>
      </c>
      <c r="W75" s="7">
        <f>(Table1[[#This Row],[Units_Sold]]/$Z$1)</f>
        <v>7.7478284058212415E-2</v>
      </c>
      <c r="X75" s="8">
        <f>((Table1[[#This Row],[Units_Sold]]*(Table1[[#This Row],[Selling_Price_per_Unit]]-Table1[[#This Row],[Manufacturing_Cost_per_Unit]]))-Table1[[#This Row],[Marketing_Spend]])/Table1[[#This Row],[Marketing_Spend]]</f>
        <v>43.396558669001749</v>
      </c>
    </row>
    <row r="76" spans="1:24" hidden="1" x14ac:dyDescent="0.3">
      <c r="A76" s="1" t="s">
        <v>93</v>
      </c>
      <c r="B76" s="1" t="s">
        <v>1090</v>
      </c>
      <c r="C76" s="1" t="s">
        <v>1634</v>
      </c>
      <c r="D76" s="1" t="s">
        <v>1635</v>
      </c>
      <c r="E76" s="1">
        <v>2024</v>
      </c>
      <c r="F76" s="1" t="s">
        <v>1642</v>
      </c>
      <c r="G76" s="1">
        <v>928</v>
      </c>
      <c r="H76" s="1">
        <v>3698</v>
      </c>
      <c r="I76" s="1">
        <v>6972</v>
      </c>
      <c r="J76" s="1">
        <v>155848</v>
      </c>
      <c r="K76" s="1">
        <v>12.85</v>
      </c>
      <c r="L76" s="1">
        <v>2</v>
      </c>
      <c r="M76" s="1">
        <v>0.18</v>
      </c>
      <c r="N76" s="1">
        <v>19.78</v>
      </c>
      <c r="O76" s="1">
        <v>58.27</v>
      </c>
      <c r="P76" s="1">
        <v>4.7</v>
      </c>
      <c r="Q76" s="1">
        <v>15231</v>
      </c>
      <c r="R76" s="1">
        <v>3232</v>
      </c>
      <c r="S76" s="1">
        <v>10</v>
      </c>
      <c r="T76" s="1">
        <f>(Table1[[#This Row],[Selling_Price_per_Unit]]-Table1[[#This Row],[Manufacturing_Cost_per_Unit]])*Table1[[#This Row],[Units_Sold]]-Table1[[#This Row],[Marketing_Spend]]-Table1[[#This Row],[Discount_%]]</f>
        <v>-3194139.78</v>
      </c>
      <c r="U76" s="3">
        <f>Table1[[#This Row],[profit]]/(Table1[[#This Row],[Units_Sold]]*Table1[[#This Row],[Selling_Price_per_Unit]])*100</f>
        <v>-93.076283662184593</v>
      </c>
      <c r="V76" s="6">
        <f>Table1[[#This Row],[Units_Sold]]*Table1[[#This Row],[Selling_Price_per_Unit]]</f>
        <v>3431744</v>
      </c>
      <c r="W76" s="7">
        <f>(Table1[[#This Row],[Units_Sold]]/$Z$1)</f>
        <v>0.18578771991219928</v>
      </c>
      <c r="X76" s="8">
        <f>((Table1[[#This Row],[Units_Sold]]*(Table1[[#This Row],[Selling_Price_per_Unit]]-Table1[[#This Row],[Manufacturing_Cost_per_Unit]]))-Table1[[#This Row],[Marketing_Spend]])/Table1[[#This Row],[Marketing_Spend]]</f>
        <v>-20.495097787587905</v>
      </c>
    </row>
    <row r="77" spans="1:24" hidden="1" x14ac:dyDescent="0.3">
      <c r="A77" s="1" t="s">
        <v>94</v>
      </c>
      <c r="B77" s="1" t="s">
        <v>1091</v>
      </c>
      <c r="C77" s="1" t="s">
        <v>1632</v>
      </c>
      <c r="D77" s="1" t="s">
        <v>1636</v>
      </c>
      <c r="E77" s="1">
        <v>2023</v>
      </c>
      <c r="F77" s="1" t="s">
        <v>1640</v>
      </c>
      <c r="G77" s="1">
        <v>1126</v>
      </c>
      <c r="H77" s="1">
        <v>4952</v>
      </c>
      <c r="I77" s="1">
        <v>10112</v>
      </c>
      <c r="J77" s="1">
        <v>156022</v>
      </c>
      <c r="K77" s="1">
        <v>10.52</v>
      </c>
      <c r="L77" s="1">
        <v>10</v>
      </c>
      <c r="M77" s="1">
        <v>9.0399999999999991</v>
      </c>
      <c r="N77" s="1">
        <v>17.010000000000002</v>
      </c>
      <c r="O77" s="1">
        <v>74.540000000000006</v>
      </c>
      <c r="P77" s="1">
        <v>1.9</v>
      </c>
      <c r="Q77" s="1">
        <v>13377</v>
      </c>
      <c r="R77" s="1">
        <v>7180</v>
      </c>
      <c r="S77" s="1">
        <v>9</v>
      </c>
      <c r="T77" s="1">
        <f>(Table1[[#This Row],[Selling_Price_per_Unit]]-Table1[[#This Row],[Manufacturing_Cost_per_Unit]])*Table1[[#This Row],[Units_Sold]]-Table1[[#This Row],[Marketing_Spend]]-Table1[[#This Row],[Discount_%]]</f>
        <v>-5966199.0099999998</v>
      </c>
      <c r="U77" s="3">
        <f>Table1[[#This Row],[profit]]/(Table1[[#This Row],[Units_Sold]]*Table1[[#This Row],[Selling_Price_per_Unit]])*100</f>
        <v>-106.99875124463051</v>
      </c>
      <c r="V77" s="6">
        <f>Table1[[#This Row],[Units_Sold]]*Table1[[#This Row],[Selling_Price_per_Unit]]</f>
        <v>5575952</v>
      </c>
      <c r="W77" s="7">
        <f>(Table1[[#This Row],[Units_Sold]]/$Z$1)</f>
        <v>0.22542777222105215</v>
      </c>
      <c r="X77" s="8">
        <f>((Table1[[#This Row],[Units_Sold]]*(Table1[[#This Row],[Selling_Price_per_Unit]]-Table1[[#This Row],[Manufacturing_Cost_per_Unit]]))-Table1[[#This Row],[Marketing_Spend]])/Table1[[#This Row],[Marketing_Spend]]</f>
        <v>-38.239363679481102</v>
      </c>
    </row>
    <row r="78" spans="1:24" x14ac:dyDescent="0.3">
      <c r="A78" s="1" t="s">
        <v>95</v>
      </c>
      <c r="B78" s="1" t="s">
        <v>1092</v>
      </c>
      <c r="C78" s="1" t="s">
        <v>1632</v>
      </c>
      <c r="D78" s="1" t="s">
        <v>1638</v>
      </c>
      <c r="E78" s="1">
        <v>2023</v>
      </c>
      <c r="F78" s="1" t="s">
        <v>1641</v>
      </c>
      <c r="G78" s="1">
        <v>4937</v>
      </c>
      <c r="H78" s="1">
        <v>10606</v>
      </c>
      <c r="I78" s="1">
        <v>7977</v>
      </c>
      <c r="J78" s="1">
        <v>227691</v>
      </c>
      <c r="K78" s="1">
        <v>10.91</v>
      </c>
      <c r="L78" s="1">
        <v>10</v>
      </c>
      <c r="M78" s="1">
        <v>0.69</v>
      </c>
      <c r="N78" s="1">
        <v>7.49</v>
      </c>
      <c r="O78" s="1">
        <v>22.55</v>
      </c>
      <c r="P78" s="1">
        <v>4</v>
      </c>
      <c r="Q78" s="1">
        <v>3956</v>
      </c>
      <c r="R78" s="1">
        <v>5042</v>
      </c>
      <c r="S78" s="1">
        <v>9</v>
      </c>
      <c r="T78" s="1">
        <f>(Table1[[#This Row],[Selling_Price_per_Unit]]-Table1[[#This Row],[Manufacturing_Cost_per_Unit]])*Table1[[#This Row],[Units_Sold]]-Table1[[#This Row],[Marketing_Spend]]-Table1[[#This Row],[Discount_%]]</f>
        <v>12751674.51</v>
      </c>
      <c r="U78" s="3">
        <f>Table1[[#This Row],[profit]]/(Table1[[#This Row],[Units_Sold]]*Table1[[#This Row],[Selling_Price_per_Unit]])*100</f>
        <v>24.352999996829748</v>
      </c>
      <c r="V78" s="6">
        <f>Table1[[#This Row],[Units_Sold]]*Table1[[#This Row],[Selling_Price_per_Unit]]</f>
        <v>52361822</v>
      </c>
      <c r="W78" s="7">
        <f>(Table1[[#This Row],[Units_Sold]]/$Z$1)</f>
        <v>0.98839867802427561</v>
      </c>
      <c r="X78" s="8">
        <f>((Table1[[#This Row],[Units_Sold]]*(Table1[[#This Row],[Selling_Price_per_Unit]]-Table1[[#This Row],[Manufacturing_Cost_per_Unit]]))-Table1[[#This Row],[Marketing_Spend]])/Table1[[#This Row],[Marketing_Spend]]</f>
        <v>56.00433043027612</v>
      </c>
    </row>
    <row r="79" spans="1:24" x14ac:dyDescent="0.3">
      <c r="A79" s="1" t="s">
        <v>503</v>
      </c>
      <c r="B79" s="1" t="s">
        <v>1069</v>
      </c>
      <c r="C79" s="1" t="s">
        <v>1633</v>
      </c>
      <c r="D79" s="1" t="s">
        <v>1635</v>
      </c>
      <c r="E79" s="1">
        <v>2024</v>
      </c>
      <c r="F79" s="1" t="s">
        <v>1642</v>
      </c>
      <c r="G79" s="1">
        <v>4410</v>
      </c>
      <c r="H79" s="1">
        <v>17519</v>
      </c>
      <c r="I79" s="1">
        <v>3443</v>
      </c>
      <c r="J79" s="1">
        <v>157507</v>
      </c>
      <c r="K79" s="1">
        <v>12.22</v>
      </c>
      <c r="L79" s="1">
        <v>5</v>
      </c>
      <c r="M79" s="1">
        <v>1.87</v>
      </c>
      <c r="N79" s="1">
        <v>9.74</v>
      </c>
      <c r="O79" s="1">
        <v>48.84</v>
      </c>
      <c r="P79" s="1">
        <v>2.4</v>
      </c>
      <c r="Q79" s="1">
        <v>6945</v>
      </c>
      <c r="R79" s="1">
        <v>7108</v>
      </c>
      <c r="S79" s="1">
        <v>12</v>
      </c>
      <c r="T79" s="1">
        <f>(Table1[[#This Row],[Selling_Price_per_Unit]]-Table1[[#This Row],[Manufacturing_Cost_per_Unit]])*Table1[[#This Row],[Units_Sold]]-Table1[[#This Row],[Marketing_Spend]]-Table1[[#This Row],[Discount_%]]</f>
        <v>61917643.259999998</v>
      </c>
      <c r="U79" s="3">
        <f>Table1[[#This Row],[profit]]/(Table1[[#This Row],[Units_Sold]]*Table1[[#This Row],[Selling_Price_per_Unit]])*100</f>
        <v>80.143169806309416</v>
      </c>
      <c r="V79" s="6">
        <f>Table1[[#This Row],[Units_Sold]]*Table1[[#This Row],[Selling_Price_per_Unit]]</f>
        <v>77258790</v>
      </c>
      <c r="W79" s="7">
        <f>(Table1[[#This Row],[Units_Sold]]/$Z$1)</f>
        <v>0.88289207415172288</v>
      </c>
      <c r="X79" s="8">
        <f>((Table1[[#This Row],[Units_Sold]]*(Table1[[#This Row],[Selling_Price_per_Unit]]-Table1[[#This Row],[Manufacturing_Cost_per_Unit]]))-Table1[[#This Row],[Marketing_Spend]])/Table1[[#This Row],[Marketing_Spend]]</f>
        <v>393.11048397848987</v>
      </c>
    </row>
    <row r="80" spans="1:24" x14ac:dyDescent="0.3">
      <c r="A80" s="1" t="s">
        <v>48</v>
      </c>
      <c r="B80" s="1" t="s">
        <v>1048</v>
      </c>
      <c r="C80" s="1" t="s">
        <v>1632</v>
      </c>
      <c r="D80" s="1" t="s">
        <v>1637</v>
      </c>
      <c r="E80" s="1">
        <v>2023</v>
      </c>
      <c r="F80" s="1" t="s">
        <v>1642</v>
      </c>
      <c r="G80" s="1">
        <v>4708</v>
      </c>
      <c r="H80" s="1">
        <v>19949</v>
      </c>
      <c r="I80" s="1">
        <v>7156</v>
      </c>
      <c r="J80" s="1">
        <v>184393</v>
      </c>
      <c r="K80" s="1">
        <v>4.54</v>
      </c>
      <c r="L80" s="1">
        <v>16</v>
      </c>
      <c r="M80" s="1">
        <v>8.2200000000000006</v>
      </c>
      <c r="N80" s="1">
        <v>2.17</v>
      </c>
      <c r="O80" s="1">
        <v>78.62</v>
      </c>
      <c r="P80" s="1">
        <v>2.9</v>
      </c>
      <c r="Q80" s="1">
        <v>14636</v>
      </c>
      <c r="R80" s="1">
        <v>8971</v>
      </c>
      <c r="S80" s="1">
        <v>7</v>
      </c>
      <c r="T80" s="1">
        <f>(Table1[[#This Row],[Selling_Price_per_Unit]]-Table1[[#This Row],[Manufacturing_Cost_per_Unit]])*Table1[[#This Row],[Units_Sold]]-Table1[[#This Row],[Marketing_Spend]]-Table1[[#This Row],[Discount_%]]</f>
        <v>60045048.829999998</v>
      </c>
      <c r="U80" s="3">
        <f>Table1[[#This Row],[profit]]/(Table1[[#This Row],[Units_Sold]]*Table1[[#This Row],[Selling_Price_per_Unit]])*100</f>
        <v>63.932195354313222</v>
      </c>
      <c r="V80" s="6">
        <f>Table1[[#This Row],[Units_Sold]]*Table1[[#This Row],[Selling_Price_per_Unit]]</f>
        <v>93919892</v>
      </c>
      <c r="W80" s="7">
        <f>(Table1[[#This Row],[Units_Sold]]/$Z$1)</f>
        <v>0.94255235489939027</v>
      </c>
      <c r="X80" s="8">
        <f>((Table1[[#This Row],[Units_Sold]]*(Table1[[#This Row],[Selling_Price_per_Unit]]-Table1[[#This Row],[Manufacturing_Cost_per_Unit]]))-Table1[[#This Row],[Marketing_Spend]])/Table1[[#This Row],[Marketing_Spend]]</f>
        <v>325.6362822883732</v>
      </c>
    </row>
    <row r="81" spans="1:24" hidden="1" x14ac:dyDescent="0.3">
      <c r="A81" s="1" t="s">
        <v>98</v>
      </c>
      <c r="B81" s="1" t="s">
        <v>1094</v>
      </c>
      <c r="C81" s="1" t="s">
        <v>1634</v>
      </c>
      <c r="D81" s="1" t="s">
        <v>1637</v>
      </c>
      <c r="E81" s="1">
        <v>2024</v>
      </c>
      <c r="F81" s="1" t="s">
        <v>1639</v>
      </c>
      <c r="G81" s="1">
        <v>429</v>
      </c>
      <c r="H81" s="1">
        <v>10205</v>
      </c>
      <c r="I81" s="1">
        <v>13087</v>
      </c>
      <c r="J81" s="1">
        <v>306453</v>
      </c>
      <c r="K81" s="1">
        <v>7.44</v>
      </c>
      <c r="L81" s="1">
        <v>16</v>
      </c>
      <c r="M81" s="1">
        <v>1.37</v>
      </c>
      <c r="N81" s="1">
        <v>22.45</v>
      </c>
      <c r="O81" s="1">
        <v>57.05</v>
      </c>
      <c r="P81" s="1">
        <v>2.7</v>
      </c>
      <c r="Q81" s="1">
        <v>14346</v>
      </c>
      <c r="R81" s="1">
        <v>733</v>
      </c>
      <c r="S81" s="1">
        <v>9</v>
      </c>
      <c r="T81" s="1">
        <f>(Table1[[#This Row],[Selling_Price_per_Unit]]-Table1[[#This Row],[Manufacturing_Cost_per_Unit]])*Table1[[#This Row],[Units_Sold]]-Table1[[#This Row],[Marketing_Spend]]-Table1[[#This Row],[Discount_%]]</f>
        <v>-1542853.45</v>
      </c>
      <c r="U81" s="3">
        <f>Table1[[#This Row],[profit]]/(Table1[[#This Row],[Units_Sold]]*Table1[[#This Row],[Selling_Price_per_Unit]])*100</f>
        <v>-35.241499150857308</v>
      </c>
      <c r="V81" s="6">
        <f>Table1[[#This Row],[Units_Sold]]*Table1[[#This Row],[Selling_Price_per_Unit]]</f>
        <v>4377945</v>
      </c>
      <c r="W81" s="7">
        <f>(Table1[[#This Row],[Units_Sold]]/$Z$1)</f>
        <v>8.588678000251454E-2</v>
      </c>
      <c r="X81" s="8">
        <f>((Table1[[#This Row],[Units_Sold]]*(Table1[[#This Row],[Selling_Price_per_Unit]]-Table1[[#This Row],[Manufacturing_Cost_per_Unit]]))-Table1[[#This Row],[Marketing_Spend]])/Table1[[#This Row],[Marketing_Spend]]</f>
        <v>-5.0344783702557976</v>
      </c>
    </row>
    <row r="82" spans="1:24" hidden="1" x14ac:dyDescent="0.3">
      <c r="A82" s="1" t="s">
        <v>99</v>
      </c>
      <c r="B82" s="1" t="s">
        <v>1095</v>
      </c>
      <c r="C82" s="1" t="s">
        <v>1632</v>
      </c>
      <c r="D82" s="1" t="s">
        <v>1635</v>
      </c>
      <c r="E82" s="1">
        <v>2023</v>
      </c>
      <c r="F82" s="1" t="s">
        <v>1639</v>
      </c>
      <c r="G82" s="1">
        <v>542</v>
      </c>
      <c r="H82" s="1">
        <v>11612</v>
      </c>
      <c r="I82" s="1">
        <v>8923</v>
      </c>
      <c r="J82" s="1">
        <v>372202</v>
      </c>
      <c r="K82" s="1">
        <v>5.71</v>
      </c>
      <c r="L82" s="1">
        <v>1</v>
      </c>
      <c r="M82" s="1">
        <v>5.38</v>
      </c>
      <c r="N82" s="1">
        <v>23.39</v>
      </c>
      <c r="O82" s="1">
        <v>21.06</v>
      </c>
      <c r="P82" s="1">
        <v>4.7</v>
      </c>
      <c r="Q82" s="1">
        <v>5817</v>
      </c>
      <c r="R82" s="1">
        <v>6922</v>
      </c>
      <c r="S82" s="1">
        <v>2</v>
      </c>
      <c r="T82" s="1">
        <f>(Table1[[#This Row],[Selling_Price_per_Unit]]-Table1[[#This Row],[Manufacturing_Cost_per_Unit]])*Table1[[#This Row],[Units_Sold]]-Table1[[#This Row],[Marketing_Spend]]-Table1[[#This Row],[Discount_%]]</f>
        <v>1085212.6100000001</v>
      </c>
      <c r="U82" s="3">
        <f>Table1[[#This Row],[profit]]/(Table1[[#This Row],[Units_Sold]]*Table1[[#This Row],[Selling_Price_per_Unit]])*100</f>
        <v>17.242828865164299</v>
      </c>
      <c r="V82" s="6">
        <f>Table1[[#This Row],[Units_Sold]]*Table1[[#This Row],[Selling_Price_per_Unit]]</f>
        <v>6293704</v>
      </c>
      <c r="W82" s="7">
        <f>(Table1[[#This Row],[Units_Sold]]/$Z$1)</f>
        <v>0.10850963813837501</v>
      </c>
      <c r="X82" s="8">
        <f>((Table1[[#This Row],[Units_Sold]]*(Table1[[#This Row],[Selling_Price_per_Unit]]-Table1[[#This Row],[Manufacturing_Cost_per_Unit]]))-Table1[[#This Row],[Marketing_Spend]])/Table1[[#This Row],[Marketing_Spend]]</f>
        <v>2.915717809146646</v>
      </c>
    </row>
    <row r="83" spans="1:24" hidden="1" x14ac:dyDescent="0.3">
      <c r="A83" s="1" t="s">
        <v>100</v>
      </c>
      <c r="B83" s="1" t="s">
        <v>1082</v>
      </c>
      <c r="C83" s="1" t="s">
        <v>1633</v>
      </c>
      <c r="D83" s="1" t="s">
        <v>1635</v>
      </c>
      <c r="E83" s="1">
        <v>2023</v>
      </c>
      <c r="F83" s="1" t="s">
        <v>1641</v>
      </c>
      <c r="G83" s="1">
        <v>2112</v>
      </c>
      <c r="H83" s="1">
        <v>6341</v>
      </c>
      <c r="I83" s="1">
        <v>3079</v>
      </c>
      <c r="J83" s="1">
        <v>112068</v>
      </c>
      <c r="K83" s="1">
        <v>2.4500000000000002</v>
      </c>
      <c r="L83" s="1">
        <v>11</v>
      </c>
      <c r="M83" s="1">
        <v>1.85</v>
      </c>
      <c r="N83" s="1">
        <v>24.5</v>
      </c>
      <c r="O83" s="1">
        <v>44.09</v>
      </c>
      <c r="P83" s="1">
        <v>3.5</v>
      </c>
      <c r="Q83" s="1">
        <v>19440</v>
      </c>
      <c r="R83" s="1">
        <v>4203</v>
      </c>
      <c r="S83" s="1">
        <v>7</v>
      </c>
      <c r="T83" s="1">
        <f>(Table1[[#This Row],[Selling_Price_per_Unit]]-Table1[[#This Row],[Manufacturing_Cost_per_Unit]])*Table1[[#This Row],[Units_Sold]]-Table1[[#This Row],[Marketing_Spend]]-Table1[[#This Row],[Discount_%]]</f>
        <v>6777251.5</v>
      </c>
      <c r="U83" s="3">
        <f>Table1[[#This Row],[profit]]/(Table1[[#This Row],[Units_Sold]]*Table1[[#This Row],[Selling_Price_per_Unit]])*100</f>
        <v>50.605991162611765</v>
      </c>
      <c r="V83" s="6">
        <f>Table1[[#This Row],[Units_Sold]]*Table1[[#This Row],[Selling_Price_per_Unit]]</f>
        <v>13392192</v>
      </c>
      <c r="W83" s="7">
        <f>(Table1[[#This Row],[Units_Sold]]/$Z$1)</f>
        <v>0.42282722462776384</v>
      </c>
      <c r="X83" s="8">
        <f>((Table1[[#This Row],[Units_Sold]]*(Table1[[#This Row],[Selling_Price_per_Unit]]-Table1[[#This Row],[Manufacturing_Cost_per_Unit]]))-Table1[[#This Row],[Marketing_Spend]])/Table1[[#This Row],[Marketing_Spend]]</f>
        <v>60.474676089517082</v>
      </c>
    </row>
    <row r="84" spans="1:24" x14ac:dyDescent="0.3">
      <c r="A84" s="1" t="s">
        <v>492</v>
      </c>
      <c r="B84" s="1" t="s">
        <v>1389</v>
      </c>
      <c r="C84" s="1" t="s">
        <v>1632</v>
      </c>
      <c r="D84" s="1" t="s">
        <v>1638</v>
      </c>
      <c r="E84" s="1">
        <v>2024</v>
      </c>
      <c r="F84" s="1" t="s">
        <v>1641</v>
      </c>
      <c r="G84" s="1">
        <v>3816</v>
      </c>
      <c r="H84" s="1">
        <v>18662</v>
      </c>
      <c r="I84" s="1">
        <v>2814</v>
      </c>
      <c r="J84" s="1">
        <v>434073</v>
      </c>
      <c r="K84" s="1">
        <v>3.96</v>
      </c>
      <c r="L84" s="1">
        <v>9</v>
      </c>
      <c r="M84" s="1">
        <v>3.18</v>
      </c>
      <c r="N84" s="1">
        <v>9.23</v>
      </c>
      <c r="O84" s="1">
        <v>74.62</v>
      </c>
      <c r="P84" s="1">
        <v>2</v>
      </c>
      <c r="Q84" s="1">
        <v>18465</v>
      </c>
      <c r="R84" s="1">
        <v>7540</v>
      </c>
      <c r="S84" s="1">
        <v>13</v>
      </c>
      <c r="T84" s="1">
        <f>(Table1[[#This Row],[Selling_Price_per_Unit]]-Table1[[#This Row],[Manufacturing_Cost_per_Unit]])*Table1[[#This Row],[Units_Sold]]-Table1[[#This Row],[Marketing_Spend]]-Table1[[#This Row],[Discount_%]]</f>
        <v>60041885.770000003</v>
      </c>
      <c r="U84" s="3">
        <f>Table1[[#This Row],[profit]]/(Table1[[#This Row],[Units_Sold]]*Table1[[#This Row],[Selling_Price_per_Unit]])*100</f>
        <v>84.311685752188282</v>
      </c>
      <c r="V84" s="6">
        <f>Table1[[#This Row],[Units_Sold]]*Table1[[#This Row],[Selling_Price_per_Unit]]</f>
        <v>71214192</v>
      </c>
      <c r="W84" s="7">
        <f>(Table1[[#This Row],[Units_Sold]]/$Z$1)</f>
        <v>0.76397191722516422</v>
      </c>
      <c r="X84" s="8">
        <f>((Table1[[#This Row],[Units_Sold]]*(Table1[[#This Row],[Selling_Price_per_Unit]]-Table1[[#This Row],[Manufacturing_Cost_per_Unit]]))-Table1[[#This Row],[Marketing_Spend]])/Table1[[#This Row],[Marketing_Spend]]</f>
        <v>138.32211402229578</v>
      </c>
    </row>
    <row r="85" spans="1:24" hidden="1" x14ac:dyDescent="0.3">
      <c r="A85" s="1" t="s">
        <v>102</v>
      </c>
      <c r="B85" s="1" t="s">
        <v>1097</v>
      </c>
      <c r="C85" s="1" t="s">
        <v>1634</v>
      </c>
      <c r="D85" s="1" t="s">
        <v>1637</v>
      </c>
      <c r="E85" s="1">
        <v>2023</v>
      </c>
      <c r="F85" s="1" t="s">
        <v>1641</v>
      </c>
      <c r="G85" s="1">
        <v>114</v>
      </c>
      <c r="H85" s="1">
        <v>2909</v>
      </c>
      <c r="I85" s="1">
        <v>8251</v>
      </c>
      <c r="J85" s="1">
        <v>211445</v>
      </c>
      <c r="K85" s="1">
        <v>11.02</v>
      </c>
      <c r="L85" s="1">
        <v>17</v>
      </c>
      <c r="M85" s="1">
        <v>0.61</v>
      </c>
      <c r="N85" s="1">
        <v>4.3499999999999996</v>
      </c>
      <c r="O85" s="1">
        <v>57.91</v>
      </c>
      <c r="P85" s="1">
        <v>3.6</v>
      </c>
      <c r="Q85" s="1">
        <v>14135</v>
      </c>
      <c r="R85" s="1">
        <v>6587</v>
      </c>
      <c r="S85" s="1">
        <v>10</v>
      </c>
      <c r="T85" s="1">
        <f>(Table1[[#This Row],[Selling_Price_per_Unit]]-Table1[[#This Row],[Manufacturing_Cost_per_Unit]])*Table1[[#This Row],[Units_Sold]]-Table1[[#This Row],[Marketing_Spend]]-Table1[[#This Row],[Discount_%]]</f>
        <v>-820437.35</v>
      </c>
      <c r="U85" s="3">
        <f>Table1[[#This Row],[profit]]/(Table1[[#This Row],[Units_Sold]]*Table1[[#This Row],[Selling_Price_per_Unit]])*100</f>
        <v>-247.39837949979795</v>
      </c>
      <c r="V85" s="6">
        <f>Table1[[#This Row],[Units_Sold]]*Table1[[#This Row],[Selling_Price_per_Unit]]</f>
        <v>331626</v>
      </c>
      <c r="W85" s="7">
        <f>(Table1[[#This Row],[Units_Sold]]/$Z$1)</f>
        <v>2.2823060420248616E-2</v>
      </c>
      <c r="X85" s="8">
        <f>((Table1[[#This Row],[Units_Sold]]*(Table1[[#This Row],[Selling_Price_per_Unit]]-Table1[[#This Row],[Manufacturing_Cost_per_Unit]]))-Table1[[#This Row],[Marketing_Spend]])/Table1[[#This Row],[Marketing_Spend]]</f>
        <v>-3.8801248551632814</v>
      </c>
    </row>
    <row r="86" spans="1:24" hidden="1" x14ac:dyDescent="0.3">
      <c r="A86" s="1" t="s">
        <v>103</v>
      </c>
      <c r="B86" s="1" t="s">
        <v>1098</v>
      </c>
      <c r="C86" s="1" t="s">
        <v>1634</v>
      </c>
      <c r="D86" s="1" t="s">
        <v>1637</v>
      </c>
      <c r="E86" s="1">
        <v>2024</v>
      </c>
      <c r="F86" s="1" t="s">
        <v>1639</v>
      </c>
      <c r="G86" s="1">
        <v>2618</v>
      </c>
      <c r="H86" s="1">
        <v>6066</v>
      </c>
      <c r="I86" s="1">
        <v>9706</v>
      </c>
      <c r="J86" s="1">
        <v>214226</v>
      </c>
      <c r="K86" s="1">
        <v>5.77</v>
      </c>
      <c r="L86" s="1">
        <v>10</v>
      </c>
      <c r="M86" s="1">
        <v>2.2400000000000002</v>
      </c>
      <c r="N86" s="1">
        <v>1.1499999999999999</v>
      </c>
      <c r="O86" s="1">
        <v>31.95</v>
      </c>
      <c r="P86" s="1">
        <v>2.1</v>
      </c>
      <c r="Q86" s="1">
        <v>14970</v>
      </c>
      <c r="R86" s="1">
        <v>3546</v>
      </c>
      <c r="S86" s="1">
        <v>9</v>
      </c>
      <c r="T86" s="1">
        <f>(Table1[[#This Row],[Selling_Price_per_Unit]]-Table1[[#This Row],[Manufacturing_Cost_per_Unit]])*Table1[[#This Row],[Units_Sold]]-Table1[[#This Row],[Marketing_Spend]]-Table1[[#This Row],[Discount_%]]</f>
        <v>-9743747.1500000004</v>
      </c>
      <c r="U86" s="3">
        <f>Table1[[#This Row],[profit]]/(Table1[[#This Row],[Units_Sold]]*Table1[[#This Row],[Selling_Price_per_Unit]])*100</f>
        <v>-61.35556466089718</v>
      </c>
      <c r="V86" s="6">
        <f>Table1[[#This Row],[Units_Sold]]*Table1[[#This Row],[Selling_Price_per_Unit]]</f>
        <v>15880788</v>
      </c>
      <c r="W86" s="7">
        <f>(Table1[[#This Row],[Units_Sold]]/$Z$1)</f>
        <v>0.52412958052816561</v>
      </c>
      <c r="X86" s="8">
        <f>((Table1[[#This Row],[Units_Sold]]*(Table1[[#This Row],[Selling_Price_per_Unit]]-Table1[[#This Row],[Manufacturing_Cost_per_Unit]]))-Table1[[#This Row],[Marketing_Spend]])/Table1[[#This Row],[Marketing_Spend]]</f>
        <v>-45.483489399045865</v>
      </c>
    </row>
    <row r="87" spans="1:24" hidden="1" x14ac:dyDescent="0.3">
      <c r="A87" s="1" t="s">
        <v>104</v>
      </c>
      <c r="B87" s="1" t="s">
        <v>1099</v>
      </c>
      <c r="C87" s="1" t="s">
        <v>1632</v>
      </c>
      <c r="D87" s="1" t="s">
        <v>1638</v>
      </c>
      <c r="E87" s="1">
        <v>2023</v>
      </c>
      <c r="F87" s="1" t="s">
        <v>1640</v>
      </c>
      <c r="G87" s="1">
        <v>2077</v>
      </c>
      <c r="H87" s="1">
        <v>12882</v>
      </c>
      <c r="I87" s="1">
        <v>13846</v>
      </c>
      <c r="J87" s="1">
        <v>187103</v>
      </c>
      <c r="K87" s="1">
        <v>0.38</v>
      </c>
      <c r="L87" s="1">
        <v>15</v>
      </c>
      <c r="M87" s="1">
        <v>3.63</v>
      </c>
      <c r="N87" s="1">
        <v>14.49</v>
      </c>
      <c r="O87" s="1">
        <v>42</v>
      </c>
      <c r="P87" s="1">
        <v>2.2000000000000002</v>
      </c>
      <c r="Q87" s="1">
        <v>14676</v>
      </c>
      <c r="R87" s="1">
        <v>5838</v>
      </c>
      <c r="S87" s="1">
        <v>4</v>
      </c>
      <c r="T87" s="1">
        <f>(Table1[[#This Row],[Selling_Price_per_Unit]]-Table1[[#This Row],[Manufacturing_Cost_per_Unit]])*Table1[[#This Row],[Units_Sold]]-Table1[[#This Row],[Marketing_Spend]]-Table1[[#This Row],[Discount_%]]</f>
        <v>-2189345.4900000002</v>
      </c>
      <c r="U87" s="3">
        <f>Table1[[#This Row],[profit]]/(Table1[[#This Row],[Units_Sold]]*Table1[[#This Row],[Selling_Price_per_Unit]])*100</f>
        <v>-8.182660065359757</v>
      </c>
      <c r="V87" s="6">
        <f>Table1[[#This Row],[Units_Sold]]*Table1[[#This Row],[Selling_Price_per_Unit]]</f>
        <v>26755914</v>
      </c>
      <c r="W87" s="7">
        <f>(Table1[[#This Row],[Units_Sold]]/$Z$1)</f>
        <v>0.41582014467417877</v>
      </c>
      <c r="X87" s="8">
        <f>((Table1[[#This Row],[Units_Sold]]*(Table1[[#This Row],[Selling_Price_per_Unit]]-Table1[[#This Row],[Manufacturing_Cost_per_Unit]]))-Table1[[#This Row],[Marketing_Spend]])/Table1[[#This Row],[Marketing_Spend]]</f>
        <v>-11.7012073563759</v>
      </c>
    </row>
    <row r="88" spans="1:24" x14ac:dyDescent="0.3">
      <c r="A88" s="1" t="s">
        <v>418</v>
      </c>
      <c r="B88" s="1" t="s">
        <v>1100</v>
      </c>
      <c r="C88" s="1" t="s">
        <v>1633</v>
      </c>
      <c r="D88" s="1" t="s">
        <v>1638</v>
      </c>
      <c r="E88" s="1">
        <v>2023</v>
      </c>
      <c r="F88" s="1" t="s">
        <v>1641</v>
      </c>
      <c r="G88" s="1">
        <v>4598</v>
      </c>
      <c r="H88" s="1">
        <v>15914</v>
      </c>
      <c r="I88" s="1">
        <v>2971</v>
      </c>
      <c r="J88" s="1">
        <v>92727</v>
      </c>
      <c r="K88" s="1">
        <v>3.05</v>
      </c>
      <c r="L88" s="1">
        <v>8</v>
      </c>
      <c r="M88" s="1">
        <v>3.93</v>
      </c>
      <c r="N88" s="1">
        <v>17.079999999999998</v>
      </c>
      <c r="O88" s="1">
        <v>32.03</v>
      </c>
      <c r="P88" s="1">
        <v>1.5</v>
      </c>
      <c r="Q88" s="1">
        <v>3811</v>
      </c>
      <c r="R88" s="1">
        <v>3301</v>
      </c>
      <c r="S88" s="1">
        <v>7</v>
      </c>
      <c r="T88" s="1">
        <f>(Table1[[#This Row],[Selling_Price_per_Unit]]-Table1[[#This Row],[Manufacturing_Cost_per_Unit]])*Table1[[#This Row],[Units_Sold]]-Table1[[#This Row],[Marketing_Spend]]-Table1[[#This Row],[Discount_%]]</f>
        <v>59419169.920000002</v>
      </c>
      <c r="U88" s="3">
        <f>Table1[[#This Row],[profit]]/(Table1[[#This Row],[Units_Sold]]*Table1[[#This Row],[Selling_Price_per_Unit]])*100</f>
        <v>81.204156551993279</v>
      </c>
      <c r="V88" s="6">
        <f>Table1[[#This Row],[Units_Sold]]*Table1[[#This Row],[Selling_Price_per_Unit]]</f>
        <v>73172572</v>
      </c>
      <c r="W88" s="7">
        <f>(Table1[[#This Row],[Units_Sold]]/$Z$1)</f>
        <v>0.9205301036166943</v>
      </c>
      <c r="X88" s="8">
        <f>((Table1[[#This Row],[Units_Sold]]*(Table1[[#This Row],[Selling_Price_per_Unit]]-Table1[[#This Row],[Manufacturing_Cost_per_Unit]]))-Table1[[#This Row],[Marketing_Spend]])/Table1[[#This Row],[Marketing_Spend]]</f>
        <v>640.797038618741</v>
      </c>
    </row>
    <row r="89" spans="1:24" hidden="1" x14ac:dyDescent="0.3">
      <c r="A89" s="1" t="s">
        <v>477</v>
      </c>
      <c r="B89" s="1" t="s">
        <v>1186</v>
      </c>
      <c r="C89" s="1" t="s">
        <v>1632</v>
      </c>
      <c r="D89" s="1" t="s">
        <v>1637</v>
      </c>
      <c r="E89" s="1">
        <v>2023</v>
      </c>
      <c r="F89" s="1" t="s">
        <v>1641</v>
      </c>
      <c r="G89" s="1">
        <v>3398</v>
      </c>
      <c r="H89" s="1">
        <v>19759</v>
      </c>
      <c r="I89" s="1">
        <v>2231</v>
      </c>
      <c r="J89" s="1">
        <v>340598</v>
      </c>
      <c r="K89" s="1">
        <v>4.71</v>
      </c>
      <c r="L89" s="1">
        <v>2</v>
      </c>
      <c r="M89" s="1">
        <v>3.73</v>
      </c>
      <c r="N89" s="1">
        <v>24.89</v>
      </c>
      <c r="O89" s="1">
        <v>68.47</v>
      </c>
      <c r="P89" s="1">
        <v>1.5</v>
      </c>
      <c r="Q89" s="1">
        <v>12768</v>
      </c>
      <c r="R89" s="1">
        <v>6752</v>
      </c>
      <c r="S89" s="1">
        <v>13</v>
      </c>
      <c r="T89" s="1">
        <f>(Table1[[#This Row],[Selling_Price_per_Unit]]-Table1[[#This Row],[Manufacturing_Cost_per_Unit]])*Table1[[#This Row],[Units_Sold]]-Table1[[#This Row],[Marketing_Spend]]-Table1[[#This Row],[Discount_%]]</f>
        <v>59219521.109999999</v>
      </c>
      <c r="U89" s="3">
        <f>Table1[[#This Row],[profit]]/(Table1[[#This Row],[Units_Sold]]*Table1[[#This Row],[Selling_Price_per_Unit]])*100</f>
        <v>88.201618660241436</v>
      </c>
      <c r="V89" s="6">
        <f>Table1[[#This Row],[Units_Sold]]*Table1[[#This Row],[Selling_Price_per_Unit]]</f>
        <v>67141082</v>
      </c>
      <c r="W89" s="7">
        <f>(Table1[[#This Row],[Units_Sold]]/$Z$1)</f>
        <v>0.68028736235091936</v>
      </c>
      <c r="X89" s="8">
        <f>((Table1[[#This Row],[Units_Sold]]*(Table1[[#This Row],[Selling_Price_per_Unit]]-Table1[[#This Row],[Manufacturing_Cost_per_Unit]]))-Table1[[#This Row],[Marketing_Spend]])/Table1[[#This Row],[Marketing_Spend]]</f>
        <v>173.86932982577702</v>
      </c>
    </row>
    <row r="90" spans="1:24" hidden="1" x14ac:dyDescent="0.3">
      <c r="A90" s="1" t="s">
        <v>107</v>
      </c>
      <c r="B90" s="1" t="s">
        <v>1102</v>
      </c>
      <c r="C90" s="1" t="s">
        <v>1633</v>
      </c>
      <c r="D90" s="1" t="s">
        <v>1635</v>
      </c>
      <c r="E90" s="1">
        <v>2024</v>
      </c>
      <c r="F90" s="1" t="s">
        <v>1641</v>
      </c>
      <c r="G90" s="1">
        <v>441</v>
      </c>
      <c r="H90" s="1">
        <v>2304</v>
      </c>
      <c r="I90" s="1">
        <v>13018</v>
      </c>
      <c r="J90" s="1">
        <v>334929</v>
      </c>
      <c r="K90" s="1">
        <v>10.56</v>
      </c>
      <c r="L90" s="1">
        <v>17</v>
      </c>
      <c r="M90" s="1">
        <v>8.08</v>
      </c>
      <c r="N90" s="1">
        <v>0.18</v>
      </c>
      <c r="O90" s="1">
        <v>78.95</v>
      </c>
      <c r="P90" s="1">
        <v>3</v>
      </c>
      <c r="Q90" s="1">
        <v>8305</v>
      </c>
      <c r="R90" s="1">
        <v>5576</v>
      </c>
      <c r="S90" s="1">
        <v>3</v>
      </c>
      <c r="T90" s="1">
        <f>(Table1[[#This Row],[Selling_Price_per_Unit]]-Table1[[#This Row],[Manufacturing_Cost_per_Unit]])*Table1[[#This Row],[Units_Sold]]-Table1[[#This Row],[Marketing_Spend]]-Table1[[#This Row],[Discount_%]]</f>
        <v>-5059803.18</v>
      </c>
      <c r="U90" s="3">
        <f>Table1[[#This Row],[profit]]/(Table1[[#This Row],[Units_Sold]]*Table1[[#This Row],[Selling_Price_per_Unit]])*100</f>
        <v>-497.98075514928189</v>
      </c>
      <c r="V90" s="6">
        <f>Table1[[#This Row],[Units_Sold]]*Table1[[#This Row],[Selling_Price_per_Unit]]</f>
        <v>1016064</v>
      </c>
      <c r="W90" s="7">
        <f>(Table1[[#This Row],[Units_Sold]]/$Z$1)</f>
        <v>8.828920741517228E-2</v>
      </c>
      <c r="X90" s="8">
        <f>((Table1[[#This Row],[Units_Sold]]*(Table1[[#This Row],[Selling_Price_per_Unit]]-Table1[[#This Row],[Manufacturing_Cost_per_Unit]]))-Table1[[#This Row],[Marketing_Spend]])/Table1[[#This Row],[Marketing_Spend]]</f>
        <v>-15.107091353689887</v>
      </c>
    </row>
    <row r="91" spans="1:24" x14ac:dyDescent="0.3">
      <c r="A91" s="1" t="s">
        <v>841</v>
      </c>
      <c r="B91" s="1" t="s">
        <v>1563</v>
      </c>
      <c r="C91" s="1" t="s">
        <v>1632</v>
      </c>
      <c r="D91" s="1" t="s">
        <v>1638</v>
      </c>
      <c r="E91" s="1">
        <v>2024</v>
      </c>
      <c r="F91" s="1" t="s">
        <v>1639</v>
      </c>
      <c r="G91" s="1">
        <v>4677</v>
      </c>
      <c r="H91" s="1">
        <v>17535</v>
      </c>
      <c r="I91" s="1">
        <v>4888</v>
      </c>
      <c r="J91" s="1">
        <v>109234</v>
      </c>
      <c r="K91" s="1">
        <v>10.59</v>
      </c>
      <c r="L91" s="1">
        <v>19</v>
      </c>
      <c r="M91" s="1">
        <v>7.65</v>
      </c>
      <c r="N91" s="1">
        <v>11.79</v>
      </c>
      <c r="O91" s="1">
        <v>62.62</v>
      </c>
      <c r="P91" s="1">
        <v>4.2</v>
      </c>
      <c r="Q91" s="1">
        <v>18833</v>
      </c>
      <c r="R91" s="1">
        <v>8403</v>
      </c>
      <c r="S91" s="1">
        <v>10</v>
      </c>
      <c r="T91" s="1">
        <f>(Table1[[#This Row],[Selling_Price_per_Unit]]-Table1[[#This Row],[Manufacturing_Cost_per_Unit]])*Table1[[#This Row],[Units_Sold]]-Table1[[#This Row],[Marketing_Spend]]-Table1[[#This Row],[Discount_%]]</f>
        <v>59040773.210000001</v>
      </c>
      <c r="U91" s="3">
        <f>Table1[[#This Row],[profit]]/(Table1[[#This Row],[Units_Sold]]*Table1[[#This Row],[Selling_Price_per_Unit]])*100</f>
        <v>71.991114396028493</v>
      </c>
      <c r="V91" s="6">
        <f>Table1[[#This Row],[Units_Sold]]*Table1[[#This Row],[Selling_Price_per_Unit]]</f>
        <v>82011195</v>
      </c>
      <c r="W91" s="7">
        <f>(Table1[[#This Row],[Units_Sold]]/$Z$1)</f>
        <v>0.93634608408335773</v>
      </c>
      <c r="X91" s="8">
        <f>((Table1[[#This Row],[Units_Sold]]*(Table1[[#This Row],[Selling_Price_per_Unit]]-Table1[[#This Row],[Manufacturing_Cost_per_Unit]]))-Table1[[#This Row],[Marketing_Spend]])/Table1[[#This Row],[Marketing_Spend]]</f>
        <v>540.49824230550928</v>
      </c>
    </row>
    <row r="92" spans="1:24" x14ac:dyDescent="0.3">
      <c r="A92" s="1" t="s">
        <v>109</v>
      </c>
      <c r="B92" s="1" t="s">
        <v>1104</v>
      </c>
      <c r="C92" s="1" t="s">
        <v>1633</v>
      </c>
      <c r="D92" s="1" t="s">
        <v>1635</v>
      </c>
      <c r="E92" s="1">
        <v>2024</v>
      </c>
      <c r="F92" s="1" t="s">
        <v>1640</v>
      </c>
      <c r="G92" s="1">
        <v>4524</v>
      </c>
      <c r="H92" s="1">
        <v>2779</v>
      </c>
      <c r="I92" s="1">
        <v>3047</v>
      </c>
      <c r="J92" s="1">
        <v>209741</v>
      </c>
      <c r="K92" s="1">
        <v>6.56</v>
      </c>
      <c r="L92" s="1">
        <v>15</v>
      </c>
      <c r="M92" s="1">
        <v>5.37</v>
      </c>
      <c r="N92" s="1">
        <v>1.92</v>
      </c>
      <c r="O92" s="1">
        <v>42.82</v>
      </c>
      <c r="P92" s="1">
        <v>2.6</v>
      </c>
      <c r="Q92" s="1">
        <v>19504</v>
      </c>
      <c r="R92" s="1">
        <v>5281</v>
      </c>
      <c r="S92" s="1">
        <v>3</v>
      </c>
      <c r="T92" s="1">
        <f>(Table1[[#This Row],[Selling_Price_per_Unit]]-Table1[[#This Row],[Manufacturing_Cost_per_Unit]])*Table1[[#This Row],[Units_Sold]]-Table1[[#This Row],[Marketing_Spend]]-Table1[[#This Row],[Discount_%]]</f>
        <v>-1422174.92</v>
      </c>
      <c r="U92" s="3">
        <f>Table1[[#This Row],[profit]]/(Table1[[#This Row],[Units_Sold]]*Table1[[#This Row],[Selling_Price_per_Unit]])*100</f>
        <v>-11.312064495335578</v>
      </c>
      <c r="V92" s="6">
        <f>Table1[[#This Row],[Units_Sold]]*Table1[[#This Row],[Selling_Price_per_Unit]]</f>
        <v>12572196</v>
      </c>
      <c r="W92" s="7">
        <f>(Table1[[#This Row],[Units_Sold]]/$Z$1)</f>
        <v>0.9057151345719715</v>
      </c>
      <c r="X92" s="8">
        <f>((Table1[[#This Row],[Units_Sold]]*(Table1[[#This Row],[Selling_Price_per_Unit]]-Table1[[#This Row],[Manufacturing_Cost_per_Unit]]))-Table1[[#This Row],[Marketing_Spend]])/Table1[[#This Row],[Marketing_Spend]]</f>
        <v>-6.7806151396245848</v>
      </c>
    </row>
    <row r="93" spans="1:24" hidden="1" x14ac:dyDescent="0.3">
      <c r="A93" s="1" t="s">
        <v>410</v>
      </c>
      <c r="B93" s="1" t="s">
        <v>1341</v>
      </c>
      <c r="C93" s="1" t="s">
        <v>1634</v>
      </c>
      <c r="D93" s="1" t="s">
        <v>1637</v>
      </c>
      <c r="E93" s="1">
        <v>2023</v>
      </c>
      <c r="F93" s="1" t="s">
        <v>1640</v>
      </c>
      <c r="G93" s="1">
        <v>3556</v>
      </c>
      <c r="H93" s="1">
        <v>17878</v>
      </c>
      <c r="I93" s="1">
        <v>1459</v>
      </c>
      <c r="J93" s="1">
        <v>191958</v>
      </c>
      <c r="K93" s="1">
        <v>2.75</v>
      </c>
      <c r="L93" s="1">
        <v>7</v>
      </c>
      <c r="M93" s="1">
        <v>4.0199999999999996</v>
      </c>
      <c r="N93" s="1">
        <v>12.23</v>
      </c>
      <c r="O93" s="1">
        <v>48.56</v>
      </c>
      <c r="P93" s="1">
        <v>2.5</v>
      </c>
      <c r="Q93" s="1">
        <v>11533</v>
      </c>
      <c r="R93" s="1">
        <v>5290</v>
      </c>
      <c r="S93" s="1">
        <v>7</v>
      </c>
      <c r="T93" s="1">
        <f>(Table1[[#This Row],[Selling_Price_per_Unit]]-Table1[[#This Row],[Manufacturing_Cost_per_Unit]])*Table1[[#This Row],[Units_Sold]]-Table1[[#This Row],[Marketing_Spend]]-Table1[[#This Row],[Discount_%]]</f>
        <v>58193993.770000003</v>
      </c>
      <c r="U93" s="3">
        <f>Table1[[#This Row],[profit]]/(Table1[[#This Row],[Units_Sold]]*Table1[[#This Row],[Selling_Price_per_Unit]])*100</f>
        <v>91.537169263465628</v>
      </c>
      <c r="V93" s="6">
        <f>Table1[[#This Row],[Units_Sold]]*Table1[[#This Row],[Selling_Price_per_Unit]]</f>
        <v>63574168</v>
      </c>
      <c r="W93" s="7">
        <f>(Table1[[#This Row],[Units_Sold]]/$Z$1)</f>
        <v>0.71191932328424634</v>
      </c>
      <c r="X93" s="8">
        <f>((Table1[[#This Row],[Units_Sold]]*(Table1[[#This Row],[Selling_Price_per_Unit]]-Table1[[#This Row],[Manufacturing_Cost_per_Unit]]))-Table1[[#This Row],[Marketing_Spend]])/Table1[[#This Row],[Marketing_Spend]]</f>
        <v>303.16009752133277</v>
      </c>
    </row>
    <row r="94" spans="1:24" x14ac:dyDescent="0.3">
      <c r="A94" s="1" t="s">
        <v>717</v>
      </c>
      <c r="B94" s="1" t="s">
        <v>1105</v>
      </c>
      <c r="C94" s="1" t="s">
        <v>1633</v>
      </c>
      <c r="D94" s="1" t="s">
        <v>1638</v>
      </c>
      <c r="E94" s="1">
        <v>2023</v>
      </c>
      <c r="F94" s="1" t="s">
        <v>1639</v>
      </c>
      <c r="G94" s="1">
        <v>4188</v>
      </c>
      <c r="H94" s="1">
        <v>14880</v>
      </c>
      <c r="I94" s="1">
        <v>1064</v>
      </c>
      <c r="J94" s="1">
        <v>236740</v>
      </c>
      <c r="K94" s="1">
        <v>1.89</v>
      </c>
      <c r="L94" s="1">
        <v>0</v>
      </c>
      <c r="M94" s="1">
        <v>2.62</v>
      </c>
      <c r="N94" s="1">
        <v>11.09</v>
      </c>
      <c r="O94" s="1">
        <v>11.47</v>
      </c>
      <c r="P94" s="1">
        <v>2.1</v>
      </c>
      <c r="Q94" s="1">
        <v>13040</v>
      </c>
      <c r="R94" s="1">
        <v>2996</v>
      </c>
      <c r="S94" s="1">
        <v>12</v>
      </c>
      <c r="T94" s="1">
        <f>(Table1[[#This Row],[Selling_Price_per_Unit]]-Table1[[#This Row],[Manufacturing_Cost_per_Unit]])*Table1[[#This Row],[Units_Sold]]-Table1[[#This Row],[Marketing_Spend]]-Table1[[#This Row],[Discount_%]]</f>
        <v>57624656.909999996</v>
      </c>
      <c r="U94" s="3">
        <f>Table1[[#This Row],[profit]]/(Table1[[#This Row],[Units_Sold]]*Table1[[#This Row],[Selling_Price_per_Unit]])*100</f>
        <v>92.469550915441971</v>
      </c>
      <c r="V94" s="6">
        <f>Table1[[#This Row],[Units_Sold]]*Table1[[#This Row],[Selling_Price_per_Unit]]</f>
        <v>62317440</v>
      </c>
      <c r="W94" s="7">
        <f>(Table1[[#This Row],[Units_Sold]]/$Z$1)</f>
        <v>0.83844716701755451</v>
      </c>
      <c r="X94" s="8">
        <f>((Table1[[#This Row],[Units_Sold]]*(Table1[[#This Row],[Selling_Price_per_Unit]]-Table1[[#This Row],[Manufacturing_Cost_per_Unit]]))-Table1[[#This Row],[Marketing_Spend]])/Table1[[#This Row],[Marketing_Spend]]</f>
        <v>243.40909014108306</v>
      </c>
    </row>
    <row r="95" spans="1:24" hidden="1" x14ac:dyDescent="0.3">
      <c r="A95" s="1" t="s">
        <v>112</v>
      </c>
      <c r="B95" s="1" t="s">
        <v>1107</v>
      </c>
      <c r="C95" s="1" t="s">
        <v>1632</v>
      </c>
      <c r="D95" s="1" t="s">
        <v>1636</v>
      </c>
      <c r="E95" s="1">
        <v>2024</v>
      </c>
      <c r="F95" s="1" t="s">
        <v>1640</v>
      </c>
      <c r="G95" s="1">
        <v>3149</v>
      </c>
      <c r="H95" s="1">
        <v>12593</v>
      </c>
      <c r="I95" s="1">
        <v>8880</v>
      </c>
      <c r="J95" s="1">
        <v>215696</v>
      </c>
      <c r="K95" s="1">
        <v>12.26</v>
      </c>
      <c r="L95" s="1">
        <v>10</v>
      </c>
      <c r="M95" s="1">
        <v>7.09</v>
      </c>
      <c r="N95" s="1">
        <v>5.92</v>
      </c>
      <c r="O95" s="1">
        <v>18.52</v>
      </c>
      <c r="P95" s="1">
        <v>3.4</v>
      </c>
      <c r="Q95" s="1">
        <v>4618</v>
      </c>
      <c r="R95" s="1">
        <v>4987</v>
      </c>
      <c r="S95" s="1">
        <v>7</v>
      </c>
      <c r="T95" s="1">
        <f>(Table1[[#This Row],[Selling_Price_per_Unit]]-Table1[[#This Row],[Manufacturing_Cost_per_Unit]])*Table1[[#This Row],[Units_Sold]]-Table1[[#This Row],[Marketing_Spend]]-Table1[[#This Row],[Discount_%]]</f>
        <v>11476535.08</v>
      </c>
      <c r="U95" s="3">
        <f>Table1[[#This Row],[profit]]/(Table1[[#This Row],[Units_Sold]]*Table1[[#This Row],[Selling_Price_per_Unit]])*100</f>
        <v>28.940692880409575</v>
      </c>
      <c r="V95" s="6">
        <f>Table1[[#This Row],[Units_Sold]]*Table1[[#This Row],[Selling_Price_per_Unit]]</f>
        <v>39655357</v>
      </c>
      <c r="W95" s="7">
        <f>(Table1[[#This Row],[Units_Sold]]/$Z$1)</f>
        <v>0.63043699353827098</v>
      </c>
      <c r="X95" s="8">
        <f>((Table1[[#This Row],[Units_Sold]]*(Table1[[#This Row],[Selling_Price_per_Unit]]-Table1[[#This Row],[Manufacturing_Cost_per_Unit]]))-Table1[[#This Row],[Marketing_Spend]])/Table1[[#This Row],[Marketing_Spend]]</f>
        <v>53.207018210815221</v>
      </c>
    </row>
    <row r="96" spans="1:24" hidden="1" x14ac:dyDescent="0.3">
      <c r="A96" s="1" t="s">
        <v>113</v>
      </c>
      <c r="B96" s="1" t="s">
        <v>1108</v>
      </c>
      <c r="C96" s="1" t="s">
        <v>1633</v>
      </c>
      <c r="D96" s="1" t="s">
        <v>1637</v>
      </c>
      <c r="E96" s="1">
        <v>2023</v>
      </c>
      <c r="F96" s="1" t="s">
        <v>1642</v>
      </c>
      <c r="G96" s="1">
        <v>250</v>
      </c>
      <c r="H96" s="1">
        <v>19271</v>
      </c>
      <c r="I96" s="1">
        <v>7899</v>
      </c>
      <c r="J96" s="1">
        <v>229510</v>
      </c>
      <c r="K96" s="1">
        <v>8.1999999999999993</v>
      </c>
      <c r="L96" s="1">
        <v>14</v>
      </c>
      <c r="M96" s="1">
        <v>9.94</v>
      </c>
      <c r="N96" s="1">
        <v>2.1</v>
      </c>
      <c r="O96" s="1">
        <v>65.069999999999993</v>
      </c>
      <c r="P96" s="1">
        <v>4.7</v>
      </c>
      <c r="Q96" s="1">
        <v>8130</v>
      </c>
      <c r="R96" s="1">
        <v>2698</v>
      </c>
      <c r="S96" s="1">
        <v>12</v>
      </c>
      <c r="T96" s="1">
        <f>(Table1[[#This Row],[Selling_Price_per_Unit]]-Table1[[#This Row],[Manufacturing_Cost_per_Unit]])*Table1[[#This Row],[Units_Sold]]-Table1[[#This Row],[Marketing_Spend]]-Table1[[#This Row],[Discount_%]]</f>
        <v>2613487.9</v>
      </c>
      <c r="U96" s="3">
        <f>Table1[[#This Row],[profit]]/(Table1[[#This Row],[Units_Sold]]*Table1[[#This Row],[Selling_Price_per_Unit]])*100</f>
        <v>54.247063463234909</v>
      </c>
      <c r="V96" s="6">
        <f>Table1[[#This Row],[Units_Sold]]*Table1[[#This Row],[Selling_Price_per_Unit]]</f>
        <v>4817750</v>
      </c>
      <c r="W96" s="7">
        <f>(Table1[[#This Row],[Units_Sold]]/$Z$1)</f>
        <v>5.0050571097036443E-2</v>
      </c>
      <c r="X96" s="8">
        <f>((Table1[[#This Row],[Units_Sold]]*(Table1[[#This Row],[Selling_Price_per_Unit]]-Table1[[#This Row],[Manufacturing_Cost_per_Unit]]))-Table1[[#This Row],[Marketing_Spend]])/Table1[[#This Row],[Marketing_Spend]]</f>
        <v>11.387259814387173</v>
      </c>
    </row>
    <row r="97" spans="1:24" x14ac:dyDescent="0.3">
      <c r="A97" s="1" t="s">
        <v>164</v>
      </c>
      <c r="B97" s="1" t="s">
        <v>1153</v>
      </c>
      <c r="C97" s="1" t="s">
        <v>1634</v>
      </c>
      <c r="D97" s="1" t="s">
        <v>1638</v>
      </c>
      <c r="E97" s="1">
        <v>2024</v>
      </c>
      <c r="F97" s="1" t="s">
        <v>1640</v>
      </c>
      <c r="G97" s="1">
        <v>4463</v>
      </c>
      <c r="H97" s="1">
        <v>17326</v>
      </c>
      <c r="I97" s="1">
        <v>4639</v>
      </c>
      <c r="J97" s="1">
        <v>403847</v>
      </c>
      <c r="K97" s="1">
        <v>4.1399999999999997</v>
      </c>
      <c r="L97" s="1">
        <v>17</v>
      </c>
      <c r="M97" s="1">
        <v>8.5299999999999994</v>
      </c>
      <c r="N97" s="1">
        <v>6.93</v>
      </c>
      <c r="O97" s="1">
        <v>36.479999999999997</v>
      </c>
      <c r="P97" s="1">
        <v>4.4000000000000004</v>
      </c>
      <c r="Q97" s="1">
        <v>17014</v>
      </c>
      <c r="R97" s="1">
        <v>4692</v>
      </c>
      <c r="S97" s="1">
        <v>8</v>
      </c>
      <c r="T97" s="1">
        <f>(Table1[[#This Row],[Selling_Price_per_Unit]]-Table1[[#This Row],[Manufacturing_Cost_per_Unit]])*Table1[[#This Row],[Units_Sold]]-Table1[[#This Row],[Marketing_Spend]]-Table1[[#This Row],[Discount_%]]</f>
        <v>56218227.07</v>
      </c>
      <c r="U97" s="3">
        <f>Table1[[#This Row],[profit]]/(Table1[[#This Row],[Units_Sold]]*Table1[[#This Row],[Selling_Price_per_Unit]])*100</f>
        <v>72.702935811784144</v>
      </c>
      <c r="V97" s="6">
        <f>Table1[[#This Row],[Units_Sold]]*Table1[[#This Row],[Selling_Price_per_Unit]]</f>
        <v>77325938</v>
      </c>
      <c r="W97" s="7">
        <f>(Table1[[#This Row],[Units_Sold]]/$Z$1)</f>
        <v>0.89350279522429454</v>
      </c>
      <c r="X97" s="8">
        <f>((Table1[[#This Row],[Units_Sold]]*(Table1[[#This Row],[Selling_Price_per_Unit]]-Table1[[#This Row],[Manufacturing_Cost_per_Unit]]))-Table1[[#This Row],[Marketing_Spend]])/Table1[[#This Row],[Marketing_Spend]]</f>
        <v>139.20676394773267</v>
      </c>
    </row>
    <row r="98" spans="1:24" x14ac:dyDescent="0.3">
      <c r="A98" s="1" t="s">
        <v>236</v>
      </c>
      <c r="B98" s="1" t="s">
        <v>1212</v>
      </c>
      <c r="C98" s="1" t="s">
        <v>1632</v>
      </c>
      <c r="D98" s="1" t="s">
        <v>1638</v>
      </c>
      <c r="E98" s="1">
        <v>2024</v>
      </c>
      <c r="F98" s="1" t="s">
        <v>1642</v>
      </c>
      <c r="G98" s="1">
        <v>4598</v>
      </c>
      <c r="H98" s="1">
        <v>13279</v>
      </c>
      <c r="I98" s="1">
        <v>1101</v>
      </c>
      <c r="J98" s="1">
        <v>281312</v>
      </c>
      <c r="K98" s="1">
        <v>0.14000000000000001</v>
      </c>
      <c r="L98" s="1">
        <v>11</v>
      </c>
      <c r="M98" s="1">
        <v>2.0099999999999998</v>
      </c>
      <c r="N98" s="1">
        <v>21.38</v>
      </c>
      <c r="O98" s="1">
        <v>63.79</v>
      </c>
      <c r="P98" s="1">
        <v>2.8</v>
      </c>
      <c r="Q98" s="1">
        <v>2010</v>
      </c>
      <c r="R98" s="1">
        <v>494</v>
      </c>
      <c r="S98" s="1">
        <v>8</v>
      </c>
      <c r="T98" s="1">
        <f>(Table1[[#This Row],[Selling_Price_per_Unit]]-Table1[[#This Row],[Manufacturing_Cost_per_Unit]])*Table1[[#This Row],[Units_Sold]]-Table1[[#This Row],[Marketing_Spend]]-Table1[[#This Row],[Discount_%]]</f>
        <v>55713110.619999997</v>
      </c>
      <c r="U98" s="3">
        <f>Table1[[#This Row],[profit]]/(Table1[[#This Row],[Units_Sold]]*Table1[[#This Row],[Selling_Price_per_Unit]])*100</f>
        <v>91.247940108006233</v>
      </c>
      <c r="V98" s="6">
        <f>Table1[[#This Row],[Units_Sold]]*Table1[[#This Row],[Selling_Price_per_Unit]]</f>
        <v>61056842</v>
      </c>
      <c r="W98" s="7">
        <f>(Table1[[#This Row],[Units_Sold]]/$Z$1)</f>
        <v>0.9205301036166943</v>
      </c>
      <c r="X98" s="8">
        <f>((Table1[[#This Row],[Units_Sold]]*(Table1[[#This Row],[Selling_Price_per_Unit]]-Table1[[#This Row],[Manufacturing_Cost_per_Unit]]))-Table1[[#This Row],[Marketing_Spend]])/Table1[[#This Row],[Marketing_Spend]]</f>
        <v>198.04747753384143</v>
      </c>
    </row>
    <row r="99" spans="1:24" x14ac:dyDescent="0.3">
      <c r="A99" s="1" t="s">
        <v>116</v>
      </c>
      <c r="B99" s="1" t="s">
        <v>1111</v>
      </c>
      <c r="C99" s="1" t="s">
        <v>1632</v>
      </c>
      <c r="D99" s="1" t="s">
        <v>1638</v>
      </c>
      <c r="E99" s="1">
        <v>2023</v>
      </c>
      <c r="F99" s="1" t="s">
        <v>1639</v>
      </c>
      <c r="G99" s="1">
        <v>4648</v>
      </c>
      <c r="H99" s="1">
        <v>3606</v>
      </c>
      <c r="I99" s="1">
        <v>8140</v>
      </c>
      <c r="J99" s="1">
        <v>212777</v>
      </c>
      <c r="K99" s="1">
        <v>7.57</v>
      </c>
      <c r="L99" s="1">
        <v>9</v>
      </c>
      <c r="M99" s="1">
        <v>8.44</v>
      </c>
      <c r="N99" s="1">
        <v>24.71</v>
      </c>
      <c r="O99" s="1">
        <v>89.86</v>
      </c>
      <c r="P99" s="1">
        <v>4.4000000000000004</v>
      </c>
      <c r="Q99" s="1">
        <v>16359</v>
      </c>
      <c r="R99" s="1">
        <v>1554</v>
      </c>
      <c r="S99" s="1">
        <v>10</v>
      </c>
      <c r="T99" s="1">
        <f>(Table1[[#This Row],[Selling_Price_per_Unit]]-Table1[[#This Row],[Manufacturing_Cost_per_Unit]])*Table1[[#This Row],[Units_Sold]]-Table1[[#This Row],[Marketing_Spend]]-Table1[[#This Row],[Discount_%]]</f>
        <v>-21286833.710000001</v>
      </c>
      <c r="U99" s="3">
        <f>Table1[[#This Row],[profit]]/(Table1[[#This Row],[Units_Sold]]*Table1[[#This Row],[Selling_Price_per_Unit]])*100</f>
        <v>-127.00453412174966</v>
      </c>
      <c r="V99" s="6">
        <f>Table1[[#This Row],[Units_Sold]]*Table1[[#This Row],[Selling_Price_per_Unit]]</f>
        <v>16760688</v>
      </c>
      <c r="W99" s="7">
        <f>(Table1[[#This Row],[Units_Sold]]/$Z$1)</f>
        <v>0.93054021783610152</v>
      </c>
      <c r="X99" s="8">
        <f>((Table1[[#This Row],[Units_Sold]]*(Table1[[#This Row],[Selling_Price_per_Unit]]-Table1[[#This Row],[Manufacturing_Cost_per_Unit]]))-Table1[[#This Row],[Marketing_Spend]])/Table1[[#This Row],[Marketing_Spend]]</f>
        <v>-100.04281007815695</v>
      </c>
    </row>
    <row r="100" spans="1:24" hidden="1" x14ac:dyDescent="0.3">
      <c r="A100" s="1" t="s">
        <v>117</v>
      </c>
      <c r="B100" s="1" t="s">
        <v>1105</v>
      </c>
      <c r="C100" s="1" t="s">
        <v>1633</v>
      </c>
      <c r="D100" s="1" t="s">
        <v>1638</v>
      </c>
      <c r="E100" s="1">
        <v>2024</v>
      </c>
      <c r="F100" s="1" t="s">
        <v>1641</v>
      </c>
      <c r="G100" s="1">
        <v>2504</v>
      </c>
      <c r="H100" s="1">
        <v>17586</v>
      </c>
      <c r="I100" s="1">
        <v>14527</v>
      </c>
      <c r="J100" s="1">
        <v>481460</v>
      </c>
      <c r="K100" s="1">
        <v>10.78</v>
      </c>
      <c r="L100" s="1">
        <v>11</v>
      </c>
      <c r="M100" s="1">
        <v>9.16</v>
      </c>
      <c r="N100" s="1">
        <v>8.61</v>
      </c>
      <c r="O100" s="1">
        <v>25.03</v>
      </c>
      <c r="P100" s="1">
        <v>3.7</v>
      </c>
      <c r="Q100" s="1">
        <v>9170</v>
      </c>
      <c r="R100" s="1">
        <v>1238</v>
      </c>
      <c r="S100" s="1">
        <v>8</v>
      </c>
      <c r="T100" s="1">
        <f>(Table1[[#This Row],[Selling_Price_per_Unit]]-Table1[[#This Row],[Manufacturing_Cost_per_Unit]])*Table1[[#This Row],[Units_Sold]]-Table1[[#This Row],[Marketing_Spend]]-Table1[[#This Row],[Discount_%]]</f>
        <v>7178267.3899999997</v>
      </c>
      <c r="U100" s="3">
        <f>Table1[[#This Row],[profit]]/(Table1[[#This Row],[Units_Sold]]*Table1[[#This Row],[Selling_Price_per_Unit]])*100</f>
        <v>16.301149799124993</v>
      </c>
      <c r="V100" s="6">
        <f>Table1[[#This Row],[Units_Sold]]*Table1[[#This Row],[Selling_Price_per_Unit]]</f>
        <v>44035344</v>
      </c>
      <c r="W100" s="7">
        <f>(Table1[[#This Row],[Units_Sold]]/$Z$1)</f>
        <v>0.50130652010791699</v>
      </c>
      <c r="X100" s="8">
        <f>((Table1[[#This Row],[Units_Sold]]*(Table1[[#This Row],[Selling_Price_per_Unit]]-Table1[[#This Row],[Manufacturing_Cost_per_Unit]]))-Table1[[#This Row],[Marketing_Spend]])/Table1[[#This Row],[Marketing_Spend]]</f>
        <v>14.90939226519337</v>
      </c>
    </row>
    <row r="101" spans="1:24" x14ac:dyDescent="0.3">
      <c r="A101" s="1" t="s">
        <v>118</v>
      </c>
      <c r="B101" s="1" t="s">
        <v>1112</v>
      </c>
      <c r="C101" s="1" t="s">
        <v>1632</v>
      </c>
      <c r="D101" s="1" t="s">
        <v>1636</v>
      </c>
      <c r="E101" s="1">
        <v>2023</v>
      </c>
      <c r="F101" s="1" t="s">
        <v>1639</v>
      </c>
      <c r="G101" s="1">
        <v>3695</v>
      </c>
      <c r="H101" s="1">
        <v>6331</v>
      </c>
      <c r="I101" s="1">
        <v>7883</v>
      </c>
      <c r="J101" s="1">
        <v>387108</v>
      </c>
      <c r="K101" s="1">
        <v>12.94</v>
      </c>
      <c r="L101" s="1">
        <v>12</v>
      </c>
      <c r="M101" s="1">
        <v>7.18</v>
      </c>
      <c r="N101" s="1">
        <v>1.54</v>
      </c>
      <c r="O101" s="1">
        <v>21.84</v>
      </c>
      <c r="P101" s="1">
        <v>1.7</v>
      </c>
      <c r="Q101" s="1">
        <v>20752</v>
      </c>
      <c r="R101" s="1">
        <v>5907</v>
      </c>
      <c r="S101" s="1">
        <v>5</v>
      </c>
      <c r="T101" s="1">
        <f>(Table1[[#This Row],[Selling_Price_per_Unit]]-Table1[[#This Row],[Manufacturing_Cost_per_Unit]])*Table1[[#This Row],[Units_Sold]]-Table1[[#This Row],[Marketing_Spend]]-Table1[[#This Row],[Discount_%]]</f>
        <v>-6121749.54</v>
      </c>
      <c r="U101" s="3">
        <f>Table1[[#This Row],[profit]]/(Table1[[#This Row],[Units_Sold]]*Table1[[#This Row],[Selling_Price_per_Unit]])*100</f>
        <v>-26.169100858823636</v>
      </c>
      <c r="V101" s="6">
        <f>Table1[[#This Row],[Units_Sold]]*Table1[[#This Row],[Selling_Price_per_Unit]]</f>
        <v>23393045</v>
      </c>
      <c r="W101" s="7">
        <f>(Table1[[#This Row],[Units_Sold]]/$Z$1)</f>
        <v>0.73974744081419863</v>
      </c>
      <c r="X101" s="8">
        <f>((Table1[[#This Row],[Units_Sold]]*(Table1[[#This Row],[Selling_Price_per_Unit]]-Table1[[#This Row],[Manufacturing_Cost_per_Unit]]))-Table1[[#This Row],[Marketing_Spend]])/Table1[[#This Row],[Marketing_Spend]]</f>
        <v>-15.814057059011954</v>
      </c>
    </row>
    <row r="102" spans="1:24" hidden="1" x14ac:dyDescent="0.3">
      <c r="A102" s="1" t="s">
        <v>119</v>
      </c>
      <c r="B102" s="1" t="s">
        <v>1113</v>
      </c>
      <c r="C102" s="1" t="s">
        <v>1633</v>
      </c>
      <c r="D102" s="1" t="s">
        <v>1636</v>
      </c>
      <c r="E102" s="1">
        <v>2024</v>
      </c>
      <c r="F102" s="1" t="s">
        <v>1639</v>
      </c>
      <c r="G102" s="1">
        <v>854</v>
      </c>
      <c r="H102" s="1">
        <v>4686</v>
      </c>
      <c r="I102" s="1">
        <v>7030</v>
      </c>
      <c r="J102" s="1">
        <v>218509</v>
      </c>
      <c r="K102" s="1">
        <v>2.69</v>
      </c>
      <c r="L102" s="1">
        <v>3</v>
      </c>
      <c r="M102" s="1">
        <v>2.84</v>
      </c>
      <c r="N102" s="1">
        <v>18.36</v>
      </c>
      <c r="O102" s="1">
        <v>17.89</v>
      </c>
      <c r="P102" s="1">
        <v>2.1</v>
      </c>
      <c r="Q102" s="1">
        <v>10976</v>
      </c>
      <c r="R102" s="1">
        <v>3292</v>
      </c>
      <c r="S102" s="1">
        <v>14</v>
      </c>
      <c r="T102" s="1">
        <f>(Table1[[#This Row],[Selling_Price_per_Unit]]-Table1[[#This Row],[Manufacturing_Cost_per_Unit]])*Table1[[#This Row],[Units_Sold]]-Table1[[#This Row],[Marketing_Spend]]-Table1[[#This Row],[Discount_%]]</f>
        <v>-2220303.3599999999</v>
      </c>
      <c r="U102" s="3">
        <f>Table1[[#This Row],[profit]]/(Table1[[#This Row],[Units_Sold]]*Table1[[#This Row],[Selling_Price_per_Unit]])*100</f>
        <v>-55.482006794867566</v>
      </c>
      <c r="V102" s="6">
        <f>Table1[[#This Row],[Units_Sold]]*Table1[[#This Row],[Selling_Price_per_Unit]]</f>
        <v>4001844</v>
      </c>
      <c r="W102" s="7">
        <f>(Table1[[#This Row],[Units_Sold]]/$Z$1)</f>
        <v>0.17097275086747649</v>
      </c>
      <c r="X102" s="8">
        <f>((Table1[[#This Row],[Units_Sold]]*(Table1[[#This Row],[Selling_Price_per_Unit]]-Table1[[#This Row],[Manufacturing_Cost_per_Unit]]))-Table1[[#This Row],[Marketing_Spend]])/Table1[[#This Row],[Marketing_Spend]]</f>
        <v>-10.161068880458012</v>
      </c>
    </row>
    <row r="103" spans="1:24" hidden="1" x14ac:dyDescent="0.3">
      <c r="A103" s="1" t="s">
        <v>120</v>
      </c>
      <c r="B103" s="1" t="s">
        <v>1114</v>
      </c>
      <c r="C103" s="1" t="s">
        <v>1632</v>
      </c>
      <c r="D103" s="1" t="s">
        <v>1638</v>
      </c>
      <c r="E103" s="1">
        <v>2023</v>
      </c>
      <c r="F103" s="1" t="s">
        <v>1640</v>
      </c>
      <c r="G103" s="1">
        <v>2781</v>
      </c>
      <c r="H103" s="1">
        <v>4073</v>
      </c>
      <c r="I103" s="1">
        <v>11140</v>
      </c>
      <c r="J103" s="1">
        <v>258944</v>
      </c>
      <c r="K103" s="1">
        <v>12</v>
      </c>
      <c r="L103" s="1">
        <v>6</v>
      </c>
      <c r="M103" s="1">
        <v>3.26</v>
      </c>
      <c r="N103" s="1">
        <v>13.04</v>
      </c>
      <c r="O103" s="1">
        <v>56.38</v>
      </c>
      <c r="P103" s="1">
        <v>4.2</v>
      </c>
      <c r="Q103" s="1">
        <v>10276</v>
      </c>
      <c r="R103" s="1">
        <v>6216</v>
      </c>
      <c r="S103" s="1">
        <v>14</v>
      </c>
      <c r="T103" s="1">
        <f>(Table1[[#This Row],[Selling_Price_per_Unit]]-Table1[[#This Row],[Manufacturing_Cost_per_Unit]])*Table1[[#This Row],[Units_Sold]]-Table1[[#This Row],[Marketing_Spend]]-Table1[[#This Row],[Discount_%]]</f>
        <v>-19912284.039999999</v>
      </c>
      <c r="U103" s="3">
        <f>Table1[[#This Row],[profit]]/(Table1[[#This Row],[Units_Sold]]*Table1[[#This Row],[Selling_Price_per_Unit]])*100</f>
        <v>-175.79466042812874</v>
      </c>
      <c r="V103" s="6">
        <f>Table1[[#This Row],[Units_Sold]]*Table1[[#This Row],[Selling_Price_per_Unit]]</f>
        <v>11327013</v>
      </c>
      <c r="W103" s="7">
        <f>(Table1[[#This Row],[Units_Sold]]/$Z$1)</f>
        <v>0.55676255288343335</v>
      </c>
      <c r="X103" s="8">
        <f>((Table1[[#This Row],[Units_Sold]]*(Table1[[#This Row],[Selling_Price_per_Unit]]-Table1[[#This Row],[Manufacturing_Cost_per_Unit]]))-Table1[[#This Row],[Marketing_Spend]])/Table1[[#This Row],[Marketing_Spend]]</f>
        <v>-76.897981803015327</v>
      </c>
    </row>
    <row r="104" spans="1:24" hidden="1" x14ac:dyDescent="0.3">
      <c r="A104" s="1" t="s">
        <v>121</v>
      </c>
      <c r="B104" s="1" t="s">
        <v>1115</v>
      </c>
      <c r="C104" s="1" t="s">
        <v>1634</v>
      </c>
      <c r="D104" s="1" t="s">
        <v>1637</v>
      </c>
      <c r="E104" s="1">
        <v>2024</v>
      </c>
      <c r="F104" s="1" t="s">
        <v>1642</v>
      </c>
      <c r="G104" s="1">
        <v>2823</v>
      </c>
      <c r="H104" s="1">
        <v>14308</v>
      </c>
      <c r="I104" s="1">
        <v>10023</v>
      </c>
      <c r="J104" s="1">
        <v>169006</v>
      </c>
      <c r="K104" s="1">
        <v>8.2899999999999991</v>
      </c>
      <c r="L104" s="1">
        <v>1</v>
      </c>
      <c r="M104" s="1">
        <v>0.21</v>
      </c>
      <c r="N104" s="1">
        <v>5.33</v>
      </c>
      <c r="O104" s="1">
        <v>60.23</v>
      </c>
      <c r="P104" s="1">
        <v>2.8</v>
      </c>
      <c r="Q104" s="1">
        <v>16521</v>
      </c>
      <c r="R104" s="1">
        <v>3859</v>
      </c>
      <c r="S104" s="1">
        <v>2</v>
      </c>
      <c r="T104" s="1">
        <f>(Table1[[#This Row],[Selling_Price_per_Unit]]-Table1[[#This Row],[Manufacturing_Cost_per_Unit]])*Table1[[#This Row],[Units_Sold]]-Table1[[#This Row],[Marketing_Spend]]-Table1[[#This Row],[Discount_%]]</f>
        <v>11927543.67</v>
      </c>
      <c r="U104" s="3">
        <f>Table1[[#This Row],[profit]]/(Table1[[#This Row],[Units_Sold]]*Table1[[#This Row],[Selling_Price_per_Unit]])*100</f>
        <v>29.529847603519592</v>
      </c>
      <c r="V104" s="6">
        <f>Table1[[#This Row],[Units_Sold]]*Table1[[#This Row],[Selling_Price_per_Unit]]</f>
        <v>40391484</v>
      </c>
      <c r="W104" s="7">
        <f>(Table1[[#This Row],[Units_Sold]]/$Z$1)</f>
        <v>0.5651710488277355</v>
      </c>
      <c r="X104" s="8">
        <f>((Table1[[#This Row],[Units_Sold]]*(Table1[[#This Row],[Selling_Price_per_Unit]]-Table1[[#This Row],[Manufacturing_Cost_per_Unit]]))-Table1[[#This Row],[Marketing_Spend]])/Table1[[#This Row],[Marketing_Spend]]</f>
        <v>70.574707406837632</v>
      </c>
    </row>
    <row r="105" spans="1:24" hidden="1" x14ac:dyDescent="0.3">
      <c r="A105" s="1" t="s">
        <v>122</v>
      </c>
      <c r="B105" s="1" t="s">
        <v>1116</v>
      </c>
      <c r="C105" s="1" t="s">
        <v>1633</v>
      </c>
      <c r="D105" s="1" t="s">
        <v>1637</v>
      </c>
      <c r="E105" s="1">
        <v>2024</v>
      </c>
      <c r="F105" s="1" t="s">
        <v>1639</v>
      </c>
      <c r="G105" s="1">
        <v>1620</v>
      </c>
      <c r="H105" s="1">
        <v>4099</v>
      </c>
      <c r="I105" s="1">
        <v>5740</v>
      </c>
      <c r="J105" s="1">
        <v>286440</v>
      </c>
      <c r="K105" s="1">
        <v>5.95</v>
      </c>
      <c r="L105" s="1">
        <v>14</v>
      </c>
      <c r="M105" s="1">
        <v>7.61</v>
      </c>
      <c r="N105" s="1">
        <v>19.54</v>
      </c>
      <c r="O105" s="1">
        <v>39.22</v>
      </c>
      <c r="P105" s="1">
        <v>3.7</v>
      </c>
      <c r="Q105" s="1">
        <v>5827</v>
      </c>
      <c r="R105" s="1">
        <v>3129</v>
      </c>
      <c r="S105" s="1">
        <v>5</v>
      </c>
      <c r="T105" s="1">
        <f>(Table1[[#This Row],[Selling_Price_per_Unit]]-Table1[[#This Row],[Manufacturing_Cost_per_Unit]])*Table1[[#This Row],[Units_Sold]]-Table1[[#This Row],[Marketing_Spend]]-Table1[[#This Row],[Discount_%]]</f>
        <v>-2944879.54</v>
      </c>
      <c r="U105" s="3">
        <f>Table1[[#This Row],[profit]]/(Table1[[#This Row],[Units_Sold]]*Table1[[#This Row],[Selling_Price_per_Unit]])*100</f>
        <v>-44.348057490685775</v>
      </c>
      <c r="V105" s="6">
        <f>Table1[[#This Row],[Units_Sold]]*Table1[[#This Row],[Selling_Price_per_Unit]]</f>
        <v>6640380</v>
      </c>
      <c r="W105" s="7">
        <f>(Table1[[#This Row],[Units_Sold]]/$Z$1)</f>
        <v>0.32432770070879613</v>
      </c>
      <c r="X105" s="8">
        <f>((Table1[[#This Row],[Units_Sold]]*(Table1[[#This Row],[Selling_Price_per_Unit]]-Table1[[#This Row],[Manufacturing_Cost_per_Unit]]))-Table1[[#This Row],[Marketing_Spend]])/Table1[[#This Row],[Marketing_Spend]]</f>
        <v>-10.280896522832007</v>
      </c>
    </row>
    <row r="106" spans="1:24" hidden="1" x14ac:dyDescent="0.3">
      <c r="A106" s="1" t="s">
        <v>123</v>
      </c>
      <c r="B106" s="1" t="s">
        <v>1117</v>
      </c>
      <c r="C106" s="1" t="s">
        <v>1633</v>
      </c>
      <c r="D106" s="1" t="s">
        <v>1636</v>
      </c>
      <c r="E106" s="1">
        <v>2024</v>
      </c>
      <c r="F106" s="1" t="s">
        <v>1640</v>
      </c>
      <c r="G106" s="1">
        <v>2740</v>
      </c>
      <c r="H106" s="1">
        <v>5533</v>
      </c>
      <c r="I106" s="1">
        <v>4071</v>
      </c>
      <c r="J106" s="1">
        <v>254054</v>
      </c>
      <c r="K106" s="1">
        <v>1.98</v>
      </c>
      <c r="L106" s="1">
        <v>7</v>
      </c>
      <c r="M106" s="1">
        <v>0.43</v>
      </c>
      <c r="N106" s="1">
        <v>5.09</v>
      </c>
      <c r="O106" s="1">
        <v>52.83</v>
      </c>
      <c r="P106" s="1">
        <v>2.2999999999999998</v>
      </c>
      <c r="Q106" s="1">
        <v>16775</v>
      </c>
      <c r="R106" s="1">
        <v>9652</v>
      </c>
      <c r="S106" s="1">
        <v>5</v>
      </c>
      <c r="T106" s="1">
        <f>(Table1[[#This Row],[Selling_Price_per_Unit]]-Table1[[#This Row],[Manufacturing_Cost_per_Unit]])*Table1[[#This Row],[Units_Sold]]-Table1[[#This Row],[Marketing_Spend]]-Table1[[#This Row],[Discount_%]]</f>
        <v>3751820.91</v>
      </c>
      <c r="U106" s="3">
        <f>Table1[[#This Row],[profit]]/(Table1[[#This Row],[Units_Sold]]*Table1[[#This Row],[Selling_Price_per_Unit]])*100</f>
        <v>24.747473420921057</v>
      </c>
      <c r="V106" s="6">
        <f>Table1[[#This Row],[Units_Sold]]*Table1[[#This Row],[Selling_Price_per_Unit]]</f>
        <v>15160420</v>
      </c>
      <c r="W106" s="7">
        <f>(Table1[[#This Row],[Units_Sold]]/$Z$1)</f>
        <v>0.54855425922351941</v>
      </c>
      <c r="X106" s="8">
        <f>((Table1[[#This Row],[Units_Sold]]*(Table1[[#This Row],[Selling_Price_per_Unit]]-Table1[[#This Row],[Manufacturing_Cost_per_Unit]]))-Table1[[#This Row],[Marketing_Spend]])/Table1[[#This Row],[Marketing_Spend]]</f>
        <v>14.767828886772104</v>
      </c>
    </row>
    <row r="107" spans="1:24" x14ac:dyDescent="0.3">
      <c r="A107" s="1" t="s">
        <v>124</v>
      </c>
      <c r="B107" s="1" t="s">
        <v>1118</v>
      </c>
      <c r="C107" s="1" t="s">
        <v>1633</v>
      </c>
      <c r="D107" s="1" t="s">
        <v>1635</v>
      </c>
      <c r="E107" s="1">
        <v>2024</v>
      </c>
      <c r="F107" s="1" t="s">
        <v>1640</v>
      </c>
      <c r="G107" s="1">
        <v>3890</v>
      </c>
      <c r="H107" s="1">
        <v>9928</v>
      </c>
      <c r="I107" s="1">
        <v>12568</v>
      </c>
      <c r="J107" s="1">
        <v>362727</v>
      </c>
      <c r="K107" s="1">
        <v>12.98</v>
      </c>
      <c r="L107" s="1">
        <v>6</v>
      </c>
      <c r="M107" s="1">
        <v>8.65</v>
      </c>
      <c r="N107" s="1">
        <v>6.52</v>
      </c>
      <c r="O107" s="1">
        <v>73.069999999999993</v>
      </c>
      <c r="P107" s="1">
        <v>2.5</v>
      </c>
      <c r="Q107" s="1">
        <v>9114</v>
      </c>
      <c r="R107" s="1">
        <v>5195</v>
      </c>
      <c r="S107" s="1">
        <v>9</v>
      </c>
      <c r="T107" s="1">
        <f>(Table1[[#This Row],[Selling_Price_per_Unit]]-Table1[[#This Row],[Manufacturing_Cost_per_Unit]])*Table1[[#This Row],[Units_Sold]]-Table1[[#This Row],[Marketing_Spend]]-Table1[[#This Row],[Discount_%]]</f>
        <v>-10632333.52</v>
      </c>
      <c r="U107" s="3">
        <f>Table1[[#This Row],[profit]]/(Table1[[#This Row],[Units_Sold]]*Table1[[#This Row],[Selling_Price_per_Unit]])*100</f>
        <v>-27.530697940337522</v>
      </c>
      <c r="V107" s="6">
        <f>Table1[[#This Row],[Units_Sold]]*Table1[[#This Row],[Selling_Price_per_Unit]]</f>
        <v>38619920</v>
      </c>
      <c r="W107" s="7">
        <f>(Table1[[#This Row],[Units_Sold]]/$Z$1)</f>
        <v>0.77878688626988701</v>
      </c>
      <c r="X107" s="8">
        <f>((Table1[[#This Row],[Units_Sold]]*(Table1[[#This Row],[Selling_Price_per_Unit]]-Table1[[#This Row],[Manufacturing_Cost_per_Unit]]))-Table1[[#This Row],[Marketing_Spend]])/Table1[[#This Row],[Marketing_Spend]]</f>
        <v>-29.312201738497549</v>
      </c>
    </row>
    <row r="108" spans="1:24" hidden="1" x14ac:dyDescent="0.3">
      <c r="A108" s="1" t="s">
        <v>125</v>
      </c>
      <c r="B108" s="1" t="s">
        <v>1119</v>
      </c>
      <c r="C108" s="1" t="s">
        <v>1632</v>
      </c>
      <c r="D108" s="1" t="s">
        <v>1636</v>
      </c>
      <c r="E108" s="1">
        <v>2023</v>
      </c>
      <c r="F108" s="1" t="s">
        <v>1641</v>
      </c>
      <c r="G108" s="1">
        <v>1078</v>
      </c>
      <c r="H108" s="1">
        <v>2804</v>
      </c>
      <c r="I108" s="1">
        <v>13174</v>
      </c>
      <c r="J108" s="1">
        <v>350536</v>
      </c>
      <c r="K108" s="1">
        <v>2.36</v>
      </c>
      <c r="L108" s="1">
        <v>14</v>
      </c>
      <c r="M108" s="1">
        <v>1.19</v>
      </c>
      <c r="N108" s="1">
        <v>2.31</v>
      </c>
      <c r="O108" s="1">
        <v>75.45</v>
      </c>
      <c r="P108" s="1">
        <v>5</v>
      </c>
      <c r="Q108" s="1">
        <v>2745</v>
      </c>
      <c r="R108" s="1">
        <v>163</v>
      </c>
      <c r="S108" s="1">
        <v>5</v>
      </c>
      <c r="T108" s="1">
        <f>(Table1[[#This Row],[Selling_Price_per_Unit]]-Table1[[#This Row],[Manufacturing_Cost_per_Unit]])*Table1[[#This Row],[Units_Sold]]-Table1[[#This Row],[Marketing_Spend]]-Table1[[#This Row],[Discount_%]]</f>
        <v>-11529398.310000001</v>
      </c>
      <c r="U108" s="3">
        <f>Table1[[#This Row],[profit]]/(Table1[[#This Row],[Units_Sold]]*Table1[[#This Row],[Selling_Price_per_Unit]])*100</f>
        <v>-381.42563069190845</v>
      </c>
      <c r="V108" s="6">
        <f>Table1[[#This Row],[Units_Sold]]*Table1[[#This Row],[Selling_Price_per_Unit]]</f>
        <v>3022712</v>
      </c>
      <c r="W108" s="7">
        <f>(Table1[[#This Row],[Units_Sold]]/$Z$1)</f>
        <v>0.21581806257042113</v>
      </c>
      <c r="X108" s="8">
        <f>((Table1[[#This Row],[Units_Sold]]*(Table1[[#This Row],[Selling_Price_per_Unit]]-Table1[[#This Row],[Manufacturing_Cost_per_Unit]]))-Table1[[#This Row],[Marketing_Spend]])/Table1[[#This Row],[Marketing_Spend]]</f>
        <v>-32.890761576557047</v>
      </c>
    </row>
    <row r="109" spans="1:24" hidden="1" x14ac:dyDescent="0.3">
      <c r="A109" s="1" t="s">
        <v>126</v>
      </c>
      <c r="B109" s="1" t="s">
        <v>1120</v>
      </c>
      <c r="C109" s="1" t="s">
        <v>1632</v>
      </c>
      <c r="D109" s="1" t="s">
        <v>1638</v>
      </c>
      <c r="E109" s="1">
        <v>2023</v>
      </c>
      <c r="F109" s="1" t="s">
        <v>1639</v>
      </c>
      <c r="G109" s="1">
        <v>552</v>
      </c>
      <c r="H109" s="1">
        <v>19185</v>
      </c>
      <c r="I109" s="1">
        <v>4256</v>
      </c>
      <c r="J109" s="1">
        <v>57461</v>
      </c>
      <c r="K109" s="1">
        <v>4.6500000000000004</v>
      </c>
      <c r="L109" s="1">
        <v>13</v>
      </c>
      <c r="M109" s="1">
        <v>1.72</v>
      </c>
      <c r="N109" s="1">
        <v>9.99</v>
      </c>
      <c r="O109" s="1">
        <v>86.63</v>
      </c>
      <c r="P109" s="1">
        <v>2</v>
      </c>
      <c r="Q109" s="1">
        <v>9743</v>
      </c>
      <c r="R109" s="1">
        <v>1445</v>
      </c>
      <c r="S109" s="1">
        <v>5</v>
      </c>
      <c r="T109" s="1">
        <f>(Table1[[#This Row],[Selling_Price_per_Unit]]-Table1[[#This Row],[Manufacturing_Cost_per_Unit]])*Table1[[#This Row],[Units_Sold]]-Table1[[#This Row],[Marketing_Spend]]-Table1[[#This Row],[Discount_%]]</f>
        <v>8183337.0099999998</v>
      </c>
      <c r="U109" s="3">
        <f>Table1[[#This Row],[profit]]/(Table1[[#This Row],[Units_Sold]]*Table1[[#This Row],[Selling_Price_per_Unit]])*100</f>
        <v>77.273317110665403</v>
      </c>
      <c r="V109" s="6">
        <f>Table1[[#This Row],[Units_Sold]]*Table1[[#This Row],[Selling_Price_per_Unit]]</f>
        <v>10590120</v>
      </c>
      <c r="W109" s="7">
        <f>(Table1[[#This Row],[Units_Sold]]/$Z$1)</f>
        <v>0.11051166098225647</v>
      </c>
      <c r="X109" s="8">
        <f>((Table1[[#This Row],[Units_Sold]]*(Table1[[#This Row],[Selling_Price_per_Unit]]-Table1[[#This Row],[Manufacturing_Cost_per_Unit]]))-Table1[[#This Row],[Marketing_Spend]])/Table1[[#This Row],[Marketing_Spend]]</f>
        <v>142.41567323924053</v>
      </c>
    </row>
    <row r="110" spans="1:24" x14ac:dyDescent="0.3">
      <c r="A110" s="1" t="s">
        <v>495</v>
      </c>
      <c r="B110" s="1" t="s">
        <v>1272</v>
      </c>
      <c r="C110" s="1" t="s">
        <v>1634</v>
      </c>
      <c r="D110" s="1" t="s">
        <v>1638</v>
      </c>
      <c r="E110" s="1">
        <v>2024</v>
      </c>
      <c r="F110" s="1" t="s">
        <v>1642</v>
      </c>
      <c r="G110" s="1">
        <v>4002</v>
      </c>
      <c r="H110" s="1">
        <v>14899</v>
      </c>
      <c r="I110" s="1">
        <v>1004</v>
      </c>
      <c r="J110" s="1">
        <v>170263</v>
      </c>
      <c r="K110" s="1">
        <v>4.87</v>
      </c>
      <c r="L110" s="1">
        <v>17</v>
      </c>
      <c r="M110" s="1">
        <v>3.02</v>
      </c>
      <c r="N110" s="1">
        <v>0.25</v>
      </c>
      <c r="O110" s="1">
        <v>86.95</v>
      </c>
      <c r="P110" s="1">
        <v>4.9000000000000004</v>
      </c>
      <c r="Q110" s="1">
        <v>15934</v>
      </c>
      <c r="R110" s="1">
        <v>6913</v>
      </c>
      <c r="S110" s="1">
        <v>7</v>
      </c>
      <c r="T110" s="1">
        <f>(Table1[[#This Row],[Selling_Price_per_Unit]]-Table1[[#This Row],[Manufacturing_Cost_per_Unit]])*Table1[[#This Row],[Units_Sold]]-Table1[[#This Row],[Marketing_Spend]]-Table1[[#This Row],[Discount_%]]</f>
        <v>55437526.75</v>
      </c>
      <c r="U110" s="3">
        <f>Table1[[#This Row],[profit]]/(Table1[[#This Row],[Units_Sold]]*Table1[[#This Row],[Selling_Price_per_Unit]])*100</f>
        <v>92.975739712531819</v>
      </c>
      <c r="V110" s="6">
        <f>Table1[[#This Row],[Units_Sold]]*Table1[[#This Row],[Selling_Price_per_Unit]]</f>
        <v>59625798</v>
      </c>
      <c r="W110" s="7">
        <f>(Table1[[#This Row],[Units_Sold]]/$Z$1)</f>
        <v>0.80120954212135942</v>
      </c>
      <c r="X110" s="8">
        <f>((Table1[[#This Row],[Units_Sold]]*(Table1[[#This Row],[Selling_Price_per_Unit]]-Table1[[#This Row],[Manufacturing_Cost_per_Unit]]))-Table1[[#This Row],[Marketing_Spend]])/Table1[[#This Row],[Marketing_Spend]]</f>
        <v>325.59937860838818</v>
      </c>
    </row>
    <row r="111" spans="1:24" hidden="1" x14ac:dyDescent="0.3">
      <c r="A111" s="1" t="s">
        <v>128</v>
      </c>
      <c r="B111" s="1" t="s">
        <v>1122</v>
      </c>
      <c r="C111" s="1" t="s">
        <v>1633</v>
      </c>
      <c r="D111" s="1" t="s">
        <v>1636</v>
      </c>
      <c r="E111" s="1">
        <v>2023</v>
      </c>
      <c r="F111" s="1" t="s">
        <v>1641</v>
      </c>
      <c r="G111" s="1">
        <v>920</v>
      </c>
      <c r="H111" s="1">
        <v>10133</v>
      </c>
      <c r="I111" s="1">
        <v>12498</v>
      </c>
      <c r="J111" s="1">
        <v>322660</v>
      </c>
      <c r="K111" s="1">
        <v>13.07</v>
      </c>
      <c r="L111" s="1">
        <v>11</v>
      </c>
      <c r="M111" s="1">
        <v>7.38</v>
      </c>
      <c r="N111" s="1">
        <v>12.86</v>
      </c>
      <c r="O111" s="1">
        <v>55.19</v>
      </c>
      <c r="P111" s="1">
        <v>4.4000000000000004</v>
      </c>
      <c r="Q111" s="1">
        <v>2037</v>
      </c>
      <c r="R111" s="1">
        <v>4261</v>
      </c>
      <c r="S111" s="1">
        <v>3</v>
      </c>
      <c r="T111" s="1">
        <f>(Table1[[#This Row],[Selling_Price_per_Unit]]-Table1[[#This Row],[Manufacturing_Cost_per_Unit]])*Table1[[#This Row],[Units_Sold]]-Table1[[#This Row],[Marketing_Spend]]-Table1[[#This Row],[Discount_%]]</f>
        <v>-2498472.86</v>
      </c>
      <c r="U111" s="3">
        <f>Table1[[#This Row],[profit]]/(Table1[[#This Row],[Units_Sold]]*Table1[[#This Row],[Selling_Price_per_Unit]])*100</f>
        <v>-26.800862228019511</v>
      </c>
      <c r="V111" s="6">
        <f>Table1[[#This Row],[Units_Sold]]*Table1[[#This Row],[Selling_Price_per_Unit]]</f>
        <v>9322360</v>
      </c>
      <c r="W111" s="7">
        <f>(Table1[[#This Row],[Units_Sold]]/$Z$1)</f>
        <v>0.18418610163709412</v>
      </c>
      <c r="X111" s="8">
        <f>((Table1[[#This Row],[Units_Sold]]*(Table1[[#This Row],[Selling_Price_per_Unit]]-Table1[[#This Row],[Manufacturing_Cost_per_Unit]]))-Table1[[#This Row],[Marketing_Spend]])/Table1[[#This Row],[Marketing_Spend]]</f>
        <v>-7.7433211429988225</v>
      </c>
    </row>
    <row r="112" spans="1:24" x14ac:dyDescent="0.3">
      <c r="A112" s="1" t="s">
        <v>129</v>
      </c>
      <c r="B112" s="1" t="s">
        <v>1123</v>
      </c>
      <c r="C112" s="1" t="s">
        <v>1633</v>
      </c>
      <c r="D112" s="1" t="s">
        <v>1635</v>
      </c>
      <c r="E112" s="1">
        <v>2023</v>
      </c>
      <c r="F112" s="1" t="s">
        <v>1639</v>
      </c>
      <c r="G112" s="1">
        <v>4538</v>
      </c>
      <c r="H112" s="1">
        <v>12872</v>
      </c>
      <c r="I112" s="1">
        <v>9399</v>
      </c>
      <c r="J112" s="1">
        <v>198586</v>
      </c>
      <c r="K112" s="1">
        <v>10.09</v>
      </c>
      <c r="L112" s="1">
        <v>12</v>
      </c>
      <c r="M112" s="1">
        <v>1.39</v>
      </c>
      <c r="N112" s="1">
        <v>17.72</v>
      </c>
      <c r="O112" s="1">
        <v>24.37</v>
      </c>
      <c r="P112" s="1">
        <v>2</v>
      </c>
      <c r="Q112" s="1">
        <v>17424</v>
      </c>
      <c r="R112" s="1">
        <v>6062</v>
      </c>
      <c r="S112" s="1">
        <v>13</v>
      </c>
      <c r="T112" s="1">
        <f>(Table1[[#This Row],[Selling_Price_per_Unit]]-Table1[[#This Row],[Manufacturing_Cost_per_Unit]])*Table1[[#This Row],[Units_Sold]]-Table1[[#This Row],[Marketing_Spend]]-Table1[[#This Row],[Discount_%]]</f>
        <v>15561870.279999999</v>
      </c>
      <c r="U112" s="3">
        <f>Table1[[#This Row],[profit]]/(Table1[[#This Row],[Units_Sold]]*Table1[[#This Row],[Selling_Price_per_Unit]])*100</f>
        <v>26.641045740122564</v>
      </c>
      <c r="V112" s="6">
        <f>Table1[[#This Row],[Units_Sold]]*Table1[[#This Row],[Selling_Price_per_Unit]]</f>
        <v>58413136</v>
      </c>
      <c r="W112" s="7">
        <f>(Table1[[#This Row],[Units_Sold]]/$Z$1)</f>
        <v>0.90851796655340555</v>
      </c>
      <c r="X112" s="8">
        <f>((Table1[[#This Row],[Units_Sold]]*(Table1[[#This Row],[Selling_Price_per_Unit]]-Table1[[#This Row],[Manufacturing_Cost_per_Unit]]))-Table1[[#This Row],[Marketing_Spend]])/Table1[[#This Row],[Marketing_Spend]]</f>
        <v>78.363469730998162</v>
      </c>
    </row>
    <row r="113" spans="1:24" hidden="1" x14ac:dyDescent="0.3">
      <c r="A113" s="1" t="s">
        <v>130</v>
      </c>
      <c r="B113" s="1" t="s">
        <v>1124</v>
      </c>
      <c r="C113" s="1" t="s">
        <v>1632</v>
      </c>
      <c r="D113" s="1" t="s">
        <v>1636</v>
      </c>
      <c r="E113" s="1">
        <v>2023</v>
      </c>
      <c r="F113" s="1" t="s">
        <v>1640</v>
      </c>
      <c r="G113" s="1">
        <v>256</v>
      </c>
      <c r="H113" s="1">
        <v>10496</v>
      </c>
      <c r="I113" s="1">
        <v>8450</v>
      </c>
      <c r="J113" s="1">
        <v>433395</v>
      </c>
      <c r="K113" s="1">
        <v>11.95</v>
      </c>
      <c r="L113" s="1">
        <v>10</v>
      </c>
      <c r="M113" s="1">
        <v>4.4000000000000004</v>
      </c>
      <c r="N113" s="1">
        <v>22.65</v>
      </c>
      <c r="O113" s="1">
        <v>17.98</v>
      </c>
      <c r="P113" s="1">
        <v>2.7</v>
      </c>
      <c r="Q113" s="1">
        <v>17736</v>
      </c>
      <c r="R113" s="1">
        <v>9914</v>
      </c>
      <c r="S113" s="1">
        <v>11</v>
      </c>
      <c r="T113" s="1">
        <f>(Table1[[#This Row],[Selling_Price_per_Unit]]-Table1[[#This Row],[Manufacturing_Cost_per_Unit]])*Table1[[#This Row],[Units_Sold]]-Table1[[#This Row],[Marketing_Spend]]-Table1[[#This Row],[Discount_%]]</f>
        <v>90358.35</v>
      </c>
      <c r="U113" s="3">
        <f>Table1[[#This Row],[profit]]/(Table1[[#This Row],[Units_Sold]]*Table1[[#This Row],[Selling_Price_per_Unit]])*100</f>
        <v>3.3628268358184075</v>
      </c>
      <c r="V113" s="6">
        <f>Table1[[#This Row],[Units_Sold]]*Table1[[#This Row],[Selling_Price_per_Unit]]</f>
        <v>2686976</v>
      </c>
      <c r="W113" s="7">
        <f>(Table1[[#This Row],[Units_Sold]]/$Z$1)</f>
        <v>5.125178480336532E-2</v>
      </c>
      <c r="X113" s="8">
        <f>((Table1[[#This Row],[Units_Sold]]*(Table1[[#This Row],[Selling_Price_per_Unit]]-Table1[[#This Row],[Manufacturing_Cost_per_Unit]]))-Table1[[#This Row],[Marketing_Spend]])/Table1[[#This Row],[Marketing_Spend]]</f>
        <v>0.20854186135050012</v>
      </c>
    </row>
    <row r="114" spans="1:24" x14ac:dyDescent="0.3">
      <c r="A114" s="1" t="s">
        <v>199</v>
      </c>
      <c r="B114" s="1" t="s">
        <v>1181</v>
      </c>
      <c r="C114" s="1" t="s">
        <v>1633</v>
      </c>
      <c r="D114" s="1" t="s">
        <v>1637</v>
      </c>
      <c r="E114" s="1">
        <v>2024</v>
      </c>
      <c r="F114" s="1" t="s">
        <v>1642</v>
      </c>
      <c r="G114" s="1">
        <v>4439</v>
      </c>
      <c r="H114" s="1">
        <v>13754</v>
      </c>
      <c r="I114" s="1">
        <v>1321</v>
      </c>
      <c r="J114" s="1">
        <v>170906</v>
      </c>
      <c r="K114" s="1">
        <v>10.6</v>
      </c>
      <c r="L114" s="1">
        <v>9</v>
      </c>
      <c r="M114" s="1">
        <v>7.13</v>
      </c>
      <c r="N114" s="1">
        <v>17.53</v>
      </c>
      <c r="O114" s="1">
        <v>12.38</v>
      </c>
      <c r="P114" s="1">
        <v>2.7</v>
      </c>
      <c r="Q114" s="1">
        <v>18008</v>
      </c>
      <c r="R114" s="1">
        <v>1520</v>
      </c>
      <c r="S114" s="1">
        <v>10</v>
      </c>
      <c r="T114" s="1">
        <f>(Table1[[#This Row],[Selling_Price_per_Unit]]-Table1[[#This Row],[Manufacturing_Cost_per_Unit]])*Table1[[#This Row],[Units_Sold]]-Table1[[#This Row],[Marketing_Spend]]-Table1[[#This Row],[Discount_%]]</f>
        <v>55019163.469999999</v>
      </c>
      <c r="U114" s="3">
        <f>Table1[[#This Row],[profit]]/(Table1[[#This Row],[Units_Sold]]*Table1[[#This Row],[Selling_Price_per_Unit]])*100</f>
        <v>90.115566650941787</v>
      </c>
      <c r="V114" s="6">
        <f>Table1[[#This Row],[Units_Sold]]*Table1[[#This Row],[Selling_Price_per_Unit]]</f>
        <v>61054006</v>
      </c>
      <c r="W114" s="7">
        <f>(Table1[[#This Row],[Units_Sold]]/$Z$1)</f>
        <v>0.88869794039897909</v>
      </c>
      <c r="X114" s="8">
        <f>((Table1[[#This Row],[Units_Sold]]*(Table1[[#This Row],[Selling_Price_per_Unit]]-Table1[[#This Row],[Manufacturing_Cost_per_Unit]]))-Table1[[#This Row],[Marketing_Spend]])/Table1[[#This Row],[Marketing_Spend]]</f>
        <v>321.92656196973775</v>
      </c>
    </row>
    <row r="115" spans="1:24" hidden="1" x14ac:dyDescent="0.3">
      <c r="A115" s="1" t="s">
        <v>132</v>
      </c>
      <c r="B115" s="1" t="s">
        <v>1126</v>
      </c>
      <c r="C115" s="1" t="s">
        <v>1633</v>
      </c>
      <c r="D115" s="1" t="s">
        <v>1638</v>
      </c>
      <c r="E115" s="1">
        <v>2023</v>
      </c>
      <c r="F115" s="1" t="s">
        <v>1641</v>
      </c>
      <c r="G115" s="1">
        <v>913</v>
      </c>
      <c r="H115" s="1">
        <v>6975</v>
      </c>
      <c r="I115" s="1">
        <v>12080</v>
      </c>
      <c r="J115" s="1">
        <v>281496</v>
      </c>
      <c r="K115" s="1">
        <v>9.3699999999999992</v>
      </c>
      <c r="L115" s="1">
        <v>16</v>
      </c>
      <c r="M115" s="1">
        <v>2.12</v>
      </c>
      <c r="N115" s="1">
        <v>1.36</v>
      </c>
      <c r="O115" s="1">
        <v>63.32</v>
      </c>
      <c r="P115" s="1">
        <v>2.9</v>
      </c>
      <c r="Q115" s="1">
        <v>18698</v>
      </c>
      <c r="R115" s="1">
        <v>6696</v>
      </c>
      <c r="S115" s="1">
        <v>5</v>
      </c>
      <c r="T115" s="1">
        <f>(Table1[[#This Row],[Selling_Price_per_Unit]]-Table1[[#This Row],[Manufacturing_Cost_per_Unit]])*Table1[[#This Row],[Units_Sold]]-Table1[[#This Row],[Marketing_Spend]]-Table1[[#This Row],[Discount_%]]</f>
        <v>-4942362.3600000003</v>
      </c>
      <c r="U115" s="3">
        <f>Table1[[#This Row],[profit]]/(Table1[[#This Row],[Units_Sold]]*Table1[[#This Row],[Selling_Price_per_Unit]])*100</f>
        <v>-77.610341424348434</v>
      </c>
      <c r="V115" s="6">
        <f>Table1[[#This Row],[Units_Sold]]*Table1[[#This Row],[Selling_Price_per_Unit]]</f>
        <v>6368175</v>
      </c>
      <c r="W115" s="7">
        <f>(Table1[[#This Row],[Units_Sold]]/$Z$1)</f>
        <v>0.18278468564637709</v>
      </c>
      <c r="X115" s="8">
        <f>((Table1[[#This Row],[Units_Sold]]*(Table1[[#This Row],[Selling_Price_per_Unit]]-Table1[[#This Row],[Manufacturing_Cost_per_Unit]]))-Table1[[#This Row],[Marketing_Spend]])/Table1[[#This Row],[Marketing_Spend]]</f>
        <v>-17.557482166709296</v>
      </c>
    </row>
    <row r="116" spans="1:24" hidden="1" x14ac:dyDescent="0.3">
      <c r="A116" s="1" t="s">
        <v>441</v>
      </c>
      <c r="B116" s="1" t="s">
        <v>1361</v>
      </c>
      <c r="C116" s="1" t="s">
        <v>1634</v>
      </c>
      <c r="D116" s="1" t="s">
        <v>1635</v>
      </c>
      <c r="E116" s="1">
        <v>2024</v>
      </c>
      <c r="F116" s="1" t="s">
        <v>1639</v>
      </c>
      <c r="G116" s="1">
        <v>3596</v>
      </c>
      <c r="H116" s="1">
        <v>17633</v>
      </c>
      <c r="I116" s="1">
        <v>2249</v>
      </c>
      <c r="J116" s="1">
        <v>331954</v>
      </c>
      <c r="K116" s="1">
        <v>10.63</v>
      </c>
      <c r="L116" s="1">
        <v>2</v>
      </c>
      <c r="M116" s="1">
        <v>4.1900000000000004</v>
      </c>
      <c r="N116" s="1">
        <v>2.75</v>
      </c>
      <c r="O116" s="1">
        <v>49.35</v>
      </c>
      <c r="P116" s="1">
        <v>3.7</v>
      </c>
      <c r="Q116" s="1">
        <v>18587</v>
      </c>
      <c r="R116" s="1">
        <v>4153</v>
      </c>
      <c r="S116" s="1">
        <v>14</v>
      </c>
      <c r="T116" s="1">
        <f>(Table1[[#This Row],[Selling_Price_per_Unit]]-Table1[[#This Row],[Manufacturing_Cost_per_Unit]])*Table1[[#This Row],[Units_Sold]]-Table1[[#This Row],[Marketing_Spend]]-Table1[[#This Row],[Discount_%]]</f>
        <v>54988907.25</v>
      </c>
      <c r="U116" s="3">
        <f>Table1[[#This Row],[profit]]/(Table1[[#This Row],[Units_Sold]]*Table1[[#This Row],[Selling_Price_per_Unit]])*100</f>
        <v>86.721982770448804</v>
      </c>
      <c r="V116" s="6">
        <f>Table1[[#This Row],[Units_Sold]]*Table1[[#This Row],[Selling_Price_per_Unit]]</f>
        <v>63408268</v>
      </c>
      <c r="W116" s="7">
        <f>(Table1[[#This Row],[Units_Sold]]/$Z$1)</f>
        <v>0.71992741465977217</v>
      </c>
      <c r="X116" s="8">
        <f>((Table1[[#This Row],[Units_Sold]]*(Table1[[#This Row],[Selling_Price_per_Unit]]-Table1[[#This Row],[Manufacturing_Cost_per_Unit]]))-Table1[[#This Row],[Marketing_Spend]])/Table1[[#This Row],[Marketing_Spend]]</f>
        <v>165.65219879862872</v>
      </c>
    </row>
    <row r="117" spans="1:24" hidden="1" x14ac:dyDescent="0.3">
      <c r="A117" s="1" t="s">
        <v>134</v>
      </c>
      <c r="B117" s="1" t="s">
        <v>1128</v>
      </c>
      <c r="C117" s="1" t="s">
        <v>1632</v>
      </c>
      <c r="D117" s="1" t="s">
        <v>1635</v>
      </c>
      <c r="E117" s="1">
        <v>2023</v>
      </c>
      <c r="F117" s="1" t="s">
        <v>1639</v>
      </c>
      <c r="G117" s="1">
        <v>613</v>
      </c>
      <c r="H117" s="1">
        <v>14375</v>
      </c>
      <c r="I117" s="1">
        <v>947</v>
      </c>
      <c r="J117" s="1">
        <v>256821</v>
      </c>
      <c r="K117" s="1">
        <v>12.49</v>
      </c>
      <c r="L117" s="1">
        <v>7</v>
      </c>
      <c r="M117" s="1">
        <v>8.36</v>
      </c>
      <c r="N117" s="1">
        <v>3.59</v>
      </c>
      <c r="O117" s="1">
        <v>50.69</v>
      </c>
      <c r="P117" s="1">
        <v>2.5</v>
      </c>
      <c r="Q117" s="1">
        <v>12530</v>
      </c>
      <c r="R117" s="1">
        <v>1840</v>
      </c>
      <c r="S117" s="1">
        <v>7</v>
      </c>
      <c r="T117" s="1">
        <f>(Table1[[#This Row],[Selling_Price_per_Unit]]-Table1[[#This Row],[Manufacturing_Cost_per_Unit]])*Table1[[#This Row],[Units_Sold]]-Table1[[#This Row],[Marketing_Spend]]-Table1[[#This Row],[Discount_%]]</f>
        <v>7974539.4100000001</v>
      </c>
      <c r="U117" s="3">
        <f>Table1[[#This Row],[profit]]/(Table1[[#This Row],[Units_Sold]]*Table1[[#This Row],[Selling_Price_per_Unit]])*100</f>
        <v>90.497645620256762</v>
      </c>
      <c r="V117" s="6">
        <f>Table1[[#This Row],[Units_Sold]]*Table1[[#This Row],[Selling_Price_per_Unit]]</f>
        <v>8811875</v>
      </c>
      <c r="W117" s="7">
        <f>(Table1[[#This Row],[Units_Sold]]/$Z$1)</f>
        <v>0.12272400032993336</v>
      </c>
      <c r="X117" s="8">
        <f>((Table1[[#This Row],[Units_Sold]]*(Table1[[#This Row],[Selling_Price_per_Unit]]-Table1[[#This Row],[Manufacturing_Cost_per_Unit]]))-Table1[[#This Row],[Marketing_Spend]])/Table1[[#This Row],[Marketing_Spend]]</f>
        <v>31.050977139719883</v>
      </c>
    </row>
    <row r="118" spans="1:24" x14ac:dyDescent="0.3">
      <c r="A118" s="1" t="s">
        <v>135</v>
      </c>
      <c r="B118" s="1" t="s">
        <v>1129</v>
      </c>
      <c r="C118" s="1" t="s">
        <v>1633</v>
      </c>
      <c r="D118" s="1" t="s">
        <v>1638</v>
      </c>
      <c r="E118" s="1">
        <v>2024</v>
      </c>
      <c r="F118" s="1" t="s">
        <v>1641</v>
      </c>
      <c r="G118" s="1">
        <v>4241</v>
      </c>
      <c r="H118" s="1">
        <v>3122</v>
      </c>
      <c r="I118" s="1">
        <v>7220</v>
      </c>
      <c r="J118" s="1">
        <v>242121</v>
      </c>
      <c r="K118" s="1">
        <v>13.59</v>
      </c>
      <c r="L118" s="1">
        <v>4</v>
      </c>
      <c r="M118" s="1">
        <v>5.0199999999999996</v>
      </c>
      <c r="N118" s="1">
        <v>16.45</v>
      </c>
      <c r="O118" s="1">
        <v>14.38</v>
      </c>
      <c r="P118" s="1">
        <v>3.3</v>
      </c>
      <c r="Q118" s="1">
        <v>3152</v>
      </c>
      <c r="R118" s="1">
        <v>6155</v>
      </c>
      <c r="S118" s="1">
        <v>4</v>
      </c>
      <c r="T118" s="1">
        <f>(Table1[[#This Row],[Selling_Price_per_Unit]]-Table1[[#This Row],[Manufacturing_Cost_per_Unit]])*Table1[[#This Row],[Units_Sold]]-Table1[[#This Row],[Marketing_Spend]]-Table1[[#This Row],[Discount_%]]</f>
        <v>-17621755.449999999</v>
      </c>
      <c r="U118" s="3">
        <f>Table1[[#This Row],[profit]]/(Table1[[#This Row],[Units_Sold]]*Table1[[#This Row],[Selling_Price_per_Unit]])*100</f>
        <v>-133.0907887086812</v>
      </c>
      <c r="V118" s="6">
        <f>Table1[[#This Row],[Units_Sold]]*Table1[[#This Row],[Selling_Price_per_Unit]]</f>
        <v>13240402</v>
      </c>
      <c r="W118" s="7">
        <f>(Table1[[#This Row],[Units_Sold]]/$Z$1)</f>
        <v>0.84905788809012617</v>
      </c>
      <c r="X118" s="8">
        <f>((Table1[[#This Row],[Units_Sold]]*(Table1[[#This Row],[Selling_Price_per_Unit]]-Table1[[#This Row],[Manufacturing_Cost_per_Unit]]))-Table1[[#This Row],[Marketing_Spend]])/Table1[[#This Row],[Marketing_Spend]]</f>
        <v>-72.78071294931047</v>
      </c>
    </row>
    <row r="119" spans="1:24" hidden="1" x14ac:dyDescent="0.3">
      <c r="A119" s="1" t="s">
        <v>136</v>
      </c>
      <c r="B119" s="1" t="s">
        <v>1130</v>
      </c>
      <c r="C119" s="1" t="s">
        <v>1634</v>
      </c>
      <c r="D119" s="1" t="s">
        <v>1638</v>
      </c>
      <c r="E119" s="1">
        <v>2023</v>
      </c>
      <c r="F119" s="1" t="s">
        <v>1641</v>
      </c>
      <c r="G119" s="1">
        <v>1807</v>
      </c>
      <c r="H119" s="1">
        <v>17488</v>
      </c>
      <c r="I119" s="1">
        <v>13319</v>
      </c>
      <c r="J119" s="1">
        <v>374637</v>
      </c>
      <c r="K119" s="1">
        <v>0.18</v>
      </c>
      <c r="L119" s="1">
        <v>15</v>
      </c>
      <c r="M119" s="1">
        <v>0.14000000000000001</v>
      </c>
      <c r="N119" s="1">
        <v>18.190000000000001</v>
      </c>
      <c r="O119" s="1">
        <v>52.84</v>
      </c>
      <c r="P119" s="1">
        <v>3.5</v>
      </c>
      <c r="Q119" s="1">
        <v>12357</v>
      </c>
      <c r="R119" s="1">
        <v>6421</v>
      </c>
      <c r="S119" s="1">
        <v>8</v>
      </c>
      <c r="T119" s="1">
        <f>(Table1[[#This Row],[Selling_Price_per_Unit]]-Table1[[#This Row],[Manufacturing_Cost_per_Unit]])*Table1[[#This Row],[Units_Sold]]-Table1[[#This Row],[Marketing_Spend]]-Table1[[#This Row],[Discount_%]]</f>
        <v>7158727.8099999996</v>
      </c>
      <c r="U119" s="3">
        <f>Table1[[#This Row],[profit]]/(Table1[[#This Row],[Units_Sold]]*Table1[[#This Row],[Selling_Price_per_Unit]])*100</f>
        <v>22.653616950904052</v>
      </c>
      <c r="V119" s="6">
        <f>Table1[[#This Row],[Units_Sold]]*Table1[[#This Row],[Selling_Price_per_Unit]]</f>
        <v>31600816</v>
      </c>
      <c r="W119" s="7">
        <f>(Table1[[#This Row],[Units_Sold]]/$Z$1)</f>
        <v>0.36176552788937938</v>
      </c>
      <c r="X119" s="8">
        <f>((Table1[[#This Row],[Units_Sold]]*(Table1[[#This Row],[Selling_Price_per_Unit]]-Table1[[#This Row],[Manufacturing_Cost_per_Unit]]))-Table1[[#This Row],[Marketing_Spend]])/Table1[[#This Row],[Marketing_Spend]]</f>
        <v>19.108486348118312</v>
      </c>
    </row>
    <row r="120" spans="1:24" hidden="1" x14ac:dyDescent="0.3">
      <c r="A120" s="1" t="s">
        <v>137</v>
      </c>
      <c r="B120" s="1" t="s">
        <v>1131</v>
      </c>
      <c r="C120" s="1" t="s">
        <v>1632</v>
      </c>
      <c r="D120" s="1" t="s">
        <v>1636</v>
      </c>
      <c r="E120" s="1">
        <v>2024</v>
      </c>
      <c r="F120" s="1" t="s">
        <v>1639</v>
      </c>
      <c r="G120" s="1">
        <v>1728</v>
      </c>
      <c r="H120" s="1">
        <v>9541</v>
      </c>
      <c r="I120" s="1">
        <v>12889</v>
      </c>
      <c r="J120" s="1">
        <v>86027</v>
      </c>
      <c r="K120" s="1">
        <v>10.11</v>
      </c>
      <c r="L120" s="1">
        <v>3</v>
      </c>
      <c r="M120" s="1">
        <v>8.0299999999999994</v>
      </c>
      <c r="N120" s="1">
        <v>19.66</v>
      </c>
      <c r="O120" s="1">
        <v>84.86</v>
      </c>
      <c r="P120" s="1">
        <v>3.6</v>
      </c>
      <c r="Q120" s="1">
        <v>20240</v>
      </c>
      <c r="R120" s="1">
        <v>2054</v>
      </c>
      <c r="S120" s="1">
        <v>7</v>
      </c>
      <c r="T120" s="1">
        <f>(Table1[[#This Row],[Selling_Price_per_Unit]]-Table1[[#This Row],[Manufacturing_Cost_per_Unit]])*Table1[[#This Row],[Units_Sold]]-Table1[[#This Row],[Marketing_Spend]]-Table1[[#This Row],[Discount_%]]</f>
        <v>-5871390.6600000001</v>
      </c>
      <c r="U120" s="3">
        <f>Table1[[#This Row],[profit]]/(Table1[[#This Row],[Units_Sold]]*Table1[[#This Row],[Selling_Price_per_Unit]])*100</f>
        <v>-35.612572275792196</v>
      </c>
      <c r="V120" s="6">
        <f>Table1[[#This Row],[Units_Sold]]*Table1[[#This Row],[Selling_Price_per_Unit]]</f>
        <v>16486848</v>
      </c>
      <c r="W120" s="7">
        <f>(Table1[[#This Row],[Units_Sold]]/$Z$1)</f>
        <v>0.34594954742271589</v>
      </c>
      <c r="X120" s="8">
        <f>((Table1[[#This Row],[Units_Sold]]*(Table1[[#This Row],[Selling_Price_per_Unit]]-Table1[[#This Row],[Manufacturing_Cost_per_Unit]]))-Table1[[#This Row],[Marketing_Spend]])/Table1[[#This Row],[Marketing_Spend]]</f>
        <v>-68.250328385274386</v>
      </c>
    </row>
    <row r="121" spans="1:24" x14ac:dyDescent="0.3">
      <c r="A121" s="1" t="s">
        <v>846</v>
      </c>
      <c r="B121" s="1" t="s">
        <v>1348</v>
      </c>
      <c r="C121" s="1" t="s">
        <v>1633</v>
      </c>
      <c r="D121" s="1" t="s">
        <v>1637</v>
      </c>
      <c r="E121" s="1">
        <v>2023</v>
      </c>
      <c r="F121" s="1" t="s">
        <v>1642</v>
      </c>
      <c r="G121" s="1">
        <v>4465</v>
      </c>
      <c r="H121" s="1">
        <v>18514</v>
      </c>
      <c r="I121" s="1">
        <v>6194</v>
      </c>
      <c r="J121" s="1">
        <v>123402</v>
      </c>
      <c r="K121" s="1">
        <v>1.18</v>
      </c>
      <c r="L121" s="1">
        <v>17</v>
      </c>
      <c r="M121" s="1">
        <v>0.85</v>
      </c>
      <c r="N121" s="1">
        <v>18.39</v>
      </c>
      <c r="O121" s="1">
        <v>31.92</v>
      </c>
      <c r="P121" s="1">
        <v>3.1</v>
      </c>
      <c r="Q121" s="1">
        <v>2222</v>
      </c>
      <c r="R121" s="1">
        <v>6067</v>
      </c>
      <c r="S121" s="1">
        <v>10</v>
      </c>
      <c r="T121" s="1">
        <f>(Table1[[#This Row],[Selling_Price_per_Unit]]-Table1[[#This Row],[Manufacturing_Cost_per_Unit]])*Table1[[#This Row],[Units_Sold]]-Table1[[#This Row],[Marketing_Spend]]-Table1[[#This Row],[Discount_%]]</f>
        <v>54885379.609999999</v>
      </c>
      <c r="U121" s="3">
        <f>Table1[[#This Row],[profit]]/(Table1[[#This Row],[Units_Sold]]*Table1[[#This Row],[Selling_Price_per_Unit]])*100</f>
        <v>66.39493494284946</v>
      </c>
      <c r="V121" s="6">
        <f>Table1[[#This Row],[Units_Sold]]*Table1[[#This Row],[Selling_Price_per_Unit]]</f>
        <v>82665010</v>
      </c>
      <c r="W121" s="7">
        <f>(Table1[[#This Row],[Units_Sold]]/$Z$1)</f>
        <v>0.89390319979307087</v>
      </c>
      <c r="X121" s="8">
        <f>((Table1[[#This Row],[Units_Sold]]*(Table1[[#This Row],[Selling_Price_per_Unit]]-Table1[[#This Row],[Manufacturing_Cost_per_Unit]]))-Table1[[#This Row],[Marketing_Spend]])/Table1[[#This Row],[Marketing_Spend]]</f>
        <v>444.76911233205294</v>
      </c>
    </row>
    <row r="122" spans="1:24" x14ac:dyDescent="0.3">
      <c r="A122" s="1" t="s">
        <v>36</v>
      </c>
      <c r="B122" s="1" t="s">
        <v>1036</v>
      </c>
      <c r="C122" s="1" t="s">
        <v>1634</v>
      </c>
      <c r="D122" s="1" t="s">
        <v>1635</v>
      </c>
      <c r="E122" s="1">
        <v>2024</v>
      </c>
      <c r="F122" s="1" t="s">
        <v>1642</v>
      </c>
      <c r="G122" s="1">
        <v>4893</v>
      </c>
      <c r="H122" s="1">
        <v>18572</v>
      </c>
      <c r="I122" s="1">
        <v>7348</v>
      </c>
      <c r="J122" s="1">
        <v>94363</v>
      </c>
      <c r="K122" s="1">
        <v>3.39</v>
      </c>
      <c r="L122" s="1">
        <v>14</v>
      </c>
      <c r="M122" s="1">
        <v>3.12</v>
      </c>
      <c r="N122" s="1">
        <v>1.78</v>
      </c>
      <c r="O122" s="1">
        <v>66.430000000000007</v>
      </c>
      <c r="P122" s="1">
        <v>3.8</v>
      </c>
      <c r="Q122" s="1">
        <v>10965</v>
      </c>
      <c r="R122" s="1">
        <v>7479</v>
      </c>
      <c r="S122" s="1">
        <v>9</v>
      </c>
      <c r="T122" s="1">
        <f>(Table1[[#This Row],[Selling_Price_per_Unit]]-Table1[[#This Row],[Manufacturing_Cost_per_Unit]])*Table1[[#This Row],[Units_Sold]]-Table1[[#This Row],[Marketing_Spend]]-Table1[[#This Row],[Discount_%]]</f>
        <v>54824667.219999999</v>
      </c>
      <c r="U122" s="3">
        <f>Table1[[#This Row],[profit]]/(Table1[[#This Row],[Units_Sold]]*Table1[[#This Row],[Selling_Price_per_Unit]])*100</f>
        <v>60.331220819925022</v>
      </c>
      <c r="V122" s="6">
        <f>Table1[[#This Row],[Units_Sold]]*Table1[[#This Row],[Selling_Price_per_Unit]]</f>
        <v>90872796</v>
      </c>
      <c r="W122" s="7">
        <f>(Table1[[#This Row],[Units_Sold]]/$Z$1)</f>
        <v>0.97958977751119725</v>
      </c>
      <c r="X122" s="8">
        <f>((Table1[[#This Row],[Units_Sold]]*(Table1[[#This Row],[Selling_Price_per_Unit]]-Table1[[#This Row],[Manufacturing_Cost_per_Unit]]))-Table1[[#This Row],[Marketing_Spend]])/Table1[[#This Row],[Marketing_Spend]]</f>
        <v>580.99752021449081</v>
      </c>
    </row>
    <row r="123" spans="1:24" hidden="1" x14ac:dyDescent="0.3">
      <c r="A123" s="1" t="s">
        <v>140</v>
      </c>
      <c r="B123" s="1" t="s">
        <v>1134</v>
      </c>
      <c r="C123" s="1" t="s">
        <v>1632</v>
      </c>
      <c r="D123" s="1" t="s">
        <v>1637</v>
      </c>
      <c r="E123" s="1">
        <v>2023</v>
      </c>
      <c r="F123" s="1" t="s">
        <v>1639</v>
      </c>
      <c r="G123" s="1">
        <v>1109</v>
      </c>
      <c r="H123" s="1">
        <v>9492</v>
      </c>
      <c r="I123" s="1">
        <v>10666</v>
      </c>
      <c r="J123" s="1">
        <v>412271</v>
      </c>
      <c r="K123" s="1">
        <v>4.3099999999999996</v>
      </c>
      <c r="L123" s="1">
        <v>4</v>
      </c>
      <c r="M123" s="1">
        <v>5.04</v>
      </c>
      <c r="N123" s="1">
        <v>12.08</v>
      </c>
      <c r="O123" s="1">
        <v>74.010000000000005</v>
      </c>
      <c r="P123" s="1">
        <v>4.8</v>
      </c>
      <c r="Q123" s="1">
        <v>3051</v>
      </c>
      <c r="R123" s="1">
        <v>9332</v>
      </c>
      <c r="S123" s="1">
        <v>11</v>
      </c>
      <c r="T123" s="1">
        <f>(Table1[[#This Row],[Selling_Price_per_Unit]]-Table1[[#This Row],[Manufacturing_Cost_per_Unit]])*Table1[[#This Row],[Units_Sold]]-Table1[[#This Row],[Marketing_Spend]]-Table1[[#This Row],[Discount_%]]</f>
        <v>-1714249.08</v>
      </c>
      <c r="U123" s="3">
        <f>Table1[[#This Row],[profit]]/(Table1[[#This Row],[Units_Sold]]*Table1[[#This Row],[Selling_Price_per_Unit]])*100</f>
        <v>-16.284883250362796</v>
      </c>
      <c r="V123" s="6">
        <f>Table1[[#This Row],[Units_Sold]]*Table1[[#This Row],[Selling_Price_per_Unit]]</f>
        <v>10526628</v>
      </c>
      <c r="W123" s="7">
        <f>(Table1[[#This Row],[Units_Sold]]/$Z$1)</f>
        <v>0.22202433338645367</v>
      </c>
      <c r="X123" s="8">
        <f>((Table1[[#This Row],[Units_Sold]]*(Table1[[#This Row],[Selling_Price_per_Unit]]-Table1[[#This Row],[Manufacturing_Cost_per_Unit]]))-Table1[[#This Row],[Marketing_Spend]])/Table1[[#This Row],[Marketing_Spend]]</f>
        <v>-4.1580343997031077</v>
      </c>
    </row>
    <row r="124" spans="1:24" x14ac:dyDescent="0.3">
      <c r="A124" s="1" t="s">
        <v>834</v>
      </c>
      <c r="B124" s="1" t="s">
        <v>1248</v>
      </c>
      <c r="C124" s="1" t="s">
        <v>1632</v>
      </c>
      <c r="D124" s="1" t="s">
        <v>1636</v>
      </c>
      <c r="E124" s="1">
        <v>2023</v>
      </c>
      <c r="F124" s="1" t="s">
        <v>1640</v>
      </c>
      <c r="G124" s="1">
        <v>4339</v>
      </c>
      <c r="H124" s="1">
        <v>13837</v>
      </c>
      <c r="I124" s="1">
        <v>1223</v>
      </c>
      <c r="J124" s="1">
        <v>104110</v>
      </c>
      <c r="K124" s="1">
        <v>13.27</v>
      </c>
      <c r="L124" s="1">
        <v>12</v>
      </c>
      <c r="M124" s="1">
        <v>6.21</v>
      </c>
      <c r="N124" s="1">
        <v>21.37</v>
      </c>
      <c r="O124" s="1">
        <v>49.06</v>
      </c>
      <c r="P124" s="1">
        <v>1.6</v>
      </c>
      <c r="Q124" s="1">
        <v>3728</v>
      </c>
      <c r="R124" s="1">
        <v>696</v>
      </c>
      <c r="S124" s="1">
        <v>5</v>
      </c>
      <c r="T124" s="1">
        <f>(Table1[[#This Row],[Selling_Price_per_Unit]]-Table1[[#This Row],[Manufacturing_Cost_per_Unit]])*Table1[[#This Row],[Units_Sold]]-Table1[[#This Row],[Marketing_Spend]]-Table1[[#This Row],[Discount_%]]</f>
        <v>54628014.630000003</v>
      </c>
      <c r="U124" s="3">
        <f>Table1[[#This Row],[profit]]/(Table1[[#This Row],[Units_Sold]]*Table1[[#This Row],[Selling_Price_per_Unit]])*100</f>
        <v>90.987938621566414</v>
      </c>
      <c r="V124" s="6">
        <f>Table1[[#This Row],[Units_Sold]]*Table1[[#This Row],[Selling_Price_per_Unit]]</f>
        <v>60038743</v>
      </c>
      <c r="W124" s="7">
        <f>(Table1[[#This Row],[Units_Sold]]/$Z$1)</f>
        <v>0.86867771196016452</v>
      </c>
      <c r="X124" s="8">
        <f>((Table1[[#This Row],[Units_Sold]]*(Table1[[#This Row],[Selling_Price_per_Unit]]-Table1[[#This Row],[Manufacturing_Cost_per_Unit]]))-Table1[[#This Row],[Marketing_Spend]])/Table1[[#This Row],[Marketing_Spend]]</f>
        <v>524.71459033714336</v>
      </c>
    </row>
    <row r="125" spans="1:24" hidden="1" x14ac:dyDescent="0.3">
      <c r="A125" s="1" t="s">
        <v>142</v>
      </c>
      <c r="B125" s="1" t="s">
        <v>1135</v>
      </c>
      <c r="C125" s="1" t="s">
        <v>1632</v>
      </c>
      <c r="D125" s="1" t="s">
        <v>1637</v>
      </c>
      <c r="E125" s="1">
        <v>2023</v>
      </c>
      <c r="F125" s="1" t="s">
        <v>1639</v>
      </c>
      <c r="G125" s="1">
        <v>3364</v>
      </c>
      <c r="H125" s="1">
        <v>18529</v>
      </c>
      <c r="I125" s="1">
        <v>13486</v>
      </c>
      <c r="J125" s="1">
        <v>265234</v>
      </c>
      <c r="K125" s="1">
        <v>5.29</v>
      </c>
      <c r="L125" s="1">
        <v>13</v>
      </c>
      <c r="M125" s="1">
        <v>9.5299999999999994</v>
      </c>
      <c r="N125" s="1">
        <v>15.28</v>
      </c>
      <c r="O125" s="1">
        <v>71.62</v>
      </c>
      <c r="P125" s="1">
        <v>3.9</v>
      </c>
      <c r="Q125" s="1">
        <v>2261</v>
      </c>
      <c r="R125" s="1">
        <v>1061</v>
      </c>
      <c r="S125" s="1">
        <v>10</v>
      </c>
      <c r="T125" s="1">
        <f>(Table1[[#This Row],[Selling_Price_per_Unit]]-Table1[[#This Row],[Manufacturing_Cost_per_Unit]])*Table1[[#This Row],[Units_Sold]]-Table1[[#This Row],[Marketing_Spend]]-Table1[[#This Row],[Discount_%]]</f>
        <v>16699402.720000001</v>
      </c>
      <c r="U125" s="3">
        <f>Table1[[#This Row],[profit]]/(Table1[[#This Row],[Units_Sold]]*Table1[[#This Row],[Selling_Price_per_Unit]])*100</f>
        <v>26.791249555842949</v>
      </c>
      <c r="V125" s="6">
        <f>Table1[[#This Row],[Units_Sold]]*Table1[[#This Row],[Selling_Price_per_Unit]]</f>
        <v>62331556</v>
      </c>
      <c r="W125" s="7">
        <f>(Table1[[#This Row],[Units_Sold]]/$Z$1)</f>
        <v>0.67348048468172239</v>
      </c>
      <c r="X125" s="8">
        <f>((Table1[[#This Row],[Units_Sold]]*(Table1[[#This Row],[Selling_Price_per_Unit]]-Table1[[#This Row],[Manufacturing_Cost_per_Unit]]))-Table1[[#This Row],[Marketing_Spend]])/Table1[[#This Row],[Marketing_Spend]]</f>
        <v>62.961075880166192</v>
      </c>
    </row>
    <row r="126" spans="1:24" hidden="1" x14ac:dyDescent="0.3">
      <c r="A126" s="1" t="s">
        <v>143</v>
      </c>
      <c r="B126" s="1" t="s">
        <v>1071</v>
      </c>
      <c r="C126" s="1" t="s">
        <v>1632</v>
      </c>
      <c r="D126" s="1" t="s">
        <v>1635</v>
      </c>
      <c r="E126" s="1">
        <v>2023</v>
      </c>
      <c r="F126" s="1" t="s">
        <v>1640</v>
      </c>
      <c r="G126" s="1">
        <v>3207</v>
      </c>
      <c r="H126" s="1">
        <v>5763</v>
      </c>
      <c r="I126" s="1">
        <v>6130</v>
      </c>
      <c r="J126" s="1">
        <v>129003</v>
      </c>
      <c r="K126" s="1">
        <v>9.32</v>
      </c>
      <c r="L126" s="1">
        <v>9</v>
      </c>
      <c r="M126" s="1">
        <v>7.55</v>
      </c>
      <c r="N126" s="1">
        <v>24.59</v>
      </c>
      <c r="O126" s="1">
        <v>69.819999999999993</v>
      </c>
      <c r="P126" s="1">
        <v>3.2</v>
      </c>
      <c r="Q126" s="1">
        <v>14011</v>
      </c>
      <c r="R126" s="1">
        <v>6927</v>
      </c>
      <c r="S126" s="1">
        <v>7</v>
      </c>
      <c r="T126" s="1">
        <f>(Table1[[#This Row],[Selling_Price_per_Unit]]-Table1[[#This Row],[Manufacturing_Cost_per_Unit]])*Table1[[#This Row],[Units_Sold]]-Table1[[#This Row],[Marketing_Spend]]-Table1[[#This Row],[Discount_%]]</f>
        <v>-1305996.5900000001</v>
      </c>
      <c r="U126" s="3">
        <f>Table1[[#This Row],[profit]]/(Table1[[#This Row],[Units_Sold]]*Table1[[#This Row],[Selling_Price_per_Unit]])*100</f>
        <v>-7.0663389197054576</v>
      </c>
      <c r="V126" s="6">
        <f>Table1[[#This Row],[Units_Sold]]*Table1[[#This Row],[Selling_Price_per_Unit]]</f>
        <v>18481941</v>
      </c>
      <c r="W126" s="7">
        <f>(Table1[[#This Row],[Units_Sold]]/$Z$1)</f>
        <v>0.64204872603278351</v>
      </c>
      <c r="X126" s="8">
        <f>((Table1[[#This Row],[Units_Sold]]*(Table1[[#This Row],[Selling_Price_per_Unit]]-Table1[[#This Row],[Manufacturing_Cost_per_Unit]]))-Table1[[#This Row],[Marketing_Spend]])/Table1[[#This Row],[Marketing_Spend]]</f>
        <v>-10.123578521429733</v>
      </c>
    </row>
    <row r="127" spans="1:24" x14ac:dyDescent="0.3">
      <c r="A127" s="1" t="s">
        <v>264</v>
      </c>
      <c r="B127" s="1" t="s">
        <v>1236</v>
      </c>
      <c r="C127" s="1" t="s">
        <v>1633</v>
      </c>
      <c r="D127" s="1" t="s">
        <v>1635</v>
      </c>
      <c r="E127" s="1">
        <v>2023</v>
      </c>
      <c r="F127" s="1" t="s">
        <v>1642</v>
      </c>
      <c r="G127" s="1">
        <v>3841</v>
      </c>
      <c r="H127" s="1">
        <v>18804</v>
      </c>
      <c r="I127" s="1">
        <v>4554</v>
      </c>
      <c r="J127" s="1">
        <v>272740</v>
      </c>
      <c r="K127" s="1">
        <v>9.25</v>
      </c>
      <c r="L127" s="1">
        <v>15</v>
      </c>
      <c r="M127" s="1">
        <v>7.91</v>
      </c>
      <c r="N127" s="1">
        <v>17.559999999999999</v>
      </c>
      <c r="O127" s="1">
        <v>33.229999999999997</v>
      </c>
      <c r="P127" s="1">
        <v>4.5999999999999996</v>
      </c>
      <c r="Q127" s="1">
        <v>10915</v>
      </c>
      <c r="R127" s="1">
        <v>5954</v>
      </c>
      <c r="S127" s="1">
        <v>9</v>
      </c>
      <c r="T127" s="1">
        <f>(Table1[[#This Row],[Selling_Price_per_Unit]]-Table1[[#This Row],[Manufacturing_Cost_per_Unit]])*Table1[[#This Row],[Units_Sold]]-Table1[[#This Row],[Marketing_Spend]]-Table1[[#This Row],[Discount_%]]</f>
        <v>54461492.439999998</v>
      </c>
      <c r="U127" s="3">
        <f>Table1[[#This Row],[profit]]/(Table1[[#This Row],[Units_Sold]]*Table1[[#This Row],[Selling_Price_per_Unit]])*100</f>
        <v>75.404104861501438</v>
      </c>
      <c r="V127" s="6">
        <f>Table1[[#This Row],[Units_Sold]]*Table1[[#This Row],[Selling_Price_per_Unit]]</f>
        <v>72226164</v>
      </c>
      <c r="W127" s="7">
        <f>(Table1[[#This Row],[Units_Sold]]/$Z$1)</f>
        <v>0.76897697433486789</v>
      </c>
      <c r="X127" s="8">
        <f>((Table1[[#This Row],[Units_Sold]]*(Table1[[#This Row],[Selling_Price_per_Unit]]-Table1[[#This Row],[Manufacturing_Cost_per_Unit]]))-Table1[[#This Row],[Marketing_Spend]])/Table1[[#This Row],[Marketing_Spend]]</f>
        <v>199.68288479870938</v>
      </c>
    </row>
    <row r="128" spans="1:24" hidden="1" x14ac:dyDescent="0.3">
      <c r="A128" s="1" t="s">
        <v>145</v>
      </c>
      <c r="B128" s="1" t="s">
        <v>1137</v>
      </c>
      <c r="C128" s="1" t="s">
        <v>1634</v>
      </c>
      <c r="D128" s="1" t="s">
        <v>1638</v>
      </c>
      <c r="E128" s="1">
        <v>2023</v>
      </c>
      <c r="F128" s="1" t="s">
        <v>1642</v>
      </c>
      <c r="G128" s="1">
        <v>2779</v>
      </c>
      <c r="H128" s="1">
        <v>16656</v>
      </c>
      <c r="I128" s="1">
        <v>11538</v>
      </c>
      <c r="J128" s="1">
        <v>89758</v>
      </c>
      <c r="K128" s="1">
        <v>10.99</v>
      </c>
      <c r="L128" s="1">
        <v>12</v>
      </c>
      <c r="M128" s="1">
        <v>5.92</v>
      </c>
      <c r="N128" s="1">
        <v>18.82</v>
      </c>
      <c r="O128" s="1">
        <v>14.79</v>
      </c>
      <c r="P128" s="1">
        <v>4.7</v>
      </c>
      <c r="Q128" s="1">
        <v>13967</v>
      </c>
      <c r="R128" s="1">
        <v>8666</v>
      </c>
      <c r="S128" s="1">
        <v>5</v>
      </c>
      <c r="T128" s="1">
        <f>(Table1[[#This Row],[Selling_Price_per_Unit]]-Table1[[#This Row],[Manufacturing_Cost_per_Unit]])*Table1[[#This Row],[Units_Sold]]-Table1[[#This Row],[Marketing_Spend]]-Table1[[#This Row],[Discount_%]]</f>
        <v>14133145.18</v>
      </c>
      <c r="U128" s="3">
        <f>Table1[[#This Row],[profit]]/(Table1[[#This Row],[Units_Sold]]*Table1[[#This Row],[Selling_Price_per_Unit]])*100</f>
        <v>30.533708928878212</v>
      </c>
      <c r="V128" s="6">
        <f>Table1[[#This Row],[Units_Sold]]*Table1[[#This Row],[Selling_Price_per_Unit]]</f>
        <v>46287024</v>
      </c>
      <c r="W128" s="7">
        <f>(Table1[[#This Row],[Units_Sold]]/$Z$1)</f>
        <v>0.55636214831465713</v>
      </c>
      <c r="X128" s="8">
        <f>((Table1[[#This Row],[Units_Sold]]*(Table1[[#This Row],[Selling_Price_per_Unit]]-Table1[[#This Row],[Manufacturing_Cost_per_Unit]]))-Table1[[#This Row],[Marketing_Spend]])/Table1[[#This Row],[Marketing_Spend]]</f>
        <v>157.45854408520688</v>
      </c>
    </row>
    <row r="129" spans="1:24" hidden="1" x14ac:dyDescent="0.3">
      <c r="A129" s="1" t="s">
        <v>146</v>
      </c>
      <c r="B129" s="1" t="s">
        <v>1138</v>
      </c>
      <c r="C129" s="1" t="s">
        <v>1632</v>
      </c>
      <c r="D129" s="1" t="s">
        <v>1636</v>
      </c>
      <c r="E129" s="1">
        <v>2023</v>
      </c>
      <c r="F129" s="1" t="s">
        <v>1641</v>
      </c>
      <c r="G129" s="1">
        <v>1647</v>
      </c>
      <c r="H129" s="1">
        <v>10146</v>
      </c>
      <c r="I129" s="1">
        <v>9554</v>
      </c>
      <c r="J129" s="1">
        <v>366456</v>
      </c>
      <c r="K129" s="1">
        <v>6.07</v>
      </c>
      <c r="L129" s="1">
        <v>19</v>
      </c>
      <c r="M129" s="1">
        <v>7.01</v>
      </c>
      <c r="N129" s="1">
        <v>12.5</v>
      </c>
      <c r="O129" s="1">
        <v>51.41</v>
      </c>
      <c r="P129" s="1">
        <v>1.7</v>
      </c>
      <c r="Q129" s="1">
        <v>7663</v>
      </c>
      <c r="R129" s="1">
        <v>6107</v>
      </c>
      <c r="S129" s="1">
        <v>12</v>
      </c>
      <c r="T129" s="1">
        <f>(Table1[[#This Row],[Selling_Price_per_Unit]]-Table1[[#This Row],[Manufacturing_Cost_per_Unit]])*Table1[[#This Row],[Units_Sold]]-Table1[[#This Row],[Marketing_Spend]]-Table1[[#This Row],[Discount_%]]</f>
        <v>608555.5</v>
      </c>
      <c r="U129" s="3">
        <f>Table1[[#This Row],[profit]]/(Table1[[#This Row],[Units_Sold]]*Table1[[#This Row],[Selling_Price_per_Unit]])*100</f>
        <v>3.6417634653069437</v>
      </c>
      <c r="V129" s="6">
        <f>Table1[[#This Row],[Units_Sold]]*Table1[[#This Row],[Selling_Price_per_Unit]]</f>
        <v>16710462</v>
      </c>
      <c r="W129" s="7">
        <f>(Table1[[#This Row],[Units_Sold]]/$Z$1)</f>
        <v>0.32973316238727607</v>
      </c>
      <c r="X129" s="8">
        <f>((Table1[[#This Row],[Units_Sold]]*(Table1[[#This Row],[Selling_Price_per_Unit]]-Table1[[#This Row],[Manufacturing_Cost_per_Unit]]))-Table1[[#This Row],[Marketing_Spend]])/Table1[[#This Row],[Marketing_Spend]]</f>
        <v>1.6606850481367477</v>
      </c>
    </row>
    <row r="130" spans="1:24" hidden="1" x14ac:dyDescent="0.3">
      <c r="A130" s="1" t="s">
        <v>147</v>
      </c>
      <c r="B130" s="1" t="s">
        <v>1139</v>
      </c>
      <c r="C130" s="1" t="s">
        <v>1634</v>
      </c>
      <c r="D130" s="1" t="s">
        <v>1635</v>
      </c>
      <c r="E130" s="1">
        <v>2023</v>
      </c>
      <c r="F130" s="1" t="s">
        <v>1642</v>
      </c>
      <c r="G130" s="1">
        <v>3110</v>
      </c>
      <c r="H130" s="1">
        <v>13164</v>
      </c>
      <c r="I130" s="1">
        <v>12554</v>
      </c>
      <c r="J130" s="1">
        <v>380814</v>
      </c>
      <c r="K130" s="1">
        <v>1.03</v>
      </c>
      <c r="L130" s="1">
        <v>4</v>
      </c>
      <c r="M130" s="1">
        <v>1.94</v>
      </c>
      <c r="N130" s="1">
        <v>3.2</v>
      </c>
      <c r="O130" s="1">
        <v>19.95</v>
      </c>
      <c r="P130" s="1">
        <v>2.7</v>
      </c>
      <c r="Q130" s="1">
        <v>17565</v>
      </c>
      <c r="R130" s="1">
        <v>4230</v>
      </c>
      <c r="S130" s="1">
        <v>12</v>
      </c>
      <c r="T130" s="1">
        <f>(Table1[[#This Row],[Selling_Price_per_Unit]]-Table1[[#This Row],[Manufacturing_Cost_per_Unit]])*Table1[[#This Row],[Units_Sold]]-Table1[[#This Row],[Marketing_Spend]]-Table1[[#This Row],[Discount_%]]</f>
        <v>1516282.8</v>
      </c>
      <c r="U130" s="3">
        <f>Table1[[#This Row],[profit]]/(Table1[[#This Row],[Units_Sold]]*Table1[[#This Row],[Selling_Price_per_Unit]])*100</f>
        <v>3.7036671190355461</v>
      </c>
      <c r="V130" s="6">
        <f>Table1[[#This Row],[Units_Sold]]*Table1[[#This Row],[Selling_Price_per_Unit]]</f>
        <v>40940040</v>
      </c>
      <c r="W130" s="7">
        <f>(Table1[[#This Row],[Units_Sold]]/$Z$1)</f>
        <v>0.62262910444713337</v>
      </c>
      <c r="X130" s="8">
        <f>((Table1[[#This Row],[Units_Sold]]*(Table1[[#This Row],[Selling_Price_per_Unit]]-Table1[[#This Row],[Manufacturing_Cost_per_Unit]]))-Table1[[#This Row],[Marketing_Spend]])/Table1[[#This Row],[Marketing_Spend]]</f>
        <v>3.9816971014721099</v>
      </c>
    </row>
    <row r="131" spans="1:24" hidden="1" x14ac:dyDescent="0.3">
      <c r="A131" s="1" t="s">
        <v>148</v>
      </c>
      <c r="B131" s="1" t="s">
        <v>1140</v>
      </c>
      <c r="C131" s="1" t="s">
        <v>1632</v>
      </c>
      <c r="D131" s="1" t="s">
        <v>1635</v>
      </c>
      <c r="E131" s="1">
        <v>2024</v>
      </c>
      <c r="F131" s="1" t="s">
        <v>1642</v>
      </c>
      <c r="G131" s="1">
        <v>2743</v>
      </c>
      <c r="H131" s="1">
        <v>4469</v>
      </c>
      <c r="I131" s="1">
        <v>11481</v>
      </c>
      <c r="J131" s="1">
        <v>132279</v>
      </c>
      <c r="K131" s="1">
        <v>11.76</v>
      </c>
      <c r="L131" s="1">
        <v>2</v>
      </c>
      <c r="M131" s="1">
        <v>4.47</v>
      </c>
      <c r="N131" s="1">
        <v>14.56</v>
      </c>
      <c r="O131" s="1">
        <v>86.98</v>
      </c>
      <c r="P131" s="1">
        <v>2.6</v>
      </c>
      <c r="Q131" s="1">
        <v>13386</v>
      </c>
      <c r="R131" s="1">
        <v>1492</v>
      </c>
      <c r="S131" s="1">
        <v>8</v>
      </c>
      <c r="T131" s="1">
        <f>(Table1[[#This Row],[Selling_Price_per_Unit]]-Table1[[#This Row],[Manufacturing_Cost_per_Unit]])*Table1[[#This Row],[Units_Sold]]-Table1[[#This Row],[Marketing_Spend]]-Table1[[#This Row],[Discount_%]]</f>
        <v>-19366209.559999999</v>
      </c>
      <c r="U131" s="3">
        <f>Table1[[#This Row],[profit]]/(Table1[[#This Row],[Units_Sold]]*Table1[[#This Row],[Selling_Price_per_Unit]])*100</f>
        <v>-157.9823118176196</v>
      </c>
      <c r="V131" s="6">
        <f>Table1[[#This Row],[Units_Sold]]*Table1[[#This Row],[Selling_Price_per_Unit]]</f>
        <v>12258467</v>
      </c>
      <c r="W131" s="7">
        <f>(Table1[[#This Row],[Units_Sold]]/$Z$1)</f>
        <v>0.54915486607668385</v>
      </c>
      <c r="X131" s="8">
        <f>((Table1[[#This Row],[Units_Sold]]*(Table1[[#This Row],[Selling_Price_per_Unit]]-Table1[[#This Row],[Manufacturing_Cost_per_Unit]]))-Table1[[#This Row],[Marketing_Spend]])/Table1[[#This Row],[Marketing_Spend]]</f>
        <v>-146.40415334255627</v>
      </c>
    </row>
    <row r="132" spans="1:24" x14ac:dyDescent="0.3">
      <c r="A132" s="1" t="s">
        <v>149</v>
      </c>
      <c r="B132" s="1" t="s">
        <v>1141</v>
      </c>
      <c r="C132" s="1" t="s">
        <v>1632</v>
      </c>
      <c r="D132" s="1" t="s">
        <v>1638</v>
      </c>
      <c r="E132" s="1">
        <v>2023</v>
      </c>
      <c r="F132" s="1" t="s">
        <v>1640</v>
      </c>
      <c r="G132" s="1">
        <v>4941</v>
      </c>
      <c r="H132" s="1">
        <v>4528</v>
      </c>
      <c r="I132" s="1">
        <v>14372</v>
      </c>
      <c r="J132" s="1">
        <v>65434</v>
      </c>
      <c r="K132" s="1">
        <v>4.29</v>
      </c>
      <c r="L132" s="1">
        <v>14</v>
      </c>
      <c r="M132" s="1">
        <v>8.3000000000000007</v>
      </c>
      <c r="N132" s="1">
        <v>7.5</v>
      </c>
      <c r="O132" s="1">
        <v>33.19</v>
      </c>
      <c r="P132" s="1">
        <v>2.6</v>
      </c>
      <c r="Q132" s="1">
        <v>19420</v>
      </c>
      <c r="R132" s="1">
        <v>2176</v>
      </c>
      <c r="S132" s="1">
        <v>3</v>
      </c>
      <c r="T132" s="1">
        <f>(Table1[[#This Row],[Selling_Price_per_Unit]]-Table1[[#This Row],[Manufacturing_Cost_per_Unit]])*Table1[[#This Row],[Units_Sold]]-Table1[[#This Row],[Marketing_Spend]]-Table1[[#This Row],[Discount_%]]</f>
        <v>-48704645.5</v>
      </c>
      <c r="U132" s="3">
        <f>Table1[[#This Row],[profit]]/(Table1[[#This Row],[Units_Sold]]*Table1[[#This Row],[Selling_Price_per_Unit]])*100</f>
        <v>-217.69533096546314</v>
      </c>
      <c r="V132" s="6">
        <f>Table1[[#This Row],[Units_Sold]]*Table1[[#This Row],[Selling_Price_per_Unit]]</f>
        <v>22372848</v>
      </c>
      <c r="W132" s="7">
        <f>(Table1[[#This Row],[Units_Sold]]/$Z$1)</f>
        <v>0.98919948716182826</v>
      </c>
      <c r="X132" s="8">
        <f>((Table1[[#This Row],[Units_Sold]]*(Table1[[#This Row],[Selling_Price_per_Unit]]-Table1[[#This Row],[Manufacturing_Cost_per_Unit]]))-Table1[[#This Row],[Marketing_Spend]])/Table1[[#This Row],[Marketing_Spend]]</f>
        <v>-744.33227374147998</v>
      </c>
    </row>
    <row r="133" spans="1:24" hidden="1" x14ac:dyDescent="0.3">
      <c r="A133" s="1" t="s">
        <v>150</v>
      </c>
      <c r="B133" s="1" t="s">
        <v>1142</v>
      </c>
      <c r="C133" s="1" t="s">
        <v>1632</v>
      </c>
      <c r="D133" s="1" t="s">
        <v>1635</v>
      </c>
      <c r="E133" s="1">
        <v>2023</v>
      </c>
      <c r="F133" s="1" t="s">
        <v>1641</v>
      </c>
      <c r="G133" s="1">
        <v>3677</v>
      </c>
      <c r="H133" s="1">
        <v>5129</v>
      </c>
      <c r="I133" s="1">
        <v>9764</v>
      </c>
      <c r="J133" s="1">
        <v>245119</v>
      </c>
      <c r="K133" s="1">
        <v>6.49</v>
      </c>
      <c r="L133" s="1">
        <v>3</v>
      </c>
      <c r="M133" s="1">
        <v>6.55</v>
      </c>
      <c r="N133" s="1">
        <v>0.86</v>
      </c>
      <c r="O133" s="1">
        <v>78.239999999999995</v>
      </c>
      <c r="P133" s="1">
        <v>1.5</v>
      </c>
      <c r="Q133" s="1">
        <v>7701</v>
      </c>
      <c r="R133" s="1">
        <v>9066</v>
      </c>
      <c r="S133" s="1">
        <v>5</v>
      </c>
      <c r="T133" s="1">
        <f>(Table1[[#This Row],[Selling_Price_per_Unit]]-Table1[[#This Row],[Manufacturing_Cost_per_Unit]])*Table1[[#This Row],[Units_Sold]]-Table1[[#This Row],[Marketing_Spend]]-Table1[[#This Row],[Discount_%]]</f>
        <v>-17288014.859999999</v>
      </c>
      <c r="U133" s="3">
        <f>Table1[[#This Row],[profit]]/(Table1[[#This Row],[Units_Sold]]*Table1[[#This Row],[Selling_Price_per_Unit]])*100</f>
        <v>-91.668219973633214</v>
      </c>
      <c r="V133" s="6">
        <f>Table1[[#This Row],[Units_Sold]]*Table1[[#This Row],[Selling_Price_per_Unit]]</f>
        <v>18859333</v>
      </c>
      <c r="W133" s="7">
        <f>(Table1[[#This Row],[Units_Sold]]/$Z$1)</f>
        <v>0.73614379969521204</v>
      </c>
      <c r="X133" s="8">
        <f>((Table1[[#This Row],[Units_Sold]]*(Table1[[#This Row],[Selling_Price_per_Unit]]-Table1[[#This Row],[Manufacturing_Cost_per_Unit]]))-Table1[[#This Row],[Marketing_Spend]])/Table1[[#This Row],[Marketing_Spend]]</f>
        <v>-70.529065474320632</v>
      </c>
    </row>
    <row r="134" spans="1:24" hidden="1" x14ac:dyDescent="0.3">
      <c r="A134" s="1" t="s">
        <v>151</v>
      </c>
      <c r="B134" s="1" t="s">
        <v>1143</v>
      </c>
      <c r="C134" s="1" t="s">
        <v>1633</v>
      </c>
      <c r="D134" s="1" t="s">
        <v>1638</v>
      </c>
      <c r="E134" s="1">
        <v>2024</v>
      </c>
      <c r="F134" s="1" t="s">
        <v>1641</v>
      </c>
      <c r="G134" s="1">
        <v>1413</v>
      </c>
      <c r="H134" s="1">
        <v>4567</v>
      </c>
      <c r="I134" s="1">
        <v>7293</v>
      </c>
      <c r="J134" s="1">
        <v>490991</v>
      </c>
      <c r="K134" s="1">
        <v>10.28</v>
      </c>
      <c r="L134" s="1">
        <v>14</v>
      </c>
      <c r="M134" s="1">
        <v>4.1100000000000003</v>
      </c>
      <c r="N134" s="1">
        <v>15.87</v>
      </c>
      <c r="O134" s="1">
        <v>41.01</v>
      </c>
      <c r="P134" s="1">
        <v>4.3</v>
      </c>
      <c r="Q134" s="1">
        <v>17080</v>
      </c>
      <c r="R134" s="1">
        <v>4416</v>
      </c>
      <c r="S134" s="1">
        <v>6</v>
      </c>
      <c r="T134" s="1">
        <f>(Table1[[#This Row],[Selling_Price_per_Unit]]-Table1[[#This Row],[Manufacturing_Cost_per_Unit]])*Table1[[#This Row],[Units_Sold]]-Table1[[#This Row],[Marketing_Spend]]-Table1[[#This Row],[Discount_%]]</f>
        <v>-4342844.87</v>
      </c>
      <c r="U134" s="3">
        <f>Table1[[#This Row],[profit]]/(Table1[[#This Row],[Units_Sold]]*Table1[[#This Row],[Selling_Price_per_Unit]])*100</f>
        <v>-67.297842719494028</v>
      </c>
      <c r="V134" s="6">
        <f>Table1[[#This Row],[Units_Sold]]*Table1[[#This Row],[Selling_Price_per_Unit]]</f>
        <v>6453171</v>
      </c>
      <c r="W134" s="7">
        <f>(Table1[[#This Row],[Units_Sold]]/$Z$1)</f>
        <v>0.28288582784044997</v>
      </c>
      <c r="X134" s="8">
        <f>((Table1[[#This Row],[Units_Sold]]*(Table1[[#This Row],[Selling_Price_per_Unit]]-Table1[[#This Row],[Manufacturing_Cost_per_Unit]]))-Table1[[#This Row],[Marketing_Spend]])/Table1[[#This Row],[Marketing_Spend]]</f>
        <v>-8.8450277092655458</v>
      </c>
    </row>
    <row r="135" spans="1:24" hidden="1" x14ac:dyDescent="0.3">
      <c r="A135" s="1" t="s">
        <v>152</v>
      </c>
      <c r="B135" s="1" t="s">
        <v>1039</v>
      </c>
      <c r="C135" s="1" t="s">
        <v>1632</v>
      </c>
      <c r="D135" s="1" t="s">
        <v>1636</v>
      </c>
      <c r="E135" s="1">
        <v>2024</v>
      </c>
      <c r="F135" s="1" t="s">
        <v>1642</v>
      </c>
      <c r="G135" s="1">
        <v>2031</v>
      </c>
      <c r="H135" s="1">
        <v>7441</v>
      </c>
      <c r="I135" s="1">
        <v>11029</v>
      </c>
      <c r="J135" s="1">
        <v>387913</v>
      </c>
      <c r="K135" s="1">
        <v>4.99</v>
      </c>
      <c r="L135" s="1">
        <v>13</v>
      </c>
      <c r="M135" s="1">
        <v>6.63</v>
      </c>
      <c r="N135" s="1">
        <v>21.47</v>
      </c>
      <c r="O135" s="1">
        <v>35.86</v>
      </c>
      <c r="P135" s="1">
        <v>1.1000000000000001</v>
      </c>
      <c r="Q135" s="1">
        <v>20654</v>
      </c>
      <c r="R135" s="1">
        <v>6296</v>
      </c>
      <c r="S135" s="1">
        <v>5</v>
      </c>
      <c r="T135" s="1">
        <f>(Table1[[#This Row],[Selling_Price_per_Unit]]-Table1[[#This Row],[Manufacturing_Cost_per_Unit]])*Table1[[#This Row],[Units_Sold]]-Table1[[#This Row],[Marketing_Spend]]-Table1[[#This Row],[Discount_%]]</f>
        <v>-7675162.4699999997</v>
      </c>
      <c r="U135" s="3">
        <f>Table1[[#This Row],[profit]]/(Table1[[#This Row],[Units_Sold]]*Table1[[#This Row],[Selling_Price_per_Unit]])*100</f>
        <v>-50.786273783105585</v>
      </c>
      <c r="V135" s="6">
        <f>Table1[[#This Row],[Units_Sold]]*Table1[[#This Row],[Selling_Price_per_Unit]]</f>
        <v>15112671</v>
      </c>
      <c r="W135" s="7">
        <f>(Table1[[#This Row],[Units_Sold]]/$Z$1)</f>
        <v>0.40661083959232408</v>
      </c>
      <c r="X135" s="8">
        <f>((Table1[[#This Row],[Units_Sold]]*(Table1[[#This Row],[Selling_Price_per_Unit]]-Table1[[#This Row],[Manufacturing_Cost_per_Unit]]))-Table1[[#This Row],[Marketing_Spend]])/Table1[[#This Row],[Marketing_Spend]]</f>
        <v>-19.785727727609025</v>
      </c>
    </row>
    <row r="136" spans="1:24" hidden="1" x14ac:dyDescent="0.3">
      <c r="A136" s="1" t="s">
        <v>153</v>
      </c>
      <c r="B136" s="1" t="s">
        <v>1041</v>
      </c>
      <c r="C136" s="1" t="s">
        <v>1634</v>
      </c>
      <c r="D136" s="1" t="s">
        <v>1637</v>
      </c>
      <c r="E136" s="1">
        <v>2024</v>
      </c>
      <c r="F136" s="1" t="s">
        <v>1641</v>
      </c>
      <c r="G136" s="1">
        <v>1713</v>
      </c>
      <c r="H136" s="1">
        <v>19270</v>
      </c>
      <c r="I136" s="1">
        <v>12415</v>
      </c>
      <c r="J136" s="1">
        <v>295754</v>
      </c>
      <c r="K136" s="1">
        <v>0.85</v>
      </c>
      <c r="L136" s="1">
        <v>19</v>
      </c>
      <c r="M136" s="1">
        <v>1.18</v>
      </c>
      <c r="N136" s="1">
        <v>8.6199999999999992</v>
      </c>
      <c r="O136" s="1">
        <v>84.81</v>
      </c>
      <c r="P136" s="1">
        <v>3.1</v>
      </c>
      <c r="Q136" s="1">
        <v>8899</v>
      </c>
      <c r="R136" s="1">
        <v>4689</v>
      </c>
      <c r="S136" s="1">
        <v>5</v>
      </c>
      <c r="T136" s="1">
        <f>(Table1[[#This Row],[Selling_Price_per_Unit]]-Table1[[#This Row],[Manufacturing_Cost_per_Unit]])*Table1[[#This Row],[Units_Sold]]-Table1[[#This Row],[Marketing_Spend]]-Table1[[#This Row],[Discount_%]]</f>
        <v>11446852.380000001</v>
      </c>
      <c r="U136" s="3">
        <f>Table1[[#This Row],[profit]]/(Table1[[#This Row],[Units_Sold]]*Table1[[#This Row],[Selling_Price_per_Unit]])*100</f>
        <v>34.677438047399072</v>
      </c>
      <c r="V136" s="6">
        <f>Table1[[#This Row],[Units_Sold]]*Table1[[#This Row],[Selling_Price_per_Unit]]</f>
        <v>33009510</v>
      </c>
      <c r="W136" s="7">
        <f>(Table1[[#This Row],[Units_Sold]]/$Z$1)</f>
        <v>0.34294651315689373</v>
      </c>
      <c r="X136" s="8">
        <f>((Table1[[#This Row],[Units_Sold]]*(Table1[[#This Row],[Selling_Price_per_Unit]]-Table1[[#This Row],[Manufacturing_Cost_per_Unit]]))-Table1[[#This Row],[Marketing_Spend]])/Table1[[#This Row],[Marketing_Spend]]</f>
        <v>38.70399385976183</v>
      </c>
    </row>
    <row r="137" spans="1:24" hidden="1" x14ac:dyDescent="0.3">
      <c r="A137" s="1" t="s">
        <v>154</v>
      </c>
      <c r="B137" s="1" t="s">
        <v>1144</v>
      </c>
      <c r="C137" s="1" t="s">
        <v>1634</v>
      </c>
      <c r="D137" s="1" t="s">
        <v>1637</v>
      </c>
      <c r="E137" s="1">
        <v>2024</v>
      </c>
      <c r="F137" s="1" t="s">
        <v>1641</v>
      </c>
      <c r="G137" s="1">
        <v>1579</v>
      </c>
      <c r="H137" s="1">
        <v>13055</v>
      </c>
      <c r="I137" s="1">
        <v>11559</v>
      </c>
      <c r="J137" s="1">
        <v>378821</v>
      </c>
      <c r="K137" s="1">
        <v>5.61</v>
      </c>
      <c r="L137" s="1">
        <v>18</v>
      </c>
      <c r="M137" s="1">
        <v>4.01</v>
      </c>
      <c r="N137" s="1">
        <v>9.76</v>
      </c>
      <c r="O137" s="1">
        <v>39.07</v>
      </c>
      <c r="P137" s="1">
        <v>3.6</v>
      </c>
      <c r="Q137" s="1">
        <v>18445</v>
      </c>
      <c r="R137" s="1">
        <v>8242</v>
      </c>
      <c r="S137" s="1">
        <v>12</v>
      </c>
      <c r="T137" s="1">
        <f>(Table1[[#This Row],[Selling_Price_per_Unit]]-Table1[[#This Row],[Manufacturing_Cost_per_Unit]])*Table1[[#This Row],[Units_Sold]]-Table1[[#This Row],[Marketing_Spend]]-Table1[[#This Row],[Discount_%]]</f>
        <v>1983353.24</v>
      </c>
      <c r="U137" s="3">
        <f>Table1[[#This Row],[profit]]/(Table1[[#This Row],[Units_Sold]]*Table1[[#This Row],[Selling_Price_per_Unit]])*100</f>
        <v>9.621461886416629</v>
      </c>
      <c r="V137" s="6">
        <f>Table1[[#This Row],[Units_Sold]]*Table1[[#This Row],[Selling_Price_per_Unit]]</f>
        <v>20613845</v>
      </c>
      <c r="W137" s="7">
        <f>(Table1[[#This Row],[Units_Sold]]/$Z$1)</f>
        <v>0.31611940704888219</v>
      </c>
      <c r="X137" s="8">
        <f>((Table1[[#This Row],[Units_Sold]]*(Table1[[#This Row],[Selling_Price_per_Unit]]-Table1[[#This Row],[Manufacturing_Cost_per_Unit]]))-Table1[[#This Row],[Marketing_Spend]])/Table1[[#This Row],[Marketing_Spend]]</f>
        <v>5.2356205173419639</v>
      </c>
    </row>
    <row r="138" spans="1:24" hidden="1" x14ac:dyDescent="0.3">
      <c r="A138" s="1" t="s">
        <v>155</v>
      </c>
      <c r="B138" s="1" t="s">
        <v>1145</v>
      </c>
      <c r="C138" s="1" t="s">
        <v>1633</v>
      </c>
      <c r="D138" s="1" t="s">
        <v>1637</v>
      </c>
      <c r="E138" s="1">
        <v>2023</v>
      </c>
      <c r="F138" s="1" t="s">
        <v>1642</v>
      </c>
      <c r="G138" s="1">
        <v>2088</v>
      </c>
      <c r="H138" s="1">
        <v>14581</v>
      </c>
      <c r="I138" s="1">
        <v>6239</v>
      </c>
      <c r="J138" s="1">
        <v>133555</v>
      </c>
      <c r="K138" s="1">
        <v>14.17</v>
      </c>
      <c r="L138" s="1">
        <v>12</v>
      </c>
      <c r="M138" s="1">
        <v>7.93</v>
      </c>
      <c r="N138" s="1">
        <v>22.28</v>
      </c>
      <c r="O138" s="1">
        <v>41.22</v>
      </c>
      <c r="P138" s="1">
        <v>1.8</v>
      </c>
      <c r="Q138" s="1">
        <v>9123</v>
      </c>
      <c r="R138" s="1">
        <v>6360</v>
      </c>
      <c r="S138" s="1">
        <v>14</v>
      </c>
      <c r="T138" s="1">
        <f>(Table1[[#This Row],[Selling_Price_per_Unit]]-Table1[[#This Row],[Manufacturing_Cost_per_Unit]])*Table1[[#This Row],[Units_Sold]]-Table1[[#This Row],[Marketing_Spend]]-Table1[[#This Row],[Discount_%]]</f>
        <v>17284518.719999999</v>
      </c>
      <c r="U138" s="3">
        <f>Table1[[#This Row],[profit]]/(Table1[[#This Row],[Units_Sold]]*Table1[[#This Row],[Selling_Price_per_Unit]])*100</f>
        <v>56.772691906567118</v>
      </c>
      <c r="V138" s="6">
        <f>Table1[[#This Row],[Units_Sold]]*Table1[[#This Row],[Selling_Price_per_Unit]]</f>
        <v>30445128</v>
      </c>
      <c r="W138" s="7">
        <f>(Table1[[#This Row],[Units_Sold]]/$Z$1)</f>
        <v>0.41802236980244839</v>
      </c>
      <c r="X138" s="8">
        <f>((Table1[[#This Row],[Units_Sold]]*(Table1[[#This Row],[Selling_Price_per_Unit]]-Table1[[#This Row],[Manufacturing_Cost_per_Unit]]))-Table1[[#This Row],[Marketing_Spend]])/Table1[[#This Row],[Marketing_Spend]]</f>
        <v>129.41889858110892</v>
      </c>
    </row>
    <row r="139" spans="1:24" hidden="1" x14ac:dyDescent="0.3">
      <c r="A139" s="1" t="s">
        <v>156</v>
      </c>
      <c r="B139" s="1" t="s">
        <v>1146</v>
      </c>
      <c r="C139" s="1" t="s">
        <v>1634</v>
      </c>
      <c r="D139" s="1" t="s">
        <v>1636</v>
      </c>
      <c r="E139" s="1">
        <v>2023</v>
      </c>
      <c r="F139" s="1" t="s">
        <v>1641</v>
      </c>
      <c r="G139" s="1">
        <v>3352</v>
      </c>
      <c r="H139" s="1">
        <v>8319</v>
      </c>
      <c r="I139" s="1">
        <v>10565</v>
      </c>
      <c r="J139" s="1">
        <v>178379</v>
      </c>
      <c r="K139" s="1">
        <v>9.6300000000000008</v>
      </c>
      <c r="L139" s="1">
        <v>9</v>
      </c>
      <c r="M139" s="1">
        <v>2.21</v>
      </c>
      <c r="N139" s="1">
        <v>20.34</v>
      </c>
      <c r="O139" s="1">
        <v>18.489999999999998</v>
      </c>
      <c r="P139" s="1">
        <v>4.5999999999999996</v>
      </c>
      <c r="Q139" s="1">
        <v>11827</v>
      </c>
      <c r="R139" s="1">
        <v>8571</v>
      </c>
      <c r="S139" s="1">
        <v>10</v>
      </c>
      <c r="T139" s="1">
        <f>(Table1[[#This Row],[Selling_Price_per_Unit]]-Table1[[#This Row],[Manufacturing_Cost_per_Unit]])*Table1[[#This Row],[Units_Sold]]-Table1[[#This Row],[Marketing_Spend]]-Table1[[#This Row],[Discount_%]]</f>
        <v>-7706991.3399999999</v>
      </c>
      <c r="U139" s="3">
        <f>Table1[[#This Row],[profit]]/(Table1[[#This Row],[Units_Sold]]*Table1[[#This Row],[Selling_Price_per_Unit]])*100</f>
        <v>-27.638198823695131</v>
      </c>
      <c r="V139" s="6">
        <f>Table1[[#This Row],[Units_Sold]]*Table1[[#This Row],[Selling_Price_per_Unit]]</f>
        <v>27885288</v>
      </c>
      <c r="W139" s="7">
        <f>(Table1[[#This Row],[Units_Sold]]/$Z$1)</f>
        <v>0.67107805726906467</v>
      </c>
      <c r="X139" s="8">
        <f>((Table1[[#This Row],[Units_Sold]]*(Table1[[#This Row],[Selling_Price_per_Unit]]-Table1[[#This Row],[Manufacturing_Cost_per_Unit]]))-Table1[[#This Row],[Marketing_Spend]])/Table1[[#This Row],[Marketing_Spend]]</f>
        <v>-43.205595950195928</v>
      </c>
    </row>
    <row r="140" spans="1:24" hidden="1" x14ac:dyDescent="0.3">
      <c r="A140" s="1" t="s">
        <v>157</v>
      </c>
      <c r="B140" s="1" t="s">
        <v>1147</v>
      </c>
      <c r="C140" s="1" t="s">
        <v>1634</v>
      </c>
      <c r="D140" s="1" t="s">
        <v>1635</v>
      </c>
      <c r="E140" s="1">
        <v>2024</v>
      </c>
      <c r="F140" s="1" t="s">
        <v>1640</v>
      </c>
      <c r="G140" s="1">
        <v>2287</v>
      </c>
      <c r="H140" s="1">
        <v>12546</v>
      </c>
      <c r="I140" s="1">
        <v>12686</v>
      </c>
      <c r="J140" s="1">
        <v>266992</v>
      </c>
      <c r="K140" s="1">
        <v>10.07</v>
      </c>
      <c r="L140" s="1">
        <v>4</v>
      </c>
      <c r="M140" s="1">
        <v>1.86</v>
      </c>
      <c r="N140" s="1">
        <v>17.87</v>
      </c>
      <c r="O140" s="1">
        <v>63.64</v>
      </c>
      <c r="P140" s="1">
        <v>4.4000000000000004</v>
      </c>
      <c r="Q140" s="1">
        <v>8687</v>
      </c>
      <c r="R140" s="1">
        <v>7997</v>
      </c>
      <c r="S140" s="1">
        <v>12</v>
      </c>
      <c r="T140" s="1">
        <f>(Table1[[#This Row],[Selling_Price_per_Unit]]-Table1[[#This Row],[Manufacturing_Cost_per_Unit]])*Table1[[#This Row],[Units_Sold]]-Table1[[#This Row],[Marketing_Spend]]-Table1[[#This Row],[Discount_%]]</f>
        <v>-587189.87</v>
      </c>
      <c r="U140" s="3">
        <f>Table1[[#This Row],[profit]]/(Table1[[#This Row],[Units_Sold]]*Table1[[#This Row],[Selling_Price_per_Unit]])*100</f>
        <v>-2.0464781253435107</v>
      </c>
      <c r="V140" s="6">
        <f>Table1[[#This Row],[Units_Sold]]*Table1[[#This Row],[Selling_Price_per_Unit]]</f>
        <v>28692702</v>
      </c>
      <c r="W140" s="7">
        <f>(Table1[[#This Row],[Units_Sold]]/$Z$1)</f>
        <v>0.45786262439568937</v>
      </c>
      <c r="X140" s="8">
        <f>((Table1[[#This Row],[Units_Sold]]*(Table1[[#This Row],[Selling_Price_per_Unit]]-Table1[[#This Row],[Manufacturing_Cost_per_Unit]]))-Table1[[#This Row],[Marketing_Spend]])/Table1[[#This Row],[Marketing_Spend]]</f>
        <v>-2.1992119614070833</v>
      </c>
    </row>
    <row r="141" spans="1:24" hidden="1" x14ac:dyDescent="0.3">
      <c r="A141" s="1" t="s">
        <v>158</v>
      </c>
      <c r="B141" s="1" t="s">
        <v>1148</v>
      </c>
      <c r="C141" s="1" t="s">
        <v>1633</v>
      </c>
      <c r="D141" s="1" t="s">
        <v>1636</v>
      </c>
      <c r="E141" s="1">
        <v>2024</v>
      </c>
      <c r="F141" s="1" t="s">
        <v>1639</v>
      </c>
      <c r="G141" s="1">
        <v>1356</v>
      </c>
      <c r="H141" s="1">
        <v>19217</v>
      </c>
      <c r="I141" s="1">
        <v>14079</v>
      </c>
      <c r="J141" s="1">
        <v>289511</v>
      </c>
      <c r="K141" s="1">
        <v>9.48</v>
      </c>
      <c r="L141" s="1">
        <v>19</v>
      </c>
      <c r="M141" s="1">
        <v>9.51</v>
      </c>
      <c r="N141" s="1">
        <v>6.22</v>
      </c>
      <c r="O141" s="1">
        <v>33.11</v>
      </c>
      <c r="P141" s="1">
        <v>2.9</v>
      </c>
      <c r="Q141" s="1">
        <v>3680</v>
      </c>
      <c r="R141" s="1">
        <v>4941</v>
      </c>
      <c r="S141" s="1">
        <v>14</v>
      </c>
      <c r="T141" s="1">
        <f>(Table1[[#This Row],[Selling_Price_per_Unit]]-Table1[[#This Row],[Manufacturing_Cost_per_Unit]])*Table1[[#This Row],[Units_Sold]]-Table1[[#This Row],[Marketing_Spend]]-Table1[[#This Row],[Discount_%]]</f>
        <v>6677610.7800000003</v>
      </c>
      <c r="U141" s="3">
        <f>Table1[[#This Row],[profit]]/(Table1[[#This Row],[Units_Sold]]*Table1[[#This Row],[Selling_Price_per_Unit]])*100</f>
        <v>25.62570497821573</v>
      </c>
      <c r="V141" s="6">
        <f>Table1[[#This Row],[Units_Sold]]*Table1[[#This Row],[Selling_Price_per_Unit]]</f>
        <v>26058252</v>
      </c>
      <c r="W141" s="7">
        <f>(Table1[[#This Row],[Units_Sold]]/$Z$1)</f>
        <v>0.27147429763032566</v>
      </c>
      <c r="X141" s="8">
        <f>((Table1[[#This Row],[Units_Sold]]*(Table1[[#This Row],[Selling_Price_per_Unit]]-Table1[[#This Row],[Manufacturing_Cost_per_Unit]]))-Table1[[#This Row],[Marketing_Spend]])/Table1[[#This Row],[Marketing_Spend]]</f>
        <v>23.065158145977183</v>
      </c>
    </row>
    <row r="142" spans="1:24" x14ac:dyDescent="0.3">
      <c r="A142" s="1" t="s">
        <v>159</v>
      </c>
      <c r="B142" s="1" t="s">
        <v>1149</v>
      </c>
      <c r="C142" s="1" t="s">
        <v>1633</v>
      </c>
      <c r="D142" s="1" t="s">
        <v>1636</v>
      </c>
      <c r="E142" s="1">
        <v>2024</v>
      </c>
      <c r="F142" s="1" t="s">
        <v>1640</v>
      </c>
      <c r="G142" s="1">
        <v>4079</v>
      </c>
      <c r="H142" s="1">
        <v>4211</v>
      </c>
      <c r="I142" s="1">
        <v>7311</v>
      </c>
      <c r="J142" s="1">
        <v>226806</v>
      </c>
      <c r="K142" s="1">
        <v>2.98</v>
      </c>
      <c r="L142" s="1">
        <v>19</v>
      </c>
      <c r="M142" s="1">
        <v>2.1</v>
      </c>
      <c r="N142" s="1">
        <v>22.76</v>
      </c>
      <c r="O142" s="1">
        <v>56.85</v>
      </c>
      <c r="P142" s="1">
        <v>2.6</v>
      </c>
      <c r="Q142" s="1">
        <v>3460</v>
      </c>
      <c r="R142" s="1">
        <v>7261</v>
      </c>
      <c r="S142" s="1">
        <v>3</v>
      </c>
      <c r="T142" s="1">
        <f>(Table1[[#This Row],[Selling_Price_per_Unit]]-Table1[[#This Row],[Manufacturing_Cost_per_Unit]])*Table1[[#This Row],[Units_Sold]]-Table1[[#This Row],[Marketing_Spend]]-Table1[[#This Row],[Discount_%]]</f>
        <v>-12871728.76</v>
      </c>
      <c r="U142" s="3">
        <f>Table1[[#This Row],[profit]]/(Table1[[#This Row],[Units_Sold]]*Table1[[#This Row],[Selling_Price_per_Unit]])*100</f>
        <v>-74.937281262158578</v>
      </c>
      <c r="V142" s="6">
        <f>Table1[[#This Row],[Units_Sold]]*Table1[[#This Row],[Selling_Price_per_Unit]]</f>
        <v>17176669</v>
      </c>
      <c r="W142" s="7">
        <f>(Table1[[#This Row],[Units_Sold]]/$Z$1)</f>
        <v>0.81662511801924664</v>
      </c>
      <c r="X142" s="8">
        <f>((Table1[[#This Row],[Units_Sold]]*(Table1[[#This Row],[Selling_Price_per_Unit]]-Table1[[#This Row],[Manufacturing_Cost_per_Unit]]))-Table1[[#This Row],[Marketing_Spend]])/Table1[[#This Row],[Marketing_Spend]]</f>
        <v>-56.752052414839113</v>
      </c>
    </row>
    <row r="143" spans="1:24" hidden="1" x14ac:dyDescent="0.3">
      <c r="A143" s="1" t="s">
        <v>160</v>
      </c>
      <c r="B143" s="1" t="s">
        <v>1150</v>
      </c>
      <c r="C143" s="1" t="s">
        <v>1634</v>
      </c>
      <c r="D143" s="1" t="s">
        <v>1638</v>
      </c>
      <c r="E143" s="1">
        <v>2024</v>
      </c>
      <c r="F143" s="1" t="s">
        <v>1642</v>
      </c>
      <c r="G143" s="1">
        <v>2725</v>
      </c>
      <c r="H143" s="1">
        <v>6353</v>
      </c>
      <c r="I143" s="1">
        <v>12283</v>
      </c>
      <c r="J143" s="1">
        <v>413809</v>
      </c>
      <c r="K143" s="1">
        <v>6.28</v>
      </c>
      <c r="L143" s="1">
        <v>5</v>
      </c>
      <c r="M143" s="1">
        <v>2.61</v>
      </c>
      <c r="N143" s="1">
        <v>3.86</v>
      </c>
      <c r="O143" s="1">
        <v>57.31</v>
      </c>
      <c r="P143" s="1">
        <v>1.9</v>
      </c>
      <c r="Q143" s="1">
        <v>6653</v>
      </c>
      <c r="R143" s="1">
        <v>9766</v>
      </c>
      <c r="S143" s="1">
        <v>7</v>
      </c>
      <c r="T143" s="1">
        <f>(Table1[[#This Row],[Selling_Price_per_Unit]]-Table1[[#This Row],[Manufacturing_Cost_per_Unit]])*Table1[[#This Row],[Units_Sold]]-Table1[[#This Row],[Marketing_Spend]]-Table1[[#This Row],[Discount_%]]</f>
        <v>-16573062.859999999</v>
      </c>
      <c r="U143" s="3">
        <f>Table1[[#This Row],[profit]]/(Table1[[#This Row],[Units_Sold]]*Table1[[#This Row],[Selling_Price_per_Unit]])*100</f>
        <v>-95.7320624944944</v>
      </c>
      <c r="V143" s="6">
        <f>Table1[[#This Row],[Units_Sold]]*Table1[[#This Row],[Selling_Price_per_Unit]]</f>
        <v>17311925</v>
      </c>
      <c r="W143" s="7">
        <f>(Table1[[#This Row],[Units_Sold]]/$Z$1)</f>
        <v>0.54555122495769726</v>
      </c>
      <c r="X143" s="8">
        <f>((Table1[[#This Row],[Units_Sold]]*(Table1[[#This Row],[Selling_Price_per_Unit]]-Table1[[#This Row],[Manufacturing_Cost_per_Unit]]))-Table1[[#This Row],[Marketing_Spend]])/Table1[[#This Row],[Marketing_Spend]]</f>
        <v>-40.050020661706249</v>
      </c>
    </row>
    <row r="144" spans="1:24" hidden="1" x14ac:dyDescent="0.3">
      <c r="A144" s="1" t="s">
        <v>161</v>
      </c>
      <c r="B144" s="1" t="s">
        <v>1151</v>
      </c>
      <c r="C144" s="1" t="s">
        <v>1632</v>
      </c>
      <c r="D144" s="1" t="s">
        <v>1638</v>
      </c>
      <c r="E144" s="1">
        <v>2023</v>
      </c>
      <c r="F144" s="1" t="s">
        <v>1639</v>
      </c>
      <c r="G144" s="1">
        <v>1332</v>
      </c>
      <c r="H144" s="1">
        <v>9215</v>
      </c>
      <c r="I144" s="1">
        <v>8304</v>
      </c>
      <c r="J144" s="1">
        <v>483819</v>
      </c>
      <c r="K144" s="1">
        <v>11.26</v>
      </c>
      <c r="L144" s="1">
        <v>3</v>
      </c>
      <c r="M144" s="1">
        <v>9.6999999999999993</v>
      </c>
      <c r="N144" s="1">
        <v>15.67</v>
      </c>
      <c r="O144" s="1">
        <v>67.540000000000006</v>
      </c>
      <c r="P144" s="1">
        <v>3.9</v>
      </c>
      <c r="Q144" s="1">
        <v>8535</v>
      </c>
      <c r="R144" s="1">
        <v>1159</v>
      </c>
      <c r="S144" s="1">
        <v>9</v>
      </c>
      <c r="T144" s="1">
        <f>(Table1[[#This Row],[Selling_Price_per_Unit]]-Table1[[#This Row],[Manufacturing_Cost_per_Unit]])*Table1[[#This Row],[Units_Sold]]-Table1[[#This Row],[Marketing_Spend]]-Table1[[#This Row],[Discount_%]]</f>
        <v>729617.33</v>
      </c>
      <c r="U144" s="3">
        <f>Table1[[#This Row],[profit]]/(Table1[[#This Row],[Units_Sold]]*Table1[[#This Row],[Selling_Price_per_Unit]])*100</f>
        <v>5.9442296067092597</v>
      </c>
      <c r="V144" s="6">
        <f>Table1[[#This Row],[Units_Sold]]*Table1[[#This Row],[Selling_Price_per_Unit]]</f>
        <v>12274380</v>
      </c>
      <c r="W144" s="7">
        <f>(Table1[[#This Row],[Units_Sold]]/$Z$1)</f>
        <v>0.26666944280501015</v>
      </c>
      <c r="X144" s="8">
        <f>((Table1[[#This Row],[Units_Sold]]*(Table1[[#This Row],[Selling_Price_per_Unit]]-Table1[[#This Row],[Manufacturing_Cost_per_Unit]]))-Table1[[#This Row],[Marketing_Spend]])/Table1[[#This Row],[Marketing_Spend]]</f>
        <v>1.5080701667359075</v>
      </c>
    </row>
    <row r="145" spans="1:24" hidden="1" x14ac:dyDescent="0.3">
      <c r="A145" s="1" t="s">
        <v>162</v>
      </c>
      <c r="B145" s="1" t="s">
        <v>1152</v>
      </c>
      <c r="C145" s="1" t="s">
        <v>1632</v>
      </c>
      <c r="D145" s="1" t="s">
        <v>1638</v>
      </c>
      <c r="E145" s="1">
        <v>2023</v>
      </c>
      <c r="F145" s="1" t="s">
        <v>1639</v>
      </c>
      <c r="G145" s="1">
        <v>759</v>
      </c>
      <c r="H145" s="1">
        <v>10442</v>
      </c>
      <c r="I145" s="1">
        <v>2046</v>
      </c>
      <c r="J145" s="1">
        <v>118803</v>
      </c>
      <c r="K145" s="1">
        <v>1.52</v>
      </c>
      <c r="L145" s="1">
        <v>1</v>
      </c>
      <c r="M145" s="1">
        <v>7.35</v>
      </c>
      <c r="N145" s="1">
        <v>0.72</v>
      </c>
      <c r="O145" s="1">
        <v>69.62</v>
      </c>
      <c r="P145" s="1">
        <v>1.5</v>
      </c>
      <c r="Q145" s="1">
        <v>12971</v>
      </c>
      <c r="R145" s="1">
        <v>2022</v>
      </c>
      <c r="S145" s="1">
        <v>9</v>
      </c>
      <c r="T145" s="1">
        <f>(Table1[[#This Row],[Selling_Price_per_Unit]]-Table1[[#This Row],[Manufacturing_Cost_per_Unit]])*Table1[[#This Row],[Units_Sold]]-Table1[[#This Row],[Marketing_Spend]]-Table1[[#This Row],[Discount_%]]</f>
        <v>6253760.2800000003</v>
      </c>
      <c r="U145" s="3">
        <f>Table1[[#This Row],[profit]]/(Table1[[#This Row],[Units_Sold]]*Table1[[#This Row],[Selling_Price_per_Unit]])*100</f>
        <v>78.907042326027536</v>
      </c>
      <c r="V145" s="6">
        <f>Table1[[#This Row],[Units_Sold]]*Table1[[#This Row],[Selling_Price_per_Unit]]</f>
        <v>7925478</v>
      </c>
      <c r="W145" s="7">
        <f>(Table1[[#This Row],[Units_Sold]]/$Z$1)</f>
        <v>0.15195353385060265</v>
      </c>
      <c r="X145" s="8">
        <f>((Table1[[#This Row],[Units_Sold]]*(Table1[[#This Row],[Selling_Price_per_Unit]]-Table1[[#This Row],[Manufacturing_Cost_per_Unit]]))-Table1[[#This Row],[Marketing_Spend]])/Table1[[#This Row],[Marketing_Spend]]</f>
        <v>52.639756571803744</v>
      </c>
    </row>
    <row r="146" spans="1:24" hidden="1" x14ac:dyDescent="0.3">
      <c r="A146" s="1" t="s">
        <v>466</v>
      </c>
      <c r="B146" s="1" t="s">
        <v>1053</v>
      </c>
      <c r="C146" s="1" t="s">
        <v>1633</v>
      </c>
      <c r="D146" s="1" t="s">
        <v>1637</v>
      </c>
      <c r="E146" s="1">
        <v>2024</v>
      </c>
      <c r="F146" s="1" t="s">
        <v>1642</v>
      </c>
      <c r="G146" s="1">
        <v>3119</v>
      </c>
      <c r="H146" s="1">
        <v>18843</v>
      </c>
      <c r="I146" s="1">
        <v>1485</v>
      </c>
      <c r="J146" s="1">
        <v>277230</v>
      </c>
      <c r="K146" s="1">
        <v>11.38</v>
      </c>
      <c r="L146" s="1">
        <v>10</v>
      </c>
      <c r="M146" s="1">
        <v>1.92</v>
      </c>
      <c r="N146" s="1">
        <v>0.69</v>
      </c>
      <c r="O146" s="1">
        <v>81.3</v>
      </c>
      <c r="P146" s="1">
        <v>2.2000000000000002</v>
      </c>
      <c r="Q146" s="1">
        <v>6874</v>
      </c>
      <c r="R146" s="1">
        <v>4606</v>
      </c>
      <c r="S146" s="1">
        <v>2</v>
      </c>
      <c r="T146" s="1">
        <f>(Table1[[#This Row],[Selling_Price_per_Unit]]-Table1[[#This Row],[Manufacturing_Cost_per_Unit]])*Table1[[#This Row],[Units_Sold]]-Table1[[#This Row],[Marketing_Spend]]-Table1[[#This Row],[Discount_%]]</f>
        <v>53862371.310000002</v>
      </c>
      <c r="U146" s="3">
        <f>Table1[[#This Row],[profit]]/(Table1[[#This Row],[Units_Sold]]*Table1[[#This Row],[Selling_Price_per_Unit]])*100</f>
        <v>91.647378448231819</v>
      </c>
      <c r="V146" s="6">
        <f>Table1[[#This Row],[Units_Sold]]*Table1[[#This Row],[Selling_Price_per_Unit]]</f>
        <v>58771317</v>
      </c>
      <c r="W146" s="7">
        <f>(Table1[[#This Row],[Units_Sold]]/$Z$1)</f>
        <v>0.62443092500662667</v>
      </c>
      <c r="X146" s="8">
        <f>((Table1[[#This Row],[Units_Sold]]*(Table1[[#This Row],[Selling_Price_per_Unit]]-Table1[[#This Row],[Manufacturing_Cost_per_Unit]]))-Table1[[#This Row],[Marketing_Spend]])/Table1[[#This Row],[Marketing_Spend]]</f>
        <v>194.28767449410236</v>
      </c>
    </row>
    <row r="147" spans="1:24" x14ac:dyDescent="0.3">
      <c r="A147" s="1" t="s">
        <v>915</v>
      </c>
      <c r="B147" s="1" t="s">
        <v>1592</v>
      </c>
      <c r="C147" s="1" t="s">
        <v>1634</v>
      </c>
      <c r="D147" s="1" t="s">
        <v>1636</v>
      </c>
      <c r="E147" s="1">
        <v>2024</v>
      </c>
      <c r="F147" s="1" t="s">
        <v>1639</v>
      </c>
      <c r="G147" s="1">
        <v>4083</v>
      </c>
      <c r="H147" s="1">
        <v>17401</v>
      </c>
      <c r="I147" s="1">
        <v>4316</v>
      </c>
      <c r="J147" s="1">
        <v>286994</v>
      </c>
      <c r="K147" s="1">
        <v>8.65</v>
      </c>
      <c r="L147" s="1">
        <v>7</v>
      </c>
      <c r="M147" s="1">
        <v>6.62</v>
      </c>
      <c r="N147" s="1">
        <v>22.73</v>
      </c>
      <c r="O147" s="1">
        <v>74.83</v>
      </c>
      <c r="P147" s="1">
        <v>4.7</v>
      </c>
      <c r="Q147" s="1">
        <v>9721</v>
      </c>
      <c r="R147" s="1">
        <v>495</v>
      </c>
      <c r="S147" s="1">
        <v>13</v>
      </c>
      <c r="T147" s="1">
        <f>(Table1[[#This Row],[Selling_Price_per_Unit]]-Table1[[#This Row],[Manufacturing_Cost_per_Unit]])*Table1[[#This Row],[Units_Sold]]-Table1[[#This Row],[Marketing_Spend]]-Table1[[#This Row],[Discount_%]]</f>
        <v>53139038.270000003</v>
      </c>
      <c r="U147" s="3">
        <f>Table1[[#This Row],[profit]]/(Table1[[#This Row],[Units_Sold]]*Table1[[#This Row],[Selling_Price_per_Unit]])*100</f>
        <v>74.792853572548694</v>
      </c>
      <c r="V147" s="6">
        <f>Table1[[#This Row],[Units_Sold]]*Table1[[#This Row],[Selling_Price_per_Unit]]</f>
        <v>71048283</v>
      </c>
      <c r="W147" s="7">
        <f>(Table1[[#This Row],[Units_Sold]]/$Z$1)</f>
        <v>0.81742592715679918</v>
      </c>
      <c r="X147" s="8">
        <f>((Table1[[#This Row],[Units_Sold]]*(Table1[[#This Row],[Selling_Price_per_Unit]]-Table1[[#This Row],[Manufacturing_Cost_per_Unit]]))-Table1[[#This Row],[Marketing_Spend]])/Table1[[#This Row],[Marketing_Spend]]</f>
        <v>185.15739353435961</v>
      </c>
    </row>
    <row r="148" spans="1:24" x14ac:dyDescent="0.3">
      <c r="A148" s="1" t="s">
        <v>165</v>
      </c>
      <c r="B148" s="1" t="s">
        <v>1154</v>
      </c>
      <c r="C148" s="1" t="s">
        <v>1634</v>
      </c>
      <c r="D148" s="1" t="s">
        <v>1636</v>
      </c>
      <c r="E148" s="1">
        <v>2023</v>
      </c>
      <c r="F148" s="1" t="s">
        <v>1641</v>
      </c>
      <c r="G148" s="1">
        <v>3798</v>
      </c>
      <c r="H148" s="1">
        <v>3262</v>
      </c>
      <c r="I148" s="1">
        <v>9351</v>
      </c>
      <c r="J148" s="1">
        <v>333456</v>
      </c>
      <c r="K148" s="1">
        <v>6.48</v>
      </c>
      <c r="L148" s="1">
        <v>4</v>
      </c>
      <c r="M148" s="1">
        <v>1.1599999999999999</v>
      </c>
      <c r="N148" s="1">
        <v>11.24</v>
      </c>
      <c r="O148" s="1">
        <v>77</v>
      </c>
      <c r="P148" s="1">
        <v>1.9</v>
      </c>
      <c r="Q148" s="1">
        <v>17031</v>
      </c>
      <c r="R148" s="1">
        <v>6449</v>
      </c>
      <c r="S148" s="1">
        <v>11</v>
      </c>
      <c r="T148" s="1">
        <f>(Table1[[#This Row],[Selling_Price_per_Unit]]-Table1[[#This Row],[Manufacturing_Cost_per_Unit]])*Table1[[#This Row],[Units_Sold]]-Table1[[#This Row],[Marketing_Spend]]-Table1[[#This Row],[Discount_%]]</f>
        <v>-23459489.239999998</v>
      </c>
      <c r="U148" s="3">
        <f>Table1[[#This Row],[profit]]/(Table1[[#This Row],[Units_Sold]]*Table1[[#This Row],[Selling_Price_per_Unit]])*100</f>
        <v>-189.35624609938625</v>
      </c>
      <c r="V148" s="6">
        <f>Table1[[#This Row],[Units_Sold]]*Table1[[#This Row],[Selling_Price_per_Unit]]</f>
        <v>12389076</v>
      </c>
      <c r="W148" s="7">
        <f>(Table1[[#This Row],[Units_Sold]]/$Z$1)</f>
        <v>0.76036827610617763</v>
      </c>
      <c r="X148" s="8">
        <f>((Table1[[#This Row],[Units_Sold]]*(Table1[[#This Row],[Selling_Price_per_Unit]]-Table1[[#This Row],[Manufacturing_Cost_per_Unit]]))-Table1[[#This Row],[Marketing_Spend]])/Table1[[#This Row],[Marketing_Spend]]</f>
        <v>-70.352544263710953</v>
      </c>
    </row>
    <row r="149" spans="1:24" x14ac:dyDescent="0.3">
      <c r="A149" s="1" t="s">
        <v>166</v>
      </c>
      <c r="B149" s="1" t="s">
        <v>1119</v>
      </c>
      <c r="C149" s="1" t="s">
        <v>1633</v>
      </c>
      <c r="D149" s="1" t="s">
        <v>1635</v>
      </c>
      <c r="E149" s="1">
        <v>2024</v>
      </c>
      <c r="F149" s="1" t="s">
        <v>1640</v>
      </c>
      <c r="G149" s="1">
        <v>4829</v>
      </c>
      <c r="H149" s="1">
        <v>17350</v>
      </c>
      <c r="I149" s="1">
        <v>14008</v>
      </c>
      <c r="J149" s="1">
        <v>274448</v>
      </c>
      <c r="K149" s="1">
        <v>14.71</v>
      </c>
      <c r="L149" s="1">
        <v>3</v>
      </c>
      <c r="M149" s="1">
        <v>7.06</v>
      </c>
      <c r="N149" s="1">
        <v>8.6300000000000008</v>
      </c>
      <c r="O149" s="1">
        <v>34.79</v>
      </c>
      <c r="P149" s="1">
        <v>4.5</v>
      </c>
      <c r="Q149" s="1">
        <v>18172</v>
      </c>
      <c r="R149" s="1">
        <v>2573</v>
      </c>
      <c r="S149" s="1">
        <v>12</v>
      </c>
      <c r="T149" s="1">
        <f>(Table1[[#This Row],[Selling_Price_per_Unit]]-Table1[[#This Row],[Manufacturing_Cost_per_Unit]])*Table1[[#This Row],[Units_Sold]]-Table1[[#This Row],[Marketing_Spend]]-Table1[[#This Row],[Discount_%]]</f>
        <v>15864061.369999999</v>
      </c>
      <c r="U149" s="3">
        <f>Table1[[#This Row],[profit]]/(Table1[[#This Row],[Units_Sold]]*Table1[[#This Row],[Selling_Price_per_Unit]])*100</f>
        <v>18.934668092569925</v>
      </c>
      <c r="V149" s="6">
        <f>Table1[[#This Row],[Units_Sold]]*Table1[[#This Row],[Selling_Price_per_Unit]]</f>
        <v>83783150</v>
      </c>
      <c r="W149" s="7">
        <f>(Table1[[#This Row],[Units_Sold]]/$Z$1)</f>
        <v>0.96677683131035597</v>
      </c>
      <c r="X149" s="8">
        <f>((Table1[[#This Row],[Units_Sold]]*(Table1[[#This Row],[Selling_Price_per_Unit]]-Table1[[#This Row],[Manufacturing_Cost_per_Unit]]))-Table1[[#This Row],[Marketing_Spend]])/Table1[[#This Row],[Marketing_Spend]]</f>
        <v>57.803554771760041</v>
      </c>
    </row>
    <row r="150" spans="1:24" hidden="1" x14ac:dyDescent="0.3">
      <c r="A150" s="1" t="s">
        <v>167</v>
      </c>
      <c r="B150" s="1" t="s">
        <v>1155</v>
      </c>
      <c r="C150" s="1" t="s">
        <v>1633</v>
      </c>
      <c r="D150" s="1" t="s">
        <v>1635</v>
      </c>
      <c r="E150" s="1">
        <v>2023</v>
      </c>
      <c r="F150" s="1" t="s">
        <v>1639</v>
      </c>
      <c r="G150" s="1">
        <v>713</v>
      </c>
      <c r="H150" s="1">
        <v>13612</v>
      </c>
      <c r="I150" s="1">
        <v>3176</v>
      </c>
      <c r="J150" s="1">
        <v>225251</v>
      </c>
      <c r="K150" s="1">
        <v>1.01</v>
      </c>
      <c r="L150" s="1">
        <v>12</v>
      </c>
      <c r="M150" s="1">
        <v>5.04</v>
      </c>
      <c r="N150" s="1">
        <v>4.32</v>
      </c>
      <c r="O150" s="1">
        <v>50.6</v>
      </c>
      <c r="P150" s="1">
        <v>1.1000000000000001</v>
      </c>
      <c r="Q150" s="1">
        <v>9479</v>
      </c>
      <c r="R150" s="1">
        <v>8208</v>
      </c>
      <c r="S150" s="1">
        <v>5</v>
      </c>
      <c r="T150" s="1">
        <f>(Table1[[#This Row],[Selling_Price_per_Unit]]-Table1[[#This Row],[Manufacturing_Cost_per_Unit]])*Table1[[#This Row],[Units_Sold]]-Table1[[#This Row],[Marketing_Spend]]-Table1[[#This Row],[Discount_%]]</f>
        <v>7215612.6799999997</v>
      </c>
      <c r="U150" s="3">
        <f>Table1[[#This Row],[profit]]/(Table1[[#This Row],[Units_Sold]]*Table1[[#This Row],[Selling_Price_per_Unit]])*100</f>
        <v>74.346707941470669</v>
      </c>
      <c r="V150" s="6">
        <f>Table1[[#This Row],[Units_Sold]]*Table1[[#This Row],[Selling_Price_per_Unit]]</f>
        <v>9705356</v>
      </c>
      <c r="W150" s="7">
        <f>(Table1[[#This Row],[Units_Sold]]/$Z$1)</f>
        <v>0.14274422876874793</v>
      </c>
      <c r="X150" s="8">
        <f>((Table1[[#This Row],[Units_Sold]]*(Table1[[#This Row],[Selling_Price_per_Unit]]-Table1[[#This Row],[Manufacturing_Cost_per_Unit]]))-Table1[[#This Row],[Marketing_Spend]])/Table1[[#This Row],[Marketing_Spend]]</f>
        <v>32.033673546399349</v>
      </c>
    </row>
    <row r="151" spans="1:24" hidden="1" x14ac:dyDescent="0.3">
      <c r="A151" s="1" t="s">
        <v>331</v>
      </c>
      <c r="B151" s="1" t="s">
        <v>1289</v>
      </c>
      <c r="C151" s="1" t="s">
        <v>1633</v>
      </c>
      <c r="D151" s="1" t="s">
        <v>1638</v>
      </c>
      <c r="E151" s="1">
        <v>2023</v>
      </c>
      <c r="F151" s="1" t="s">
        <v>1639</v>
      </c>
      <c r="G151" s="1">
        <v>3059</v>
      </c>
      <c r="H151" s="1">
        <v>18838</v>
      </c>
      <c r="I151" s="1">
        <v>1497</v>
      </c>
      <c r="J151" s="1">
        <v>122805</v>
      </c>
      <c r="K151" s="1">
        <v>2.91</v>
      </c>
      <c r="L151" s="1">
        <v>13</v>
      </c>
      <c r="M151" s="1">
        <v>7.89</v>
      </c>
      <c r="N151" s="1">
        <v>15.56</v>
      </c>
      <c r="O151" s="1">
        <v>23.34</v>
      </c>
      <c r="P151" s="1">
        <v>4.4000000000000004</v>
      </c>
      <c r="Q151" s="1">
        <v>8645</v>
      </c>
      <c r="R151" s="1">
        <v>5592</v>
      </c>
      <c r="S151" s="1">
        <v>6</v>
      </c>
      <c r="T151" s="1">
        <f>(Table1[[#This Row],[Selling_Price_per_Unit]]-Table1[[#This Row],[Manufacturing_Cost_per_Unit]])*Table1[[#This Row],[Units_Sold]]-Table1[[#This Row],[Marketing_Spend]]-Table1[[#This Row],[Discount_%]]</f>
        <v>52923298.439999998</v>
      </c>
      <c r="U151" s="3">
        <f>Table1[[#This Row],[profit]]/(Table1[[#This Row],[Units_Sold]]*Table1[[#This Row],[Selling_Price_per_Unit]])*100</f>
        <v>91.840160531870623</v>
      </c>
      <c r="V151" s="6">
        <f>Table1[[#This Row],[Units_Sold]]*Table1[[#This Row],[Selling_Price_per_Unit]]</f>
        <v>57625442</v>
      </c>
      <c r="W151" s="7">
        <f>(Table1[[#This Row],[Units_Sold]]/$Z$1)</f>
        <v>0.61241878794333793</v>
      </c>
      <c r="X151" s="8">
        <f>((Table1[[#This Row],[Units_Sold]]*(Table1[[#This Row],[Selling_Price_per_Unit]]-Table1[[#This Row],[Manufacturing_Cost_per_Unit]]))-Table1[[#This Row],[Marketing_Spend]])/Table1[[#This Row],[Marketing_Spend]]</f>
        <v>430.95406538821709</v>
      </c>
    </row>
    <row r="152" spans="1:24" hidden="1" x14ac:dyDescent="0.3">
      <c r="A152" s="1" t="s">
        <v>169</v>
      </c>
      <c r="B152" s="1" t="s">
        <v>1157</v>
      </c>
      <c r="C152" s="1" t="s">
        <v>1632</v>
      </c>
      <c r="D152" s="1" t="s">
        <v>1635</v>
      </c>
      <c r="E152" s="1">
        <v>2023</v>
      </c>
      <c r="F152" s="1" t="s">
        <v>1641</v>
      </c>
      <c r="G152" s="1">
        <v>3495</v>
      </c>
      <c r="H152" s="1">
        <v>7622</v>
      </c>
      <c r="I152" s="1">
        <v>11985</v>
      </c>
      <c r="J152" s="1">
        <v>295404</v>
      </c>
      <c r="K152" s="1">
        <v>2.69</v>
      </c>
      <c r="L152" s="1">
        <v>1</v>
      </c>
      <c r="M152" s="1">
        <v>5.08</v>
      </c>
      <c r="N152" s="1">
        <v>22.05</v>
      </c>
      <c r="O152" s="1">
        <v>78.41</v>
      </c>
      <c r="P152" s="1">
        <v>1.5</v>
      </c>
      <c r="Q152" s="1">
        <v>15231</v>
      </c>
      <c r="R152" s="1">
        <v>6848</v>
      </c>
      <c r="S152" s="1">
        <v>14</v>
      </c>
      <c r="T152" s="1">
        <f>(Table1[[#This Row],[Selling_Price_per_Unit]]-Table1[[#This Row],[Manufacturing_Cost_per_Unit]])*Table1[[#This Row],[Units_Sold]]-Table1[[#This Row],[Marketing_Spend]]-Table1[[#This Row],[Discount_%]]</f>
        <v>-15544111.050000001</v>
      </c>
      <c r="U152" s="3">
        <f>Table1[[#This Row],[profit]]/(Table1[[#This Row],[Units_Sold]]*Table1[[#This Row],[Selling_Price_per_Unit]])*100</f>
        <v>-58.351196502556981</v>
      </c>
      <c r="V152" s="6">
        <f>Table1[[#This Row],[Units_Sold]]*Table1[[#This Row],[Selling_Price_per_Unit]]</f>
        <v>26638890</v>
      </c>
      <c r="W152" s="7">
        <f>(Table1[[#This Row],[Units_Sold]]/$Z$1)</f>
        <v>0.69970698393656949</v>
      </c>
      <c r="X152" s="8">
        <f>((Table1[[#This Row],[Units_Sold]]*(Table1[[#This Row],[Selling_Price_per_Unit]]-Table1[[#This Row],[Manufacturing_Cost_per_Unit]]))-Table1[[#This Row],[Marketing_Spend]])/Table1[[#This Row],[Marketing_Spend]]</f>
        <v>-52.619764796685217</v>
      </c>
    </row>
    <row r="153" spans="1:24" x14ac:dyDescent="0.3">
      <c r="A153" s="1" t="s">
        <v>170</v>
      </c>
      <c r="B153" s="1" t="s">
        <v>1158</v>
      </c>
      <c r="C153" s="1" t="s">
        <v>1634</v>
      </c>
      <c r="D153" s="1" t="s">
        <v>1636</v>
      </c>
      <c r="E153" s="1">
        <v>2024</v>
      </c>
      <c r="F153" s="1" t="s">
        <v>1642</v>
      </c>
      <c r="G153" s="1">
        <v>3793</v>
      </c>
      <c r="H153" s="1">
        <v>1981</v>
      </c>
      <c r="I153" s="1">
        <v>9954</v>
      </c>
      <c r="J153" s="1">
        <v>167961</v>
      </c>
      <c r="K153" s="1">
        <v>14.56</v>
      </c>
      <c r="L153" s="1">
        <v>12</v>
      </c>
      <c r="M153" s="1">
        <v>6.2</v>
      </c>
      <c r="N153" s="1">
        <v>23.98</v>
      </c>
      <c r="O153" s="1">
        <v>44.55</v>
      </c>
      <c r="P153" s="1">
        <v>3.6</v>
      </c>
      <c r="Q153" s="1">
        <v>13794</v>
      </c>
      <c r="R153" s="1">
        <v>4649</v>
      </c>
      <c r="S153" s="1">
        <v>11</v>
      </c>
      <c r="T153" s="1">
        <f>(Table1[[#This Row],[Selling_Price_per_Unit]]-Table1[[#This Row],[Manufacturing_Cost_per_Unit]])*Table1[[#This Row],[Units_Sold]]-Table1[[#This Row],[Marketing_Spend]]-Table1[[#This Row],[Discount_%]]</f>
        <v>-30409573.98</v>
      </c>
      <c r="U153" s="3">
        <f>Table1[[#This Row],[profit]]/(Table1[[#This Row],[Units_Sold]]*Table1[[#This Row],[Selling_Price_per_Unit]])*100</f>
        <v>-404.70914473152743</v>
      </c>
      <c r="V153" s="6">
        <f>Table1[[#This Row],[Units_Sold]]*Table1[[#This Row],[Selling_Price_per_Unit]]</f>
        <v>7513933</v>
      </c>
      <c r="W153" s="7">
        <f>(Table1[[#This Row],[Units_Sold]]/$Z$1)</f>
        <v>0.75936726468423688</v>
      </c>
      <c r="X153" s="8">
        <f>((Table1[[#This Row],[Units_Sold]]*(Table1[[#This Row],[Selling_Price_per_Unit]]-Table1[[#This Row],[Manufacturing_Cost_per_Unit]]))-Table1[[#This Row],[Marketing_Spend]])/Table1[[#This Row],[Marketing_Spend]]</f>
        <v>-181.05125594632088</v>
      </c>
    </row>
    <row r="154" spans="1:24" hidden="1" x14ac:dyDescent="0.3">
      <c r="A154" s="1" t="s">
        <v>171</v>
      </c>
      <c r="B154" s="1" t="s">
        <v>1159</v>
      </c>
      <c r="C154" s="1" t="s">
        <v>1634</v>
      </c>
      <c r="D154" s="1" t="s">
        <v>1636</v>
      </c>
      <c r="E154" s="1">
        <v>2024</v>
      </c>
      <c r="F154" s="1" t="s">
        <v>1639</v>
      </c>
      <c r="G154" s="1">
        <v>1545</v>
      </c>
      <c r="H154" s="1">
        <v>16036</v>
      </c>
      <c r="I154" s="1">
        <v>12624</v>
      </c>
      <c r="J154" s="1">
        <v>352523</v>
      </c>
      <c r="K154" s="1">
        <v>1.7</v>
      </c>
      <c r="L154" s="1">
        <v>10</v>
      </c>
      <c r="M154" s="1">
        <v>4.78</v>
      </c>
      <c r="N154" s="1">
        <v>4.8099999999999996</v>
      </c>
      <c r="O154" s="1">
        <v>40.89</v>
      </c>
      <c r="P154" s="1">
        <v>2</v>
      </c>
      <c r="Q154" s="1">
        <v>19067</v>
      </c>
      <c r="R154" s="1">
        <v>694</v>
      </c>
      <c r="S154" s="1">
        <v>7</v>
      </c>
      <c r="T154" s="1">
        <f>(Table1[[#This Row],[Selling_Price_per_Unit]]-Table1[[#This Row],[Manufacturing_Cost_per_Unit]])*Table1[[#This Row],[Units_Sold]]-Table1[[#This Row],[Marketing_Spend]]-Table1[[#This Row],[Discount_%]]</f>
        <v>4919012.1900000004</v>
      </c>
      <c r="U154" s="3">
        <f>Table1[[#This Row],[profit]]/(Table1[[#This Row],[Units_Sold]]*Table1[[#This Row],[Selling_Price_per_Unit]])*100</f>
        <v>19.854244575917779</v>
      </c>
      <c r="V154" s="6">
        <f>Table1[[#This Row],[Units_Sold]]*Table1[[#This Row],[Selling_Price_per_Unit]]</f>
        <v>24775620</v>
      </c>
      <c r="W154" s="7">
        <f>(Table1[[#This Row],[Units_Sold]]/$Z$1)</f>
        <v>0.30931252937968523</v>
      </c>
      <c r="X154" s="8">
        <f>((Table1[[#This Row],[Units_Sold]]*(Table1[[#This Row],[Selling_Price_per_Unit]]-Table1[[#This Row],[Manufacturing_Cost_per_Unit]]))-Table1[[#This Row],[Marketing_Spend]])/Table1[[#This Row],[Marketing_Spend]]</f>
        <v>13.953747698731714</v>
      </c>
    </row>
    <row r="155" spans="1:24" hidden="1" x14ac:dyDescent="0.3">
      <c r="A155" s="1" t="s">
        <v>172</v>
      </c>
      <c r="B155" s="1" t="s">
        <v>1160</v>
      </c>
      <c r="C155" s="1" t="s">
        <v>1632</v>
      </c>
      <c r="D155" s="1" t="s">
        <v>1635</v>
      </c>
      <c r="E155" s="1">
        <v>2023</v>
      </c>
      <c r="F155" s="1" t="s">
        <v>1640</v>
      </c>
      <c r="G155" s="1">
        <v>3354</v>
      </c>
      <c r="H155" s="1">
        <v>1653</v>
      </c>
      <c r="I155" s="1">
        <v>2627</v>
      </c>
      <c r="J155" s="1">
        <v>67297</v>
      </c>
      <c r="K155" s="1">
        <v>6.05</v>
      </c>
      <c r="L155" s="1">
        <v>3</v>
      </c>
      <c r="M155" s="1">
        <v>4.78</v>
      </c>
      <c r="N155" s="1">
        <v>17.93</v>
      </c>
      <c r="O155" s="1">
        <v>65.19</v>
      </c>
      <c r="P155" s="1">
        <v>4.3</v>
      </c>
      <c r="Q155" s="1">
        <v>15774</v>
      </c>
      <c r="R155" s="1">
        <v>5552</v>
      </c>
      <c r="S155" s="1">
        <v>12</v>
      </c>
      <c r="T155" s="1">
        <f>(Table1[[#This Row],[Selling_Price_per_Unit]]-Table1[[#This Row],[Manufacturing_Cost_per_Unit]])*Table1[[#This Row],[Units_Sold]]-Table1[[#This Row],[Marketing_Spend]]-Table1[[#This Row],[Discount_%]]</f>
        <v>-3334110.93</v>
      </c>
      <c r="U155" s="3">
        <f>Table1[[#This Row],[profit]]/(Table1[[#This Row],[Units_Sold]]*Table1[[#This Row],[Selling_Price_per_Unit]])*100</f>
        <v>-60.137328779353851</v>
      </c>
      <c r="V155" s="6">
        <f>Table1[[#This Row],[Units_Sold]]*Table1[[#This Row],[Selling_Price_per_Unit]]</f>
        <v>5544162</v>
      </c>
      <c r="W155" s="7">
        <f>(Table1[[#This Row],[Units_Sold]]/$Z$1)</f>
        <v>0.67147846183784088</v>
      </c>
      <c r="X155" s="8">
        <f>((Table1[[#This Row],[Units_Sold]]*(Table1[[#This Row],[Selling_Price_per_Unit]]-Table1[[#This Row],[Manufacturing_Cost_per_Unit]]))-Table1[[#This Row],[Marketing_Spend]])/Table1[[#This Row],[Marketing_Spend]]</f>
        <v>-49.542966254067792</v>
      </c>
    </row>
    <row r="156" spans="1:24" x14ac:dyDescent="0.3">
      <c r="A156" s="1" t="s">
        <v>173</v>
      </c>
      <c r="B156" s="1" t="s">
        <v>1149</v>
      </c>
      <c r="C156" s="1" t="s">
        <v>1632</v>
      </c>
      <c r="D156" s="1" t="s">
        <v>1638</v>
      </c>
      <c r="E156" s="1">
        <v>2024</v>
      </c>
      <c r="F156" s="1" t="s">
        <v>1641</v>
      </c>
      <c r="G156" s="1">
        <v>3813</v>
      </c>
      <c r="H156" s="1">
        <v>9117</v>
      </c>
      <c r="I156" s="1">
        <v>7779</v>
      </c>
      <c r="J156" s="1">
        <v>314155</v>
      </c>
      <c r="K156" s="1">
        <v>11.07</v>
      </c>
      <c r="L156" s="1">
        <v>19</v>
      </c>
      <c r="M156" s="1">
        <v>7.68</v>
      </c>
      <c r="N156" s="1">
        <v>16.61</v>
      </c>
      <c r="O156" s="1">
        <v>58.2</v>
      </c>
      <c r="P156" s="1">
        <v>3</v>
      </c>
      <c r="Q156" s="1">
        <v>19330</v>
      </c>
      <c r="R156" s="1">
        <v>606</v>
      </c>
      <c r="S156" s="1">
        <v>7</v>
      </c>
      <c r="T156" s="1">
        <f>(Table1[[#This Row],[Selling_Price_per_Unit]]-Table1[[#This Row],[Manufacturing_Cost_per_Unit]])*Table1[[#This Row],[Units_Sold]]-Table1[[#This Row],[Marketing_Spend]]-Table1[[#This Row],[Discount_%]]</f>
        <v>4787622.3899999997</v>
      </c>
      <c r="U156" s="3">
        <f>Table1[[#This Row],[profit]]/(Table1[[#This Row],[Units_Sold]]*Table1[[#This Row],[Selling_Price_per_Unit]])*100</f>
        <v>13.772130500020408</v>
      </c>
      <c r="V156" s="6">
        <f>Table1[[#This Row],[Units_Sold]]*Table1[[#This Row],[Selling_Price_per_Unit]]</f>
        <v>34763121</v>
      </c>
      <c r="W156" s="7">
        <f>(Table1[[#This Row],[Units_Sold]]/$Z$1)</f>
        <v>0.76337131037199979</v>
      </c>
      <c r="X156" s="8">
        <f>((Table1[[#This Row],[Units_Sold]]*(Table1[[#This Row],[Selling_Price_per_Unit]]-Table1[[#This Row],[Manufacturing_Cost_per_Unit]]))-Table1[[#This Row],[Marketing_Spend]])/Table1[[#This Row],[Marketing_Spend]]</f>
        <v>15.239735162578981</v>
      </c>
    </row>
    <row r="157" spans="1:24" hidden="1" x14ac:dyDescent="0.3">
      <c r="A157" s="1" t="s">
        <v>174</v>
      </c>
      <c r="B157" s="1" t="s">
        <v>1161</v>
      </c>
      <c r="C157" s="1" t="s">
        <v>1633</v>
      </c>
      <c r="D157" s="1" t="s">
        <v>1637</v>
      </c>
      <c r="E157" s="1">
        <v>2024</v>
      </c>
      <c r="F157" s="1" t="s">
        <v>1639</v>
      </c>
      <c r="G157" s="1">
        <v>1903</v>
      </c>
      <c r="H157" s="1">
        <v>3024</v>
      </c>
      <c r="I157" s="1">
        <v>10605</v>
      </c>
      <c r="J157" s="1">
        <v>170234</v>
      </c>
      <c r="K157" s="1">
        <v>10.57</v>
      </c>
      <c r="L157" s="1">
        <v>19</v>
      </c>
      <c r="M157" s="1">
        <v>6.29</v>
      </c>
      <c r="N157" s="1">
        <v>8.58</v>
      </c>
      <c r="O157" s="1">
        <v>18.579999999999998</v>
      </c>
      <c r="P157" s="1">
        <v>1.5</v>
      </c>
      <c r="Q157" s="1">
        <v>17848</v>
      </c>
      <c r="R157" s="1">
        <v>4989</v>
      </c>
      <c r="S157" s="1">
        <v>3</v>
      </c>
      <c r="T157" s="1">
        <f>(Table1[[#This Row],[Selling_Price_per_Unit]]-Table1[[#This Row],[Manufacturing_Cost_per_Unit]])*Table1[[#This Row],[Units_Sold]]-Table1[[#This Row],[Marketing_Spend]]-Table1[[#This Row],[Discount_%]]</f>
        <v>-14596885.58</v>
      </c>
      <c r="U157" s="3">
        <f>Table1[[#This Row],[profit]]/(Table1[[#This Row],[Units_Sold]]*Table1[[#This Row],[Selling_Price_per_Unit]])*100</f>
        <v>-253.65278125321478</v>
      </c>
      <c r="V157" s="6">
        <f>Table1[[#This Row],[Units_Sold]]*Table1[[#This Row],[Selling_Price_per_Unit]]</f>
        <v>5754672</v>
      </c>
      <c r="W157" s="7">
        <f>(Table1[[#This Row],[Units_Sold]]/$Z$1)</f>
        <v>0.38098494719064141</v>
      </c>
      <c r="X157" s="8">
        <f>((Table1[[#This Row],[Units_Sold]]*(Table1[[#This Row],[Selling_Price_per_Unit]]-Table1[[#This Row],[Manufacturing_Cost_per_Unit]]))-Table1[[#This Row],[Marketing_Spend]])/Table1[[#This Row],[Marketing_Spend]]</f>
        <v>-85.745955567043012</v>
      </c>
    </row>
    <row r="158" spans="1:24" x14ac:dyDescent="0.3">
      <c r="A158" s="1" t="s">
        <v>175</v>
      </c>
      <c r="B158" s="1" t="s">
        <v>1162</v>
      </c>
      <c r="C158" s="1" t="s">
        <v>1632</v>
      </c>
      <c r="D158" s="1" t="s">
        <v>1635</v>
      </c>
      <c r="E158" s="1">
        <v>2024</v>
      </c>
      <c r="F158" s="1" t="s">
        <v>1642</v>
      </c>
      <c r="G158" s="1">
        <v>4709</v>
      </c>
      <c r="H158" s="1">
        <v>3620</v>
      </c>
      <c r="I158" s="1">
        <v>10632</v>
      </c>
      <c r="J158" s="1">
        <v>94014</v>
      </c>
      <c r="K158" s="1">
        <v>6.34</v>
      </c>
      <c r="L158" s="1">
        <v>14</v>
      </c>
      <c r="M158" s="1">
        <v>6.33</v>
      </c>
      <c r="N158" s="1">
        <v>0.48</v>
      </c>
      <c r="O158" s="1">
        <v>50.65</v>
      </c>
      <c r="P158" s="1">
        <v>3.3</v>
      </c>
      <c r="Q158" s="1">
        <v>3403</v>
      </c>
      <c r="R158" s="1">
        <v>7737</v>
      </c>
      <c r="S158" s="1">
        <v>9</v>
      </c>
      <c r="T158" s="1">
        <f>(Table1[[#This Row],[Selling_Price_per_Unit]]-Table1[[#This Row],[Manufacturing_Cost_per_Unit]])*Table1[[#This Row],[Units_Sold]]-Table1[[#This Row],[Marketing_Spend]]-Table1[[#This Row],[Discount_%]]</f>
        <v>-33113522.48</v>
      </c>
      <c r="U158" s="3">
        <f>Table1[[#This Row],[profit]]/(Table1[[#This Row],[Units_Sold]]*Table1[[#This Row],[Selling_Price_per_Unit]])*100</f>
        <v>-194.25317265985319</v>
      </c>
      <c r="V158" s="6">
        <f>Table1[[#This Row],[Units_Sold]]*Table1[[#This Row],[Selling_Price_per_Unit]]</f>
        <v>17046580</v>
      </c>
      <c r="W158" s="7">
        <f>(Table1[[#This Row],[Units_Sold]]/$Z$1)</f>
        <v>0.94275255718377848</v>
      </c>
      <c r="X158" s="8">
        <f>((Table1[[#This Row],[Units_Sold]]*(Table1[[#This Row],[Selling_Price_per_Unit]]-Table1[[#This Row],[Manufacturing_Cost_per_Unit]]))-Table1[[#This Row],[Marketing_Spend]])/Table1[[#This Row],[Marketing_Spend]]</f>
        <v>-352.2190524815453</v>
      </c>
    </row>
    <row r="159" spans="1:24" hidden="1" x14ac:dyDescent="0.3">
      <c r="A159" s="1" t="s">
        <v>176</v>
      </c>
      <c r="B159" s="1" t="s">
        <v>1163</v>
      </c>
      <c r="C159" s="1" t="s">
        <v>1633</v>
      </c>
      <c r="D159" s="1" t="s">
        <v>1638</v>
      </c>
      <c r="E159" s="1">
        <v>2024</v>
      </c>
      <c r="F159" s="1" t="s">
        <v>1639</v>
      </c>
      <c r="G159" s="1">
        <v>1341</v>
      </c>
      <c r="H159" s="1">
        <v>16548</v>
      </c>
      <c r="I159" s="1">
        <v>11208</v>
      </c>
      <c r="J159" s="1">
        <v>293166</v>
      </c>
      <c r="K159" s="1">
        <v>5.2</v>
      </c>
      <c r="L159" s="1">
        <v>3</v>
      </c>
      <c r="M159" s="1">
        <v>4.5</v>
      </c>
      <c r="N159" s="1">
        <v>17.239999999999998</v>
      </c>
      <c r="O159" s="1">
        <v>68.84</v>
      </c>
      <c r="P159" s="1">
        <v>2.6</v>
      </c>
      <c r="Q159" s="1">
        <v>16051</v>
      </c>
      <c r="R159" s="1">
        <v>8312</v>
      </c>
      <c r="S159" s="1">
        <v>9</v>
      </c>
      <c r="T159" s="1">
        <f>(Table1[[#This Row],[Selling_Price_per_Unit]]-Table1[[#This Row],[Manufacturing_Cost_per_Unit]])*Table1[[#This Row],[Units_Sold]]-Table1[[#This Row],[Marketing_Spend]]-Table1[[#This Row],[Discount_%]]</f>
        <v>6867756.7599999998</v>
      </c>
      <c r="U159" s="3">
        <f>Table1[[#This Row],[profit]]/(Table1[[#This Row],[Units_Sold]]*Table1[[#This Row],[Selling_Price_per_Unit]])*100</f>
        <v>30.948571998175105</v>
      </c>
      <c r="V159" s="6">
        <f>Table1[[#This Row],[Units_Sold]]*Table1[[#This Row],[Selling_Price_per_Unit]]</f>
        <v>22190868</v>
      </c>
      <c r="W159" s="7">
        <f>(Table1[[#This Row],[Units_Sold]]/$Z$1)</f>
        <v>0.2684712633645035</v>
      </c>
      <c r="X159" s="8">
        <f>((Table1[[#This Row],[Units_Sold]]*(Table1[[#This Row],[Selling_Price_per_Unit]]-Table1[[#This Row],[Manufacturing_Cost_per_Unit]]))-Table1[[#This Row],[Marketing_Spend]])/Table1[[#This Row],[Marketing_Spend]]</f>
        <v>23.42622950819672</v>
      </c>
    </row>
    <row r="160" spans="1:24" hidden="1" x14ac:dyDescent="0.3">
      <c r="A160" s="1" t="s">
        <v>177</v>
      </c>
      <c r="B160" s="1" t="s">
        <v>1164</v>
      </c>
      <c r="C160" s="1" t="s">
        <v>1633</v>
      </c>
      <c r="D160" s="1" t="s">
        <v>1637</v>
      </c>
      <c r="E160" s="1">
        <v>2024</v>
      </c>
      <c r="F160" s="1" t="s">
        <v>1642</v>
      </c>
      <c r="G160" s="1">
        <v>3631</v>
      </c>
      <c r="H160" s="1">
        <v>3843</v>
      </c>
      <c r="I160" s="1">
        <v>13304</v>
      </c>
      <c r="J160" s="1">
        <v>454954</v>
      </c>
      <c r="K160" s="1">
        <v>5.96</v>
      </c>
      <c r="L160" s="1">
        <v>8</v>
      </c>
      <c r="M160" s="1">
        <v>5.31</v>
      </c>
      <c r="N160" s="1">
        <v>23.64</v>
      </c>
      <c r="O160" s="1">
        <v>89.37</v>
      </c>
      <c r="P160" s="1">
        <v>3.6</v>
      </c>
      <c r="Q160" s="1">
        <v>16641</v>
      </c>
      <c r="R160" s="1">
        <v>1499</v>
      </c>
      <c r="S160" s="1">
        <v>12</v>
      </c>
      <c r="T160" s="1">
        <f>(Table1[[#This Row],[Selling_Price_per_Unit]]-Table1[[#This Row],[Manufacturing_Cost_per_Unit]])*Table1[[#This Row],[Units_Sold]]-Table1[[#This Row],[Marketing_Spend]]-Table1[[#This Row],[Discount_%]]</f>
        <v>-34807868.640000001</v>
      </c>
      <c r="U160" s="3">
        <f>Table1[[#This Row],[profit]]/(Table1[[#This Row],[Units_Sold]]*Table1[[#This Row],[Selling_Price_per_Unit]])*100</f>
        <v>-249.448443245356</v>
      </c>
      <c r="V160" s="6">
        <f>Table1[[#This Row],[Units_Sold]]*Table1[[#This Row],[Selling_Price_per_Unit]]</f>
        <v>13953933</v>
      </c>
      <c r="W160" s="7">
        <f>(Table1[[#This Row],[Units_Sold]]/$Z$1)</f>
        <v>0.72693449461335724</v>
      </c>
      <c r="X160" s="8">
        <f>((Table1[[#This Row],[Units_Sold]]*(Table1[[#This Row],[Selling_Price_per_Unit]]-Table1[[#This Row],[Manufacturing_Cost_per_Unit]]))-Table1[[#This Row],[Marketing_Spend]])/Table1[[#This Row],[Marketing_Spend]]</f>
        <v>-76.508493166342092</v>
      </c>
    </row>
    <row r="161" spans="1:24" hidden="1" x14ac:dyDescent="0.3">
      <c r="A161" s="1" t="s">
        <v>178</v>
      </c>
      <c r="B161" s="1" t="s">
        <v>1165</v>
      </c>
      <c r="C161" s="1" t="s">
        <v>1632</v>
      </c>
      <c r="D161" s="1" t="s">
        <v>1637</v>
      </c>
      <c r="E161" s="1">
        <v>2024</v>
      </c>
      <c r="F161" s="1" t="s">
        <v>1639</v>
      </c>
      <c r="G161" s="1">
        <v>3507</v>
      </c>
      <c r="H161" s="1">
        <v>6636</v>
      </c>
      <c r="I161" s="1">
        <v>9369</v>
      </c>
      <c r="J161" s="1">
        <v>406477</v>
      </c>
      <c r="K161" s="1">
        <v>3.96</v>
      </c>
      <c r="L161" s="1">
        <v>6</v>
      </c>
      <c r="M161" s="1">
        <v>7.46</v>
      </c>
      <c r="N161" s="1">
        <v>15.8</v>
      </c>
      <c r="O161" s="1">
        <v>60.33</v>
      </c>
      <c r="P161" s="1">
        <v>4.5</v>
      </c>
      <c r="Q161" s="1">
        <v>3877</v>
      </c>
      <c r="R161" s="1">
        <v>3301</v>
      </c>
      <c r="S161" s="1">
        <v>8</v>
      </c>
      <c r="T161" s="1">
        <f>(Table1[[#This Row],[Selling_Price_per_Unit]]-Table1[[#This Row],[Manufacturing_Cost_per_Unit]])*Table1[[#This Row],[Units_Sold]]-Table1[[#This Row],[Marketing_Spend]]-Table1[[#This Row],[Discount_%]]</f>
        <v>-9991123.8000000007</v>
      </c>
      <c r="U161" s="3">
        <f>Table1[[#This Row],[profit]]/(Table1[[#This Row],[Units_Sold]]*Table1[[#This Row],[Selling_Price_per_Unit]])*100</f>
        <v>-42.931117872753596</v>
      </c>
      <c r="V161" s="6">
        <f>Table1[[#This Row],[Units_Sold]]*Table1[[#This Row],[Selling_Price_per_Unit]]</f>
        <v>23272452</v>
      </c>
      <c r="W161" s="7">
        <f>(Table1[[#This Row],[Units_Sold]]/$Z$1)</f>
        <v>0.70210941134922722</v>
      </c>
      <c r="X161" s="8">
        <f>((Table1[[#This Row],[Units_Sold]]*(Table1[[#This Row],[Selling_Price_per_Unit]]-Table1[[#This Row],[Manufacturing_Cost_per_Unit]]))-Table1[[#This Row],[Marketing_Spend]])/Table1[[#This Row],[Marketing_Spend]]</f>
        <v>-24.579762200567313</v>
      </c>
    </row>
    <row r="162" spans="1:24" hidden="1" x14ac:dyDescent="0.3">
      <c r="A162" s="1" t="s">
        <v>179</v>
      </c>
      <c r="B162" s="1" t="s">
        <v>1085</v>
      </c>
      <c r="C162" s="1" t="s">
        <v>1633</v>
      </c>
      <c r="D162" s="1" t="s">
        <v>1638</v>
      </c>
      <c r="E162" s="1">
        <v>2023</v>
      </c>
      <c r="F162" s="1" t="s">
        <v>1639</v>
      </c>
      <c r="G162" s="1">
        <v>1686</v>
      </c>
      <c r="H162" s="1">
        <v>2740</v>
      </c>
      <c r="I162" s="1">
        <v>13206</v>
      </c>
      <c r="J162" s="1">
        <v>228570</v>
      </c>
      <c r="K162" s="1">
        <v>3.08</v>
      </c>
      <c r="L162" s="1">
        <v>18</v>
      </c>
      <c r="M162" s="1">
        <v>8.26</v>
      </c>
      <c r="N162" s="1">
        <v>10.88</v>
      </c>
      <c r="O162" s="1">
        <v>39.619999999999997</v>
      </c>
      <c r="P162" s="1">
        <v>2.6</v>
      </c>
      <c r="Q162" s="1">
        <v>2347</v>
      </c>
      <c r="R162" s="1">
        <v>7954</v>
      </c>
      <c r="S162" s="1">
        <v>12</v>
      </c>
      <c r="T162" s="1">
        <f>(Table1[[#This Row],[Selling_Price_per_Unit]]-Table1[[#This Row],[Manufacturing_Cost_per_Unit]])*Table1[[#This Row],[Units_Sold]]-Table1[[#This Row],[Marketing_Spend]]-Table1[[#This Row],[Discount_%]]</f>
        <v>-17874256.879999999</v>
      </c>
      <c r="U162" s="3">
        <f>Table1[[#This Row],[profit]]/(Table1[[#This Row],[Units_Sold]]*Table1[[#This Row],[Selling_Price_per_Unit]])*100</f>
        <v>-386.91882657523092</v>
      </c>
      <c r="V162" s="6">
        <f>Table1[[#This Row],[Units_Sold]]*Table1[[#This Row],[Selling_Price_per_Unit]]</f>
        <v>4619640</v>
      </c>
      <c r="W162" s="7">
        <f>(Table1[[#This Row],[Units_Sold]]/$Z$1)</f>
        <v>0.33754105147841379</v>
      </c>
      <c r="X162" s="8">
        <f>((Table1[[#This Row],[Units_Sold]]*(Table1[[#This Row],[Selling_Price_per_Unit]]-Table1[[#This Row],[Manufacturing_Cost_per_Unit]]))-Table1[[#This Row],[Marketing_Spend]])/Table1[[#This Row],[Marketing_Spend]]</f>
        <v>-78.200315001968761</v>
      </c>
    </row>
    <row r="163" spans="1:24" x14ac:dyDescent="0.3">
      <c r="A163" s="1" t="s">
        <v>180</v>
      </c>
      <c r="B163" s="1" t="s">
        <v>1166</v>
      </c>
      <c r="C163" s="1" t="s">
        <v>1634</v>
      </c>
      <c r="D163" s="1" t="s">
        <v>1635</v>
      </c>
      <c r="E163" s="1">
        <v>2024</v>
      </c>
      <c r="F163" s="1" t="s">
        <v>1641</v>
      </c>
      <c r="G163" s="1">
        <v>3746</v>
      </c>
      <c r="H163" s="1">
        <v>1560</v>
      </c>
      <c r="I163" s="1">
        <v>5085</v>
      </c>
      <c r="J163" s="1">
        <v>308864</v>
      </c>
      <c r="K163" s="1">
        <v>7.25</v>
      </c>
      <c r="L163" s="1">
        <v>18</v>
      </c>
      <c r="M163" s="1">
        <v>6.97</v>
      </c>
      <c r="N163" s="1">
        <v>13.13</v>
      </c>
      <c r="O163" s="1">
        <v>28.09</v>
      </c>
      <c r="P163" s="1">
        <v>2.2000000000000002</v>
      </c>
      <c r="Q163" s="1">
        <v>15880</v>
      </c>
      <c r="R163" s="1">
        <v>6863</v>
      </c>
      <c r="S163" s="1">
        <v>10</v>
      </c>
      <c r="T163" s="1">
        <f>(Table1[[#This Row],[Selling_Price_per_Unit]]-Table1[[#This Row],[Manufacturing_Cost_per_Unit]])*Table1[[#This Row],[Units_Sold]]-Table1[[#This Row],[Marketing_Spend]]-Table1[[#This Row],[Discount_%]]</f>
        <v>-13513527.130000001</v>
      </c>
      <c r="U163" s="3">
        <f>Table1[[#This Row],[profit]]/(Table1[[#This Row],[Units_Sold]]*Table1[[#This Row],[Selling_Price_per_Unit]])*100</f>
        <v>-231.24712736320453</v>
      </c>
      <c r="V163" s="6">
        <f>Table1[[#This Row],[Units_Sold]]*Table1[[#This Row],[Selling_Price_per_Unit]]</f>
        <v>5843760</v>
      </c>
      <c r="W163" s="7">
        <f>(Table1[[#This Row],[Units_Sold]]/$Z$1)</f>
        <v>0.74995775731799408</v>
      </c>
      <c r="X163" s="8">
        <f>((Table1[[#This Row],[Units_Sold]]*(Table1[[#This Row],[Selling_Price_per_Unit]]-Table1[[#This Row],[Manufacturing_Cost_per_Unit]]))-Table1[[#This Row],[Marketing_Spend]])/Table1[[#This Row],[Marketing_Spend]]</f>
        <v>-43.752311697057607</v>
      </c>
    </row>
    <row r="164" spans="1:24" hidden="1" x14ac:dyDescent="0.3">
      <c r="A164" s="1" t="s">
        <v>181</v>
      </c>
      <c r="B164" s="1" t="s">
        <v>1167</v>
      </c>
      <c r="C164" s="1" t="s">
        <v>1634</v>
      </c>
      <c r="D164" s="1" t="s">
        <v>1637</v>
      </c>
      <c r="E164" s="1">
        <v>2023</v>
      </c>
      <c r="F164" s="1" t="s">
        <v>1640</v>
      </c>
      <c r="G164" s="1">
        <v>3049</v>
      </c>
      <c r="H164" s="1">
        <v>10630</v>
      </c>
      <c r="I164" s="1">
        <v>7710</v>
      </c>
      <c r="J164" s="1">
        <v>323264</v>
      </c>
      <c r="K164" s="1">
        <v>4.03</v>
      </c>
      <c r="L164" s="1">
        <v>5</v>
      </c>
      <c r="M164" s="1">
        <v>9.24</v>
      </c>
      <c r="N164" s="1">
        <v>4.99</v>
      </c>
      <c r="O164" s="1">
        <v>79.83</v>
      </c>
      <c r="P164" s="1">
        <v>1.1000000000000001</v>
      </c>
      <c r="Q164" s="1">
        <v>19123</v>
      </c>
      <c r="R164" s="1">
        <v>8062</v>
      </c>
      <c r="S164" s="1">
        <v>9</v>
      </c>
      <c r="T164" s="1">
        <f>(Table1[[#This Row],[Selling_Price_per_Unit]]-Table1[[#This Row],[Manufacturing_Cost_per_Unit]])*Table1[[#This Row],[Units_Sold]]-Table1[[#This Row],[Marketing_Spend]]-Table1[[#This Row],[Discount_%]]</f>
        <v>8579811.0099999998</v>
      </c>
      <c r="U164" s="3">
        <f>Table1[[#This Row],[profit]]/(Table1[[#This Row],[Units_Sold]]*Table1[[#This Row],[Selling_Price_per_Unit]])*100</f>
        <v>26.472016980722824</v>
      </c>
      <c r="V164" s="6">
        <f>Table1[[#This Row],[Units_Sold]]*Table1[[#This Row],[Selling_Price_per_Unit]]</f>
        <v>32410870</v>
      </c>
      <c r="W164" s="7">
        <f>(Table1[[#This Row],[Units_Sold]]/$Z$1)</f>
        <v>0.61041676509945642</v>
      </c>
      <c r="X164" s="8">
        <f>((Table1[[#This Row],[Units_Sold]]*(Table1[[#This Row],[Selling_Price_per_Unit]]-Table1[[#This Row],[Manufacturing_Cost_per_Unit]]))-Table1[[#This Row],[Marketing_Spend]])/Table1[[#This Row],[Marketing_Spend]]</f>
        <v>26.541204711938231</v>
      </c>
    </row>
    <row r="165" spans="1:24" x14ac:dyDescent="0.3">
      <c r="A165" s="1" t="s">
        <v>755</v>
      </c>
      <c r="B165" s="1" t="s">
        <v>1523</v>
      </c>
      <c r="C165" s="1" t="s">
        <v>1632</v>
      </c>
      <c r="D165" s="1" t="s">
        <v>1635</v>
      </c>
      <c r="E165" s="1">
        <v>2024</v>
      </c>
      <c r="F165" s="1" t="s">
        <v>1639</v>
      </c>
      <c r="G165" s="1">
        <v>4770</v>
      </c>
      <c r="H165" s="1">
        <v>14092</v>
      </c>
      <c r="I165" s="1">
        <v>3126</v>
      </c>
      <c r="J165" s="1">
        <v>259329</v>
      </c>
      <c r="K165" s="1">
        <v>0.01</v>
      </c>
      <c r="L165" s="1">
        <v>18</v>
      </c>
      <c r="M165" s="1">
        <v>2.78</v>
      </c>
      <c r="N165" s="1">
        <v>16.649999999999999</v>
      </c>
      <c r="O165" s="1">
        <v>51.64</v>
      </c>
      <c r="P165" s="1">
        <v>1.8</v>
      </c>
      <c r="Q165" s="1">
        <v>9963</v>
      </c>
      <c r="R165" s="1">
        <v>5449</v>
      </c>
      <c r="S165" s="1">
        <v>4</v>
      </c>
      <c r="T165" s="1">
        <f>(Table1[[#This Row],[Selling_Price_per_Unit]]-Table1[[#This Row],[Manufacturing_Cost_per_Unit]])*Table1[[#This Row],[Units_Sold]]-Table1[[#This Row],[Marketing_Spend]]-Table1[[#This Row],[Discount_%]]</f>
        <v>52048474.350000001</v>
      </c>
      <c r="U165" s="3">
        <f>Table1[[#This Row],[profit]]/(Table1[[#This Row],[Units_Sold]]*Table1[[#This Row],[Selling_Price_per_Unit]])*100</f>
        <v>77.431378390344136</v>
      </c>
      <c r="V165" s="6">
        <f>Table1[[#This Row],[Units_Sold]]*Table1[[#This Row],[Selling_Price_per_Unit]]</f>
        <v>67218840</v>
      </c>
      <c r="W165" s="7">
        <f>(Table1[[#This Row],[Units_Sold]]/$Z$1)</f>
        <v>0.95496489653145533</v>
      </c>
      <c r="X165" s="8">
        <f>((Table1[[#This Row],[Units_Sold]]*(Table1[[#This Row],[Selling_Price_per_Unit]]-Table1[[#This Row],[Manufacturing_Cost_per_Unit]]))-Table1[[#This Row],[Marketing_Spend]])/Table1[[#This Row],[Marketing_Spend]]</f>
        <v>200.704475781729</v>
      </c>
    </row>
    <row r="166" spans="1:24" hidden="1" x14ac:dyDescent="0.3">
      <c r="A166" s="1" t="s">
        <v>183</v>
      </c>
      <c r="B166" s="1" t="s">
        <v>1169</v>
      </c>
      <c r="C166" s="1" t="s">
        <v>1633</v>
      </c>
      <c r="D166" s="1" t="s">
        <v>1638</v>
      </c>
      <c r="E166" s="1">
        <v>2023</v>
      </c>
      <c r="F166" s="1" t="s">
        <v>1639</v>
      </c>
      <c r="G166" s="1">
        <v>748</v>
      </c>
      <c r="H166" s="1">
        <v>13812</v>
      </c>
      <c r="I166" s="1">
        <v>14889</v>
      </c>
      <c r="J166" s="1">
        <v>334996</v>
      </c>
      <c r="K166" s="1">
        <v>9.85</v>
      </c>
      <c r="L166" s="1">
        <v>19</v>
      </c>
      <c r="M166" s="1">
        <v>5.62</v>
      </c>
      <c r="N166" s="1">
        <v>18.66</v>
      </c>
      <c r="O166" s="1">
        <v>28.71</v>
      </c>
      <c r="P166" s="1">
        <v>2.6</v>
      </c>
      <c r="Q166" s="1">
        <v>16731</v>
      </c>
      <c r="R166" s="1">
        <v>5781</v>
      </c>
      <c r="S166" s="1">
        <v>10</v>
      </c>
      <c r="T166" s="1">
        <f>(Table1[[#This Row],[Selling_Price_per_Unit]]-Table1[[#This Row],[Manufacturing_Cost_per_Unit]])*Table1[[#This Row],[Units_Sold]]-Table1[[#This Row],[Marketing_Spend]]-Table1[[#This Row],[Discount_%]]</f>
        <v>-1140610.6599999999</v>
      </c>
      <c r="U166" s="3">
        <f>Table1[[#This Row],[profit]]/(Table1[[#This Row],[Units_Sold]]*Table1[[#This Row],[Selling_Price_per_Unit]])*100</f>
        <v>-11.040258916140502</v>
      </c>
      <c r="V166" s="6">
        <f>Table1[[#This Row],[Units_Sold]]*Table1[[#This Row],[Selling_Price_per_Unit]]</f>
        <v>10331376</v>
      </c>
      <c r="W166" s="7">
        <f>(Table1[[#This Row],[Units_Sold]]/$Z$1)</f>
        <v>0.14975130872233303</v>
      </c>
      <c r="X166" s="8">
        <f>((Table1[[#This Row],[Units_Sold]]*(Table1[[#This Row],[Selling_Price_per_Unit]]-Table1[[#This Row],[Manufacturing_Cost_per_Unit]]))-Table1[[#This Row],[Marketing_Spend]])/Table1[[#This Row],[Marketing_Spend]]</f>
        <v>-3.4047928930494691</v>
      </c>
    </row>
    <row r="167" spans="1:24" x14ac:dyDescent="0.3">
      <c r="A167" s="1" t="s">
        <v>641</v>
      </c>
      <c r="B167" s="1" t="s">
        <v>1426</v>
      </c>
      <c r="C167" s="1" t="s">
        <v>1634</v>
      </c>
      <c r="D167" s="1" t="s">
        <v>1637</v>
      </c>
      <c r="E167" s="1">
        <v>2024</v>
      </c>
      <c r="F167" s="1" t="s">
        <v>1639</v>
      </c>
      <c r="G167" s="1">
        <v>4834</v>
      </c>
      <c r="H167" s="1">
        <v>12052</v>
      </c>
      <c r="I167" s="1">
        <v>1275</v>
      </c>
      <c r="J167" s="1">
        <v>370427</v>
      </c>
      <c r="K167" s="1">
        <v>14.63</v>
      </c>
      <c r="L167" s="1">
        <v>16</v>
      </c>
      <c r="M167" s="1">
        <v>8.24</v>
      </c>
      <c r="N167" s="1">
        <v>9</v>
      </c>
      <c r="O167" s="1">
        <v>58.62</v>
      </c>
      <c r="P167" s="1">
        <v>2.4</v>
      </c>
      <c r="Q167" s="1">
        <v>10100</v>
      </c>
      <c r="R167" s="1">
        <v>9636</v>
      </c>
      <c r="S167" s="1">
        <v>10</v>
      </c>
      <c r="T167" s="1">
        <f>(Table1[[#This Row],[Selling_Price_per_Unit]]-Table1[[#This Row],[Manufacturing_Cost_per_Unit]])*Table1[[#This Row],[Units_Sold]]-Table1[[#This Row],[Marketing_Spend]]-Table1[[#This Row],[Discount_%]]</f>
        <v>51725582</v>
      </c>
      <c r="U167" s="3">
        <f>Table1[[#This Row],[profit]]/(Table1[[#This Row],[Units_Sold]]*Table1[[#This Row],[Selling_Price_per_Unit]])*100</f>
        <v>88.785003640959516</v>
      </c>
      <c r="V167" s="6">
        <f>Table1[[#This Row],[Units_Sold]]*Table1[[#This Row],[Selling_Price_per_Unit]]</f>
        <v>58259368</v>
      </c>
      <c r="W167" s="7">
        <f>(Table1[[#This Row],[Units_Sold]]/$Z$1)</f>
        <v>0.96777784273229661</v>
      </c>
      <c r="X167" s="8">
        <f>((Table1[[#This Row],[Units_Sold]]*(Table1[[#This Row],[Selling_Price_per_Unit]]-Table1[[#This Row],[Manufacturing_Cost_per_Unit]]))-Table1[[#This Row],[Marketing_Spend]])/Table1[[#This Row],[Marketing_Spend]]</f>
        <v>139.63774508877592</v>
      </c>
    </row>
    <row r="168" spans="1:24" x14ac:dyDescent="0.3">
      <c r="A168" s="1" t="s">
        <v>457</v>
      </c>
      <c r="B168" s="1" t="s">
        <v>1309</v>
      </c>
      <c r="C168" s="1" t="s">
        <v>1632</v>
      </c>
      <c r="D168" s="1" t="s">
        <v>1638</v>
      </c>
      <c r="E168" s="1">
        <v>2023</v>
      </c>
      <c r="F168" s="1" t="s">
        <v>1641</v>
      </c>
      <c r="G168" s="1">
        <v>4019</v>
      </c>
      <c r="H168" s="1">
        <v>18868</v>
      </c>
      <c r="I168" s="1">
        <v>5905</v>
      </c>
      <c r="J168" s="1">
        <v>401977</v>
      </c>
      <c r="K168" s="1">
        <v>2.1</v>
      </c>
      <c r="L168" s="1">
        <v>13</v>
      </c>
      <c r="M168" s="1">
        <v>0.11</v>
      </c>
      <c r="N168" s="1">
        <v>2.8</v>
      </c>
      <c r="O168" s="1">
        <v>88.73</v>
      </c>
      <c r="P168" s="1">
        <v>3.8</v>
      </c>
      <c r="Q168" s="1">
        <v>8320</v>
      </c>
      <c r="R168" s="1">
        <v>6717</v>
      </c>
      <c r="S168" s="1">
        <v>4</v>
      </c>
      <c r="T168" s="1">
        <f>(Table1[[#This Row],[Selling_Price_per_Unit]]-Table1[[#This Row],[Manufacturing_Cost_per_Unit]])*Table1[[#This Row],[Units_Sold]]-Table1[[#This Row],[Marketing_Spend]]-Table1[[#This Row],[Discount_%]]</f>
        <v>51696317.200000003</v>
      </c>
      <c r="U168" s="3">
        <f>Table1[[#This Row],[profit]]/(Table1[[#This Row],[Units_Sold]]*Table1[[#This Row],[Selling_Price_per_Unit]])*100</f>
        <v>68.173522070778603</v>
      </c>
      <c r="V168" s="6">
        <f>Table1[[#This Row],[Units_Sold]]*Table1[[#This Row],[Selling_Price_per_Unit]]</f>
        <v>75830492</v>
      </c>
      <c r="W168" s="7">
        <f>(Table1[[#This Row],[Units_Sold]]/$Z$1)</f>
        <v>0.8046129809559579</v>
      </c>
      <c r="X168" s="8">
        <f>((Table1[[#This Row],[Units_Sold]]*(Table1[[#This Row],[Selling_Price_per_Unit]]-Table1[[#This Row],[Manufacturing_Cost_per_Unit]]))-Table1[[#This Row],[Marketing_Spend]])/Table1[[#This Row],[Marketing_Spend]]</f>
        <v>128.60516895245252</v>
      </c>
    </row>
    <row r="169" spans="1:24" x14ac:dyDescent="0.3">
      <c r="A169" s="1" t="s">
        <v>186</v>
      </c>
      <c r="B169" s="1" t="s">
        <v>1172</v>
      </c>
      <c r="C169" s="1" t="s">
        <v>1632</v>
      </c>
      <c r="D169" s="1" t="s">
        <v>1637</v>
      </c>
      <c r="E169" s="1">
        <v>2024</v>
      </c>
      <c r="F169" s="1" t="s">
        <v>1639</v>
      </c>
      <c r="G169" s="1">
        <v>4787</v>
      </c>
      <c r="H169" s="1">
        <v>2752</v>
      </c>
      <c r="I169" s="1">
        <v>9643</v>
      </c>
      <c r="J169" s="1">
        <v>258559</v>
      </c>
      <c r="K169" s="1">
        <v>1.1499999999999999</v>
      </c>
      <c r="L169" s="1">
        <v>19</v>
      </c>
      <c r="M169" s="1">
        <v>6.19</v>
      </c>
      <c r="N169" s="1">
        <v>6.73</v>
      </c>
      <c r="O169" s="1">
        <v>35.200000000000003</v>
      </c>
      <c r="P169" s="1">
        <v>2.7</v>
      </c>
      <c r="Q169" s="1">
        <v>13814</v>
      </c>
      <c r="R169" s="1">
        <v>1767</v>
      </c>
      <c r="S169" s="1">
        <v>13</v>
      </c>
      <c r="T169" s="1">
        <f>(Table1[[#This Row],[Selling_Price_per_Unit]]-Table1[[#This Row],[Manufacturing_Cost_per_Unit]])*Table1[[#This Row],[Units_Sold]]-Table1[[#This Row],[Marketing_Spend]]-Table1[[#This Row],[Discount_%]]</f>
        <v>-33245782.73</v>
      </c>
      <c r="U169" s="3">
        <f>Table1[[#This Row],[profit]]/(Table1[[#This Row],[Units_Sold]]*Table1[[#This Row],[Selling_Price_per_Unit]])*100</f>
        <v>-252.36243273023837</v>
      </c>
      <c r="V169" s="6">
        <f>Table1[[#This Row],[Units_Sold]]*Table1[[#This Row],[Selling_Price_per_Unit]]</f>
        <v>13173824</v>
      </c>
      <c r="W169" s="7">
        <f>(Table1[[#This Row],[Units_Sold]]/$Z$1)</f>
        <v>0.95836833536605381</v>
      </c>
      <c r="X169" s="8">
        <f>((Table1[[#This Row],[Units_Sold]]*(Table1[[#This Row],[Selling_Price_per_Unit]]-Table1[[#This Row],[Manufacturing_Cost_per_Unit]]))-Table1[[#This Row],[Marketing_Spend]])/Table1[[#This Row],[Marketing_Spend]]</f>
        <v>-128.58100472232644</v>
      </c>
    </row>
    <row r="170" spans="1:24" hidden="1" x14ac:dyDescent="0.3">
      <c r="A170" s="1" t="s">
        <v>187</v>
      </c>
      <c r="B170" s="1" t="s">
        <v>1167</v>
      </c>
      <c r="C170" s="1" t="s">
        <v>1634</v>
      </c>
      <c r="D170" s="1" t="s">
        <v>1637</v>
      </c>
      <c r="E170" s="1">
        <v>2024</v>
      </c>
      <c r="F170" s="1" t="s">
        <v>1639</v>
      </c>
      <c r="G170" s="1">
        <v>904</v>
      </c>
      <c r="H170" s="1">
        <v>9863</v>
      </c>
      <c r="I170" s="1">
        <v>6778</v>
      </c>
      <c r="J170" s="1">
        <v>141575</v>
      </c>
      <c r="K170" s="1">
        <v>1.1299999999999999</v>
      </c>
      <c r="L170" s="1">
        <v>8</v>
      </c>
      <c r="M170" s="1">
        <v>8.25</v>
      </c>
      <c r="N170" s="1">
        <v>24.56</v>
      </c>
      <c r="O170" s="1">
        <v>34.51</v>
      </c>
      <c r="P170" s="1">
        <v>4.9000000000000004</v>
      </c>
      <c r="Q170" s="1">
        <v>12929</v>
      </c>
      <c r="R170" s="1">
        <v>1009</v>
      </c>
      <c r="S170" s="1">
        <v>8</v>
      </c>
      <c r="T170" s="1">
        <f>(Table1[[#This Row],[Selling_Price_per_Unit]]-Table1[[#This Row],[Manufacturing_Cost_per_Unit]])*Table1[[#This Row],[Units_Sold]]-Table1[[#This Row],[Marketing_Spend]]-Table1[[#This Row],[Discount_%]]</f>
        <v>2647240.44</v>
      </c>
      <c r="U170" s="3">
        <f>Table1[[#This Row],[profit]]/(Table1[[#This Row],[Units_Sold]]*Table1[[#This Row],[Selling_Price_per_Unit]])*100</f>
        <v>29.690391550076761</v>
      </c>
      <c r="V170" s="6">
        <f>Table1[[#This Row],[Units_Sold]]*Table1[[#This Row],[Selling_Price_per_Unit]]</f>
        <v>8916152</v>
      </c>
      <c r="W170" s="7">
        <f>(Table1[[#This Row],[Units_Sold]]/$Z$1)</f>
        <v>0.18098286508688377</v>
      </c>
      <c r="X170" s="8">
        <f>((Table1[[#This Row],[Units_Sold]]*(Table1[[#This Row],[Selling_Price_per_Unit]]-Table1[[#This Row],[Manufacturing_Cost_per_Unit]]))-Table1[[#This Row],[Marketing_Spend]])/Table1[[#This Row],[Marketing_Spend]]</f>
        <v>18.69867561363235</v>
      </c>
    </row>
    <row r="171" spans="1:24" hidden="1" x14ac:dyDescent="0.3">
      <c r="A171" s="1" t="s">
        <v>188</v>
      </c>
      <c r="B171" s="1" t="s">
        <v>1173</v>
      </c>
      <c r="C171" s="1" t="s">
        <v>1633</v>
      </c>
      <c r="D171" s="1" t="s">
        <v>1635</v>
      </c>
      <c r="E171" s="1">
        <v>2024</v>
      </c>
      <c r="F171" s="1" t="s">
        <v>1639</v>
      </c>
      <c r="G171" s="1">
        <v>3524</v>
      </c>
      <c r="H171" s="1">
        <v>11150</v>
      </c>
      <c r="I171" s="1">
        <v>6407</v>
      </c>
      <c r="J171" s="1">
        <v>145040</v>
      </c>
      <c r="K171" s="1">
        <v>14.27</v>
      </c>
      <c r="L171" s="1">
        <v>3</v>
      </c>
      <c r="M171" s="1">
        <v>6.89</v>
      </c>
      <c r="N171" s="1">
        <v>9.57</v>
      </c>
      <c r="O171" s="1">
        <v>22.18</v>
      </c>
      <c r="P171" s="1">
        <v>2.2000000000000002</v>
      </c>
      <c r="Q171" s="1">
        <v>3865</v>
      </c>
      <c r="R171" s="1">
        <v>8567</v>
      </c>
      <c r="S171" s="1">
        <v>4</v>
      </c>
      <c r="T171" s="1">
        <f>(Table1[[#This Row],[Selling_Price_per_Unit]]-Table1[[#This Row],[Manufacturing_Cost_per_Unit]])*Table1[[#This Row],[Units_Sold]]-Table1[[#This Row],[Marketing_Spend]]-Table1[[#This Row],[Discount_%]]</f>
        <v>16569282.43</v>
      </c>
      <c r="U171" s="3">
        <f>Table1[[#This Row],[profit]]/(Table1[[#This Row],[Units_Sold]]*Table1[[#This Row],[Selling_Price_per_Unit]])*100</f>
        <v>42.168964207000812</v>
      </c>
      <c r="V171" s="6">
        <f>Table1[[#This Row],[Units_Sold]]*Table1[[#This Row],[Selling_Price_per_Unit]]</f>
        <v>39292600</v>
      </c>
      <c r="W171" s="7">
        <f>(Table1[[#This Row],[Units_Sold]]/$Z$1)</f>
        <v>0.7055128501838257</v>
      </c>
      <c r="X171" s="8">
        <f>((Table1[[#This Row],[Units_Sold]]*(Table1[[#This Row],[Selling_Price_per_Unit]]-Table1[[#This Row],[Manufacturing_Cost_per_Unit]]))-Table1[[#This Row],[Marketing_Spend]])/Table1[[#This Row],[Marketing_Spend]]</f>
        <v>114.23946497517926</v>
      </c>
    </row>
    <row r="172" spans="1:24" x14ac:dyDescent="0.3">
      <c r="A172" s="1" t="s">
        <v>127</v>
      </c>
      <c r="B172" s="1" t="s">
        <v>1121</v>
      </c>
      <c r="C172" s="1" t="s">
        <v>1634</v>
      </c>
      <c r="D172" s="1" t="s">
        <v>1637</v>
      </c>
      <c r="E172" s="1">
        <v>2023</v>
      </c>
      <c r="F172" s="1" t="s">
        <v>1641</v>
      </c>
      <c r="G172" s="1">
        <v>4543</v>
      </c>
      <c r="H172" s="1">
        <v>19935</v>
      </c>
      <c r="I172" s="1">
        <v>8588</v>
      </c>
      <c r="J172" s="1">
        <v>150123</v>
      </c>
      <c r="K172" s="1">
        <v>4.3499999999999996</v>
      </c>
      <c r="L172" s="1">
        <v>7</v>
      </c>
      <c r="M172" s="1">
        <v>4.7699999999999996</v>
      </c>
      <c r="N172" s="1">
        <v>10.47</v>
      </c>
      <c r="O172" s="1">
        <v>75.94</v>
      </c>
      <c r="P172" s="1">
        <v>3</v>
      </c>
      <c r="Q172" s="1">
        <v>11855</v>
      </c>
      <c r="R172" s="1">
        <v>1074</v>
      </c>
      <c r="S172" s="1">
        <v>14</v>
      </c>
      <c r="T172" s="1">
        <f>(Table1[[#This Row],[Selling_Price_per_Unit]]-Table1[[#This Row],[Manufacturing_Cost_per_Unit]])*Table1[[#This Row],[Units_Sold]]-Table1[[#This Row],[Marketing_Spend]]-Table1[[#This Row],[Discount_%]]</f>
        <v>51399287.530000001</v>
      </c>
      <c r="U172" s="3">
        <f>Table1[[#This Row],[profit]]/(Table1[[#This Row],[Units_Sold]]*Table1[[#This Row],[Selling_Price_per_Unit]])*100</f>
        <v>56.754215154789058</v>
      </c>
      <c r="V172" s="6">
        <f>Table1[[#This Row],[Units_Sold]]*Table1[[#This Row],[Selling_Price_per_Unit]]</f>
        <v>90564705</v>
      </c>
      <c r="W172" s="7">
        <f>(Table1[[#This Row],[Units_Sold]]/$Z$1)</f>
        <v>0.9095189779753462</v>
      </c>
      <c r="X172" s="8">
        <f>((Table1[[#This Row],[Units_Sold]]*(Table1[[#This Row],[Selling_Price_per_Unit]]-Table1[[#This Row],[Manufacturing_Cost_per_Unit]]))-Table1[[#This Row],[Marketing_Spend]])/Table1[[#This Row],[Marketing_Spend]]</f>
        <v>342.38123405474175</v>
      </c>
    </row>
    <row r="173" spans="1:24" hidden="1" x14ac:dyDescent="0.3">
      <c r="A173" s="1" t="s">
        <v>190</v>
      </c>
      <c r="B173" s="1" t="s">
        <v>1175</v>
      </c>
      <c r="C173" s="1" t="s">
        <v>1633</v>
      </c>
      <c r="D173" s="1" t="s">
        <v>1637</v>
      </c>
      <c r="E173" s="1">
        <v>2023</v>
      </c>
      <c r="F173" s="1" t="s">
        <v>1642</v>
      </c>
      <c r="G173" s="1">
        <v>2827</v>
      </c>
      <c r="H173" s="1">
        <v>5590</v>
      </c>
      <c r="I173" s="1">
        <v>11413</v>
      </c>
      <c r="J173" s="1">
        <v>229587</v>
      </c>
      <c r="K173" s="1">
        <v>1.38</v>
      </c>
      <c r="L173" s="1">
        <v>17</v>
      </c>
      <c r="M173" s="1">
        <v>2.42</v>
      </c>
      <c r="N173" s="1">
        <v>8.7899999999999991</v>
      </c>
      <c r="O173" s="1">
        <v>44.2</v>
      </c>
      <c r="P173" s="1">
        <v>4.0999999999999996</v>
      </c>
      <c r="Q173" s="1">
        <v>12866</v>
      </c>
      <c r="R173" s="1">
        <v>8304</v>
      </c>
      <c r="S173" s="1">
        <v>8</v>
      </c>
      <c r="T173" s="1">
        <f>(Table1[[#This Row],[Selling_Price_per_Unit]]-Table1[[#This Row],[Manufacturing_Cost_per_Unit]])*Table1[[#This Row],[Units_Sold]]-Table1[[#This Row],[Marketing_Spend]]-Table1[[#This Row],[Discount_%]]</f>
        <v>-16691216.789999999</v>
      </c>
      <c r="U173" s="3">
        <f>Table1[[#This Row],[profit]]/(Table1[[#This Row],[Units_Sold]]*Table1[[#This Row],[Selling_Price_per_Unit]])*100</f>
        <v>-105.62102591101777</v>
      </c>
      <c r="V173" s="6">
        <f>Table1[[#This Row],[Units_Sold]]*Table1[[#This Row],[Selling_Price_per_Unit]]</f>
        <v>15802930</v>
      </c>
      <c r="W173" s="7">
        <f>(Table1[[#This Row],[Units_Sold]]/$Z$1)</f>
        <v>0.56597185796528804</v>
      </c>
      <c r="X173" s="8">
        <f>((Table1[[#This Row],[Units_Sold]]*(Table1[[#This Row],[Selling_Price_per_Unit]]-Table1[[#This Row],[Manufacturing_Cost_per_Unit]]))-Table1[[#This Row],[Marketing_Spend]])/Table1[[#This Row],[Marketing_Spend]]</f>
        <v>-72.70101530138902</v>
      </c>
    </row>
    <row r="174" spans="1:24" hidden="1" x14ac:dyDescent="0.3">
      <c r="A174" s="1" t="s">
        <v>191</v>
      </c>
      <c r="B174" s="1" t="s">
        <v>1160</v>
      </c>
      <c r="C174" s="1" t="s">
        <v>1632</v>
      </c>
      <c r="D174" s="1" t="s">
        <v>1636</v>
      </c>
      <c r="E174" s="1">
        <v>2024</v>
      </c>
      <c r="F174" s="1" t="s">
        <v>1640</v>
      </c>
      <c r="G174" s="1">
        <v>1783</v>
      </c>
      <c r="H174" s="1">
        <v>8460</v>
      </c>
      <c r="I174" s="1">
        <v>1580</v>
      </c>
      <c r="J174" s="1">
        <v>55744</v>
      </c>
      <c r="K174" s="1">
        <v>8.99</v>
      </c>
      <c r="L174" s="1">
        <v>4</v>
      </c>
      <c r="M174" s="1">
        <v>4.26</v>
      </c>
      <c r="N174" s="1">
        <v>11</v>
      </c>
      <c r="O174" s="1">
        <v>68.63</v>
      </c>
      <c r="P174" s="1">
        <v>4</v>
      </c>
      <c r="Q174" s="1">
        <v>6555</v>
      </c>
      <c r="R174" s="1">
        <v>5222</v>
      </c>
      <c r="S174" s="1">
        <v>10</v>
      </c>
      <c r="T174" s="1">
        <f>(Table1[[#This Row],[Selling_Price_per_Unit]]-Table1[[#This Row],[Manufacturing_Cost_per_Unit]])*Table1[[#This Row],[Units_Sold]]-Table1[[#This Row],[Marketing_Spend]]-Table1[[#This Row],[Discount_%]]</f>
        <v>12211285</v>
      </c>
      <c r="U174" s="3">
        <f>Table1[[#This Row],[profit]]/(Table1[[#This Row],[Units_Sold]]*Table1[[#This Row],[Selling_Price_per_Unit]])*100</f>
        <v>80.954251407766293</v>
      </c>
      <c r="V174" s="6">
        <f>Table1[[#This Row],[Units_Sold]]*Table1[[#This Row],[Selling_Price_per_Unit]]</f>
        <v>15084180</v>
      </c>
      <c r="W174" s="7">
        <f>(Table1[[#This Row],[Units_Sold]]/$Z$1)</f>
        <v>0.35696067306406393</v>
      </c>
      <c r="X174" s="8">
        <f>((Table1[[#This Row],[Units_Sold]]*(Table1[[#This Row],[Selling_Price_per_Unit]]-Table1[[#This Row],[Manufacturing_Cost_per_Unit]]))-Table1[[#This Row],[Marketing_Spend]])/Table1[[#This Row],[Marketing_Spend]]</f>
        <v>219.06027554535018</v>
      </c>
    </row>
    <row r="175" spans="1:24" x14ac:dyDescent="0.3">
      <c r="A175" s="1" t="s">
        <v>192</v>
      </c>
      <c r="B175" s="1" t="s">
        <v>1026</v>
      </c>
      <c r="C175" s="1" t="s">
        <v>1634</v>
      </c>
      <c r="D175" s="1" t="s">
        <v>1635</v>
      </c>
      <c r="E175" s="1">
        <v>2023</v>
      </c>
      <c r="F175" s="1" t="s">
        <v>1640</v>
      </c>
      <c r="G175" s="1">
        <v>4981</v>
      </c>
      <c r="H175" s="1">
        <v>4504</v>
      </c>
      <c r="I175" s="1">
        <v>10708</v>
      </c>
      <c r="J175" s="1">
        <v>264892</v>
      </c>
      <c r="K175" s="1">
        <v>9.35</v>
      </c>
      <c r="L175" s="1">
        <v>19</v>
      </c>
      <c r="M175" s="1">
        <v>9.68</v>
      </c>
      <c r="N175" s="1">
        <v>1.73</v>
      </c>
      <c r="O175" s="1">
        <v>36.9</v>
      </c>
      <c r="P175" s="1">
        <v>2.2999999999999998</v>
      </c>
      <c r="Q175" s="1">
        <v>7122</v>
      </c>
      <c r="R175" s="1">
        <v>8253</v>
      </c>
      <c r="S175" s="1">
        <v>11</v>
      </c>
      <c r="T175" s="1">
        <f>(Table1[[#This Row],[Selling_Price_per_Unit]]-Table1[[#This Row],[Manufacturing_Cost_per_Unit]])*Table1[[#This Row],[Units_Sold]]-Table1[[#This Row],[Marketing_Spend]]-Table1[[#This Row],[Discount_%]]</f>
        <v>-31167017.73</v>
      </c>
      <c r="U175" s="3">
        <f>Table1[[#This Row],[profit]]/(Table1[[#This Row],[Units_Sold]]*Table1[[#This Row],[Selling_Price_per_Unit]])*100</f>
        <v>-138.92497409338435</v>
      </c>
      <c r="V175" s="6">
        <f>Table1[[#This Row],[Units_Sold]]*Table1[[#This Row],[Selling_Price_per_Unit]]</f>
        <v>22434424</v>
      </c>
      <c r="W175" s="7">
        <f>(Table1[[#This Row],[Units_Sold]]/$Z$1)</f>
        <v>0.99720757853735409</v>
      </c>
      <c r="X175" s="8">
        <f>((Table1[[#This Row],[Units_Sold]]*(Table1[[#This Row],[Selling_Price_per_Unit]]-Table1[[#This Row],[Manufacturing_Cost_per_Unit]]))-Table1[[#This Row],[Marketing_Spend]])/Table1[[#This Row],[Marketing_Spend]]</f>
        <v>-117.65933286018453</v>
      </c>
    </row>
    <row r="176" spans="1:24" x14ac:dyDescent="0.3">
      <c r="A176" s="1" t="s">
        <v>699</v>
      </c>
      <c r="B176" s="1" t="s">
        <v>1497</v>
      </c>
      <c r="C176" s="1" t="s">
        <v>1633</v>
      </c>
      <c r="D176" s="1" t="s">
        <v>1636</v>
      </c>
      <c r="E176" s="1">
        <v>2024</v>
      </c>
      <c r="F176" s="1" t="s">
        <v>1642</v>
      </c>
      <c r="G176" s="1">
        <v>4394</v>
      </c>
      <c r="H176" s="1">
        <v>13873</v>
      </c>
      <c r="I176" s="1">
        <v>2329</v>
      </c>
      <c r="J176" s="1">
        <v>298552</v>
      </c>
      <c r="K176" s="1">
        <v>4.71</v>
      </c>
      <c r="L176" s="1">
        <v>12</v>
      </c>
      <c r="M176" s="1">
        <v>1.88</v>
      </c>
      <c r="N176" s="1">
        <v>2.66</v>
      </c>
      <c r="O176" s="1">
        <v>64.709999999999994</v>
      </c>
      <c r="P176" s="1">
        <v>2.4</v>
      </c>
      <c r="Q176" s="1">
        <v>20204</v>
      </c>
      <c r="R176" s="1">
        <v>4337</v>
      </c>
      <c r="S176" s="1">
        <v>3</v>
      </c>
      <c r="T176" s="1">
        <f>(Table1[[#This Row],[Selling_Price_per_Unit]]-Table1[[#This Row],[Manufacturing_Cost_per_Unit]])*Table1[[#This Row],[Units_Sold]]-Table1[[#This Row],[Marketing_Spend]]-Table1[[#This Row],[Discount_%]]</f>
        <v>50425781.340000004</v>
      </c>
      <c r="U176" s="3">
        <f>Table1[[#This Row],[profit]]/(Table1[[#This Row],[Units_Sold]]*Table1[[#This Row],[Selling_Price_per_Unit]])*100</f>
        <v>82.72222312812886</v>
      </c>
      <c r="V176" s="6">
        <f>Table1[[#This Row],[Units_Sold]]*Table1[[#This Row],[Selling_Price_per_Unit]]</f>
        <v>60957962</v>
      </c>
      <c r="W176" s="7">
        <f>(Table1[[#This Row],[Units_Sold]]/$Z$1)</f>
        <v>0.87968883760151251</v>
      </c>
      <c r="X176" s="8">
        <f>((Table1[[#This Row],[Units_Sold]]*(Table1[[#This Row],[Selling_Price_per_Unit]]-Table1[[#This Row],[Manufacturing_Cost_per_Unit]]))-Table1[[#This Row],[Marketing_Spend]])/Table1[[#This Row],[Marketing_Spend]]</f>
        <v>168.90117634448941</v>
      </c>
    </row>
    <row r="177" spans="1:24" hidden="1" x14ac:dyDescent="0.3">
      <c r="A177" s="1" t="s">
        <v>194</v>
      </c>
      <c r="B177" s="1" t="s">
        <v>1177</v>
      </c>
      <c r="C177" s="1" t="s">
        <v>1633</v>
      </c>
      <c r="D177" s="1" t="s">
        <v>1635</v>
      </c>
      <c r="E177" s="1">
        <v>2023</v>
      </c>
      <c r="F177" s="1" t="s">
        <v>1641</v>
      </c>
      <c r="G177" s="1">
        <v>252</v>
      </c>
      <c r="H177" s="1">
        <v>5140</v>
      </c>
      <c r="I177" s="1">
        <v>4783</v>
      </c>
      <c r="J177" s="1">
        <v>450285</v>
      </c>
      <c r="K177" s="1">
        <v>4.01</v>
      </c>
      <c r="L177" s="1">
        <v>4</v>
      </c>
      <c r="M177" s="1">
        <v>5.64</v>
      </c>
      <c r="N177" s="1">
        <v>14.94</v>
      </c>
      <c r="O177" s="1">
        <v>32.79</v>
      </c>
      <c r="P177" s="1">
        <v>4.5</v>
      </c>
      <c r="Q177" s="1">
        <v>9283</v>
      </c>
      <c r="R177" s="1">
        <v>4370</v>
      </c>
      <c r="S177" s="1">
        <v>3</v>
      </c>
      <c r="T177" s="1">
        <f>(Table1[[#This Row],[Selling_Price_per_Unit]]-Table1[[#This Row],[Manufacturing_Cost_per_Unit]])*Table1[[#This Row],[Units_Sold]]-Table1[[#This Row],[Marketing_Spend]]-Table1[[#This Row],[Discount_%]]</f>
        <v>-360335.94</v>
      </c>
      <c r="U177" s="3">
        <f>Table1[[#This Row],[profit]]/(Table1[[#This Row],[Units_Sold]]*Table1[[#This Row],[Selling_Price_per_Unit]])*100</f>
        <v>-27.819154159718362</v>
      </c>
      <c r="V177" s="6">
        <f>Table1[[#This Row],[Units_Sold]]*Table1[[#This Row],[Selling_Price_per_Unit]]</f>
        <v>1295280</v>
      </c>
      <c r="W177" s="7">
        <f>(Table1[[#This Row],[Units_Sold]]/$Z$1)</f>
        <v>5.0450975665812733E-2</v>
      </c>
      <c r="X177" s="8">
        <f>((Table1[[#This Row],[Units_Sold]]*(Table1[[#This Row],[Selling_Price_per_Unit]]-Table1[[#This Row],[Manufacturing_Cost_per_Unit]]))-Table1[[#This Row],[Marketing_Spend]])/Table1[[#This Row],[Marketing_Spend]]</f>
        <v>-0.80020653586062163</v>
      </c>
    </row>
    <row r="178" spans="1:24" hidden="1" x14ac:dyDescent="0.3">
      <c r="A178" s="1" t="s">
        <v>195</v>
      </c>
      <c r="B178" s="1" t="s">
        <v>1178</v>
      </c>
      <c r="C178" s="1" t="s">
        <v>1634</v>
      </c>
      <c r="D178" s="1" t="s">
        <v>1635</v>
      </c>
      <c r="E178" s="1">
        <v>2024</v>
      </c>
      <c r="F178" s="1" t="s">
        <v>1642</v>
      </c>
      <c r="G178" s="1">
        <v>3305</v>
      </c>
      <c r="H178" s="1">
        <v>2841</v>
      </c>
      <c r="I178" s="1">
        <v>10303</v>
      </c>
      <c r="J178" s="1">
        <v>354503</v>
      </c>
      <c r="K178" s="1">
        <v>0.23</v>
      </c>
      <c r="L178" s="1">
        <v>3</v>
      </c>
      <c r="M178" s="1">
        <v>9.33</v>
      </c>
      <c r="N178" s="1">
        <v>18.47</v>
      </c>
      <c r="O178" s="1">
        <v>48.26</v>
      </c>
      <c r="P178" s="1">
        <v>1.1000000000000001</v>
      </c>
      <c r="Q178" s="1">
        <v>3449</v>
      </c>
      <c r="R178" s="1">
        <v>1508</v>
      </c>
      <c r="S178" s="1">
        <v>14</v>
      </c>
      <c r="T178" s="1">
        <f>(Table1[[#This Row],[Selling_Price_per_Unit]]-Table1[[#This Row],[Manufacturing_Cost_per_Unit]])*Table1[[#This Row],[Units_Sold]]-Table1[[#This Row],[Marketing_Spend]]-Table1[[#This Row],[Discount_%]]</f>
        <v>-25016431.469999999</v>
      </c>
      <c r="U178" s="3">
        <f>Table1[[#This Row],[profit]]/(Table1[[#This Row],[Units_Sold]]*Table1[[#This Row],[Selling_Price_per_Unit]])*100</f>
        <v>-266.42971562398657</v>
      </c>
      <c r="V178" s="6">
        <f>Table1[[#This Row],[Units_Sold]]*Table1[[#This Row],[Selling_Price_per_Unit]]</f>
        <v>9389505</v>
      </c>
      <c r="W178" s="7">
        <f>(Table1[[#This Row],[Units_Sold]]/$Z$1)</f>
        <v>0.66166854990282176</v>
      </c>
      <c r="X178" s="8">
        <f>((Table1[[#This Row],[Units_Sold]]*(Table1[[#This Row],[Selling_Price_per_Unit]]-Table1[[#This Row],[Manufacturing_Cost_per_Unit]]))-Table1[[#This Row],[Marketing_Spend]])/Table1[[#This Row],[Marketing_Spend]]</f>
        <v>-70.567563603128889</v>
      </c>
    </row>
    <row r="179" spans="1:24" x14ac:dyDescent="0.3">
      <c r="A179" s="1" t="s">
        <v>196</v>
      </c>
      <c r="B179" s="1" t="s">
        <v>1179</v>
      </c>
      <c r="C179" s="1" t="s">
        <v>1632</v>
      </c>
      <c r="D179" s="1" t="s">
        <v>1638</v>
      </c>
      <c r="E179" s="1">
        <v>2023</v>
      </c>
      <c r="F179" s="1" t="s">
        <v>1642</v>
      </c>
      <c r="G179" s="1">
        <v>4268</v>
      </c>
      <c r="H179" s="1">
        <v>13355</v>
      </c>
      <c r="I179" s="1">
        <v>12351</v>
      </c>
      <c r="J179" s="1">
        <v>200871</v>
      </c>
      <c r="K179" s="1">
        <v>14.48</v>
      </c>
      <c r="L179" s="1">
        <v>11</v>
      </c>
      <c r="M179" s="1">
        <v>5.87</v>
      </c>
      <c r="N179" s="1">
        <v>0.73</v>
      </c>
      <c r="O179" s="1">
        <v>24.45</v>
      </c>
      <c r="P179" s="1">
        <v>2.7</v>
      </c>
      <c r="Q179" s="1">
        <v>18128</v>
      </c>
      <c r="R179" s="1">
        <v>2388</v>
      </c>
      <c r="S179" s="1">
        <v>7</v>
      </c>
      <c r="T179" s="1">
        <f>(Table1[[#This Row],[Selling_Price_per_Unit]]-Table1[[#This Row],[Manufacturing_Cost_per_Unit]])*Table1[[#This Row],[Units_Sold]]-Table1[[#This Row],[Marketing_Spend]]-Table1[[#This Row],[Discount_%]]</f>
        <v>4084200.27</v>
      </c>
      <c r="U179" s="3">
        <f>Table1[[#This Row],[profit]]/(Table1[[#This Row],[Units_Sold]]*Table1[[#This Row],[Selling_Price_per_Unit]])*100</f>
        <v>7.1653717406964388</v>
      </c>
      <c r="V179" s="6">
        <f>Table1[[#This Row],[Units_Sold]]*Table1[[#This Row],[Selling_Price_per_Unit]]</f>
        <v>56999140</v>
      </c>
      <c r="W179" s="7">
        <f>(Table1[[#This Row],[Units_Sold]]/$Z$1)</f>
        <v>0.85446334976860616</v>
      </c>
      <c r="X179" s="8">
        <f>((Table1[[#This Row],[Units_Sold]]*(Table1[[#This Row],[Selling_Price_per_Unit]]-Table1[[#This Row],[Manufacturing_Cost_per_Unit]]))-Table1[[#This Row],[Marketing_Spend]])/Table1[[#This Row],[Marketing_Spend]]</f>
        <v>20.332457149115601</v>
      </c>
    </row>
    <row r="180" spans="1:24" x14ac:dyDescent="0.3">
      <c r="A180" s="1" t="s">
        <v>197</v>
      </c>
      <c r="B180" s="1" t="s">
        <v>1180</v>
      </c>
      <c r="C180" s="1" t="s">
        <v>1633</v>
      </c>
      <c r="D180" s="1" t="s">
        <v>1636</v>
      </c>
      <c r="E180" s="1">
        <v>2023</v>
      </c>
      <c r="F180" s="1" t="s">
        <v>1640</v>
      </c>
      <c r="G180" s="1">
        <v>4546</v>
      </c>
      <c r="H180" s="1">
        <v>1838</v>
      </c>
      <c r="I180" s="1">
        <v>14337</v>
      </c>
      <c r="J180" s="1">
        <v>410890</v>
      </c>
      <c r="K180" s="1">
        <v>3.76</v>
      </c>
      <c r="L180" s="1">
        <v>1</v>
      </c>
      <c r="M180" s="1">
        <v>5.26</v>
      </c>
      <c r="N180" s="1">
        <v>13.53</v>
      </c>
      <c r="O180" s="1">
        <v>48.85</v>
      </c>
      <c r="P180" s="1">
        <v>1.9</v>
      </c>
      <c r="Q180" s="1">
        <v>11532</v>
      </c>
      <c r="R180" s="1">
        <v>8838</v>
      </c>
      <c r="S180" s="1">
        <v>14</v>
      </c>
      <c r="T180" s="1">
        <f>(Table1[[#This Row],[Selling_Price_per_Unit]]-Table1[[#This Row],[Manufacturing_Cost_per_Unit]])*Table1[[#This Row],[Units_Sold]]-Table1[[#This Row],[Marketing_Spend]]-Table1[[#This Row],[Discount_%]]</f>
        <v>-57231357.530000001</v>
      </c>
      <c r="U180" s="3">
        <f>Table1[[#This Row],[profit]]/(Table1[[#This Row],[Units_Sold]]*Table1[[#This Row],[Selling_Price_per_Unit]])*100</f>
        <v>-684.95037704289416</v>
      </c>
      <c r="V180" s="6">
        <f>Table1[[#This Row],[Units_Sold]]*Table1[[#This Row],[Selling_Price_per_Unit]]</f>
        <v>8355548</v>
      </c>
      <c r="W180" s="7">
        <f>(Table1[[#This Row],[Units_Sold]]/$Z$1)</f>
        <v>0.91011958482851063</v>
      </c>
      <c r="X180" s="8">
        <f>((Table1[[#This Row],[Units_Sold]]*(Table1[[#This Row],[Selling_Price_per_Unit]]-Table1[[#This Row],[Manufacturing_Cost_per_Unit]]))-Table1[[#This Row],[Marketing_Spend]])/Table1[[#This Row],[Marketing_Spend]]</f>
        <v>-139.28629073474653</v>
      </c>
    </row>
    <row r="181" spans="1:24" hidden="1" x14ac:dyDescent="0.3">
      <c r="A181" s="1" t="s">
        <v>198</v>
      </c>
      <c r="B181" s="1" t="s">
        <v>1141</v>
      </c>
      <c r="C181" s="1" t="s">
        <v>1633</v>
      </c>
      <c r="D181" s="1" t="s">
        <v>1638</v>
      </c>
      <c r="E181" s="1">
        <v>2024</v>
      </c>
      <c r="F181" s="1" t="s">
        <v>1639</v>
      </c>
      <c r="G181" s="1">
        <v>816</v>
      </c>
      <c r="H181" s="1">
        <v>7395</v>
      </c>
      <c r="I181" s="1">
        <v>9514</v>
      </c>
      <c r="J181" s="1">
        <v>274834</v>
      </c>
      <c r="K181" s="1">
        <v>10.14</v>
      </c>
      <c r="L181" s="1">
        <v>12</v>
      </c>
      <c r="M181" s="1">
        <v>7.59</v>
      </c>
      <c r="N181" s="1">
        <v>1.32</v>
      </c>
      <c r="O181" s="1">
        <v>66.33</v>
      </c>
      <c r="P181" s="1">
        <v>2.6</v>
      </c>
      <c r="Q181" s="1">
        <v>13119</v>
      </c>
      <c r="R181" s="1">
        <v>1318</v>
      </c>
      <c r="S181" s="1">
        <v>7</v>
      </c>
      <c r="T181" s="1">
        <f>(Table1[[#This Row],[Selling_Price_per_Unit]]-Table1[[#This Row],[Manufacturing_Cost_per_Unit]])*Table1[[#This Row],[Units_Sold]]-Table1[[#This Row],[Marketing_Spend]]-Table1[[#This Row],[Discount_%]]</f>
        <v>-2003939.32</v>
      </c>
      <c r="U181" s="3">
        <f>Table1[[#This Row],[profit]]/(Table1[[#This Row],[Units_Sold]]*Table1[[#This Row],[Selling_Price_per_Unit]])*100</f>
        <v>-33.209032997918577</v>
      </c>
      <c r="V181" s="6">
        <f>Table1[[#This Row],[Units_Sold]]*Table1[[#This Row],[Selling_Price_per_Unit]]</f>
        <v>6034320</v>
      </c>
      <c r="W181" s="7">
        <f>(Table1[[#This Row],[Units_Sold]]/$Z$1)</f>
        <v>0.16336506406072696</v>
      </c>
      <c r="X181" s="8">
        <f>((Table1[[#This Row],[Units_Sold]]*(Table1[[#This Row],[Selling_Price_per_Unit]]-Table1[[#This Row],[Manufacturing_Cost_per_Unit]]))-Table1[[#This Row],[Marketing_Spend]])/Table1[[#This Row],[Marketing_Spend]]</f>
        <v>-7.2914486562797904</v>
      </c>
    </row>
    <row r="182" spans="1:24" hidden="1" x14ac:dyDescent="0.3">
      <c r="A182" s="1" t="s">
        <v>709</v>
      </c>
      <c r="B182" s="1" t="s">
        <v>1502</v>
      </c>
      <c r="C182" s="1" t="s">
        <v>1632</v>
      </c>
      <c r="D182" s="1" t="s">
        <v>1635</v>
      </c>
      <c r="E182" s="1">
        <v>2024</v>
      </c>
      <c r="F182" s="1" t="s">
        <v>1640</v>
      </c>
      <c r="G182" s="1">
        <v>3522</v>
      </c>
      <c r="H182" s="1">
        <v>18870</v>
      </c>
      <c r="I182" s="1">
        <v>4664</v>
      </c>
      <c r="J182" s="1">
        <v>105350</v>
      </c>
      <c r="K182" s="1">
        <v>7.25</v>
      </c>
      <c r="L182" s="1">
        <v>11</v>
      </c>
      <c r="M182" s="1">
        <v>6.54</v>
      </c>
      <c r="N182" s="1">
        <v>10.67</v>
      </c>
      <c r="O182" s="1">
        <v>67.739999999999995</v>
      </c>
      <c r="P182" s="1">
        <v>4.8</v>
      </c>
      <c r="Q182" s="1">
        <v>5631</v>
      </c>
      <c r="R182" s="1">
        <v>9167</v>
      </c>
      <c r="S182" s="1">
        <v>5</v>
      </c>
      <c r="T182" s="1">
        <f>(Table1[[#This Row],[Selling_Price_per_Unit]]-Table1[[#This Row],[Manufacturing_Cost_per_Unit]])*Table1[[#This Row],[Units_Sold]]-Table1[[#This Row],[Marketing_Spend]]-Table1[[#This Row],[Discount_%]]</f>
        <v>49928171.329999998</v>
      </c>
      <c r="U182" s="3">
        <f>Table1[[#This Row],[profit]]/(Table1[[#This Row],[Units_Sold]]*Table1[[#This Row],[Selling_Price_per_Unit]])*100</f>
        <v>75.124986691270891</v>
      </c>
      <c r="V182" s="6">
        <f>Table1[[#This Row],[Units_Sold]]*Table1[[#This Row],[Selling_Price_per_Unit]]</f>
        <v>66460140</v>
      </c>
      <c r="W182" s="7">
        <f>(Table1[[#This Row],[Units_Sold]]/$Z$1)</f>
        <v>0.70511244561504938</v>
      </c>
      <c r="X182" s="8">
        <f>((Table1[[#This Row],[Units_Sold]]*(Table1[[#This Row],[Selling_Price_per_Unit]]-Table1[[#This Row],[Manufacturing_Cost_per_Unit]]))-Table1[[#This Row],[Marketing_Spend]])/Table1[[#This Row],[Marketing_Spend]]</f>
        <v>473.92673943996203</v>
      </c>
    </row>
    <row r="183" spans="1:24" hidden="1" x14ac:dyDescent="0.3">
      <c r="A183" s="1" t="s">
        <v>200</v>
      </c>
      <c r="B183" s="1" t="s">
        <v>1182</v>
      </c>
      <c r="C183" s="1" t="s">
        <v>1632</v>
      </c>
      <c r="D183" s="1" t="s">
        <v>1635</v>
      </c>
      <c r="E183" s="1">
        <v>2023</v>
      </c>
      <c r="F183" s="1" t="s">
        <v>1640</v>
      </c>
      <c r="G183" s="1">
        <v>2377</v>
      </c>
      <c r="H183" s="1">
        <v>12844</v>
      </c>
      <c r="I183" s="1">
        <v>13870</v>
      </c>
      <c r="J183" s="1">
        <v>251260</v>
      </c>
      <c r="K183" s="1">
        <v>9.15</v>
      </c>
      <c r="L183" s="1">
        <v>8</v>
      </c>
      <c r="M183" s="1">
        <v>1.93</v>
      </c>
      <c r="N183" s="1">
        <v>1.39</v>
      </c>
      <c r="O183" s="1">
        <v>10.78</v>
      </c>
      <c r="P183" s="1">
        <v>4</v>
      </c>
      <c r="Q183" s="1">
        <v>14324</v>
      </c>
      <c r="R183" s="1">
        <v>9746</v>
      </c>
      <c r="S183" s="1">
        <v>14</v>
      </c>
      <c r="T183" s="1">
        <f>(Table1[[#This Row],[Selling_Price_per_Unit]]-Table1[[#This Row],[Manufacturing_Cost_per_Unit]])*Table1[[#This Row],[Units_Sold]]-Table1[[#This Row],[Marketing_Spend]]-Table1[[#This Row],[Discount_%]]</f>
        <v>-2690063.39</v>
      </c>
      <c r="U183" s="3">
        <f>Table1[[#This Row],[profit]]/(Table1[[#This Row],[Units_Sold]]*Table1[[#This Row],[Selling_Price_per_Unit]])*100</f>
        <v>-8.8111589420936429</v>
      </c>
      <c r="V183" s="6">
        <f>Table1[[#This Row],[Units_Sold]]*Table1[[#This Row],[Selling_Price_per_Unit]]</f>
        <v>30530188</v>
      </c>
      <c r="W183" s="7">
        <f>(Table1[[#This Row],[Units_Sold]]/$Z$1)</f>
        <v>0.47588082999062248</v>
      </c>
      <c r="X183" s="8">
        <f>((Table1[[#This Row],[Units_Sold]]*(Table1[[#This Row],[Selling_Price_per_Unit]]-Table1[[#This Row],[Manufacturing_Cost_per_Unit]]))-Table1[[#This Row],[Marketing_Spend]])/Table1[[#This Row],[Marketing_Spend]]</f>
        <v>-10.706288306933057</v>
      </c>
    </row>
    <row r="184" spans="1:24" hidden="1" x14ac:dyDescent="0.3">
      <c r="A184" s="1" t="s">
        <v>201</v>
      </c>
      <c r="B184" s="1" t="s">
        <v>1183</v>
      </c>
      <c r="C184" s="1" t="s">
        <v>1634</v>
      </c>
      <c r="D184" s="1" t="s">
        <v>1637</v>
      </c>
      <c r="E184" s="1">
        <v>2023</v>
      </c>
      <c r="F184" s="1" t="s">
        <v>1641</v>
      </c>
      <c r="G184" s="1">
        <v>2981</v>
      </c>
      <c r="H184" s="1">
        <v>3250</v>
      </c>
      <c r="I184" s="1">
        <v>11312</v>
      </c>
      <c r="J184" s="1">
        <v>270931</v>
      </c>
      <c r="K184" s="1">
        <v>4.6900000000000004</v>
      </c>
      <c r="L184" s="1">
        <v>9</v>
      </c>
      <c r="M184" s="1">
        <v>4.71</v>
      </c>
      <c r="N184" s="1">
        <v>22.79</v>
      </c>
      <c r="O184" s="1">
        <v>16.010000000000002</v>
      </c>
      <c r="P184" s="1">
        <v>1.4</v>
      </c>
      <c r="Q184" s="1">
        <v>12445</v>
      </c>
      <c r="R184" s="1">
        <v>3477</v>
      </c>
      <c r="S184" s="1">
        <v>10</v>
      </c>
      <c r="T184" s="1">
        <f>(Table1[[#This Row],[Selling_Price_per_Unit]]-Table1[[#This Row],[Manufacturing_Cost_per_Unit]])*Table1[[#This Row],[Units_Sold]]-Table1[[#This Row],[Marketing_Spend]]-Table1[[#This Row],[Discount_%]]</f>
        <v>-24303775.789999999</v>
      </c>
      <c r="U184" s="3">
        <f>Table1[[#This Row],[profit]]/(Table1[[#This Row],[Units_Sold]]*Table1[[#This Row],[Selling_Price_per_Unit]])*100</f>
        <v>-250.85826428921632</v>
      </c>
      <c r="V184" s="6">
        <f>Table1[[#This Row],[Units_Sold]]*Table1[[#This Row],[Selling_Price_per_Unit]]</f>
        <v>9688250</v>
      </c>
      <c r="W184" s="7">
        <f>(Table1[[#This Row],[Units_Sold]]/$Z$1)</f>
        <v>0.59680300976106249</v>
      </c>
      <c r="X184" s="8">
        <f>((Table1[[#This Row],[Units_Sold]]*(Table1[[#This Row],[Selling_Price_per_Unit]]-Table1[[#This Row],[Manufacturing_Cost_per_Unit]]))-Table1[[#This Row],[Marketing_Spend]])/Table1[[#This Row],[Marketing_Spend]]</f>
        <v>-89.70458530031631</v>
      </c>
    </row>
    <row r="185" spans="1:24" hidden="1" x14ac:dyDescent="0.3">
      <c r="A185" s="1" t="s">
        <v>202</v>
      </c>
      <c r="B185" s="1" t="s">
        <v>1184</v>
      </c>
      <c r="C185" s="1" t="s">
        <v>1634</v>
      </c>
      <c r="D185" s="1" t="s">
        <v>1637</v>
      </c>
      <c r="E185" s="1">
        <v>2023</v>
      </c>
      <c r="F185" s="1" t="s">
        <v>1642</v>
      </c>
      <c r="G185" s="1">
        <v>247</v>
      </c>
      <c r="H185" s="1">
        <v>3921</v>
      </c>
      <c r="I185" s="1">
        <v>9927</v>
      </c>
      <c r="J185" s="1">
        <v>303593</v>
      </c>
      <c r="K185" s="1">
        <v>4.07</v>
      </c>
      <c r="L185" s="1">
        <v>6</v>
      </c>
      <c r="M185" s="1">
        <v>4.7300000000000004</v>
      </c>
      <c r="N185" s="1">
        <v>17.55</v>
      </c>
      <c r="O185" s="1">
        <v>52.85</v>
      </c>
      <c r="P185" s="1">
        <v>3.1</v>
      </c>
      <c r="Q185" s="1">
        <v>3419</v>
      </c>
      <c r="R185" s="1">
        <v>7601</v>
      </c>
      <c r="S185" s="1">
        <v>14</v>
      </c>
      <c r="T185" s="1">
        <f>(Table1[[#This Row],[Selling_Price_per_Unit]]-Table1[[#This Row],[Manufacturing_Cost_per_Unit]])*Table1[[#This Row],[Units_Sold]]-Table1[[#This Row],[Marketing_Spend]]-Table1[[#This Row],[Discount_%]]</f>
        <v>-1787092.55</v>
      </c>
      <c r="U185" s="3">
        <f>Table1[[#This Row],[profit]]/(Table1[[#This Row],[Units_Sold]]*Table1[[#This Row],[Selling_Price_per_Unit]])*100</f>
        <v>-184.5241650120239</v>
      </c>
      <c r="V185" s="6">
        <f>Table1[[#This Row],[Units_Sold]]*Table1[[#This Row],[Selling_Price_per_Unit]]</f>
        <v>968487</v>
      </c>
      <c r="W185" s="7">
        <f>(Table1[[#This Row],[Units_Sold]]/$Z$1)</f>
        <v>4.9449964243872005E-2</v>
      </c>
      <c r="X185" s="8">
        <f>((Table1[[#This Row],[Units_Sold]]*(Table1[[#This Row],[Selling_Price_per_Unit]]-Table1[[#This Row],[Manufacturing_Cost_per_Unit]]))-Table1[[#This Row],[Marketing_Spend]])/Table1[[#This Row],[Marketing_Spend]]</f>
        <v>-5.8864170122499528</v>
      </c>
    </row>
    <row r="186" spans="1:24" hidden="1" x14ac:dyDescent="0.3">
      <c r="A186" s="1" t="s">
        <v>203</v>
      </c>
      <c r="B186" s="1" t="s">
        <v>1185</v>
      </c>
      <c r="C186" s="1" t="s">
        <v>1633</v>
      </c>
      <c r="D186" s="1" t="s">
        <v>1636</v>
      </c>
      <c r="E186" s="1">
        <v>2023</v>
      </c>
      <c r="F186" s="1" t="s">
        <v>1639</v>
      </c>
      <c r="G186" s="1">
        <v>1980</v>
      </c>
      <c r="H186" s="1">
        <v>8619</v>
      </c>
      <c r="I186" s="1">
        <v>8369</v>
      </c>
      <c r="J186" s="1">
        <v>288746</v>
      </c>
      <c r="K186" s="1">
        <v>8.9700000000000006</v>
      </c>
      <c r="L186" s="1">
        <v>3</v>
      </c>
      <c r="M186" s="1">
        <v>3.78</v>
      </c>
      <c r="N186" s="1">
        <v>12.68</v>
      </c>
      <c r="O186" s="1">
        <v>78.36</v>
      </c>
      <c r="P186" s="1">
        <v>3.3</v>
      </c>
      <c r="Q186" s="1">
        <v>11327</v>
      </c>
      <c r="R186" s="1">
        <v>4198</v>
      </c>
      <c r="S186" s="1">
        <v>6</v>
      </c>
      <c r="T186" s="1">
        <f>(Table1[[#This Row],[Selling_Price_per_Unit]]-Table1[[#This Row],[Manufacturing_Cost_per_Unit]])*Table1[[#This Row],[Units_Sold]]-Table1[[#This Row],[Marketing_Spend]]-Table1[[#This Row],[Discount_%]]</f>
        <v>206241.32</v>
      </c>
      <c r="U186" s="3">
        <f>Table1[[#This Row],[profit]]/(Table1[[#This Row],[Units_Sold]]*Table1[[#This Row],[Selling_Price_per_Unit]])*100</f>
        <v>1.2085193506007987</v>
      </c>
      <c r="V186" s="6">
        <f>Table1[[#This Row],[Units_Sold]]*Table1[[#This Row],[Selling_Price_per_Unit]]</f>
        <v>17065620</v>
      </c>
      <c r="W186" s="7">
        <f>(Table1[[#This Row],[Units_Sold]]/$Z$1)</f>
        <v>0.39640052308852863</v>
      </c>
      <c r="X186" s="8">
        <f>((Table1[[#This Row],[Units_Sold]]*(Table1[[#This Row],[Selling_Price_per_Unit]]-Table1[[#This Row],[Manufacturing_Cost_per_Unit]]))-Table1[[#This Row],[Marketing_Spend]])/Table1[[#This Row],[Marketing_Spend]]</f>
        <v>0.71430946229558157</v>
      </c>
    </row>
    <row r="187" spans="1:24" hidden="1" x14ac:dyDescent="0.3">
      <c r="A187" s="1" t="s">
        <v>204</v>
      </c>
      <c r="B187" s="1" t="s">
        <v>1186</v>
      </c>
      <c r="C187" s="1" t="s">
        <v>1634</v>
      </c>
      <c r="D187" s="1" t="s">
        <v>1637</v>
      </c>
      <c r="E187" s="1">
        <v>2024</v>
      </c>
      <c r="F187" s="1" t="s">
        <v>1642</v>
      </c>
      <c r="G187" s="1">
        <v>3632</v>
      </c>
      <c r="H187" s="1">
        <v>6819</v>
      </c>
      <c r="I187" s="1">
        <v>11222</v>
      </c>
      <c r="J187" s="1">
        <v>57597</v>
      </c>
      <c r="K187" s="1">
        <v>12.99</v>
      </c>
      <c r="L187" s="1">
        <v>18</v>
      </c>
      <c r="M187" s="1">
        <v>5.17</v>
      </c>
      <c r="N187" s="1">
        <v>11.04</v>
      </c>
      <c r="O187" s="1">
        <v>10.39</v>
      </c>
      <c r="P187" s="1">
        <v>3</v>
      </c>
      <c r="Q187" s="1">
        <v>11117</v>
      </c>
      <c r="R187" s="1">
        <v>2838</v>
      </c>
      <c r="S187" s="1">
        <v>6</v>
      </c>
      <c r="T187" s="1">
        <f>(Table1[[#This Row],[Selling_Price_per_Unit]]-Table1[[#This Row],[Manufacturing_Cost_per_Unit]])*Table1[[#This Row],[Units_Sold]]-Table1[[#This Row],[Marketing_Spend]]-Table1[[#This Row],[Discount_%]]</f>
        <v>-16049304.039999999</v>
      </c>
      <c r="U187" s="3">
        <f>Table1[[#This Row],[profit]]/(Table1[[#This Row],[Units_Sold]]*Table1[[#This Row],[Selling_Price_per_Unit]])*100</f>
        <v>-64.802188656597622</v>
      </c>
      <c r="V187" s="6">
        <f>Table1[[#This Row],[Units_Sold]]*Table1[[#This Row],[Selling_Price_per_Unit]]</f>
        <v>24766608</v>
      </c>
      <c r="W187" s="7">
        <f>(Table1[[#This Row],[Units_Sold]]/$Z$1)</f>
        <v>0.72713469689774546</v>
      </c>
      <c r="X187" s="8">
        <f>((Table1[[#This Row],[Units_Sold]]*(Table1[[#This Row],[Selling_Price_per_Unit]]-Table1[[#This Row],[Manufacturing_Cost_per_Unit]]))-Table1[[#This Row],[Marketing_Spend]])/Table1[[#This Row],[Marketing_Spend]]</f>
        <v>-278.64807194819173</v>
      </c>
    </row>
    <row r="188" spans="1:24" hidden="1" x14ac:dyDescent="0.3">
      <c r="A188" s="1" t="s">
        <v>205</v>
      </c>
      <c r="B188" s="1" t="s">
        <v>1187</v>
      </c>
      <c r="C188" s="1" t="s">
        <v>1634</v>
      </c>
      <c r="D188" s="1" t="s">
        <v>1635</v>
      </c>
      <c r="E188" s="1">
        <v>2024</v>
      </c>
      <c r="F188" s="1" t="s">
        <v>1640</v>
      </c>
      <c r="G188" s="1">
        <v>658</v>
      </c>
      <c r="H188" s="1">
        <v>17396</v>
      </c>
      <c r="I188" s="1">
        <v>13032</v>
      </c>
      <c r="J188" s="1">
        <v>359237</v>
      </c>
      <c r="K188" s="1">
        <v>14.2</v>
      </c>
      <c r="L188" s="1">
        <v>9</v>
      </c>
      <c r="M188" s="1">
        <v>4.13</v>
      </c>
      <c r="N188" s="1">
        <v>3.27</v>
      </c>
      <c r="O188" s="1">
        <v>84.93</v>
      </c>
      <c r="P188" s="1">
        <v>3.9</v>
      </c>
      <c r="Q188" s="1">
        <v>11232</v>
      </c>
      <c r="R188" s="1">
        <v>7719</v>
      </c>
      <c r="S188" s="1">
        <v>10</v>
      </c>
      <c r="T188" s="1">
        <f>(Table1[[#This Row],[Selling_Price_per_Unit]]-Table1[[#This Row],[Manufacturing_Cost_per_Unit]])*Table1[[#This Row],[Units_Sold]]-Table1[[#This Row],[Marketing_Spend]]-Table1[[#This Row],[Discount_%]]</f>
        <v>2512271.73</v>
      </c>
      <c r="U188" s="3">
        <f>Table1[[#This Row],[profit]]/(Table1[[#This Row],[Units_Sold]]*Table1[[#This Row],[Selling_Price_per_Unit]])*100</f>
        <v>21.947816410997603</v>
      </c>
      <c r="V188" s="6">
        <f>Table1[[#This Row],[Units_Sold]]*Table1[[#This Row],[Selling_Price_per_Unit]]</f>
        <v>11446568</v>
      </c>
      <c r="W188" s="7">
        <f>(Table1[[#This Row],[Units_Sold]]/$Z$1)</f>
        <v>0.13173310312739991</v>
      </c>
      <c r="X188" s="8">
        <f>((Table1[[#This Row],[Units_Sold]]*(Table1[[#This Row],[Selling_Price_per_Unit]]-Table1[[#This Row],[Manufacturing_Cost_per_Unit]]))-Table1[[#This Row],[Marketing_Spend]])/Table1[[#This Row],[Marketing_Spend]]</f>
        <v>6.9933637125351789</v>
      </c>
    </row>
    <row r="189" spans="1:24" x14ac:dyDescent="0.3">
      <c r="A189" s="1" t="s">
        <v>642</v>
      </c>
      <c r="B189" s="1" t="s">
        <v>1464</v>
      </c>
      <c r="C189" s="1" t="s">
        <v>1632</v>
      </c>
      <c r="D189" s="1" t="s">
        <v>1636</v>
      </c>
      <c r="E189" s="1">
        <v>2024</v>
      </c>
      <c r="F189" s="1" t="s">
        <v>1642</v>
      </c>
      <c r="G189" s="1">
        <v>4050</v>
      </c>
      <c r="H189" s="1">
        <v>18459</v>
      </c>
      <c r="I189" s="1">
        <v>6216</v>
      </c>
      <c r="J189" s="1">
        <v>329067</v>
      </c>
      <c r="K189" s="1">
        <v>12.25</v>
      </c>
      <c r="L189" s="1">
        <v>4</v>
      </c>
      <c r="M189" s="1">
        <v>7.09</v>
      </c>
      <c r="N189" s="1">
        <v>1.92</v>
      </c>
      <c r="O189" s="1">
        <v>42.21</v>
      </c>
      <c r="P189" s="1">
        <v>3.2</v>
      </c>
      <c r="Q189" s="1">
        <v>17118</v>
      </c>
      <c r="R189" s="1">
        <v>5798</v>
      </c>
      <c r="S189" s="1">
        <v>10</v>
      </c>
      <c r="T189" s="1">
        <f>(Table1[[#This Row],[Selling_Price_per_Unit]]-Table1[[#This Row],[Manufacturing_Cost_per_Unit]])*Table1[[#This Row],[Units_Sold]]-Table1[[#This Row],[Marketing_Spend]]-Table1[[#This Row],[Discount_%]]</f>
        <v>49255081.079999998</v>
      </c>
      <c r="U189" s="3">
        <f>Table1[[#This Row],[profit]]/(Table1[[#This Row],[Units_Sold]]*Table1[[#This Row],[Selling_Price_per_Unit]])*100</f>
        <v>65.885196461427014</v>
      </c>
      <c r="V189" s="6">
        <f>Table1[[#This Row],[Units_Sold]]*Table1[[#This Row],[Selling_Price_per_Unit]]</f>
        <v>74758950</v>
      </c>
      <c r="W189" s="7">
        <f>(Table1[[#This Row],[Units_Sold]]/$Z$1)</f>
        <v>0.81081925177199032</v>
      </c>
      <c r="X189" s="8">
        <f>((Table1[[#This Row],[Units_Sold]]*(Table1[[#This Row],[Selling_Price_per_Unit]]-Table1[[#This Row],[Manufacturing_Cost_per_Unit]]))-Table1[[#This Row],[Marketing_Spend]])/Table1[[#This Row],[Marketing_Spend]]</f>
        <v>149.68101632798184</v>
      </c>
    </row>
    <row r="190" spans="1:24" hidden="1" x14ac:dyDescent="0.3">
      <c r="A190" s="1" t="s">
        <v>207</v>
      </c>
      <c r="B190" s="1" t="s">
        <v>1189</v>
      </c>
      <c r="C190" s="1" t="s">
        <v>1634</v>
      </c>
      <c r="D190" s="1" t="s">
        <v>1638</v>
      </c>
      <c r="E190" s="1">
        <v>2024</v>
      </c>
      <c r="F190" s="1" t="s">
        <v>1639</v>
      </c>
      <c r="G190" s="1">
        <v>1197</v>
      </c>
      <c r="H190" s="1">
        <v>15349</v>
      </c>
      <c r="I190" s="1">
        <v>5383</v>
      </c>
      <c r="J190" s="1">
        <v>253199</v>
      </c>
      <c r="K190" s="1">
        <v>2.3199999999999998</v>
      </c>
      <c r="L190" s="1">
        <v>18</v>
      </c>
      <c r="M190" s="1">
        <v>4.12</v>
      </c>
      <c r="N190" s="1">
        <v>21.72</v>
      </c>
      <c r="O190" s="1">
        <v>77.36</v>
      </c>
      <c r="P190" s="1">
        <v>4.8</v>
      </c>
      <c r="Q190" s="1">
        <v>9349</v>
      </c>
      <c r="R190" s="1">
        <v>9038</v>
      </c>
      <c r="S190" s="1">
        <v>8</v>
      </c>
      <c r="T190" s="1">
        <f>(Table1[[#This Row],[Selling_Price_per_Unit]]-Table1[[#This Row],[Manufacturing_Cost_per_Unit]])*Table1[[#This Row],[Units_Sold]]-Table1[[#This Row],[Marketing_Spend]]-Table1[[#This Row],[Discount_%]]</f>
        <v>11676081.279999999</v>
      </c>
      <c r="U190" s="3">
        <f>Table1[[#This Row],[profit]]/(Table1[[#This Row],[Units_Sold]]*Table1[[#This Row],[Selling_Price_per_Unit]])*100</f>
        <v>63.551070871088285</v>
      </c>
      <c r="V190" s="6">
        <f>Table1[[#This Row],[Units_Sold]]*Table1[[#This Row],[Selling_Price_per_Unit]]</f>
        <v>18372753</v>
      </c>
      <c r="W190" s="7">
        <f>(Table1[[#This Row],[Units_Sold]]/$Z$1)</f>
        <v>0.23964213441261048</v>
      </c>
      <c r="X190" s="8">
        <f>((Table1[[#This Row],[Units_Sold]]*(Table1[[#This Row],[Selling_Price_per_Unit]]-Table1[[#This Row],[Manufacturing_Cost_per_Unit]]))-Table1[[#This Row],[Marketing_Spend]])/Table1[[#This Row],[Marketing_Spend]]</f>
        <v>46.114332994996033</v>
      </c>
    </row>
    <row r="191" spans="1:24" x14ac:dyDescent="0.3">
      <c r="A191" s="1" t="s">
        <v>208</v>
      </c>
      <c r="B191" s="1" t="s">
        <v>1190</v>
      </c>
      <c r="C191" s="1" t="s">
        <v>1633</v>
      </c>
      <c r="D191" s="1" t="s">
        <v>1635</v>
      </c>
      <c r="E191" s="1">
        <v>2024</v>
      </c>
      <c r="F191" s="1" t="s">
        <v>1642</v>
      </c>
      <c r="G191" s="1">
        <v>4332</v>
      </c>
      <c r="H191" s="1">
        <v>6373</v>
      </c>
      <c r="I191" s="1">
        <v>6746</v>
      </c>
      <c r="J191" s="1">
        <v>426794</v>
      </c>
      <c r="K191" s="1">
        <v>14.17</v>
      </c>
      <c r="L191" s="1">
        <v>1</v>
      </c>
      <c r="M191" s="1">
        <v>0.72</v>
      </c>
      <c r="N191" s="1">
        <v>22.61</v>
      </c>
      <c r="O191" s="1">
        <v>48.63</v>
      </c>
      <c r="P191" s="1">
        <v>2.9</v>
      </c>
      <c r="Q191" s="1">
        <v>8429</v>
      </c>
      <c r="R191" s="1">
        <v>2916</v>
      </c>
      <c r="S191" s="1">
        <v>9</v>
      </c>
      <c r="T191" s="1">
        <f>(Table1[[#This Row],[Selling_Price_per_Unit]]-Table1[[#This Row],[Manufacturing_Cost_per_Unit]])*Table1[[#This Row],[Units_Sold]]-Table1[[#This Row],[Marketing_Spend]]-Table1[[#This Row],[Discount_%]]</f>
        <v>-2042652.61</v>
      </c>
      <c r="U191" s="3">
        <f>Table1[[#This Row],[profit]]/(Table1[[#This Row],[Units_Sold]]*Table1[[#This Row],[Selling_Price_per_Unit]])*100</f>
        <v>-7.3988146336424201</v>
      </c>
      <c r="V191" s="6">
        <f>Table1[[#This Row],[Units_Sold]]*Table1[[#This Row],[Selling_Price_per_Unit]]</f>
        <v>27607836</v>
      </c>
      <c r="W191" s="7">
        <f>(Table1[[#This Row],[Units_Sold]]/$Z$1)</f>
        <v>0.86727629596944744</v>
      </c>
      <c r="X191" s="8">
        <f>((Table1[[#This Row],[Units_Sold]]*(Table1[[#This Row],[Selling_Price_per_Unit]]-Table1[[#This Row],[Manufacturing_Cost_per_Unit]]))-Table1[[#This Row],[Marketing_Spend]])/Table1[[#This Row],[Marketing_Spend]]</f>
        <v>-4.7859857448792624</v>
      </c>
    </row>
    <row r="192" spans="1:24" hidden="1" x14ac:dyDescent="0.3">
      <c r="A192" s="1" t="s">
        <v>209</v>
      </c>
      <c r="B192" s="1" t="s">
        <v>1191</v>
      </c>
      <c r="C192" s="1" t="s">
        <v>1632</v>
      </c>
      <c r="D192" s="1" t="s">
        <v>1637</v>
      </c>
      <c r="E192" s="1">
        <v>2024</v>
      </c>
      <c r="F192" s="1" t="s">
        <v>1642</v>
      </c>
      <c r="G192" s="1">
        <v>3447</v>
      </c>
      <c r="H192" s="1">
        <v>6306</v>
      </c>
      <c r="I192" s="1">
        <v>5741</v>
      </c>
      <c r="J192" s="1">
        <v>258434</v>
      </c>
      <c r="K192" s="1">
        <v>11.05</v>
      </c>
      <c r="L192" s="1">
        <v>19</v>
      </c>
      <c r="M192" s="1">
        <v>5.76</v>
      </c>
      <c r="N192" s="1">
        <v>0.02</v>
      </c>
      <c r="O192" s="1">
        <v>62.75</v>
      </c>
      <c r="P192" s="1">
        <v>3.3</v>
      </c>
      <c r="Q192" s="1">
        <v>5849</v>
      </c>
      <c r="R192" s="1">
        <v>9163</v>
      </c>
      <c r="S192" s="1">
        <v>7</v>
      </c>
      <c r="T192" s="1">
        <f>(Table1[[#This Row],[Selling_Price_per_Unit]]-Table1[[#This Row],[Manufacturing_Cost_per_Unit]])*Table1[[#This Row],[Units_Sold]]-Table1[[#This Row],[Marketing_Spend]]-Table1[[#This Row],[Discount_%]]</f>
        <v>1689120.98</v>
      </c>
      <c r="U192" s="3">
        <f>Table1[[#This Row],[profit]]/(Table1[[#This Row],[Units_Sold]]*Table1[[#This Row],[Selling_Price_per_Unit]])*100</f>
        <v>7.7707959715472148</v>
      </c>
      <c r="V192" s="6">
        <f>Table1[[#This Row],[Units_Sold]]*Table1[[#This Row],[Selling_Price_per_Unit]]</f>
        <v>21736782</v>
      </c>
      <c r="W192" s="7">
        <f>(Table1[[#This Row],[Units_Sold]]/$Z$1)</f>
        <v>0.69009727428593848</v>
      </c>
      <c r="X192" s="8">
        <f>((Table1[[#This Row],[Units_Sold]]*(Table1[[#This Row],[Selling_Price_per_Unit]]-Table1[[#This Row],[Manufacturing_Cost_per_Unit]]))-Table1[[#This Row],[Marketing_Spend]])/Table1[[#This Row],[Marketing_Spend]]</f>
        <v>6.5359859770773197</v>
      </c>
    </row>
    <row r="193" spans="1:24" hidden="1" x14ac:dyDescent="0.3">
      <c r="A193" s="1" t="s">
        <v>210</v>
      </c>
      <c r="B193" s="1" t="s">
        <v>1192</v>
      </c>
      <c r="C193" s="1" t="s">
        <v>1633</v>
      </c>
      <c r="D193" s="1" t="s">
        <v>1635</v>
      </c>
      <c r="E193" s="1">
        <v>2024</v>
      </c>
      <c r="F193" s="1" t="s">
        <v>1640</v>
      </c>
      <c r="G193" s="1">
        <v>2561</v>
      </c>
      <c r="H193" s="1">
        <v>10092</v>
      </c>
      <c r="I193" s="1">
        <v>7067</v>
      </c>
      <c r="J193" s="1">
        <v>207489</v>
      </c>
      <c r="K193" s="1">
        <v>13.24</v>
      </c>
      <c r="L193" s="1">
        <v>9</v>
      </c>
      <c r="M193" s="1">
        <v>8.5399999999999991</v>
      </c>
      <c r="N193" s="1">
        <v>14.85</v>
      </c>
      <c r="O193" s="1">
        <v>50.85</v>
      </c>
      <c r="P193" s="1">
        <v>4.3</v>
      </c>
      <c r="Q193" s="1">
        <v>15956</v>
      </c>
      <c r="R193" s="1">
        <v>594</v>
      </c>
      <c r="S193" s="1">
        <v>4</v>
      </c>
      <c r="T193" s="1">
        <f>(Table1[[#This Row],[Selling_Price_per_Unit]]-Table1[[#This Row],[Manufacturing_Cost_per_Unit]])*Table1[[#This Row],[Units_Sold]]-Table1[[#This Row],[Marketing_Spend]]-Table1[[#This Row],[Discount_%]]</f>
        <v>7539521.1500000004</v>
      </c>
      <c r="U193" s="3">
        <f>Table1[[#This Row],[profit]]/(Table1[[#This Row],[Units_Sold]]*Table1[[#This Row],[Selling_Price_per_Unit]])*100</f>
        <v>29.171377911267882</v>
      </c>
      <c r="V193" s="6">
        <f>Table1[[#This Row],[Units_Sold]]*Table1[[#This Row],[Selling_Price_per_Unit]]</f>
        <v>25845612</v>
      </c>
      <c r="W193" s="7">
        <f>(Table1[[#This Row],[Units_Sold]]/$Z$1)</f>
        <v>0.5127180503180413</v>
      </c>
      <c r="X193" s="8">
        <f>((Table1[[#This Row],[Units_Sold]]*(Table1[[#This Row],[Selling_Price_per_Unit]]-Table1[[#This Row],[Manufacturing_Cost_per_Unit]]))-Table1[[#This Row],[Marketing_Spend]])/Table1[[#This Row],[Marketing_Spend]]</f>
        <v>36.337039553904063</v>
      </c>
    </row>
    <row r="194" spans="1:24" hidden="1" x14ac:dyDescent="0.3">
      <c r="A194" s="1" t="s">
        <v>211</v>
      </c>
      <c r="B194" s="1" t="s">
        <v>1193</v>
      </c>
      <c r="C194" s="1" t="s">
        <v>1633</v>
      </c>
      <c r="D194" s="1" t="s">
        <v>1637</v>
      </c>
      <c r="E194" s="1">
        <v>2023</v>
      </c>
      <c r="F194" s="1" t="s">
        <v>1641</v>
      </c>
      <c r="G194" s="1">
        <v>1844</v>
      </c>
      <c r="H194" s="1">
        <v>13682</v>
      </c>
      <c r="I194" s="1">
        <v>7928</v>
      </c>
      <c r="J194" s="1">
        <v>461909</v>
      </c>
      <c r="K194" s="1">
        <v>3.04</v>
      </c>
      <c r="L194" s="1">
        <v>1</v>
      </c>
      <c r="M194" s="1">
        <v>7.25</v>
      </c>
      <c r="N194" s="1">
        <v>17.98</v>
      </c>
      <c r="O194" s="1">
        <v>48.16</v>
      </c>
      <c r="P194" s="1">
        <v>2.1</v>
      </c>
      <c r="Q194" s="1">
        <v>12795</v>
      </c>
      <c r="R194" s="1">
        <v>6660</v>
      </c>
      <c r="S194" s="1">
        <v>8</v>
      </c>
      <c r="T194" s="1">
        <f>(Table1[[#This Row],[Selling_Price_per_Unit]]-Table1[[#This Row],[Manufacturing_Cost_per_Unit]])*Table1[[#This Row],[Units_Sold]]-Table1[[#This Row],[Marketing_Spend]]-Table1[[#This Row],[Discount_%]]</f>
        <v>10148449.02</v>
      </c>
      <c r="U194" s="3">
        <f>Table1[[#This Row],[profit]]/(Table1[[#This Row],[Units_Sold]]*Table1[[#This Row],[Selling_Price_per_Unit]])*100</f>
        <v>40.224362661520544</v>
      </c>
      <c r="V194" s="6">
        <f>Table1[[#This Row],[Units_Sold]]*Table1[[#This Row],[Selling_Price_per_Unit]]</f>
        <v>25229608</v>
      </c>
      <c r="W194" s="7">
        <f>(Table1[[#This Row],[Units_Sold]]/$Z$1)</f>
        <v>0.36917301241174078</v>
      </c>
      <c r="X194" s="8">
        <f>((Table1[[#This Row],[Units_Sold]]*(Table1[[#This Row],[Selling_Price_per_Unit]]-Table1[[#This Row],[Manufacturing_Cost_per_Unit]]))-Table1[[#This Row],[Marketing_Spend]])/Table1[[#This Row],[Marketing_Spend]]</f>
        <v>21.970706351251003</v>
      </c>
    </row>
    <row r="195" spans="1:24" hidden="1" x14ac:dyDescent="0.3">
      <c r="A195" s="1" t="s">
        <v>212</v>
      </c>
      <c r="B195" s="1" t="s">
        <v>1194</v>
      </c>
      <c r="C195" s="1" t="s">
        <v>1632</v>
      </c>
      <c r="D195" s="1" t="s">
        <v>1635</v>
      </c>
      <c r="E195" s="1">
        <v>2023</v>
      </c>
      <c r="F195" s="1" t="s">
        <v>1641</v>
      </c>
      <c r="G195" s="1">
        <v>709</v>
      </c>
      <c r="H195" s="1">
        <v>18274</v>
      </c>
      <c r="I195" s="1">
        <v>12689</v>
      </c>
      <c r="J195" s="1">
        <v>433100</v>
      </c>
      <c r="K195" s="1">
        <v>8.81</v>
      </c>
      <c r="L195" s="1">
        <v>1</v>
      </c>
      <c r="M195" s="1">
        <v>3.6</v>
      </c>
      <c r="N195" s="1">
        <v>15.47</v>
      </c>
      <c r="O195" s="1">
        <v>76.790000000000006</v>
      </c>
      <c r="P195" s="1">
        <v>1.3</v>
      </c>
      <c r="Q195" s="1">
        <v>19685</v>
      </c>
      <c r="R195" s="1">
        <v>5610</v>
      </c>
      <c r="S195" s="1">
        <v>9</v>
      </c>
      <c r="T195" s="1">
        <f>(Table1[[#This Row],[Selling_Price_per_Unit]]-Table1[[#This Row],[Manufacturing_Cost_per_Unit]])*Table1[[#This Row],[Units_Sold]]-Table1[[#This Row],[Marketing_Spend]]-Table1[[#This Row],[Discount_%]]</f>
        <v>3526649.53</v>
      </c>
      <c r="U195" s="3">
        <f>Table1[[#This Row],[profit]]/(Table1[[#This Row],[Units_Sold]]*Table1[[#This Row],[Selling_Price_per_Unit]])*100</f>
        <v>27.219644379020931</v>
      </c>
      <c r="V195" s="6">
        <f>Table1[[#This Row],[Units_Sold]]*Table1[[#This Row],[Selling_Price_per_Unit]]</f>
        <v>12956266</v>
      </c>
      <c r="W195" s="7">
        <f>(Table1[[#This Row],[Units_Sold]]/$Z$1)</f>
        <v>0.14194341963119536</v>
      </c>
      <c r="X195" s="8">
        <f>((Table1[[#This Row],[Units_Sold]]*(Table1[[#This Row],[Selling_Price_per_Unit]]-Table1[[#This Row],[Manufacturing_Cost_per_Unit]]))-Table1[[#This Row],[Marketing_Spend]])/Table1[[#This Row],[Marketing_Spend]]</f>
        <v>8.1428422996998382</v>
      </c>
    </row>
    <row r="196" spans="1:24" hidden="1" x14ac:dyDescent="0.3">
      <c r="A196" s="1" t="s">
        <v>213</v>
      </c>
      <c r="B196" s="1" t="s">
        <v>1148</v>
      </c>
      <c r="C196" s="1" t="s">
        <v>1634</v>
      </c>
      <c r="D196" s="1" t="s">
        <v>1638</v>
      </c>
      <c r="E196" s="1">
        <v>2023</v>
      </c>
      <c r="F196" s="1" t="s">
        <v>1642</v>
      </c>
      <c r="G196" s="1">
        <v>2861</v>
      </c>
      <c r="H196" s="1">
        <v>13545</v>
      </c>
      <c r="I196" s="1">
        <v>11829</v>
      </c>
      <c r="J196" s="1">
        <v>165598</v>
      </c>
      <c r="K196" s="1">
        <v>10.52</v>
      </c>
      <c r="L196" s="1">
        <v>16</v>
      </c>
      <c r="M196" s="1">
        <v>0.87</v>
      </c>
      <c r="N196" s="1">
        <v>2.04</v>
      </c>
      <c r="O196" s="1">
        <v>70.47</v>
      </c>
      <c r="P196" s="1">
        <v>3.8</v>
      </c>
      <c r="Q196" s="1">
        <v>6656</v>
      </c>
      <c r="R196" s="1">
        <v>3544</v>
      </c>
      <c r="S196" s="1">
        <v>9</v>
      </c>
      <c r="T196" s="1">
        <f>(Table1[[#This Row],[Selling_Price_per_Unit]]-Table1[[#This Row],[Manufacturing_Cost_per_Unit]])*Table1[[#This Row],[Units_Sold]]-Table1[[#This Row],[Marketing_Spend]]-Table1[[#This Row],[Discount_%]]</f>
        <v>4743875.96</v>
      </c>
      <c r="U196" s="3">
        <f>Table1[[#This Row],[profit]]/(Table1[[#This Row],[Units_Sold]]*Table1[[#This Row],[Selling_Price_per_Unit]])*100</f>
        <v>12.241551321736328</v>
      </c>
      <c r="V196" s="6">
        <f>Table1[[#This Row],[Units_Sold]]*Table1[[#This Row],[Selling_Price_per_Unit]]</f>
        <v>38752245</v>
      </c>
      <c r="W196" s="7">
        <f>(Table1[[#This Row],[Units_Sold]]/$Z$1)</f>
        <v>0.572778735634485</v>
      </c>
      <c r="X196" s="8">
        <f>((Table1[[#This Row],[Units_Sold]]*(Table1[[#This Row],[Selling_Price_per_Unit]]-Table1[[#This Row],[Manufacturing_Cost_per_Unit]]))-Table1[[#This Row],[Marketing_Spend]])/Table1[[#This Row],[Marketing_Spend]]</f>
        <v>28.646952257877512</v>
      </c>
    </row>
    <row r="197" spans="1:24" hidden="1" x14ac:dyDescent="0.3">
      <c r="A197" s="1" t="s">
        <v>214</v>
      </c>
      <c r="B197" s="1" t="s">
        <v>1131</v>
      </c>
      <c r="C197" s="1" t="s">
        <v>1634</v>
      </c>
      <c r="D197" s="1" t="s">
        <v>1638</v>
      </c>
      <c r="E197" s="1">
        <v>2023</v>
      </c>
      <c r="F197" s="1" t="s">
        <v>1642</v>
      </c>
      <c r="G197" s="1">
        <v>1419</v>
      </c>
      <c r="H197" s="1">
        <v>5930</v>
      </c>
      <c r="I197" s="1">
        <v>13075</v>
      </c>
      <c r="J197" s="1">
        <v>300100</v>
      </c>
      <c r="K197" s="1">
        <v>10.199999999999999</v>
      </c>
      <c r="L197" s="1">
        <v>15</v>
      </c>
      <c r="M197" s="1">
        <v>2.02</v>
      </c>
      <c r="N197" s="1">
        <v>5.44</v>
      </c>
      <c r="O197" s="1">
        <v>48.67</v>
      </c>
      <c r="P197" s="1">
        <v>2.9</v>
      </c>
      <c r="Q197" s="1">
        <v>10728</v>
      </c>
      <c r="R197" s="1">
        <v>9367</v>
      </c>
      <c r="S197" s="1">
        <v>2</v>
      </c>
      <c r="T197" s="1">
        <f>(Table1[[#This Row],[Selling_Price_per_Unit]]-Table1[[#This Row],[Manufacturing_Cost_per_Unit]])*Table1[[#This Row],[Units_Sold]]-Table1[[#This Row],[Marketing_Spend]]-Table1[[#This Row],[Discount_%]]</f>
        <v>-10438860.439999999</v>
      </c>
      <c r="U197" s="3">
        <f>Table1[[#This Row],[profit]]/(Table1[[#This Row],[Units_Sold]]*Table1[[#This Row],[Selling_Price_per_Unit]])*100</f>
        <v>-124.0554940360109</v>
      </c>
      <c r="V197" s="6">
        <f>Table1[[#This Row],[Units_Sold]]*Table1[[#This Row],[Selling_Price_per_Unit]]</f>
        <v>8414670</v>
      </c>
      <c r="W197" s="7">
        <f>(Table1[[#This Row],[Units_Sold]]/$Z$1)</f>
        <v>0.28408704154677883</v>
      </c>
      <c r="X197" s="8">
        <f>((Table1[[#This Row],[Units_Sold]]*(Table1[[#This Row],[Selling_Price_per_Unit]]-Table1[[#This Row],[Manufacturing_Cost_per_Unit]]))-Table1[[#This Row],[Marketing_Spend]])/Table1[[#This Row],[Marketing_Spend]]</f>
        <v>-34.784588470509831</v>
      </c>
    </row>
    <row r="198" spans="1:24" hidden="1" x14ac:dyDescent="0.3">
      <c r="A198" s="1" t="s">
        <v>215</v>
      </c>
      <c r="B198" s="1" t="s">
        <v>1170</v>
      </c>
      <c r="C198" s="1" t="s">
        <v>1634</v>
      </c>
      <c r="D198" s="1" t="s">
        <v>1638</v>
      </c>
      <c r="E198" s="1">
        <v>2023</v>
      </c>
      <c r="F198" s="1" t="s">
        <v>1639</v>
      </c>
      <c r="G198" s="1">
        <v>2036</v>
      </c>
      <c r="H198" s="1">
        <v>10320</v>
      </c>
      <c r="I198" s="1">
        <v>3261</v>
      </c>
      <c r="J198" s="1">
        <v>308589</v>
      </c>
      <c r="K198" s="1">
        <v>6.12</v>
      </c>
      <c r="L198" s="1">
        <v>15</v>
      </c>
      <c r="M198" s="1">
        <v>5.45</v>
      </c>
      <c r="N198" s="1">
        <v>6.26</v>
      </c>
      <c r="O198" s="1">
        <v>18.93</v>
      </c>
      <c r="P198" s="1">
        <v>4.5999999999999996</v>
      </c>
      <c r="Q198" s="1">
        <v>13420</v>
      </c>
      <c r="R198" s="1">
        <v>7643</v>
      </c>
      <c r="S198" s="1">
        <v>8</v>
      </c>
      <c r="T198" s="1">
        <f>(Table1[[#This Row],[Selling_Price_per_Unit]]-Table1[[#This Row],[Manufacturing_Cost_per_Unit]])*Table1[[#This Row],[Units_Sold]]-Table1[[#This Row],[Marketing_Spend]]-Table1[[#This Row],[Discount_%]]</f>
        <v>14063528.74</v>
      </c>
      <c r="U198" s="3">
        <f>Table1[[#This Row],[profit]]/(Table1[[#This Row],[Units_Sold]]*Table1[[#This Row],[Selling_Price_per_Unit]])*100</f>
        <v>66.932467237020461</v>
      </c>
      <c r="V198" s="6">
        <f>Table1[[#This Row],[Units_Sold]]*Table1[[#This Row],[Selling_Price_per_Unit]]</f>
        <v>21011520</v>
      </c>
      <c r="W198" s="7">
        <f>(Table1[[#This Row],[Units_Sold]]/$Z$1)</f>
        <v>0.40761185101426478</v>
      </c>
      <c r="X198" s="8">
        <f>((Table1[[#This Row],[Units_Sold]]*(Table1[[#This Row],[Selling_Price_per_Unit]]-Table1[[#This Row],[Manufacturing_Cost_per_Unit]]))-Table1[[#This Row],[Marketing_Spend]])/Table1[[#This Row],[Marketing_Spend]]</f>
        <v>45.573675665691262</v>
      </c>
    </row>
    <row r="199" spans="1:24" hidden="1" x14ac:dyDescent="0.3">
      <c r="A199" s="1" t="s">
        <v>216</v>
      </c>
      <c r="B199" s="1" t="s">
        <v>1195</v>
      </c>
      <c r="C199" s="1" t="s">
        <v>1632</v>
      </c>
      <c r="D199" s="1" t="s">
        <v>1637</v>
      </c>
      <c r="E199" s="1">
        <v>2024</v>
      </c>
      <c r="F199" s="1" t="s">
        <v>1640</v>
      </c>
      <c r="G199" s="1">
        <v>196</v>
      </c>
      <c r="H199" s="1">
        <v>5732</v>
      </c>
      <c r="I199" s="1">
        <v>14836</v>
      </c>
      <c r="J199" s="1">
        <v>234233</v>
      </c>
      <c r="K199" s="1">
        <v>0.23</v>
      </c>
      <c r="L199" s="1">
        <v>13</v>
      </c>
      <c r="M199" s="1">
        <v>2.0699999999999998</v>
      </c>
      <c r="N199" s="1">
        <v>20.79</v>
      </c>
      <c r="O199" s="1">
        <v>19.23</v>
      </c>
      <c r="P199" s="1">
        <v>4.9000000000000004</v>
      </c>
      <c r="Q199" s="1">
        <v>8932</v>
      </c>
      <c r="R199" s="1">
        <v>7662</v>
      </c>
      <c r="S199" s="1">
        <v>4</v>
      </c>
      <c r="T199" s="1">
        <f>(Table1[[#This Row],[Selling_Price_per_Unit]]-Table1[[#This Row],[Manufacturing_Cost_per_Unit]])*Table1[[#This Row],[Units_Sold]]-Table1[[#This Row],[Marketing_Spend]]-Table1[[#This Row],[Discount_%]]</f>
        <v>-2018637.79</v>
      </c>
      <c r="U199" s="3">
        <f>Table1[[#This Row],[profit]]/(Table1[[#This Row],[Units_Sold]]*Table1[[#This Row],[Selling_Price_per_Unit]])*100</f>
        <v>-179.67851357221184</v>
      </c>
      <c r="V199" s="6">
        <f>Table1[[#This Row],[Units_Sold]]*Table1[[#This Row],[Selling_Price_per_Unit]]</f>
        <v>1123472</v>
      </c>
      <c r="W199" s="7">
        <f>(Table1[[#This Row],[Units_Sold]]/$Z$1)</f>
        <v>3.9239647740076572E-2</v>
      </c>
      <c r="X199" s="8">
        <f>((Table1[[#This Row],[Units_Sold]]*(Table1[[#This Row],[Selling_Price_per_Unit]]-Table1[[#This Row],[Manufacturing_Cost_per_Unit]]))-Table1[[#This Row],[Marketing_Spend]])/Table1[[#This Row],[Marketing_Spend]]</f>
        <v>-8.617987217855724</v>
      </c>
    </row>
    <row r="200" spans="1:24" hidden="1" x14ac:dyDescent="0.3">
      <c r="A200" s="1" t="s">
        <v>217</v>
      </c>
      <c r="B200" s="1" t="s">
        <v>1196</v>
      </c>
      <c r="C200" s="1" t="s">
        <v>1632</v>
      </c>
      <c r="D200" s="1" t="s">
        <v>1636</v>
      </c>
      <c r="E200" s="1">
        <v>2024</v>
      </c>
      <c r="F200" s="1" t="s">
        <v>1640</v>
      </c>
      <c r="G200" s="1">
        <v>3269</v>
      </c>
      <c r="H200" s="1">
        <v>12622</v>
      </c>
      <c r="I200" s="1">
        <v>12235</v>
      </c>
      <c r="J200" s="1">
        <v>302388</v>
      </c>
      <c r="K200" s="1">
        <v>8.74</v>
      </c>
      <c r="L200" s="1">
        <v>6</v>
      </c>
      <c r="M200" s="1">
        <v>5.44</v>
      </c>
      <c r="N200" s="1">
        <v>11.58</v>
      </c>
      <c r="O200" s="1">
        <v>74.12</v>
      </c>
      <c r="P200" s="1">
        <v>2.6</v>
      </c>
      <c r="Q200" s="1">
        <v>13703</v>
      </c>
      <c r="R200" s="1">
        <v>4094</v>
      </c>
      <c r="S200" s="1">
        <v>3</v>
      </c>
      <c r="T200" s="1">
        <f>(Table1[[#This Row],[Selling_Price_per_Unit]]-Table1[[#This Row],[Manufacturing_Cost_per_Unit]])*Table1[[#This Row],[Units_Sold]]-Table1[[#This Row],[Marketing_Spend]]-Table1[[#This Row],[Discount_%]]</f>
        <v>962703.42</v>
      </c>
      <c r="U200" s="3">
        <f>Table1[[#This Row],[profit]]/(Table1[[#This Row],[Units_Sold]]*Table1[[#This Row],[Selling_Price_per_Unit]])*100</f>
        <v>2.3331863029678308</v>
      </c>
      <c r="V200" s="6">
        <f>Table1[[#This Row],[Units_Sold]]*Table1[[#This Row],[Selling_Price_per_Unit]]</f>
        <v>41261318</v>
      </c>
      <c r="W200" s="7">
        <f>(Table1[[#This Row],[Units_Sold]]/$Z$1)</f>
        <v>0.65446126766484847</v>
      </c>
      <c r="X200" s="8">
        <f>((Table1[[#This Row],[Units_Sold]]*(Table1[[#This Row],[Selling_Price_per_Unit]]-Table1[[#This Row],[Manufacturing_Cost_per_Unit]]))-Table1[[#This Row],[Marketing_Spend]])/Table1[[#This Row],[Marketing_Spend]]</f>
        <v>3.1837076868129688</v>
      </c>
    </row>
    <row r="201" spans="1:24" hidden="1" x14ac:dyDescent="0.3">
      <c r="A201" s="1" t="s">
        <v>218</v>
      </c>
      <c r="B201" s="1" t="s">
        <v>1069</v>
      </c>
      <c r="C201" s="1" t="s">
        <v>1634</v>
      </c>
      <c r="D201" s="1" t="s">
        <v>1637</v>
      </c>
      <c r="E201" s="1">
        <v>2024</v>
      </c>
      <c r="F201" s="1" t="s">
        <v>1639</v>
      </c>
      <c r="G201" s="1">
        <v>2961</v>
      </c>
      <c r="H201" s="1">
        <v>16523</v>
      </c>
      <c r="I201" s="1">
        <v>12351</v>
      </c>
      <c r="J201" s="1">
        <v>183241</v>
      </c>
      <c r="K201" s="1">
        <v>3.8</v>
      </c>
      <c r="L201" s="1">
        <v>10</v>
      </c>
      <c r="M201" s="1">
        <v>2.3199999999999998</v>
      </c>
      <c r="N201" s="1">
        <v>12.17</v>
      </c>
      <c r="O201" s="1">
        <v>52.35</v>
      </c>
      <c r="P201" s="1">
        <v>2.7</v>
      </c>
      <c r="Q201" s="1">
        <v>7689</v>
      </c>
      <c r="R201" s="1">
        <v>7353</v>
      </c>
      <c r="S201" s="1">
        <v>3</v>
      </c>
      <c r="T201" s="1">
        <f>(Table1[[#This Row],[Selling_Price_per_Unit]]-Table1[[#This Row],[Manufacturing_Cost_per_Unit]])*Table1[[#This Row],[Units_Sold]]-Table1[[#This Row],[Marketing_Spend]]-Table1[[#This Row],[Discount_%]]</f>
        <v>12170038.83</v>
      </c>
      <c r="U201" s="3">
        <f>Table1[[#This Row],[profit]]/(Table1[[#This Row],[Units_Sold]]*Table1[[#This Row],[Selling_Price_per_Unit]])*100</f>
        <v>24.87508959449298</v>
      </c>
      <c r="V201" s="6">
        <f>Table1[[#This Row],[Units_Sold]]*Table1[[#This Row],[Selling_Price_per_Unit]]</f>
        <v>48924603</v>
      </c>
      <c r="W201" s="7">
        <f>(Table1[[#This Row],[Units_Sold]]/$Z$1)</f>
        <v>0.59279896407329957</v>
      </c>
      <c r="X201" s="8">
        <f>((Table1[[#This Row],[Units_Sold]]*(Table1[[#This Row],[Selling_Price_per_Unit]]-Table1[[#This Row],[Manufacturing_Cost_per_Unit]]))-Table1[[#This Row],[Marketing_Spend]])/Table1[[#This Row],[Marketing_Spend]]</f>
        <v>66.415545647535211</v>
      </c>
    </row>
    <row r="202" spans="1:24" hidden="1" x14ac:dyDescent="0.3">
      <c r="A202" s="1" t="s">
        <v>219</v>
      </c>
      <c r="B202" s="1" t="s">
        <v>1197</v>
      </c>
      <c r="C202" s="1" t="s">
        <v>1634</v>
      </c>
      <c r="D202" s="1" t="s">
        <v>1638</v>
      </c>
      <c r="E202" s="1">
        <v>2024</v>
      </c>
      <c r="F202" s="1" t="s">
        <v>1640</v>
      </c>
      <c r="G202" s="1">
        <v>1784</v>
      </c>
      <c r="H202" s="1">
        <v>9507</v>
      </c>
      <c r="I202" s="1">
        <v>1485</v>
      </c>
      <c r="J202" s="1">
        <v>265164</v>
      </c>
      <c r="K202" s="1">
        <v>6.75</v>
      </c>
      <c r="L202" s="1">
        <v>0</v>
      </c>
      <c r="M202" s="1">
        <v>8.49</v>
      </c>
      <c r="N202" s="1">
        <v>23.37</v>
      </c>
      <c r="O202" s="1">
        <v>48.53</v>
      </c>
      <c r="P202" s="1">
        <v>2.6</v>
      </c>
      <c r="Q202" s="1">
        <v>2642</v>
      </c>
      <c r="R202" s="1">
        <v>145</v>
      </c>
      <c r="S202" s="1">
        <v>9</v>
      </c>
      <c r="T202" s="1">
        <f>(Table1[[#This Row],[Selling_Price_per_Unit]]-Table1[[#This Row],[Manufacturing_Cost_per_Unit]])*Table1[[#This Row],[Units_Sold]]-Table1[[#This Row],[Marketing_Spend]]-Table1[[#This Row],[Discount_%]]</f>
        <v>14046060.630000001</v>
      </c>
      <c r="U202" s="3">
        <f>Table1[[#This Row],[profit]]/(Table1[[#This Row],[Units_Sold]]*Table1[[#This Row],[Selling_Price_per_Unit]])*100</f>
        <v>82.81637079074612</v>
      </c>
      <c r="V202" s="6">
        <f>Table1[[#This Row],[Units_Sold]]*Table1[[#This Row],[Selling_Price_per_Unit]]</f>
        <v>16960488</v>
      </c>
      <c r="W202" s="7">
        <f>(Table1[[#This Row],[Units_Sold]]/$Z$1)</f>
        <v>0.35716087534845203</v>
      </c>
      <c r="X202" s="8">
        <f>((Table1[[#This Row],[Units_Sold]]*(Table1[[#This Row],[Selling_Price_per_Unit]]-Table1[[#This Row],[Manufacturing_Cost_per_Unit]]))-Table1[[#This Row],[Marketing_Spend]])/Table1[[#This Row],[Marketing_Spend]]</f>
        <v>52.971308322396709</v>
      </c>
    </row>
    <row r="203" spans="1:24" hidden="1" x14ac:dyDescent="0.3">
      <c r="A203" s="1" t="s">
        <v>1003</v>
      </c>
      <c r="B203" s="1" t="s">
        <v>1495</v>
      </c>
      <c r="C203" s="1" t="s">
        <v>1634</v>
      </c>
      <c r="D203" s="1" t="s">
        <v>1636</v>
      </c>
      <c r="E203" s="1">
        <v>2024</v>
      </c>
      <c r="F203" s="1" t="s">
        <v>1639</v>
      </c>
      <c r="G203" s="1">
        <v>2758</v>
      </c>
      <c r="H203" s="1">
        <v>19063</v>
      </c>
      <c r="I203" s="1">
        <v>1140</v>
      </c>
      <c r="J203" s="1">
        <v>275391</v>
      </c>
      <c r="K203" s="1">
        <v>0.63</v>
      </c>
      <c r="L203" s="1">
        <v>1</v>
      </c>
      <c r="M203" s="1">
        <v>0.15</v>
      </c>
      <c r="N203" s="1">
        <v>12.93</v>
      </c>
      <c r="O203" s="1">
        <v>69.17</v>
      </c>
      <c r="P203" s="1">
        <v>2.6</v>
      </c>
      <c r="Q203" s="1">
        <v>18212</v>
      </c>
      <c r="R203" s="1">
        <v>9601</v>
      </c>
      <c r="S203" s="1">
        <v>3</v>
      </c>
      <c r="T203" s="1">
        <f>(Table1[[#This Row],[Selling_Price_per_Unit]]-Table1[[#This Row],[Manufacturing_Cost_per_Unit]])*Table1[[#This Row],[Units_Sold]]-Table1[[#This Row],[Marketing_Spend]]-Table1[[#This Row],[Discount_%]]</f>
        <v>49156230.07</v>
      </c>
      <c r="U203" s="3">
        <f>Table1[[#This Row],[profit]]/(Table1[[#This Row],[Units_Sold]]*Table1[[#This Row],[Selling_Price_per_Unit]])*100</f>
        <v>93.496005915578507</v>
      </c>
      <c r="V203" s="6">
        <f>Table1[[#This Row],[Units_Sold]]*Table1[[#This Row],[Selling_Price_per_Unit]]</f>
        <v>52575754</v>
      </c>
      <c r="W203" s="7">
        <f>(Table1[[#This Row],[Units_Sold]]/$Z$1)</f>
        <v>0.552157900342506</v>
      </c>
      <c r="X203" s="8">
        <f>((Table1[[#This Row],[Units_Sold]]*(Table1[[#This Row],[Selling_Price_per_Unit]]-Table1[[#This Row],[Manufacturing_Cost_per_Unit]]))-Table1[[#This Row],[Marketing_Spend]])/Table1[[#This Row],[Marketing_Spend]]</f>
        <v>178.49618542363405</v>
      </c>
    </row>
    <row r="204" spans="1:24" hidden="1" x14ac:dyDescent="0.3">
      <c r="A204" s="1" t="s">
        <v>221</v>
      </c>
      <c r="B204" s="1" t="s">
        <v>1199</v>
      </c>
      <c r="C204" s="1" t="s">
        <v>1634</v>
      </c>
      <c r="D204" s="1" t="s">
        <v>1637</v>
      </c>
      <c r="E204" s="1">
        <v>2023</v>
      </c>
      <c r="F204" s="1" t="s">
        <v>1639</v>
      </c>
      <c r="G204" s="1">
        <v>538</v>
      </c>
      <c r="H204" s="1">
        <v>10518</v>
      </c>
      <c r="I204" s="1">
        <v>7831</v>
      </c>
      <c r="J204" s="1">
        <v>254923</v>
      </c>
      <c r="K204" s="1">
        <v>5.99</v>
      </c>
      <c r="L204" s="1">
        <v>3</v>
      </c>
      <c r="M204" s="1">
        <v>2.46</v>
      </c>
      <c r="N204" s="1">
        <v>22.47</v>
      </c>
      <c r="O204" s="1">
        <v>78.709999999999994</v>
      </c>
      <c r="P204" s="1">
        <v>4.0999999999999996</v>
      </c>
      <c r="Q204" s="1">
        <v>15753</v>
      </c>
      <c r="R204" s="1">
        <v>763</v>
      </c>
      <c r="S204" s="1">
        <v>4</v>
      </c>
      <c r="T204" s="1">
        <f>(Table1[[#This Row],[Selling_Price_per_Unit]]-Table1[[#This Row],[Manufacturing_Cost_per_Unit]])*Table1[[#This Row],[Units_Sold]]-Table1[[#This Row],[Marketing_Spend]]-Table1[[#This Row],[Discount_%]]</f>
        <v>1190660.53</v>
      </c>
      <c r="U204" s="3">
        <f>Table1[[#This Row],[profit]]/(Table1[[#This Row],[Units_Sold]]*Table1[[#This Row],[Selling_Price_per_Unit]])*100</f>
        <v>21.041297411200201</v>
      </c>
      <c r="V204" s="6">
        <f>Table1[[#This Row],[Units_Sold]]*Table1[[#This Row],[Selling_Price_per_Unit]]</f>
        <v>5658684</v>
      </c>
      <c r="W204" s="7">
        <f>(Table1[[#This Row],[Units_Sold]]/$Z$1)</f>
        <v>0.10770882900082242</v>
      </c>
      <c r="X204" s="8">
        <f>((Table1[[#This Row],[Units_Sold]]*(Table1[[#This Row],[Selling_Price_per_Unit]]-Table1[[#This Row],[Manufacturing_Cost_per_Unit]]))-Table1[[#This Row],[Marketing_Spend]])/Table1[[#This Row],[Marketing_Spend]]</f>
        <v>4.6707554830282083</v>
      </c>
    </row>
    <row r="205" spans="1:24" hidden="1" x14ac:dyDescent="0.3">
      <c r="A205" s="1" t="s">
        <v>222</v>
      </c>
      <c r="B205" s="1" t="s">
        <v>1200</v>
      </c>
      <c r="C205" s="1" t="s">
        <v>1632</v>
      </c>
      <c r="D205" s="1" t="s">
        <v>1638</v>
      </c>
      <c r="E205" s="1">
        <v>2024</v>
      </c>
      <c r="F205" s="1" t="s">
        <v>1640</v>
      </c>
      <c r="G205" s="1">
        <v>3026</v>
      </c>
      <c r="H205" s="1">
        <v>3000</v>
      </c>
      <c r="I205" s="1">
        <v>12980</v>
      </c>
      <c r="J205" s="1">
        <v>58036</v>
      </c>
      <c r="K205" s="1">
        <v>12.6</v>
      </c>
      <c r="L205" s="1">
        <v>6</v>
      </c>
      <c r="M205" s="1">
        <v>8.1199999999999992</v>
      </c>
      <c r="N205" s="1">
        <v>11.41</v>
      </c>
      <c r="O205" s="1">
        <v>60.31</v>
      </c>
      <c r="P205" s="1">
        <v>4</v>
      </c>
      <c r="Q205" s="1">
        <v>19513</v>
      </c>
      <c r="R205" s="1">
        <v>4768</v>
      </c>
      <c r="S205" s="1">
        <v>4</v>
      </c>
      <c r="T205" s="1">
        <f>(Table1[[#This Row],[Selling_Price_per_Unit]]-Table1[[#This Row],[Manufacturing_Cost_per_Unit]])*Table1[[#This Row],[Units_Sold]]-Table1[[#This Row],[Marketing_Spend]]-Table1[[#This Row],[Discount_%]]</f>
        <v>-30257527.41</v>
      </c>
      <c r="U205" s="3">
        <f>Table1[[#This Row],[profit]]/(Table1[[#This Row],[Units_Sold]]*Table1[[#This Row],[Selling_Price_per_Unit]])*100</f>
        <v>-333.30609616655653</v>
      </c>
      <c r="V205" s="6">
        <f>Table1[[#This Row],[Units_Sold]]*Table1[[#This Row],[Selling_Price_per_Unit]]</f>
        <v>9078000</v>
      </c>
      <c r="W205" s="7">
        <f>(Table1[[#This Row],[Units_Sold]]/$Z$1)</f>
        <v>0.60581211255852907</v>
      </c>
      <c r="X205" s="8">
        <f>((Table1[[#This Row],[Units_Sold]]*(Table1[[#This Row],[Selling_Price_per_Unit]]-Table1[[#This Row],[Manufacturing_Cost_per_Unit]]))-Table1[[#This Row],[Marketing_Spend]])/Table1[[#This Row],[Marketing_Spend]]</f>
        <v>-521.35770900820182</v>
      </c>
    </row>
    <row r="206" spans="1:24" hidden="1" x14ac:dyDescent="0.3">
      <c r="A206" s="1" t="s">
        <v>223</v>
      </c>
      <c r="B206" s="1" t="s">
        <v>1201</v>
      </c>
      <c r="C206" s="1" t="s">
        <v>1632</v>
      </c>
      <c r="D206" s="1" t="s">
        <v>1636</v>
      </c>
      <c r="E206" s="1">
        <v>2024</v>
      </c>
      <c r="F206" s="1" t="s">
        <v>1641</v>
      </c>
      <c r="G206" s="1">
        <v>2009</v>
      </c>
      <c r="H206" s="1">
        <v>8237</v>
      </c>
      <c r="I206" s="1">
        <v>13058</v>
      </c>
      <c r="J206" s="1">
        <v>81778</v>
      </c>
      <c r="K206" s="1">
        <v>2.83</v>
      </c>
      <c r="L206" s="1">
        <v>14</v>
      </c>
      <c r="M206" s="1">
        <v>3.43</v>
      </c>
      <c r="N206" s="1">
        <v>3.74</v>
      </c>
      <c r="O206" s="1">
        <v>71.03</v>
      </c>
      <c r="P206" s="1">
        <v>2.9</v>
      </c>
      <c r="Q206" s="1">
        <v>18646</v>
      </c>
      <c r="R206" s="1">
        <v>2129</v>
      </c>
      <c r="S206" s="1">
        <v>7</v>
      </c>
      <c r="T206" s="1">
        <f>(Table1[[#This Row],[Selling_Price_per_Unit]]-Table1[[#This Row],[Manufacturing_Cost_per_Unit]])*Table1[[#This Row],[Units_Sold]]-Table1[[#This Row],[Marketing_Spend]]-Table1[[#This Row],[Discount_%]]</f>
        <v>-9767170.7400000002</v>
      </c>
      <c r="U206" s="3">
        <f>Table1[[#This Row],[profit]]/(Table1[[#This Row],[Units_Sold]]*Table1[[#This Row],[Selling_Price_per_Unit]])*100</f>
        <v>-59.022795743785714</v>
      </c>
      <c r="V206" s="6">
        <f>Table1[[#This Row],[Units_Sold]]*Table1[[#This Row],[Selling_Price_per_Unit]]</f>
        <v>16548133</v>
      </c>
      <c r="W206" s="7">
        <f>(Table1[[#This Row],[Units_Sold]]/$Z$1)</f>
        <v>0.40220638933578484</v>
      </c>
      <c r="X206" s="8">
        <f>((Table1[[#This Row],[Units_Sold]]*(Table1[[#This Row],[Selling_Price_per_Unit]]-Table1[[#This Row],[Manufacturing_Cost_per_Unit]]))-Table1[[#This Row],[Marketing_Spend]])/Table1[[#This Row],[Marketing_Spend]]</f>
        <v>-119.4351414805938</v>
      </c>
    </row>
    <row r="207" spans="1:24" hidden="1" x14ac:dyDescent="0.3">
      <c r="A207" s="1" t="s">
        <v>224</v>
      </c>
      <c r="B207" s="1" t="s">
        <v>1202</v>
      </c>
      <c r="C207" s="1" t="s">
        <v>1632</v>
      </c>
      <c r="D207" s="1" t="s">
        <v>1637</v>
      </c>
      <c r="E207" s="1">
        <v>2023</v>
      </c>
      <c r="F207" s="1" t="s">
        <v>1639</v>
      </c>
      <c r="G207" s="1">
        <v>2435</v>
      </c>
      <c r="H207" s="1">
        <v>4794</v>
      </c>
      <c r="I207" s="1">
        <v>10559</v>
      </c>
      <c r="J207" s="1">
        <v>470950</v>
      </c>
      <c r="K207" s="1">
        <v>10.09</v>
      </c>
      <c r="L207" s="1">
        <v>17</v>
      </c>
      <c r="M207" s="1">
        <v>1.1100000000000001</v>
      </c>
      <c r="N207" s="1">
        <v>23.25</v>
      </c>
      <c r="O207" s="1">
        <v>71.22</v>
      </c>
      <c r="P207" s="1">
        <v>1.2</v>
      </c>
      <c r="Q207" s="1">
        <v>8405</v>
      </c>
      <c r="R207" s="1">
        <v>5817</v>
      </c>
      <c r="S207" s="1">
        <v>12</v>
      </c>
      <c r="T207" s="1">
        <f>(Table1[[#This Row],[Selling_Price_per_Unit]]-Table1[[#This Row],[Manufacturing_Cost_per_Unit]])*Table1[[#This Row],[Units_Sold]]-Table1[[#This Row],[Marketing_Spend]]-Table1[[#This Row],[Discount_%]]</f>
        <v>-14508748.25</v>
      </c>
      <c r="U207" s="3">
        <f>Table1[[#This Row],[profit]]/(Table1[[#This Row],[Units_Sold]]*Table1[[#This Row],[Selling_Price_per_Unit]])*100</f>
        <v>-124.28907326834792</v>
      </c>
      <c r="V207" s="6">
        <f>Table1[[#This Row],[Units_Sold]]*Table1[[#This Row],[Selling_Price_per_Unit]]</f>
        <v>11673390</v>
      </c>
      <c r="W207" s="7">
        <f>(Table1[[#This Row],[Units_Sold]]/$Z$1)</f>
        <v>0.48749256248513495</v>
      </c>
      <c r="X207" s="8">
        <f>((Table1[[#This Row],[Units_Sold]]*(Table1[[#This Row],[Selling_Price_per_Unit]]-Table1[[#This Row],[Manufacturing_Cost_per_Unit]]))-Table1[[#This Row],[Marketing_Spend]])/Table1[[#This Row],[Marketing_Spend]]</f>
        <v>-30.807357468945749</v>
      </c>
    </row>
    <row r="208" spans="1:24" hidden="1" x14ac:dyDescent="0.3">
      <c r="A208" s="1" t="s">
        <v>225</v>
      </c>
      <c r="B208" s="1" t="s">
        <v>1202</v>
      </c>
      <c r="C208" s="1" t="s">
        <v>1634</v>
      </c>
      <c r="D208" s="1" t="s">
        <v>1636</v>
      </c>
      <c r="E208" s="1">
        <v>2023</v>
      </c>
      <c r="F208" s="1" t="s">
        <v>1641</v>
      </c>
      <c r="G208" s="1">
        <v>2969</v>
      </c>
      <c r="H208" s="1">
        <v>5997</v>
      </c>
      <c r="I208" s="1">
        <v>6141</v>
      </c>
      <c r="J208" s="1">
        <v>204245</v>
      </c>
      <c r="K208" s="1">
        <v>14.66</v>
      </c>
      <c r="L208" s="1">
        <v>11</v>
      </c>
      <c r="M208" s="1">
        <v>5.7</v>
      </c>
      <c r="N208" s="1">
        <v>11.47</v>
      </c>
      <c r="O208" s="1">
        <v>38.5</v>
      </c>
      <c r="P208" s="1">
        <v>2.2000000000000002</v>
      </c>
      <c r="Q208" s="1">
        <v>6389</v>
      </c>
      <c r="R208" s="1">
        <v>2796</v>
      </c>
      <c r="S208" s="1">
        <v>11</v>
      </c>
      <c r="T208" s="1">
        <f>(Table1[[#This Row],[Selling_Price_per_Unit]]-Table1[[#This Row],[Manufacturing_Cost_per_Unit]])*Table1[[#This Row],[Units_Sold]]-Table1[[#This Row],[Marketing_Spend]]-Table1[[#This Row],[Discount_%]]</f>
        <v>-631792.47</v>
      </c>
      <c r="U208" s="3">
        <f>Table1[[#This Row],[profit]]/(Table1[[#This Row],[Units_Sold]]*Table1[[#This Row],[Selling_Price_per_Unit]])*100</f>
        <v>-3.5483806234541988</v>
      </c>
      <c r="V208" s="6">
        <f>Table1[[#This Row],[Units_Sold]]*Table1[[#This Row],[Selling_Price_per_Unit]]</f>
        <v>17805093</v>
      </c>
      <c r="W208" s="7">
        <f>(Table1[[#This Row],[Units_Sold]]/$Z$1)</f>
        <v>0.59440058234840476</v>
      </c>
      <c r="X208" s="8">
        <f>((Table1[[#This Row],[Units_Sold]]*(Table1[[#This Row],[Selling_Price_per_Unit]]-Table1[[#This Row],[Manufacturing_Cost_per_Unit]]))-Table1[[#This Row],[Marketing_Spend]])/Table1[[#This Row],[Marketing_Spend]]</f>
        <v>-3.0932507527724056</v>
      </c>
    </row>
    <row r="209" spans="1:24" hidden="1" x14ac:dyDescent="0.3">
      <c r="A209" s="1" t="s">
        <v>773</v>
      </c>
      <c r="B209" s="1" t="s">
        <v>1377</v>
      </c>
      <c r="C209" s="1" t="s">
        <v>1634</v>
      </c>
      <c r="D209" s="1" t="s">
        <v>1637</v>
      </c>
      <c r="E209" s="1">
        <v>2024</v>
      </c>
      <c r="F209" s="1" t="s">
        <v>1641</v>
      </c>
      <c r="G209" s="1">
        <v>3395</v>
      </c>
      <c r="H209" s="1">
        <v>15551</v>
      </c>
      <c r="I209" s="1">
        <v>955</v>
      </c>
      <c r="J209" s="1">
        <v>430596</v>
      </c>
      <c r="K209" s="1">
        <v>11.41</v>
      </c>
      <c r="L209" s="1">
        <v>1</v>
      </c>
      <c r="M209" s="1">
        <v>7.22</v>
      </c>
      <c r="N209" s="1">
        <v>12.48</v>
      </c>
      <c r="O209" s="1">
        <v>49.78</v>
      </c>
      <c r="P209" s="1">
        <v>4.7</v>
      </c>
      <c r="Q209" s="1">
        <v>11704</v>
      </c>
      <c r="R209" s="1">
        <v>5391</v>
      </c>
      <c r="S209" s="1">
        <v>14</v>
      </c>
      <c r="T209" s="1">
        <f>(Table1[[#This Row],[Selling_Price_per_Unit]]-Table1[[#This Row],[Manufacturing_Cost_per_Unit]])*Table1[[#This Row],[Units_Sold]]-Table1[[#This Row],[Marketing_Spend]]-Table1[[#This Row],[Discount_%]]</f>
        <v>49122811.520000003</v>
      </c>
      <c r="U209" s="3">
        <f>Table1[[#This Row],[profit]]/(Table1[[#This Row],[Units_Sold]]*Table1[[#This Row],[Selling_Price_per_Unit]])*100</f>
        <v>93.043302189034733</v>
      </c>
      <c r="V209" s="6">
        <f>Table1[[#This Row],[Units_Sold]]*Table1[[#This Row],[Selling_Price_per_Unit]]</f>
        <v>52795645</v>
      </c>
      <c r="W209" s="7">
        <f>(Table1[[#This Row],[Units_Sold]]/$Z$1)</f>
        <v>0.67968675549775492</v>
      </c>
      <c r="X209" s="8">
        <f>((Table1[[#This Row],[Units_Sold]]*(Table1[[#This Row],[Selling_Price_per_Unit]]-Table1[[#This Row],[Manufacturing_Cost_per_Unit]]))-Table1[[#This Row],[Marketing_Spend]])/Table1[[#This Row],[Marketing_Spend]]</f>
        <v>114.08100400375294</v>
      </c>
    </row>
    <row r="210" spans="1:24" hidden="1" x14ac:dyDescent="0.3">
      <c r="A210" s="1" t="s">
        <v>227</v>
      </c>
      <c r="B210" s="1" t="s">
        <v>1204</v>
      </c>
      <c r="C210" s="1" t="s">
        <v>1633</v>
      </c>
      <c r="D210" s="1" t="s">
        <v>1636</v>
      </c>
      <c r="E210" s="1">
        <v>2024</v>
      </c>
      <c r="F210" s="1" t="s">
        <v>1641</v>
      </c>
      <c r="G210" s="1">
        <v>1852</v>
      </c>
      <c r="H210" s="1">
        <v>2114</v>
      </c>
      <c r="I210" s="1">
        <v>11536</v>
      </c>
      <c r="J210" s="1">
        <v>252747</v>
      </c>
      <c r="K210" s="1">
        <v>0.12</v>
      </c>
      <c r="L210" s="1">
        <v>0</v>
      </c>
      <c r="M210" s="1">
        <v>7.15</v>
      </c>
      <c r="N210" s="1">
        <v>7.56</v>
      </c>
      <c r="O210" s="1">
        <v>74.09</v>
      </c>
      <c r="P210" s="1">
        <v>4.2</v>
      </c>
      <c r="Q210" s="1">
        <v>5457</v>
      </c>
      <c r="R210" s="1">
        <v>2763</v>
      </c>
      <c r="S210" s="1">
        <v>7</v>
      </c>
      <c r="T210" s="1">
        <f>(Table1[[#This Row],[Selling_Price_per_Unit]]-Table1[[#This Row],[Manufacturing_Cost_per_Unit]])*Table1[[#This Row],[Units_Sold]]-Table1[[#This Row],[Marketing_Spend]]-Table1[[#This Row],[Discount_%]]</f>
        <v>-17702298.559999999</v>
      </c>
      <c r="U210" s="3">
        <f>Table1[[#This Row],[profit]]/(Table1[[#This Row],[Units_Sold]]*Table1[[#This Row],[Selling_Price_per_Unit]])*100</f>
        <v>-452.15120833852677</v>
      </c>
      <c r="V210" s="6">
        <f>Table1[[#This Row],[Units_Sold]]*Table1[[#This Row],[Selling_Price_per_Unit]]</f>
        <v>3915128</v>
      </c>
      <c r="W210" s="7">
        <f>(Table1[[#This Row],[Units_Sold]]/$Z$1)</f>
        <v>0.37077463068684596</v>
      </c>
      <c r="X210" s="8">
        <f>((Table1[[#This Row],[Units_Sold]]*(Table1[[#This Row],[Selling_Price_per_Unit]]-Table1[[#This Row],[Manufacturing_Cost_per_Unit]]))-Table1[[#This Row],[Marketing_Spend]])/Table1[[#This Row],[Marketing_Spend]]</f>
        <v>-70.039569213482253</v>
      </c>
    </row>
    <row r="211" spans="1:24" x14ac:dyDescent="0.3">
      <c r="A211" s="1" t="s">
        <v>23</v>
      </c>
      <c r="B211" s="1" t="s">
        <v>1023</v>
      </c>
      <c r="C211" s="1" t="s">
        <v>1634</v>
      </c>
      <c r="D211" s="1" t="s">
        <v>1635</v>
      </c>
      <c r="E211" s="1">
        <v>2024</v>
      </c>
      <c r="F211" s="1" t="s">
        <v>1641</v>
      </c>
      <c r="G211" s="1">
        <v>4476</v>
      </c>
      <c r="H211" s="1">
        <v>13812</v>
      </c>
      <c r="I211" s="1">
        <v>2844</v>
      </c>
      <c r="J211" s="1">
        <v>72054</v>
      </c>
      <c r="K211" s="1">
        <v>2.27</v>
      </c>
      <c r="L211" s="1">
        <v>4</v>
      </c>
      <c r="M211" s="1">
        <v>5.3</v>
      </c>
      <c r="N211" s="1">
        <v>11.45</v>
      </c>
      <c r="O211" s="1">
        <v>42.51</v>
      </c>
      <c r="P211" s="1">
        <v>3.8</v>
      </c>
      <c r="Q211" s="1">
        <v>16859</v>
      </c>
      <c r="R211" s="1">
        <v>6718</v>
      </c>
      <c r="S211" s="1">
        <v>10</v>
      </c>
      <c r="T211" s="1">
        <f>(Table1[[#This Row],[Selling_Price_per_Unit]]-Table1[[#This Row],[Manufacturing_Cost_per_Unit]])*Table1[[#This Row],[Units_Sold]]-Table1[[#This Row],[Marketing_Spend]]-Table1[[#This Row],[Discount_%]]</f>
        <v>49020702.549999997</v>
      </c>
      <c r="U211" s="3">
        <f>Table1[[#This Row],[profit]]/(Table1[[#This Row],[Units_Sold]]*Table1[[#This Row],[Selling_Price_per_Unit]])*100</f>
        <v>79.292641085176214</v>
      </c>
      <c r="V211" s="6">
        <f>Table1[[#This Row],[Units_Sold]]*Table1[[#This Row],[Selling_Price_per_Unit]]</f>
        <v>61822512</v>
      </c>
      <c r="W211" s="7">
        <f>(Table1[[#This Row],[Units_Sold]]/$Z$1)</f>
        <v>0.89610542492134049</v>
      </c>
      <c r="X211" s="8">
        <f>((Table1[[#This Row],[Units_Sold]]*(Table1[[#This Row],[Selling_Price_per_Unit]]-Table1[[#This Row],[Manufacturing_Cost_per_Unit]]))-Table1[[#This Row],[Marketing_Spend]])/Table1[[#This Row],[Marketing_Spend]]</f>
        <v>680.33300024981259</v>
      </c>
    </row>
    <row r="212" spans="1:24" hidden="1" x14ac:dyDescent="0.3">
      <c r="A212" s="1" t="s">
        <v>229</v>
      </c>
      <c r="B212" s="1" t="s">
        <v>1206</v>
      </c>
      <c r="C212" s="1" t="s">
        <v>1634</v>
      </c>
      <c r="D212" s="1" t="s">
        <v>1638</v>
      </c>
      <c r="E212" s="1">
        <v>2024</v>
      </c>
      <c r="F212" s="1" t="s">
        <v>1642</v>
      </c>
      <c r="G212" s="1">
        <v>3419</v>
      </c>
      <c r="H212" s="1">
        <v>4167</v>
      </c>
      <c r="I212" s="1">
        <v>2056</v>
      </c>
      <c r="J212" s="1">
        <v>68800</v>
      </c>
      <c r="K212" s="1">
        <v>1.39</v>
      </c>
      <c r="L212" s="1">
        <v>0</v>
      </c>
      <c r="M212" s="1">
        <v>4.4400000000000004</v>
      </c>
      <c r="N212" s="1">
        <v>11.71</v>
      </c>
      <c r="O212" s="1">
        <v>82.27</v>
      </c>
      <c r="P212" s="1">
        <v>4.2</v>
      </c>
      <c r="Q212" s="1">
        <v>6121</v>
      </c>
      <c r="R212" s="1">
        <v>5104</v>
      </c>
      <c r="S212" s="1">
        <v>4</v>
      </c>
      <c r="T212" s="1">
        <f>(Table1[[#This Row],[Selling_Price_per_Unit]]-Table1[[#This Row],[Manufacturing_Cost_per_Unit]])*Table1[[#This Row],[Units_Sold]]-Table1[[#This Row],[Marketing_Spend]]-Table1[[#This Row],[Discount_%]]</f>
        <v>7148697.29</v>
      </c>
      <c r="U212" s="3">
        <f>Table1[[#This Row],[profit]]/(Table1[[#This Row],[Units_Sold]]*Table1[[#This Row],[Selling_Price_per_Unit]])*100</f>
        <v>50.176955413616632</v>
      </c>
      <c r="V212" s="6">
        <f>Table1[[#This Row],[Units_Sold]]*Table1[[#This Row],[Selling_Price_per_Unit]]</f>
        <v>14246973</v>
      </c>
      <c r="W212" s="7">
        <f>(Table1[[#This Row],[Units_Sold]]/$Z$1)</f>
        <v>0.68449161032307038</v>
      </c>
      <c r="X212" s="8">
        <f>((Table1[[#This Row],[Units_Sold]]*(Table1[[#This Row],[Selling_Price_per_Unit]]-Table1[[#This Row],[Manufacturing_Cost_per_Unit]]))-Table1[[#This Row],[Marketing_Spend]])/Table1[[#This Row],[Marketing_Spend]]</f>
        <v>103.90565406976744</v>
      </c>
    </row>
    <row r="213" spans="1:24" hidden="1" x14ac:dyDescent="0.3">
      <c r="A213" s="1" t="s">
        <v>230</v>
      </c>
      <c r="B213" s="1" t="s">
        <v>1207</v>
      </c>
      <c r="C213" s="1" t="s">
        <v>1633</v>
      </c>
      <c r="D213" s="1" t="s">
        <v>1638</v>
      </c>
      <c r="E213" s="1">
        <v>2023</v>
      </c>
      <c r="F213" s="1" t="s">
        <v>1642</v>
      </c>
      <c r="G213" s="1">
        <v>312</v>
      </c>
      <c r="H213" s="1">
        <v>14909</v>
      </c>
      <c r="I213" s="1">
        <v>11982</v>
      </c>
      <c r="J213" s="1">
        <v>337516</v>
      </c>
      <c r="K213" s="1">
        <v>11.23</v>
      </c>
      <c r="L213" s="1">
        <v>14</v>
      </c>
      <c r="M213" s="1">
        <v>2.82</v>
      </c>
      <c r="N213" s="1">
        <v>21.33</v>
      </c>
      <c r="O213" s="1">
        <v>15.58</v>
      </c>
      <c r="P213" s="1">
        <v>3.7</v>
      </c>
      <c r="Q213" s="1">
        <v>16432</v>
      </c>
      <c r="R213" s="1">
        <v>6421</v>
      </c>
      <c r="S213" s="1">
        <v>12</v>
      </c>
      <c r="T213" s="1">
        <f>(Table1[[#This Row],[Selling_Price_per_Unit]]-Table1[[#This Row],[Manufacturing_Cost_per_Unit]])*Table1[[#This Row],[Units_Sold]]-Table1[[#This Row],[Marketing_Spend]]-Table1[[#This Row],[Discount_%]]</f>
        <v>575686.67000000004</v>
      </c>
      <c r="U213" s="3">
        <f>Table1[[#This Row],[profit]]/(Table1[[#This Row],[Units_Sold]]*Table1[[#This Row],[Selling_Price_per_Unit]])*100</f>
        <v>12.376078766740449</v>
      </c>
      <c r="V213" s="6">
        <f>Table1[[#This Row],[Units_Sold]]*Table1[[#This Row],[Selling_Price_per_Unit]]</f>
        <v>4651608</v>
      </c>
      <c r="W213" s="7">
        <f>(Table1[[#This Row],[Units_Sold]]/$Z$1)</f>
        <v>6.2463112729101482E-2</v>
      </c>
      <c r="X213" s="8">
        <f>((Table1[[#This Row],[Units_Sold]]*(Table1[[#This Row],[Selling_Price_per_Unit]]-Table1[[#This Row],[Manufacturing_Cost_per_Unit]]))-Table1[[#This Row],[Marketing_Spend]])/Table1[[#This Row],[Marketing_Spend]]</f>
        <v>1.7057206176892354</v>
      </c>
    </row>
    <row r="214" spans="1:24" hidden="1" x14ac:dyDescent="0.3">
      <c r="A214" s="1" t="s">
        <v>231</v>
      </c>
      <c r="B214" s="1" t="s">
        <v>1208</v>
      </c>
      <c r="C214" s="1" t="s">
        <v>1634</v>
      </c>
      <c r="D214" s="1" t="s">
        <v>1637</v>
      </c>
      <c r="E214" s="1">
        <v>2023</v>
      </c>
      <c r="F214" s="1" t="s">
        <v>1641</v>
      </c>
      <c r="G214" s="1">
        <v>673</v>
      </c>
      <c r="H214" s="1">
        <v>18014</v>
      </c>
      <c r="I214" s="1">
        <v>8497</v>
      </c>
      <c r="J214" s="1">
        <v>373660</v>
      </c>
      <c r="K214" s="1">
        <v>13.72</v>
      </c>
      <c r="L214" s="1">
        <v>9</v>
      </c>
      <c r="M214" s="1">
        <v>0.81</v>
      </c>
      <c r="N214" s="1">
        <v>23.34</v>
      </c>
      <c r="O214" s="1">
        <v>14.66</v>
      </c>
      <c r="P214" s="1">
        <v>3.9</v>
      </c>
      <c r="Q214" s="1">
        <v>2339</v>
      </c>
      <c r="R214" s="1">
        <v>5225</v>
      </c>
      <c r="S214" s="1">
        <v>5</v>
      </c>
      <c r="T214" s="1">
        <f>(Table1[[#This Row],[Selling_Price_per_Unit]]-Table1[[#This Row],[Manufacturing_Cost_per_Unit]])*Table1[[#This Row],[Units_Sold]]-Table1[[#This Row],[Marketing_Spend]]-Table1[[#This Row],[Discount_%]]</f>
        <v>6031257.6600000001</v>
      </c>
      <c r="U214" s="3">
        <f>Table1[[#This Row],[profit]]/(Table1[[#This Row],[Units_Sold]]*Table1[[#This Row],[Selling_Price_per_Unit]])*100</f>
        <v>49.748805741481242</v>
      </c>
      <c r="V214" s="6">
        <f>Table1[[#This Row],[Units_Sold]]*Table1[[#This Row],[Selling_Price_per_Unit]]</f>
        <v>12123422</v>
      </c>
      <c r="W214" s="7">
        <f>(Table1[[#This Row],[Units_Sold]]/$Z$1)</f>
        <v>0.1347361373932221</v>
      </c>
      <c r="X214" s="8">
        <f>((Table1[[#This Row],[Units_Sold]]*(Table1[[#This Row],[Selling_Price_per_Unit]]-Table1[[#This Row],[Manufacturing_Cost_per_Unit]]))-Table1[[#This Row],[Marketing_Spend]])/Table1[[#This Row],[Marketing_Spend]]</f>
        <v>16.141093507466682</v>
      </c>
    </row>
    <row r="215" spans="1:24" hidden="1" x14ac:dyDescent="0.3">
      <c r="A215" s="1" t="s">
        <v>232</v>
      </c>
      <c r="B215" s="1" t="s">
        <v>1209</v>
      </c>
      <c r="C215" s="1" t="s">
        <v>1633</v>
      </c>
      <c r="D215" s="1" t="s">
        <v>1636</v>
      </c>
      <c r="E215" s="1">
        <v>2023</v>
      </c>
      <c r="F215" s="1" t="s">
        <v>1642</v>
      </c>
      <c r="G215" s="1">
        <v>1066</v>
      </c>
      <c r="H215" s="1">
        <v>4483</v>
      </c>
      <c r="I215" s="1">
        <v>2996</v>
      </c>
      <c r="J215" s="1">
        <v>332682</v>
      </c>
      <c r="K215" s="1">
        <v>6.51</v>
      </c>
      <c r="L215" s="1">
        <v>6</v>
      </c>
      <c r="M215" s="1">
        <v>8.77</v>
      </c>
      <c r="N215" s="1">
        <v>23.32</v>
      </c>
      <c r="O215" s="1">
        <v>84.16</v>
      </c>
      <c r="P215" s="1">
        <v>2.7</v>
      </c>
      <c r="Q215" s="1">
        <v>10743</v>
      </c>
      <c r="R215" s="1">
        <v>5048</v>
      </c>
      <c r="S215" s="1">
        <v>10</v>
      </c>
      <c r="T215" s="1">
        <f>(Table1[[#This Row],[Selling_Price_per_Unit]]-Table1[[#This Row],[Manufacturing_Cost_per_Unit]])*Table1[[#This Row],[Units_Sold]]-Table1[[#This Row],[Marketing_Spend]]-Table1[[#This Row],[Discount_%]]</f>
        <v>1252436.68</v>
      </c>
      <c r="U215" s="3">
        <f>Table1[[#This Row],[profit]]/(Table1[[#This Row],[Units_Sold]]*Table1[[#This Row],[Selling_Price_per_Unit]])*100</f>
        <v>26.207755879099654</v>
      </c>
      <c r="V215" s="6">
        <f>Table1[[#This Row],[Units_Sold]]*Table1[[#This Row],[Selling_Price_per_Unit]]</f>
        <v>4778878</v>
      </c>
      <c r="W215" s="7">
        <f>(Table1[[#This Row],[Units_Sold]]/$Z$1)</f>
        <v>0.21341563515776338</v>
      </c>
      <c r="X215" s="8">
        <f>((Table1[[#This Row],[Units_Sold]]*(Table1[[#This Row],[Selling_Price_per_Unit]]-Table1[[#This Row],[Manufacturing_Cost_per_Unit]]))-Table1[[#This Row],[Marketing_Spend]])/Table1[[#This Row],[Marketing_Spend]]</f>
        <v>3.7647362947198828</v>
      </c>
    </row>
    <row r="216" spans="1:24" hidden="1" x14ac:dyDescent="0.3">
      <c r="A216" s="1" t="s">
        <v>233</v>
      </c>
      <c r="B216" s="1" t="s">
        <v>1063</v>
      </c>
      <c r="C216" s="1" t="s">
        <v>1632</v>
      </c>
      <c r="D216" s="1" t="s">
        <v>1638</v>
      </c>
      <c r="E216" s="1">
        <v>2024</v>
      </c>
      <c r="F216" s="1" t="s">
        <v>1639</v>
      </c>
      <c r="G216" s="1">
        <v>3693</v>
      </c>
      <c r="H216" s="1">
        <v>14151</v>
      </c>
      <c r="I216" s="1">
        <v>12460</v>
      </c>
      <c r="J216" s="1">
        <v>376062</v>
      </c>
      <c r="K216" s="1">
        <v>3.88</v>
      </c>
      <c r="L216" s="1">
        <v>1</v>
      </c>
      <c r="M216" s="1">
        <v>7.29</v>
      </c>
      <c r="N216" s="1">
        <v>3.13</v>
      </c>
      <c r="O216" s="1">
        <v>61.88</v>
      </c>
      <c r="P216" s="1">
        <v>3.7</v>
      </c>
      <c r="Q216" s="1">
        <v>11096</v>
      </c>
      <c r="R216" s="1">
        <v>4502</v>
      </c>
      <c r="S216" s="1">
        <v>4</v>
      </c>
      <c r="T216" s="1">
        <f>(Table1[[#This Row],[Selling_Price_per_Unit]]-Table1[[#This Row],[Manufacturing_Cost_per_Unit]])*Table1[[#This Row],[Units_Sold]]-Table1[[#This Row],[Marketing_Spend]]-Table1[[#This Row],[Discount_%]]</f>
        <v>5868797.8700000001</v>
      </c>
      <c r="U216" s="3">
        <f>Table1[[#This Row],[profit]]/(Table1[[#This Row],[Units_Sold]]*Table1[[#This Row],[Selling_Price_per_Unit]])*100</f>
        <v>11.230076466461894</v>
      </c>
      <c r="V216" s="6">
        <f>Table1[[#This Row],[Units_Sold]]*Table1[[#This Row],[Selling_Price_per_Unit]]</f>
        <v>52259643</v>
      </c>
      <c r="W216" s="7">
        <f>(Table1[[#This Row],[Units_Sold]]/$Z$1)</f>
        <v>0.73934703624542231</v>
      </c>
      <c r="X216" s="8">
        <f>((Table1[[#This Row],[Units_Sold]]*(Table1[[#This Row],[Selling_Price_per_Unit]]-Table1[[#This Row],[Manufacturing_Cost_per_Unit]]))-Table1[[#This Row],[Marketing_Spend]])/Table1[[#This Row],[Marketing_Spend]]</f>
        <v>15.605939977982354</v>
      </c>
    </row>
    <row r="217" spans="1:24" hidden="1" x14ac:dyDescent="0.3">
      <c r="A217" s="1" t="s">
        <v>234</v>
      </c>
      <c r="B217" s="1" t="s">
        <v>1210</v>
      </c>
      <c r="C217" s="1" t="s">
        <v>1633</v>
      </c>
      <c r="D217" s="1" t="s">
        <v>1637</v>
      </c>
      <c r="E217" s="1">
        <v>2024</v>
      </c>
      <c r="F217" s="1" t="s">
        <v>1641</v>
      </c>
      <c r="G217" s="1">
        <v>2099</v>
      </c>
      <c r="H217" s="1">
        <v>9730</v>
      </c>
      <c r="I217" s="1">
        <v>7965</v>
      </c>
      <c r="J217" s="1">
        <v>458189</v>
      </c>
      <c r="K217" s="1">
        <v>6.52</v>
      </c>
      <c r="L217" s="1">
        <v>9</v>
      </c>
      <c r="M217" s="1">
        <v>3.01</v>
      </c>
      <c r="N217" s="1">
        <v>9.5500000000000007</v>
      </c>
      <c r="O217" s="1">
        <v>40.369999999999997</v>
      </c>
      <c r="P217" s="1">
        <v>3.4</v>
      </c>
      <c r="Q217" s="1">
        <v>8498</v>
      </c>
      <c r="R217" s="1">
        <v>3527</v>
      </c>
      <c r="S217" s="1">
        <v>2</v>
      </c>
      <c r="T217" s="1">
        <f>(Table1[[#This Row],[Selling_Price_per_Unit]]-Table1[[#This Row],[Manufacturing_Cost_per_Unit]])*Table1[[#This Row],[Units_Sold]]-Table1[[#This Row],[Marketing_Spend]]-Table1[[#This Row],[Discount_%]]</f>
        <v>3246536.45</v>
      </c>
      <c r="U217" s="3">
        <f>Table1[[#This Row],[profit]]/(Table1[[#This Row],[Units_Sold]]*Table1[[#This Row],[Selling_Price_per_Unit]])*100</f>
        <v>15.896261715190565</v>
      </c>
      <c r="V217" s="6">
        <f>Table1[[#This Row],[Units_Sold]]*Table1[[#This Row],[Selling_Price_per_Unit]]</f>
        <v>20423270</v>
      </c>
      <c r="W217" s="7">
        <f>(Table1[[#This Row],[Units_Sold]]/$Z$1)</f>
        <v>0.42022459493071795</v>
      </c>
      <c r="X217" s="8">
        <f>((Table1[[#This Row],[Units_Sold]]*(Table1[[#This Row],[Selling_Price_per_Unit]]-Table1[[#This Row],[Manufacturing_Cost_per_Unit]]))-Table1[[#This Row],[Marketing_Spend]])/Table1[[#This Row],[Marketing_Spend]]</f>
        <v>7.0856044121530637</v>
      </c>
    </row>
    <row r="218" spans="1:24" x14ac:dyDescent="0.3">
      <c r="A218" s="1" t="s">
        <v>235</v>
      </c>
      <c r="B218" s="1" t="s">
        <v>1211</v>
      </c>
      <c r="C218" s="1" t="s">
        <v>1632</v>
      </c>
      <c r="D218" s="1" t="s">
        <v>1636</v>
      </c>
      <c r="E218" s="1">
        <v>2024</v>
      </c>
      <c r="F218" s="1" t="s">
        <v>1639</v>
      </c>
      <c r="G218" s="1">
        <v>3773</v>
      </c>
      <c r="H218" s="1">
        <v>8140</v>
      </c>
      <c r="I218" s="1">
        <v>11700</v>
      </c>
      <c r="J218" s="1">
        <v>383299</v>
      </c>
      <c r="K218" s="1">
        <v>10.85</v>
      </c>
      <c r="L218" s="1">
        <v>3</v>
      </c>
      <c r="M218" s="1">
        <v>5.99</v>
      </c>
      <c r="N218" s="1">
        <v>0.71</v>
      </c>
      <c r="O218" s="1">
        <v>70.400000000000006</v>
      </c>
      <c r="P218" s="1">
        <v>4.0999999999999996</v>
      </c>
      <c r="Q218" s="1">
        <v>11629</v>
      </c>
      <c r="R218" s="1">
        <v>6012</v>
      </c>
      <c r="S218" s="1">
        <v>4</v>
      </c>
      <c r="T218" s="1">
        <f>(Table1[[#This Row],[Selling_Price_per_Unit]]-Table1[[#This Row],[Manufacturing_Cost_per_Unit]])*Table1[[#This Row],[Units_Sold]]-Table1[[#This Row],[Marketing_Spend]]-Table1[[#This Row],[Discount_%]]</f>
        <v>-13815179.710000001</v>
      </c>
      <c r="U218" s="3">
        <f>Table1[[#This Row],[profit]]/(Table1[[#This Row],[Units_Sold]]*Table1[[#This Row],[Selling_Price_per_Unit]])*100</f>
        <v>-44.982680216539215</v>
      </c>
      <c r="V218" s="6">
        <f>Table1[[#This Row],[Units_Sold]]*Table1[[#This Row],[Selling_Price_per_Unit]]</f>
        <v>30712220</v>
      </c>
      <c r="W218" s="7">
        <f>(Table1[[#This Row],[Units_Sold]]/$Z$1)</f>
        <v>0.75536321899647396</v>
      </c>
      <c r="X218" s="8">
        <f>((Table1[[#This Row],[Units_Sold]]*(Table1[[#This Row],[Selling_Price_per_Unit]]-Table1[[#This Row],[Manufacturing_Cost_per_Unit]]))-Table1[[#This Row],[Marketing_Spend]])/Table1[[#This Row],[Marketing_Spend]]</f>
        <v>-36.042825574812355</v>
      </c>
    </row>
    <row r="219" spans="1:24" x14ac:dyDescent="0.3">
      <c r="A219" s="1" t="s">
        <v>555</v>
      </c>
      <c r="B219" s="1" t="s">
        <v>1421</v>
      </c>
      <c r="C219" s="1" t="s">
        <v>1632</v>
      </c>
      <c r="D219" s="1" t="s">
        <v>1637</v>
      </c>
      <c r="E219" s="1">
        <v>2023</v>
      </c>
      <c r="F219" s="1" t="s">
        <v>1639</v>
      </c>
      <c r="G219" s="1">
        <v>4236</v>
      </c>
      <c r="H219" s="1">
        <v>19811</v>
      </c>
      <c r="I219" s="1">
        <v>8321</v>
      </c>
      <c r="J219" s="1">
        <v>449009</v>
      </c>
      <c r="K219" s="1">
        <v>8.4499999999999993</v>
      </c>
      <c r="L219" s="1">
        <v>17</v>
      </c>
      <c r="M219" s="1">
        <v>9.34</v>
      </c>
      <c r="N219" s="1">
        <v>3.98</v>
      </c>
      <c r="O219" s="1">
        <v>21.43</v>
      </c>
      <c r="P219" s="1">
        <v>2</v>
      </c>
      <c r="Q219" s="1">
        <v>8792</v>
      </c>
      <c r="R219" s="1">
        <v>9083</v>
      </c>
      <c r="S219" s="1">
        <v>10</v>
      </c>
      <c r="T219" s="1">
        <f>(Table1[[#This Row],[Selling_Price_per_Unit]]-Table1[[#This Row],[Manufacturing_Cost_per_Unit]])*Table1[[#This Row],[Units_Sold]]-Table1[[#This Row],[Marketing_Spend]]-Table1[[#This Row],[Discount_%]]</f>
        <v>48222627.020000003</v>
      </c>
      <c r="U219" s="3">
        <f>Table1[[#This Row],[profit]]/(Table1[[#This Row],[Units_Sold]]*Table1[[#This Row],[Selling_Price_per_Unit]])*100</f>
        <v>57.463029190534222</v>
      </c>
      <c r="V219" s="6">
        <f>Table1[[#This Row],[Units_Sold]]*Table1[[#This Row],[Selling_Price_per_Unit]]</f>
        <v>83919396</v>
      </c>
      <c r="W219" s="7">
        <f>(Table1[[#This Row],[Units_Sold]]/$Z$1)</f>
        <v>0.84805687666818552</v>
      </c>
      <c r="X219" s="8">
        <f>((Table1[[#This Row],[Units_Sold]]*(Table1[[#This Row],[Selling_Price_per_Unit]]-Table1[[#This Row],[Manufacturing_Cost_per_Unit]]))-Table1[[#This Row],[Marketing_Spend]])/Table1[[#This Row],[Marketing_Spend]]</f>
        <v>107.39791630011871</v>
      </c>
    </row>
    <row r="220" spans="1:24" x14ac:dyDescent="0.3">
      <c r="A220" s="1" t="s">
        <v>640</v>
      </c>
      <c r="B220" s="1" t="s">
        <v>1302</v>
      </c>
      <c r="C220" s="1" t="s">
        <v>1632</v>
      </c>
      <c r="D220" s="1" t="s">
        <v>1635</v>
      </c>
      <c r="E220" s="1">
        <v>2023</v>
      </c>
      <c r="F220" s="1" t="s">
        <v>1639</v>
      </c>
      <c r="G220" s="1">
        <v>3975</v>
      </c>
      <c r="H220" s="1">
        <v>15494</v>
      </c>
      <c r="I220" s="1">
        <v>3355</v>
      </c>
      <c r="J220" s="1">
        <v>295739</v>
      </c>
      <c r="K220" s="1">
        <v>1.01</v>
      </c>
      <c r="L220" s="1">
        <v>8</v>
      </c>
      <c r="M220" s="1">
        <v>9.52</v>
      </c>
      <c r="N220" s="1">
        <v>17.690000000000001</v>
      </c>
      <c r="O220" s="1">
        <v>28.61</v>
      </c>
      <c r="P220" s="1">
        <v>1.7</v>
      </c>
      <c r="Q220" s="1">
        <v>3332</v>
      </c>
      <c r="R220" s="1">
        <v>2255</v>
      </c>
      <c r="S220" s="1">
        <v>3</v>
      </c>
      <c r="T220" s="1">
        <f>(Table1[[#This Row],[Selling_Price_per_Unit]]-Table1[[#This Row],[Manufacturing_Cost_per_Unit]])*Table1[[#This Row],[Units_Sold]]-Table1[[#This Row],[Marketing_Spend]]-Table1[[#This Row],[Discount_%]]</f>
        <v>47956768.310000002</v>
      </c>
      <c r="U220" s="3">
        <f>Table1[[#This Row],[profit]]/(Table1[[#This Row],[Units_Sold]]*Table1[[#This Row],[Selling_Price_per_Unit]])*100</f>
        <v>77.8662437153599</v>
      </c>
      <c r="V220" s="6">
        <f>Table1[[#This Row],[Units_Sold]]*Table1[[#This Row],[Selling_Price_per_Unit]]</f>
        <v>61588650</v>
      </c>
      <c r="W220" s="7">
        <f>(Table1[[#This Row],[Units_Sold]]/$Z$1)</f>
        <v>0.79580408044287942</v>
      </c>
      <c r="X220" s="8">
        <f>((Table1[[#This Row],[Units_Sold]]*(Table1[[#This Row],[Selling_Price_per_Unit]]-Table1[[#This Row],[Manufacturing_Cost_per_Unit]]))-Table1[[#This Row],[Marketing_Spend]])/Table1[[#This Row],[Marketing_Spend]]</f>
        <v>162.15915384849478</v>
      </c>
    </row>
    <row r="221" spans="1:24" x14ac:dyDescent="0.3">
      <c r="A221" s="1" t="s">
        <v>238</v>
      </c>
      <c r="B221" s="1" t="s">
        <v>1213</v>
      </c>
      <c r="C221" s="1" t="s">
        <v>1634</v>
      </c>
      <c r="D221" s="1" t="s">
        <v>1635</v>
      </c>
      <c r="E221" s="1">
        <v>2024</v>
      </c>
      <c r="F221" s="1" t="s">
        <v>1642</v>
      </c>
      <c r="G221" s="1">
        <v>4140</v>
      </c>
      <c r="H221" s="1">
        <v>18804</v>
      </c>
      <c r="I221" s="1">
        <v>7181</v>
      </c>
      <c r="J221" s="1">
        <v>217647</v>
      </c>
      <c r="K221" s="1">
        <v>9.1999999999999993</v>
      </c>
      <c r="L221" s="1">
        <v>10</v>
      </c>
      <c r="M221" s="1">
        <v>1.1499999999999999</v>
      </c>
      <c r="N221" s="1">
        <v>15.78</v>
      </c>
      <c r="O221" s="1">
        <v>17.91</v>
      </c>
      <c r="P221" s="1">
        <v>3.6</v>
      </c>
      <c r="Q221" s="1">
        <v>14474</v>
      </c>
      <c r="R221" s="1">
        <v>429</v>
      </c>
      <c r="S221" s="1">
        <v>8</v>
      </c>
      <c r="T221" s="1">
        <f>(Table1[[#This Row],[Selling_Price_per_Unit]]-Table1[[#This Row],[Manufacturing_Cost_per_Unit]])*Table1[[#This Row],[Units_Sold]]-Table1[[#This Row],[Marketing_Spend]]-Table1[[#This Row],[Discount_%]]</f>
        <v>47901557.219999999</v>
      </c>
      <c r="U221" s="3">
        <f>Table1[[#This Row],[profit]]/(Table1[[#This Row],[Units_Sold]]*Table1[[#This Row],[Selling_Price_per_Unit]])*100</f>
        <v>61.531719045284838</v>
      </c>
      <c r="V221" s="6">
        <f>Table1[[#This Row],[Units_Sold]]*Table1[[#This Row],[Selling_Price_per_Unit]]</f>
        <v>77848560</v>
      </c>
      <c r="W221" s="7">
        <f>(Table1[[#This Row],[Units_Sold]]/$Z$1)</f>
        <v>0.82883745736692349</v>
      </c>
      <c r="X221" s="8">
        <f>((Table1[[#This Row],[Units_Sold]]*(Table1[[#This Row],[Selling_Price_per_Unit]]-Table1[[#This Row],[Manufacturing_Cost_per_Unit]]))-Table1[[#This Row],[Marketing_Spend]])/Table1[[#This Row],[Marketing_Spend]]</f>
        <v>220.08836786172105</v>
      </c>
    </row>
    <row r="222" spans="1:24" hidden="1" x14ac:dyDescent="0.3">
      <c r="A222" s="1" t="s">
        <v>239</v>
      </c>
      <c r="B222" s="1" t="s">
        <v>1125</v>
      </c>
      <c r="C222" s="1" t="s">
        <v>1632</v>
      </c>
      <c r="D222" s="1" t="s">
        <v>1637</v>
      </c>
      <c r="E222" s="1">
        <v>2023</v>
      </c>
      <c r="F222" s="1" t="s">
        <v>1641</v>
      </c>
      <c r="G222" s="1">
        <v>2106</v>
      </c>
      <c r="H222" s="1">
        <v>9064</v>
      </c>
      <c r="I222" s="1">
        <v>1446</v>
      </c>
      <c r="J222" s="1">
        <v>286527</v>
      </c>
      <c r="K222" s="1">
        <v>9.57</v>
      </c>
      <c r="L222" s="1">
        <v>7</v>
      </c>
      <c r="M222" s="1">
        <v>0.04</v>
      </c>
      <c r="N222" s="1">
        <v>17.87</v>
      </c>
      <c r="O222" s="1">
        <v>74.97</v>
      </c>
      <c r="P222" s="1">
        <v>1.4</v>
      </c>
      <c r="Q222" s="1">
        <v>2637</v>
      </c>
      <c r="R222" s="1">
        <v>872</v>
      </c>
      <c r="S222" s="1">
        <v>12</v>
      </c>
      <c r="T222" s="1">
        <f>(Table1[[#This Row],[Selling_Price_per_Unit]]-Table1[[#This Row],[Manufacturing_Cost_per_Unit]])*Table1[[#This Row],[Units_Sold]]-Table1[[#This Row],[Marketing_Spend]]-Table1[[#This Row],[Discount_%]]</f>
        <v>15756963.130000001</v>
      </c>
      <c r="U222" s="3">
        <f>Table1[[#This Row],[profit]]/(Table1[[#This Row],[Units_Sold]]*Table1[[#This Row],[Selling_Price_per_Unit]])*100</f>
        <v>82.545662049505097</v>
      </c>
      <c r="V222" s="6">
        <f>Table1[[#This Row],[Units_Sold]]*Table1[[#This Row],[Selling_Price_per_Unit]]</f>
        <v>19088784</v>
      </c>
      <c r="W222" s="7">
        <f>(Table1[[#This Row],[Units_Sold]]/$Z$1)</f>
        <v>0.42162601092143498</v>
      </c>
      <c r="X222" s="8">
        <f>((Table1[[#This Row],[Units_Sold]]*(Table1[[#This Row],[Selling_Price_per_Unit]]-Table1[[#This Row],[Manufacturing_Cost_per_Unit]]))-Table1[[#This Row],[Marketing_Spend]])/Table1[[#This Row],[Marketing_Spend]]</f>
        <v>54.993005894732434</v>
      </c>
    </row>
    <row r="223" spans="1:24" hidden="1" x14ac:dyDescent="0.3">
      <c r="A223" s="1" t="s">
        <v>240</v>
      </c>
      <c r="B223" s="1" t="s">
        <v>1214</v>
      </c>
      <c r="C223" s="1" t="s">
        <v>1632</v>
      </c>
      <c r="D223" s="1" t="s">
        <v>1637</v>
      </c>
      <c r="E223" s="1">
        <v>2023</v>
      </c>
      <c r="F223" s="1" t="s">
        <v>1639</v>
      </c>
      <c r="G223" s="1">
        <v>3220</v>
      </c>
      <c r="H223" s="1">
        <v>17020</v>
      </c>
      <c r="I223" s="1">
        <v>13750</v>
      </c>
      <c r="J223" s="1">
        <v>485477</v>
      </c>
      <c r="K223" s="1">
        <v>3.63</v>
      </c>
      <c r="L223" s="1">
        <v>17</v>
      </c>
      <c r="M223" s="1">
        <v>5.0199999999999996</v>
      </c>
      <c r="N223" s="1">
        <v>10.75</v>
      </c>
      <c r="O223" s="1">
        <v>79.28</v>
      </c>
      <c r="P223" s="1">
        <v>2.7</v>
      </c>
      <c r="Q223" s="1">
        <v>15200</v>
      </c>
      <c r="R223" s="1">
        <v>8235</v>
      </c>
      <c r="S223" s="1">
        <v>6</v>
      </c>
      <c r="T223" s="1">
        <f>(Table1[[#This Row],[Selling_Price_per_Unit]]-Table1[[#This Row],[Manufacturing_Cost_per_Unit]])*Table1[[#This Row],[Units_Sold]]-Table1[[#This Row],[Marketing_Spend]]-Table1[[#This Row],[Discount_%]]</f>
        <v>10043912.25</v>
      </c>
      <c r="U223" s="3">
        <f>Table1[[#This Row],[profit]]/(Table1[[#This Row],[Units_Sold]]*Table1[[#This Row],[Selling_Price_per_Unit]])*100</f>
        <v>18.326835527804334</v>
      </c>
      <c r="V223" s="6">
        <f>Table1[[#This Row],[Units_Sold]]*Table1[[#This Row],[Selling_Price_per_Unit]]</f>
        <v>54804400</v>
      </c>
      <c r="W223" s="7">
        <f>(Table1[[#This Row],[Units_Sold]]/$Z$1)</f>
        <v>0.64465135572982935</v>
      </c>
      <c r="X223" s="8">
        <f>((Table1[[#This Row],[Units_Sold]]*(Table1[[#This Row],[Selling_Price_per_Unit]]-Table1[[#This Row],[Manufacturing_Cost_per_Unit]]))-Table1[[#This Row],[Marketing_Spend]])/Table1[[#This Row],[Marketing_Spend]]</f>
        <v>20.688772073651275</v>
      </c>
    </row>
    <row r="224" spans="1:24" hidden="1" x14ac:dyDescent="0.3">
      <c r="A224" s="1" t="s">
        <v>241</v>
      </c>
      <c r="B224" s="1" t="s">
        <v>1215</v>
      </c>
      <c r="C224" s="1" t="s">
        <v>1632</v>
      </c>
      <c r="D224" s="1" t="s">
        <v>1638</v>
      </c>
      <c r="E224" s="1">
        <v>2023</v>
      </c>
      <c r="F224" s="1" t="s">
        <v>1639</v>
      </c>
      <c r="G224" s="1">
        <v>1732</v>
      </c>
      <c r="H224" s="1">
        <v>15237</v>
      </c>
      <c r="I224" s="1">
        <v>10751</v>
      </c>
      <c r="J224" s="1">
        <v>160659</v>
      </c>
      <c r="K224" s="1">
        <v>10.71</v>
      </c>
      <c r="L224" s="1">
        <v>10</v>
      </c>
      <c r="M224" s="1">
        <v>5.83</v>
      </c>
      <c r="N224" s="1">
        <v>7.66</v>
      </c>
      <c r="O224" s="1">
        <v>23.77</v>
      </c>
      <c r="P224" s="1">
        <v>4.9000000000000004</v>
      </c>
      <c r="Q224" s="1">
        <v>6166</v>
      </c>
      <c r="R224" s="1">
        <v>1745</v>
      </c>
      <c r="S224" s="1">
        <v>2</v>
      </c>
      <c r="T224" s="1">
        <f>(Table1[[#This Row],[Selling_Price_per_Unit]]-Table1[[#This Row],[Manufacturing_Cost_per_Unit]])*Table1[[#This Row],[Units_Sold]]-Table1[[#This Row],[Marketing_Spend]]-Table1[[#This Row],[Discount_%]]</f>
        <v>7609085.3399999999</v>
      </c>
      <c r="U224" s="3">
        <f>Table1[[#This Row],[profit]]/(Table1[[#This Row],[Units_Sold]]*Table1[[#This Row],[Selling_Price_per_Unit]])*100</f>
        <v>28.832685827209538</v>
      </c>
      <c r="V224" s="6">
        <f>Table1[[#This Row],[Units_Sold]]*Table1[[#This Row],[Selling_Price_per_Unit]]</f>
        <v>26390484</v>
      </c>
      <c r="W224" s="7">
        <f>(Table1[[#This Row],[Units_Sold]]/$Z$1)</f>
        <v>0.34675035656026848</v>
      </c>
      <c r="X224" s="8">
        <f>((Table1[[#This Row],[Units_Sold]]*(Table1[[#This Row],[Selling_Price_per_Unit]]-Table1[[#This Row],[Manufacturing_Cost_per_Unit]]))-Table1[[#This Row],[Marketing_Spend]])/Table1[[#This Row],[Marketing_Spend]]</f>
        <v>47.361760000995901</v>
      </c>
    </row>
    <row r="225" spans="1:24" hidden="1" x14ac:dyDescent="0.3">
      <c r="A225" s="1" t="s">
        <v>242</v>
      </c>
      <c r="B225" s="1" t="s">
        <v>1216</v>
      </c>
      <c r="C225" s="1" t="s">
        <v>1634</v>
      </c>
      <c r="D225" s="1" t="s">
        <v>1636</v>
      </c>
      <c r="E225" s="1">
        <v>2023</v>
      </c>
      <c r="F225" s="1" t="s">
        <v>1642</v>
      </c>
      <c r="G225" s="1">
        <v>2305</v>
      </c>
      <c r="H225" s="1">
        <v>10823</v>
      </c>
      <c r="I225" s="1">
        <v>13343</v>
      </c>
      <c r="J225" s="1">
        <v>77716</v>
      </c>
      <c r="K225" s="1">
        <v>1.37</v>
      </c>
      <c r="L225" s="1">
        <v>10</v>
      </c>
      <c r="M225" s="1">
        <v>5.79</v>
      </c>
      <c r="N225" s="1">
        <v>24.06</v>
      </c>
      <c r="O225" s="1">
        <v>78.040000000000006</v>
      </c>
      <c r="P225" s="1">
        <v>1.2</v>
      </c>
      <c r="Q225" s="1">
        <v>10406</v>
      </c>
      <c r="R225" s="1">
        <v>1887</v>
      </c>
      <c r="S225" s="1">
        <v>12</v>
      </c>
      <c r="T225" s="1">
        <f>(Table1[[#This Row],[Selling_Price_per_Unit]]-Table1[[#This Row],[Manufacturing_Cost_per_Unit]])*Table1[[#This Row],[Units_Sold]]-Table1[[#This Row],[Marketing_Spend]]-Table1[[#This Row],[Discount_%]]</f>
        <v>-5886340.0599999996</v>
      </c>
      <c r="U225" s="3">
        <f>Table1[[#This Row],[profit]]/(Table1[[#This Row],[Units_Sold]]*Table1[[#This Row],[Selling_Price_per_Unit]])*100</f>
        <v>-23.595368263497654</v>
      </c>
      <c r="V225" s="6">
        <f>Table1[[#This Row],[Units_Sold]]*Table1[[#This Row],[Selling_Price_per_Unit]]</f>
        <v>24947015</v>
      </c>
      <c r="W225" s="7">
        <f>(Table1[[#This Row],[Units_Sold]]/$Z$1)</f>
        <v>0.46146626551467601</v>
      </c>
      <c r="X225" s="8">
        <f>((Table1[[#This Row],[Units_Sold]]*(Table1[[#This Row],[Selling_Price_per_Unit]]-Table1[[#This Row],[Manufacturing_Cost_per_Unit]]))-Table1[[#This Row],[Marketing_Spend]])/Table1[[#This Row],[Marketing_Spend]]</f>
        <v>-75.741365999279424</v>
      </c>
    </row>
    <row r="226" spans="1:24" hidden="1" x14ac:dyDescent="0.3">
      <c r="A226" s="1" t="s">
        <v>243</v>
      </c>
      <c r="B226" s="1" t="s">
        <v>1217</v>
      </c>
      <c r="C226" s="1" t="s">
        <v>1632</v>
      </c>
      <c r="D226" s="1" t="s">
        <v>1637</v>
      </c>
      <c r="E226" s="1">
        <v>2023</v>
      </c>
      <c r="F226" s="1" t="s">
        <v>1641</v>
      </c>
      <c r="G226" s="1">
        <v>1204</v>
      </c>
      <c r="H226" s="1">
        <v>16729</v>
      </c>
      <c r="I226" s="1">
        <v>9589</v>
      </c>
      <c r="J226" s="1">
        <v>446452</v>
      </c>
      <c r="K226" s="1">
        <v>2.99</v>
      </c>
      <c r="L226" s="1">
        <v>12</v>
      </c>
      <c r="M226" s="1">
        <v>0.55000000000000004</v>
      </c>
      <c r="N226" s="1">
        <v>24.11</v>
      </c>
      <c r="O226" s="1">
        <v>80.23</v>
      </c>
      <c r="P226" s="1">
        <v>2.2999999999999998</v>
      </c>
      <c r="Q226" s="1">
        <v>11978</v>
      </c>
      <c r="R226" s="1">
        <v>9915</v>
      </c>
      <c r="S226" s="1">
        <v>9</v>
      </c>
      <c r="T226" s="1">
        <f>(Table1[[#This Row],[Selling_Price_per_Unit]]-Table1[[#This Row],[Manufacturing_Cost_per_Unit]])*Table1[[#This Row],[Units_Sold]]-Table1[[#This Row],[Marketing_Spend]]-Table1[[#This Row],[Discount_%]]</f>
        <v>8150083.8899999997</v>
      </c>
      <c r="U226" s="3">
        <f>Table1[[#This Row],[profit]]/(Table1[[#This Row],[Units_Sold]]*Table1[[#This Row],[Selling_Price_per_Unit]])*100</f>
        <v>40.463701752124791</v>
      </c>
      <c r="V226" s="6">
        <f>Table1[[#This Row],[Units_Sold]]*Table1[[#This Row],[Selling_Price_per_Unit]]</f>
        <v>20141716</v>
      </c>
      <c r="W226" s="7">
        <f>(Table1[[#This Row],[Units_Sold]]/$Z$1)</f>
        <v>0.24104355040332751</v>
      </c>
      <c r="X226" s="8">
        <f>((Table1[[#This Row],[Units_Sold]]*(Table1[[#This Row],[Selling_Price_per_Unit]]-Table1[[#This Row],[Manufacturing_Cost_per_Unit]]))-Table1[[#This Row],[Marketing_Spend]])/Table1[[#This Row],[Marketing_Spend]]</f>
        <v>18.255283882701836</v>
      </c>
    </row>
    <row r="227" spans="1:24" x14ac:dyDescent="0.3">
      <c r="A227" s="1" t="s">
        <v>244</v>
      </c>
      <c r="B227" s="1" t="s">
        <v>1218</v>
      </c>
      <c r="C227" s="1" t="s">
        <v>1634</v>
      </c>
      <c r="D227" s="1" t="s">
        <v>1636</v>
      </c>
      <c r="E227" s="1">
        <v>2023</v>
      </c>
      <c r="F227" s="1" t="s">
        <v>1639</v>
      </c>
      <c r="G227" s="1">
        <v>4549</v>
      </c>
      <c r="H227" s="1">
        <v>13213</v>
      </c>
      <c r="I227" s="1">
        <v>9653</v>
      </c>
      <c r="J227" s="1">
        <v>459064</v>
      </c>
      <c r="K227" s="1">
        <v>13.16</v>
      </c>
      <c r="L227" s="1">
        <v>2</v>
      </c>
      <c r="M227" s="1">
        <v>3.14</v>
      </c>
      <c r="N227" s="1">
        <v>7.24</v>
      </c>
      <c r="O227" s="1">
        <v>53.95</v>
      </c>
      <c r="P227" s="1">
        <v>2.2999999999999998</v>
      </c>
      <c r="Q227" s="1">
        <v>4154</v>
      </c>
      <c r="R227" s="1">
        <v>1099</v>
      </c>
      <c r="S227" s="1">
        <v>11</v>
      </c>
      <c r="T227" s="1">
        <f>(Table1[[#This Row],[Selling_Price_per_Unit]]-Table1[[#This Row],[Manufacturing_Cost_per_Unit]])*Table1[[#This Row],[Units_Sold]]-Table1[[#This Row],[Marketing_Spend]]-Table1[[#This Row],[Discount_%]]</f>
        <v>15735368.76</v>
      </c>
      <c r="U227" s="3">
        <f>Table1[[#This Row],[profit]]/(Table1[[#This Row],[Units_Sold]]*Table1[[#This Row],[Selling_Price_per_Unit]])*100</f>
        <v>26.179391829462702</v>
      </c>
      <c r="V227" s="6">
        <f>Table1[[#This Row],[Units_Sold]]*Table1[[#This Row],[Selling_Price_per_Unit]]</f>
        <v>60105937</v>
      </c>
      <c r="W227" s="7">
        <f>(Table1[[#This Row],[Units_Sold]]/$Z$1)</f>
        <v>0.91072019168167506</v>
      </c>
      <c r="X227" s="8">
        <f>((Table1[[#This Row],[Units_Sold]]*(Table1[[#This Row],[Selling_Price_per_Unit]]-Table1[[#This Row],[Manufacturing_Cost_per_Unit]]))-Table1[[#This Row],[Marketing_Spend]])/Table1[[#This Row],[Marketing_Spend]]</f>
        <v>34.277085547984598</v>
      </c>
    </row>
    <row r="228" spans="1:24" hidden="1" x14ac:dyDescent="0.3">
      <c r="A228" s="1" t="s">
        <v>245</v>
      </c>
      <c r="B228" s="1" t="s">
        <v>1219</v>
      </c>
      <c r="C228" s="1" t="s">
        <v>1634</v>
      </c>
      <c r="D228" s="1" t="s">
        <v>1636</v>
      </c>
      <c r="E228" s="1">
        <v>2024</v>
      </c>
      <c r="F228" s="1" t="s">
        <v>1641</v>
      </c>
      <c r="G228" s="1">
        <v>3241</v>
      </c>
      <c r="H228" s="1">
        <v>10002</v>
      </c>
      <c r="I228" s="1">
        <v>5130</v>
      </c>
      <c r="J228" s="1">
        <v>52352</v>
      </c>
      <c r="K228" s="1">
        <v>11.08</v>
      </c>
      <c r="L228" s="1">
        <v>11</v>
      </c>
      <c r="M228" s="1">
        <v>4.99</v>
      </c>
      <c r="N228" s="1">
        <v>11.99</v>
      </c>
      <c r="O228" s="1">
        <v>62.49</v>
      </c>
      <c r="P228" s="1">
        <v>3.5</v>
      </c>
      <c r="Q228" s="1">
        <v>2490</v>
      </c>
      <c r="R228" s="1">
        <v>1948</v>
      </c>
      <c r="S228" s="1">
        <v>9</v>
      </c>
      <c r="T228" s="1">
        <f>(Table1[[#This Row],[Selling_Price_per_Unit]]-Table1[[#This Row],[Manufacturing_Cost_per_Unit]])*Table1[[#This Row],[Units_Sold]]-Table1[[#This Row],[Marketing_Spend]]-Table1[[#This Row],[Discount_%]]</f>
        <v>15737788.01</v>
      </c>
      <c r="U228" s="3">
        <f>Table1[[#This Row],[profit]]/(Table1[[#This Row],[Units_Sold]]*Table1[[#This Row],[Selling_Price_per_Unit]])*100</f>
        <v>48.548722868817165</v>
      </c>
      <c r="V228" s="6">
        <f>Table1[[#This Row],[Units_Sold]]*Table1[[#This Row],[Selling_Price_per_Unit]]</f>
        <v>32416482</v>
      </c>
      <c r="W228" s="7">
        <f>(Table1[[#This Row],[Units_Sold]]/$Z$1)</f>
        <v>0.64885560370198048</v>
      </c>
      <c r="X228" s="8">
        <f>((Table1[[#This Row],[Units_Sold]]*(Table1[[#This Row],[Selling_Price_per_Unit]]-Table1[[#This Row],[Manufacturing_Cost_per_Unit]]))-Table1[[#This Row],[Marketing_Spend]])/Table1[[#This Row],[Marketing_Spend]]</f>
        <v>300.61506723716383</v>
      </c>
    </row>
    <row r="229" spans="1:24" hidden="1" x14ac:dyDescent="0.3">
      <c r="A229" s="1" t="s">
        <v>246</v>
      </c>
      <c r="B229" s="1" t="s">
        <v>1220</v>
      </c>
      <c r="C229" s="1" t="s">
        <v>1632</v>
      </c>
      <c r="D229" s="1" t="s">
        <v>1637</v>
      </c>
      <c r="E229" s="1">
        <v>2023</v>
      </c>
      <c r="F229" s="1" t="s">
        <v>1642</v>
      </c>
      <c r="G229" s="1">
        <v>1746</v>
      </c>
      <c r="H229" s="1">
        <v>2045</v>
      </c>
      <c r="I229" s="1">
        <v>10360</v>
      </c>
      <c r="J229" s="1">
        <v>183004</v>
      </c>
      <c r="K229" s="1">
        <v>0.21</v>
      </c>
      <c r="L229" s="1">
        <v>2</v>
      </c>
      <c r="M229" s="1">
        <v>2.17</v>
      </c>
      <c r="N229" s="1">
        <v>24.32</v>
      </c>
      <c r="O229" s="1">
        <v>40.58</v>
      </c>
      <c r="P229" s="1">
        <v>1.4</v>
      </c>
      <c r="Q229" s="1">
        <v>3660</v>
      </c>
      <c r="R229" s="1">
        <v>1661</v>
      </c>
      <c r="S229" s="1">
        <v>11</v>
      </c>
      <c r="T229" s="1">
        <f>(Table1[[#This Row],[Selling_Price_per_Unit]]-Table1[[#This Row],[Manufacturing_Cost_per_Unit]])*Table1[[#This Row],[Units_Sold]]-Table1[[#This Row],[Marketing_Spend]]-Table1[[#This Row],[Discount_%]]</f>
        <v>-14701018.32</v>
      </c>
      <c r="U229" s="3">
        <f>Table1[[#This Row],[profit]]/(Table1[[#This Row],[Units_Sold]]*Table1[[#This Row],[Selling_Price_per_Unit]])*100</f>
        <v>-411.72749224913667</v>
      </c>
      <c r="V229" s="6">
        <f>Table1[[#This Row],[Units_Sold]]*Table1[[#This Row],[Selling_Price_per_Unit]]</f>
        <v>3570570</v>
      </c>
      <c r="W229" s="7">
        <f>(Table1[[#This Row],[Units_Sold]]/$Z$1)</f>
        <v>0.34955318854170253</v>
      </c>
      <c r="X229" s="8">
        <f>((Table1[[#This Row],[Units_Sold]]*(Table1[[#This Row],[Selling_Price_per_Unit]]-Table1[[#This Row],[Manufacturing_Cost_per_Unit]]))-Table1[[#This Row],[Marketing_Spend]])/Table1[[#This Row],[Marketing_Spend]]</f>
        <v>-80.331544665690373</v>
      </c>
    </row>
    <row r="230" spans="1:24" x14ac:dyDescent="0.3">
      <c r="A230" s="1" t="s">
        <v>247</v>
      </c>
      <c r="B230" s="1" t="s">
        <v>1221</v>
      </c>
      <c r="C230" s="1" t="s">
        <v>1632</v>
      </c>
      <c r="D230" s="1" t="s">
        <v>1635</v>
      </c>
      <c r="E230" s="1">
        <v>2024</v>
      </c>
      <c r="F230" s="1" t="s">
        <v>1641</v>
      </c>
      <c r="G230" s="1">
        <v>4041</v>
      </c>
      <c r="H230" s="1">
        <v>5846</v>
      </c>
      <c r="I230" s="1">
        <v>11573</v>
      </c>
      <c r="J230" s="1">
        <v>388593</v>
      </c>
      <c r="K230" s="1">
        <v>3.73</v>
      </c>
      <c r="L230" s="1">
        <v>9</v>
      </c>
      <c r="M230" s="1">
        <v>8.73</v>
      </c>
      <c r="N230" s="1">
        <v>0.12</v>
      </c>
      <c r="O230" s="1">
        <v>32.54</v>
      </c>
      <c r="P230" s="1">
        <v>3.5</v>
      </c>
      <c r="Q230" s="1">
        <v>16636</v>
      </c>
      <c r="R230" s="1">
        <v>873</v>
      </c>
      <c r="S230" s="1">
        <v>13</v>
      </c>
      <c r="T230" s="1">
        <f>(Table1[[#This Row],[Selling_Price_per_Unit]]-Table1[[#This Row],[Manufacturing_Cost_per_Unit]])*Table1[[#This Row],[Units_Sold]]-Table1[[#This Row],[Marketing_Spend]]-Table1[[#This Row],[Discount_%]]</f>
        <v>-23531400.120000001</v>
      </c>
      <c r="U230" s="3">
        <f>Table1[[#This Row],[profit]]/(Table1[[#This Row],[Units_Sold]]*Table1[[#This Row],[Selling_Price_per_Unit]])*100</f>
        <v>-99.609350208938608</v>
      </c>
      <c r="V230" s="6">
        <f>Table1[[#This Row],[Units_Sold]]*Table1[[#This Row],[Selling_Price_per_Unit]]</f>
        <v>23623686</v>
      </c>
      <c r="W230" s="7">
        <f>(Table1[[#This Row],[Units_Sold]]/$Z$1)</f>
        <v>0.80901743121249703</v>
      </c>
      <c r="X230" s="8">
        <f>((Table1[[#This Row],[Units_Sold]]*(Table1[[#This Row],[Selling_Price_per_Unit]]-Table1[[#This Row],[Manufacturing_Cost_per_Unit]]))-Table1[[#This Row],[Marketing_Spend]])/Table1[[#This Row],[Marketing_Spend]]</f>
        <v>-60.555388285429743</v>
      </c>
    </row>
    <row r="231" spans="1:24" x14ac:dyDescent="0.3">
      <c r="A231" s="1" t="s">
        <v>266</v>
      </c>
      <c r="B231" s="1" t="s">
        <v>1238</v>
      </c>
      <c r="C231" s="1" t="s">
        <v>1633</v>
      </c>
      <c r="D231" s="1" t="s">
        <v>1635</v>
      </c>
      <c r="E231" s="1">
        <v>2024</v>
      </c>
      <c r="F231" s="1" t="s">
        <v>1640</v>
      </c>
      <c r="G231" s="1">
        <v>4117</v>
      </c>
      <c r="H231" s="1">
        <v>14176</v>
      </c>
      <c r="I231" s="1">
        <v>2524</v>
      </c>
      <c r="J231" s="1">
        <v>443574</v>
      </c>
      <c r="K231" s="1">
        <v>11.07</v>
      </c>
      <c r="L231" s="1">
        <v>19</v>
      </c>
      <c r="M231" s="1">
        <v>3.39</v>
      </c>
      <c r="N231" s="1">
        <v>6.72</v>
      </c>
      <c r="O231" s="1">
        <v>21.76</v>
      </c>
      <c r="P231" s="1">
        <v>5</v>
      </c>
      <c r="Q231" s="1">
        <v>16508</v>
      </c>
      <c r="R231" s="1">
        <v>1459</v>
      </c>
      <c r="S231" s="1">
        <v>12</v>
      </c>
      <c r="T231" s="1">
        <f>(Table1[[#This Row],[Selling_Price_per_Unit]]-Table1[[#This Row],[Manufacturing_Cost_per_Unit]])*Table1[[#This Row],[Units_Sold]]-Table1[[#This Row],[Marketing_Spend]]-Table1[[#This Row],[Discount_%]]</f>
        <v>47527703.280000001</v>
      </c>
      <c r="U231" s="3">
        <f>Table1[[#This Row],[profit]]/(Table1[[#This Row],[Units_Sold]]*Table1[[#This Row],[Selling_Price_per_Unit]])*100</f>
        <v>81.435216722382719</v>
      </c>
      <c r="V231" s="6">
        <f>Table1[[#This Row],[Units_Sold]]*Table1[[#This Row],[Selling_Price_per_Unit]]</f>
        <v>58362592</v>
      </c>
      <c r="W231" s="7">
        <f>(Table1[[#This Row],[Units_Sold]]/$Z$1)</f>
        <v>0.82423280482599615</v>
      </c>
      <c r="X231" s="8">
        <f>((Table1[[#This Row],[Units_Sold]]*(Table1[[#This Row],[Selling_Price_per_Unit]]-Table1[[#This Row],[Manufacturing_Cost_per_Unit]]))-Table1[[#This Row],[Marketing_Spend]])/Table1[[#This Row],[Marketing_Spend]]</f>
        <v>107.14719528195972</v>
      </c>
    </row>
    <row r="232" spans="1:24" x14ac:dyDescent="0.3">
      <c r="A232" s="1" t="s">
        <v>114</v>
      </c>
      <c r="B232" s="1" t="s">
        <v>1109</v>
      </c>
      <c r="C232" s="1" t="s">
        <v>1634</v>
      </c>
      <c r="D232" s="1" t="s">
        <v>1635</v>
      </c>
      <c r="E232" s="1">
        <v>2023</v>
      </c>
      <c r="F232" s="1" t="s">
        <v>1639</v>
      </c>
      <c r="G232" s="1">
        <v>4925</v>
      </c>
      <c r="H232" s="1">
        <v>14380</v>
      </c>
      <c r="I232" s="1">
        <v>4726</v>
      </c>
      <c r="J232" s="1">
        <v>270972</v>
      </c>
      <c r="K232" s="1">
        <v>14.51</v>
      </c>
      <c r="L232" s="1">
        <v>14</v>
      </c>
      <c r="M232" s="1">
        <v>3.15</v>
      </c>
      <c r="N232" s="1">
        <v>19.25</v>
      </c>
      <c r="O232" s="1">
        <v>30.78</v>
      </c>
      <c r="P232" s="1">
        <v>1.8</v>
      </c>
      <c r="Q232" s="1">
        <v>2065</v>
      </c>
      <c r="R232" s="1">
        <v>9592</v>
      </c>
      <c r="S232" s="1">
        <v>3</v>
      </c>
      <c r="T232" s="1">
        <f>(Table1[[#This Row],[Selling_Price_per_Unit]]-Table1[[#This Row],[Manufacturing_Cost_per_Unit]])*Table1[[#This Row],[Units_Sold]]-Table1[[#This Row],[Marketing_Spend]]-Table1[[#This Row],[Discount_%]]</f>
        <v>47274958.75</v>
      </c>
      <c r="U232" s="3">
        <f>Table1[[#This Row],[profit]]/(Table1[[#This Row],[Units_Sold]]*Table1[[#This Row],[Selling_Price_per_Unit]])*100</f>
        <v>66.752269790953306</v>
      </c>
      <c r="V232" s="6">
        <f>Table1[[#This Row],[Units_Sold]]*Table1[[#This Row],[Selling_Price_per_Unit]]</f>
        <v>70821500</v>
      </c>
      <c r="W232" s="7">
        <f>(Table1[[#This Row],[Units_Sold]]/$Z$1)</f>
        <v>0.98599625061161789</v>
      </c>
      <c r="X232" s="8">
        <f>((Table1[[#This Row],[Units_Sold]]*(Table1[[#This Row],[Selling_Price_per_Unit]]-Table1[[#This Row],[Manufacturing_Cost_per_Unit]]))-Table1[[#This Row],[Marketing_Spend]])/Table1[[#This Row],[Marketing_Spend]]</f>
        <v>174.46443913024223</v>
      </c>
    </row>
    <row r="233" spans="1:24" hidden="1" x14ac:dyDescent="0.3">
      <c r="A233" s="1" t="s">
        <v>588</v>
      </c>
      <c r="B233" s="1" t="s">
        <v>1437</v>
      </c>
      <c r="C233" s="1" t="s">
        <v>1633</v>
      </c>
      <c r="D233" s="1" t="s">
        <v>1636</v>
      </c>
      <c r="E233" s="1">
        <v>2024</v>
      </c>
      <c r="F233" s="1" t="s">
        <v>1640</v>
      </c>
      <c r="G233" s="1">
        <v>3334</v>
      </c>
      <c r="H233" s="1">
        <v>19596</v>
      </c>
      <c r="I233" s="1">
        <v>5466</v>
      </c>
      <c r="J233" s="1">
        <v>104040</v>
      </c>
      <c r="K233" s="1">
        <v>9.73</v>
      </c>
      <c r="L233" s="1">
        <v>1</v>
      </c>
      <c r="M233" s="1">
        <v>6.51</v>
      </c>
      <c r="N233" s="1">
        <v>22.49</v>
      </c>
      <c r="O233" s="1">
        <v>45.65</v>
      </c>
      <c r="P233" s="1">
        <v>4.3</v>
      </c>
      <c r="Q233" s="1">
        <v>18549</v>
      </c>
      <c r="R233" s="1">
        <v>5475</v>
      </c>
      <c r="S233" s="1">
        <v>11</v>
      </c>
      <c r="T233" s="1">
        <f>(Table1[[#This Row],[Selling_Price_per_Unit]]-Table1[[#This Row],[Manufacturing_Cost_per_Unit]])*Table1[[#This Row],[Units_Sold]]-Table1[[#This Row],[Marketing_Spend]]-Table1[[#This Row],[Discount_%]]</f>
        <v>47005357.509999998</v>
      </c>
      <c r="U233" s="3">
        <f>Table1[[#This Row],[profit]]/(Table1[[#This Row],[Units_Sold]]*Table1[[#This Row],[Selling_Price_per_Unit]])*100</f>
        <v>71.947272379571842</v>
      </c>
      <c r="V233" s="6">
        <f>Table1[[#This Row],[Units_Sold]]*Table1[[#This Row],[Selling_Price_per_Unit]]</f>
        <v>65333064</v>
      </c>
      <c r="W233" s="7">
        <f>(Table1[[#This Row],[Units_Sold]]/$Z$1)</f>
        <v>0.66747441615007796</v>
      </c>
      <c r="X233" s="8">
        <f>((Table1[[#This Row],[Units_Sold]]*(Table1[[#This Row],[Selling_Price_per_Unit]]-Table1[[#This Row],[Manufacturing_Cost_per_Unit]]))-Table1[[#This Row],[Marketing_Spend]])/Table1[[#This Row],[Marketing_Spend]]</f>
        <v>451.80103806228374</v>
      </c>
    </row>
    <row r="234" spans="1:24" hidden="1" x14ac:dyDescent="0.3">
      <c r="A234" s="1" t="s">
        <v>251</v>
      </c>
      <c r="B234" s="1" t="s">
        <v>1071</v>
      </c>
      <c r="C234" s="1" t="s">
        <v>1634</v>
      </c>
      <c r="D234" s="1" t="s">
        <v>1636</v>
      </c>
      <c r="E234" s="1">
        <v>2024</v>
      </c>
      <c r="F234" s="1" t="s">
        <v>1642</v>
      </c>
      <c r="G234" s="1">
        <v>1495</v>
      </c>
      <c r="H234" s="1">
        <v>5310</v>
      </c>
      <c r="I234" s="1">
        <v>13857</v>
      </c>
      <c r="J234" s="1">
        <v>186570</v>
      </c>
      <c r="K234" s="1">
        <v>0.94</v>
      </c>
      <c r="L234" s="1">
        <v>15</v>
      </c>
      <c r="M234" s="1">
        <v>2.62</v>
      </c>
      <c r="N234" s="1">
        <v>0.62</v>
      </c>
      <c r="O234" s="1">
        <v>50.93</v>
      </c>
      <c r="P234" s="1">
        <v>2.2999999999999998</v>
      </c>
      <c r="Q234" s="1">
        <v>3563</v>
      </c>
      <c r="R234" s="1">
        <v>9390</v>
      </c>
      <c r="S234" s="1">
        <v>3</v>
      </c>
      <c r="T234" s="1">
        <f>(Table1[[#This Row],[Selling_Price_per_Unit]]-Table1[[#This Row],[Manufacturing_Cost_per_Unit]])*Table1[[#This Row],[Units_Sold]]-Table1[[#This Row],[Marketing_Spend]]-Table1[[#This Row],[Discount_%]]</f>
        <v>-12964335.619999999</v>
      </c>
      <c r="U234" s="3">
        <f>Table1[[#This Row],[profit]]/(Table1[[#This Row],[Units_Sold]]*Table1[[#This Row],[Selling_Price_per_Unit]])*100</f>
        <v>-163.31066669186049</v>
      </c>
      <c r="V234" s="6">
        <f>Table1[[#This Row],[Units_Sold]]*Table1[[#This Row],[Selling_Price_per_Unit]]</f>
        <v>7938450</v>
      </c>
      <c r="W234" s="7">
        <f>(Table1[[#This Row],[Units_Sold]]/$Z$1)</f>
        <v>0.29930241516027795</v>
      </c>
      <c r="X234" s="8">
        <f>((Table1[[#This Row],[Units_Sold]]*(Table1[[#This Row],[Selling_Price_per_Unit]]-Table1[[#This Row],[Manufacturing_Cost_per_Unit]]))-Table1[[#This Row],[Marketing_Spend]])/Table1[[#This Row],[Marketing_Spend]]</f>
        <v>-69.487779385753342</v>
      </c>
    </row>
    <row r="235" spans="1:24" x14ac:dyDescent="0.3">
      <c r="A235" s="1" t="s">
        <v>252</v>
      </c>
      <c r="B235" s="1" t="s">
        <v>1225</v>
      </c>
      <c r="C235" s="1" t="s">
        <v>1634</v>
      </c>
      <c r="D235" s="1" t="s">
        <v>1637</v>
      </c>
      <c r="E235" s="1">
        <v>2023</v>
      </c>
      <c r="F235" s="1" t="s">
        <v>1639</v>
      </c>
      <c r="G235" s="1">
        <v>4249</v>
      </c>
      <c r="H235" s="1">
        <v>8706</v>
      </c>
      <c r="I235" s="1">
        <v>13300</v>
      </c>
      <c r="J235" s="1">
        <v>257190</v>
      </c>
      <c r="K235" s="1">
        <v>6.88</v>
      </c>
      <c r="L235" s="1">
        <v>1</v>
      </c>
      <c r="M235" s="1">
        <v>6.24</v>
      </c>
      <c r="N235" s="1">
        <v>10.17</v>
      </c>
      <c r="O235" s="1">
        <v>22.71</v>
      </c>
      <c r="P235" s="1">
        <v>4.9000000000000004</v>
      </c>
      <c r="Q235" s="1">
        <v>12295</v>
      </c>
      <c r="R235" s="1">
        <v>2150</v>
      </c>
      <c r="S235" s="1">
        <v>11</v>
      </c>
      <c r="T235" s="1">
        <f>(Table1[[#This Row],[Selling_Price_per_Unit]]-Table1[[#This Row],[Manufacturing_Cost_per_Unit]])*Table1[[#This Row],[Units_Sold]]-Table1[[#This Row],[Marketing_Spend]]-Table1[[#This Row],[Discount_%]]</f>
        <v>-19777106.170000002</v>
      </c>
      <c r="U235" s="3">
        <f>Table1[[#This Row],[profit]]/(Table1[[#This Row],[Units_Sold]]*Table1[[#This Row],[Selling_Price_per_Unit]])*100</f>
        <v>-53.463495633653245</v>
      </c>
      <c r="V235" s="6">
        <f>Table1[[#This Row],[Units_Sold]]*Table1[[#This Row],[Selling_Price_per_Unit]]</f>
        <v>36991794</v>
      </c>
      <c r="W235" s="7">
        <f>(Table1[[#This Row],[Units_Sold]]/$Z$1)</f>
        <v>0.85065950636523135</v>
      </c>
      <c r="X235" s="8">
        <f>((Table1[[#This Row],[Units_Sold]]*(Table1[[#This Row],[Selling_Price_per_Unit]]-Table1[[#This Row],[Manufacturing_Cost_per_Unit]]))-Table1[[#This Row],[Marketing_Spend]])/Table1[[#This Row],[Marketing_Spend]]</f>
        <v>-76.896831136513867</v>
      </c>
    </row>
    <row r="236" spans="1:24" hidden="1" x14ac:dyDescent="0.3">
      <c r="A236" s="1" t="s">
        <v>397</v>
      </c>
      <c r="B236" s="1" t="s">
        <v>1157</v>
      </c>
      <c r="C236" s="1" t="s">
        <v>1633</v>
      </c>
      <c r="D236" s="1" t="s">
        <v>1636</v>
      </c>
      <c r="E236" s="1">
        <v>2023</v>
      </c>
      <c r="F236" s="1" t="s">
        <v>1641</v>
      </c>
      <c r="G236" s="1">
        <v>2899</v>
      </c>
      <c r="H236" s="1">
        <v>18161</v>
      </c>
      <c r="I236" s="1">
        <v>1936</v>
      </c>
      <c r="J236" s="1">
        <v>99847</v>
      </c>
      <c r="K236" s="1">
        <v>9.43</v>
      </c>
      <c r="L236" s="1">
        <v>3</v>
      </c>
      <c r="M236" s="1">
        <v>4.58</v>
      </c>
      <c r="N236" s="1">
        <v>7.26</v>
      </c>
      <c r="O236" s="1">
        <v>79.95</v>
      </c>
      <c r="P236" s="1">
        <v>3.1</v>
      </c>
      <c r="Q236" s="1">
        <v>3201</v>
      </c>
      <c r="R236" s="1">
        <v>2198</v>
      </c>
      <c r="S236" s="1">
        <v>3</v>
      </c>
      <c r="T236" s="1">
        <f>(Table1[[#This Row],[Selling_Price_per_Unit]]-Table1[[#This Row],[Manufacturing_Cost_per_Unit]])*Table1[[#This Row],[Units_Sold]]-Table1[[#This Row],[Marketing_Spend]]-Table1[[#This Row],[Discount_%]]</f>
        <v>46936420.740000002</v>
      </c>
      <c r="U236" s="3">
        <f>Table1[[#This Row],[profit]]/(Table1[[#This Row],[Units_Sold]]*Table1[[#This Row],[Selling_Price_per_Unit]])*100</f>
        <v>89.150132807549298</v>
      </c>
      <c r="V236" s="6">
        <f>Table1[[#This Row],[Units_Sold]]*Table1[[#This Row],[Selling_Price_per_Unit]]</f>
        <v>52648739</v>
      </c>
      <c r="W236" s="7">
        <f>(Table1[[#This Row],[Units_Sold]]/$Z$1)</f>
        <v>0.58038642244123462</v>
      </c>
      <c r="X236" s="8">
        <f>((Table1[[#This Row],[Units_Sold]]*(Table1[[#This Row],[Selling_Price_per_Unit]]-Table1[[#This Row],[Manufacturing_Cost_per_Unit]]))-Table1[[#This Row],[Marketing_Spend]])/Table1[[#This Row],[Marketing_Spend]]</f>
        <v>470.08350776688332</v>
      </c>
    </row>
    <row r="237" spans="1:24" hidden="1" x14ac:dyDescent="0.3">
      <c r="A237" s="1" t="s">
        <v>254</v>
      </c>
      <c r="B237" s="1" t="s">
        <v>1227</v>
      </c>
      <c r="C237" s="1" t="s">
        <v>1633</v>
      </c>
      <c r="D237" s="1" t="s">
        <v>1638</v>
      </c>
      <c r="E237" s="1">
        <v>2023</v>
      </c>
      <c r="F237" s="1" t="s">
        <v>1639</v>
      </c>
      <c r="G237" s="1">
        <v>303</v>
      </c>
      <c r="H237" s="1">
        <v>17871</v>
      </c>
      <c r="I237" s="1">
        <v>7379</v>
      </c>
      <c r="J237" s="1">
        <v>424313</v>
      </c>
      <c r="K237" s="1">
        <v>9.1</v>
      </c>
      <c r="L237" s="1">
        <v>5</v>
      </c>
      <c r="M237" s="1">
        <v>1.9</v>
      </c>
      <c r="N237" s="1">
        <v>13.33</v>
      </c>
      <c r="O237" s="1">
        <v>45.66</v>
      </c>
      <c r="P237" s="1">
        <v>2.8</v>
      </c>
      <c r="Q237" s="1">
        <v>10067</v>
      </c>
      <c r="R237" s="1">
        <v>847</v>
      </c>
      <c r="S237" s="1">
        <v>5</v>
      </c>
      <c r="T237" s="1">
        <f>(Table1[[#This Row],[Selling_Price_per_Unit]]-Table1[[#This Row],[Manufacturing_Cost_per_Unit]])*Table1[[#This Row],[Units_Sold]]-Table1[[#This Row],[Marketing_Spend]]-Table1[[#This Row],[Discount_%]]</f>
        <v>2754749.67</v>
      </c>
      <c r="U237" s="3">
        <f>Table1[[#This Row],[profit]]/(Table1[[#This Row],[Units_Sold]]*Table1[[#This Row],[Selling_Price_per_Unit]])*100</f>
        <v>50.873387439465787</v>
      </c>
      <c r="V237" s="6">
        <f>Table1[[#This Row],[Units_Sold]]*Table1[[#This Row],[Selling_Price_per_Unit]]</f>
        <v>5414913</v>
      </c>
      <c r="W237" s="7">
        <f>(Table1[[#This Row],[Units_Sold]]/$Z$1)</f>
        <v>6.0661292169608166E-2</v>
      </c>
      <c r="X237" s="8">
        <f>((Table1[[#This Row],[Units_Sold]]*(Table1[[#This Row],[Selling_Price_per_Unit]]-Table1[[#This Row],[Manufacturing_Cost_per_Unit]]))-Table1[[#This Row],[Marketing_Spend]])/Table1[[#This Row],[Marketing_Spend]]</f>
        <v>6.4922898897747654</v>
      </c>
    </row>
    <row r="238" spans="1:24" hidden="1" x14ac:dyDescent="0.3">
      <c r="A238" s="1" t="s">
        <v>255</v>
      </c>
      <c r="B238" s="1" t="s">
        <v>1228</v>
      </c>
      <c r="C238" s="1" t="s">
        <v>1633</v>
      </c>
      <c r="D238" s="1" t="s">
        <v>1635</v>
      </c>
      <c r="E238" s="1">
        <v>2023</v>
      </c>
      <c r="F238" s="1" t="s">
        <v>1642</v>
      </c>
      <c r="G238" s="1">
        <v>3233</v>
      </c>
      <c r="H238" s="1">
        <v>13816</v>
      </c>
      <c r="I238" s="1">
        <v>9274</v>
      </c>
      <c r="J238" s="1">
        <v>190641</v>
      </c>
      <c r="K238" s="1">
        <v>10.09</v>
      </c>
      <c r="L238" s="1">
        <v>9</v>
      </c>
      <c r="M238" s="1">
        <v>9.17</v>
      </c>
      <c r="N238" s="1">
        <v>24.9</v>
      </c>
      <c r="O238" s="1">
        <v>13.95</v>
      </c>
      <c r="P238" s="1">
        <v>1.5</v>
      </c>
      <c r="Q238" s="1">
        <v>10433</v>
      </c>
      <c r="R238" s="1">
        <v>8225</v>
      </c>
      <c r="S238" s="1">
        <v>2</v>
      </c>
      <c r="T238" s="1">
        <f>(Table1[[#This Row],[Selling_Price_per_Unit]]-Table1[[#This Row],[Manufacturing_Cost_per_Unit]])*Table1[[#This Row],[Units_Sold]]-Table1[[#This Row],[Marketing_Spend]]-Table1[[#This Row],[Discount_%]]</f>
        <v>14493620.1</v>
      </c>
      <c r="U238" s="3">
        <f>Table1[[#This Row],[profit]]/(Table1[[#This Row],[Units_Sold]]*Table1[[#This Row],[Selling_Price_per_Unit]])*100</f>
        <v>32.448068073684972</v>
      </c>
      <c r="V238" s="6">
        <f>Table1[[#This Row],[Units_Sold]]*Table1[[#This Row],[Selling_Price_per_Unit]]</f>
        <v>44667128</v>
      </c>
      <c r="W238" s="7">
        <f>(Table1[[#This Row],[Units_Sold]]/$Z$1)</f>
        <v>0.64725398542687529</v>
      </c>
      <c r="X238" s="8">
        <f>((Table1[[#This Row],[Units_Sold]]*(Table1[[#This Row],[Selling_Price_per_Unit]]-Table1[[#This Row],[Manufacturing_Cost_per_Unit]]))-Table1[[#This Row],[Marketing_Spend]])/Table1[[#This Row],[Marketing_Spend]]</f>
        <v>76.025854879065889</v>
      </c>
    </row>
    <row r="239" spans="1:24" hidden="1" x14ac:dyDescent="0.3">
      <c r="A239" s="1" t="s">
        <v>994</v>
      </c>
      <c r="B239" s="1" t="s">
        <v>1622</v>
      </c>
      <c r="C239" s="1" t="s">
        <v>1633</v>
      </c>
      <c r="D239" s="1" t="s">
        <v>1637</v>
      </c>
      <c r="E239" s="1">
        <v>2023</v>
      </c>
      <c r="F239" s="1" t="s">
        <v>1642</v>
      </c>
      <c r="G239" s="1">
        <v>3467</v>
      </c>
      <c r="H239" s="1">
        <v>15328</v>
      </c>
      <c r="I239" s="1">
        <v>2125</v>
      </c>
      <c r="J239" s="1">
        <v>451491</v>
      </c>
      <c r="K239" s="1">
        <v>5.32</v>
      </c>
      <c r="L239" s="1">
        <v>14</v>
      </c>
      <c r="M239" s="1">
        <v>0.33</v>
      </c>
      <c r="N239" s="1">
        <v>14.28</v>
      </c>
      <c r="O239" s="1">
        <v>51.01</v>
      </c>
      <c r="P239" s="1">
        <v>1.7</v>
      </c>
      <c r="Q239" s="1">
        <v>15380</v>
      </c>
      <c r="R239" s="1">
        <v>9181</v>
      </c>
      <c r="S239" s="1">
        <v>13</v>
      </c>
      <c r="T239" s="1">
        <f>(Table1[[#This Row],[Selling_Price_per_Unit]]-Table1[[#This Row],[Manufacturing_Cost_per_Unit]])*Table1[[#This Row],[Units_Sold]]-Table1[[#This Row],[Marketing_Spend]]-Table1[[#This Row],[Discount_%]]</f>
        <v>45323295.719999999</v>
      </c>
      <c r="U239" s="3">
        <f>Table1[[#This Row],[profit]]/(Table1[[#This Row],[Units_Sold]]*Table1[[#This Row],[Selling_Price_per_Unit]])*100</f>
        <v>85.286864655297506</v>
      </c>
      <c r="V239" s="6">
        <f>Table1[[#This Row],[Units_Sold]]*Table1[[#This Row],[Selling_Price_per_Unit]]</f>
        <v>53142176</v>
      </c>
      <c r="W239" s="7">
        <f>(Table1[[#This Row],[Units_Sold]]/$Z$1)</f>
        <v>0.69410131997370139</v>
      </c>
      <c r="X239" s="8">
        <f>((Table1[[#This Row],[Units_Sold]]*(Table1[[#This Row],[Selling_Price_per_Unit]]-Table1[[#This Row],[Manufacturing_Cost_per_Unit]]))-Table1[[#This Row],[Marketing_Spend]])/Table1[[#This Row],[Marketing_Spend]]</f>
        <v>100.38585486753888</v>
      </c>
    </row>
    <row r="240" spans="1:24" hidden="1" x14ac:dyDescent="0.3">
      <c r="A240" s="1" t="s">
        <v>257</v>
      </c>
      <c r="B240" s="1" t="s">
        <v>1152</v>
      </c>
      <c r="C240" s="1" t="s">
        <v>1633</v>
      </c>
      <c r="D240" s="1" t="s">
        <v>1638</v>
      </c>
      <c r="E240" s="1">
        <v>2023</v>
      </c>
      <c r="F240" s="1" t="s">
        <v>1642</v>
      </c>
      <c r="G240" s="1">
        <v>148</v>
      </c>
      <c r="H240" s="1">
        <v>9936</v>
      </c>
      <c r="I240" s="1">
        <v>10478</v>
      </c>
      <c r="J240" s="1">
        <v>176060</v>
      </c>
      <c r="K240" s="1">
        <v>14.27</v>
      </c>
      <c r="L240" s="1">
        <v>7</v>
      </c>
      <c r="M240" s="1">
        <v>2.99</v>
      </c>
      <c r="N240" s="1">
        <v>21.14</v>
      </c>
      <c r="O240" s="1">
        <v>40.619999999999997</v>
      </c>
      <c r="P240" s="1">
        <v>5</v>
      </c>
      <c r="Q240" s="1">
        <v>17119</v>
      </c>
      <c r="R240" s="1">
        <v>4073</v>
      </c>
      <c r="S240" s="1">
        <v>6</v>
      </c>
      <c r="T240" s="1">
        <f>(Table1[[#This Row],[Selling_Price_per_Unit]]-Table1[[#This Row],[Manufacturing_Cost_per_Unit]])*Table1[[#This Row],[Units_Sold]]-Table1[[#This Row],[Marketing_Spend]]-Table1[[#This Row],[Discount_%]]</f>
        <v>-256297.14</v>
      </c>
      <c r="U240" s="3">
        <f>Table1[[#This Row],[profit]]/(Table1[[#This Row],[Units_Sold]]*Table1[[#This Row],[Selling_Price_per_Unit]])*100</f>
        <v>-17.428919408538977</v>
      </c>
      <c r="V240" s="6">
        <f>Table1[[#This Row],[Units_Sold]]*Table1[[#This Row],[Selling_Price_per_Unit]]</f>
        <v>1470528</v>
      </c>
      <c r="W240" s="7">
        <f>(Table1[[#This Row],[Units_Sold]]/$Z$1)</f>
        <v>2.9629938089445574E-2</v>
      </c>
      <c r="X240" s="8">
        <f>((Table1[[#This Row],[Units_Sold]]*(Table1[[#This Row],[Selling_Price_per_Unit]]-Table1[[#This Row],[Manufacturing_Cost_per_Unit]]))-Table1[[#This Row],[Marketing_Spend]])/Table1[[#This Row],[Marketing_Spend]]</f>
        <v>-1.4556174031580142</v>
      </c>
    </row>
    <row r="241" spans="1:24" x14ac:dyDescent="0.3">
      <c r="A241" s="1" t="s">
        <v>54</v>
      </c>
      <c r="B241" s="1" t="s">
        <v>1054</v>
      </c>
      <c r="C241" s="1" t="s">
        <v>1634</v>
      </c>
      <c r="D241" s="1" t="s">
        <v>1637</v>
      </c>
      <c r="E241" s="1">
        <v>2024</v>
      </c>
      <c r="F241" s="1" t="s">
        <v>1641</v>
      </c>
      <c r="G241" s="1">
        <v>3940</v>
      </c>
      <c r="H241" s="1">
        <v>12985</v>
      </c>
      <c r="I241" s="1">
        <v>1471</v>
      </c>
      <c r="J241" s="1">
        <v>233965</v>
      </c>
      <c r="K241" s="1">
        <v>13.53</v>
      </c>
      <c r="L241" s="1">
        <v>4</v>
      </c>
      <c r="M241" s="1">
        <v>7.06</v>
      </c>
      <c r="N241" s="1">
        <v>5.46</v>
      </c>
      <c r="O241" s="1">
        <v>63.16</v>
      </c>
      <c r="P241" s="1">
        <v>4.5</v>
      </c>
      <c r="Q241" s="1">
        <v>17383</v>
      </c>
      <c r="R241" s="1">
        <v>3226</v>
      </c>
      <c r="S241" s="1">
        <v>10</v>
      </c>
      <c r="T241" s="1">
        <f>(Table1[[#This Row],[Selling_Price_per_Unit]]-Table1[[#This Row],[Manufacturing_Cost_per_Unit]])*Table1[[#This Row],[Units_Sold]]-Table1[[#This Row],[Marketing_Spend]]-Table1[[#This Row],[Discount_%]]</f>
        <v>45131189.539999999</v>
      </c>
      <c r="U241" s="3">
        <f>Table1[[#This Row],[profit]]/(Table1[[#This Row],[Units_Sold]]*Table1[[#This Row],[Selling_Price_per_Unit]])*100</f>
        <v>88.214221290086755</v>
      </c>
      <c r="V241" s="6">
        <f>Table1[[#This Row],[Units_Sold]]*Table1[[#This Row],[Selling_Price_per_Unit]]</f>
        <v>51160900</v>
      </c>
      <c r="W241" s="7">
        <f>(Table1[[#This Row],[Units_Sold]]/$Z$1)</f>
        <v>0.78879700048929435</v>
      </c>
      <c r="X241" s="8">
        <f>((Table1[[#This Row],[Units_Sold]]*(Table1[[#This Row],[Selling_Price_per_Unit]]-Table1[[#This Row],[Manufacturing_Cost_per_Unit]]))-Table1[[#This Row],[Marketing_Spend]])/Table1[[#This Row],[Marketing_Spend]]</f>
        <v>192.89720684717798</v>
      </c>
    </row>
    <row r="242" spans="1:24" hidden="1" x14ac:dyDescent="0.3">
      <c r="A242" s="1" t="s">
        <v>259</v>
      </c>
      <c r="B242" s="1" t="s">
        <v>1231</v>
      </c>
      <c r="C242" s="1" t="s">
        <v>1633</v>
      </c>
      <c r="D242" s="1" t="s">
        <v>1636</v>
      </c>
      <c r="E242" s="1">
        <v>2024</v>
      </c>
      <c r="F242" s="1" t="s">
        <v>1641</v>
      </c>
      <c r="G242" s="1">
        <v>3011</v>
      </c>
      <c r="H242" s="1">
        <v>1771</v>
      </c>
      <c r="I242" s="1">
        <v>14518</v>
      </c>
      <c r="J242" s="1">
        <v>251465</v>
      </c>
      <c r="K242" s="1">
        <v>12.08</v>
      </c>
      <c r="L242" s="1">
        <v>12</v>
      </c>
      <c r="M242" s="1">
        <v>3.12</v>
      </c>
      <c r="N242" s="1">
        <v>1.04</v>
      </c>
      <c r="O242" s="1">
        <v>34.450000000000003</v>
      </c>
      <c r="P242" s="1">
        <v>1.2</v>
      </c>
      <c r="Q242" s="1">
        <v>13241</v>
      </c>
      <c r="R242" s="1">
        <v>1715</v>
      </c>
      <c r="S242" s="1">
        <v>12</v>
      </c>
      <c r="T242" s="1">
        <f>(Table1[[#This Row],[Selling_Price_per_Unit]]-Table1[[#This Row],[Manufacturing_Cost_per_Unit]])*Table1[[#This Row],[Units_Sold]]-Table1[[#This Row],[Marketing_Spend]]-Table1[[#This Row],[Discount_%]]</f>
        <v>-38632683.039999999</v>
      </c>
      <c r="U242" s="3">
        <f>Table1[[#This Row],[profit]]/(Table1[[#This Row],[Units_Sold]]*Table1[[#This Row],[Selling_Price_per_Unit]])*100</f>
        <v>-724.47858773430221</v>
      </c>
      <c r="V242" s="6">
        <f>Table1[[#This Row],[Units_Sold]]*Table1[[#This Row],[Selling_Price_per_Unit]]</f>
        <v>5332481</v>
      </c>
      <c r="W242" s="7">
        <f>(Table1[[#This Row],[Units_Sold]]/$Z$1)</f>
        <v>0.60280907829270691</v>
      </c>
      <c r="X242" s="8">
        <f>((Table1[[#This Row],[Units_Sold]]*(Table1[[#This Row],[Selling_Price_per_Unit]]-Table1[[#This Row],[Manufacturing_Cost_per_Unit]]))-Table1[[#This Row],[Marketing_Spend]])/Table1[[#This Row],[Marketing_Spend]]</f>
        <v>-153.63045354224246</v>
      </c>
    </row>
    <row r="243" spans="1:24" hidden="1" x14ac:dyDescent="0.3">
      <c r="A243" s="1" t="s">
        <v>651</v>
      </c>
      <c r="B243" s="1" t="s">
        <v>1469</v>
      </c>
      <c r="C243" s="1" t="s">
        <v>1633</v>
      </c>
      <c r="D243" s="1" t="s">
        <v>1638</v>
      </c>
      <c r="E243" s="1">
        <v>2023</v>
      </c>
      <c r="F243" s="1" t="s">
        <v>1641</v>
      </c>
      <c r="G243" s="1">
        <v>2806</v>
      </c>
      <c r="H243" s="1">
        <v>19274</v>
      </c>
      <c r="I243" s="1">
        <v>3085</v>
      </c>
      <c r="J243" s="1">
        <v>316357</v>
      </c>
      <c r="K243" s="1">
        <v>4.03</v>
      </c>
      <c r="L243" s="1">
        <v>17</v>
      </c>
      <c r="M243" s="1">
        <v>1.1499999999999999</v>
      </c>
      <c r="N243" s="1">
        <v>9.66</v>
      </c>
      <c r="O243" s="1">
        <v>25.07</v>
      </c>
      <c r="P243" s="1">
        <v>2.7</v>
      </c>
      <c r="Q243" s="1">
        <v>7043</v>
      </c>
      <c r="R243" s="1">
        <v>3590</v>
      </c>
      <c r="S243" s="1">
        <v>14</v>
      </c>
      <c r="T243" s="1">
        <f>(Table1[[#This Row],[Selling_Price_per_Unit]]-Table1[[#This Row],[Manufacturing_Cost_per_Unit]])*Table1[[#This Row],[Units_Sold]]-Table1[[#This Row],[Marketing_Spend]]-Table1[[#This Row],[Discount_%]]</f>
        <v>45109967.340000004</v>
      </c>
      <c r="U243" s="3">
        <f>Table1[[#This Row],[profit]]/(Table1[[#This Row],[Units_Sold]]*Table1[[#This Row],[Selling_Price_per_Unit]])*100</f>
        <v>83.409014770007289</v>
      </c>
      <c r="V243" s="6">
        <f>Table1[[#This Row],[Units_Sold]]*Table1[[#This Row],[Selling_Price_per_Unit]]</f>
        <v>54082844</v>
      </c>
      <c r="W243" s="7">
        <f>(Table1[[#This Row],[Units_Sold]]/$Z$1)</f>
        <v>0.56176760999313702</v>
      </c>
      <c r="X243" s="8">
        <f>((Table1[[#This Row],[Units_Sold]]*(Table1[[#This Row],[Selling_Price_per_Unit]]-Table1[[#This Row],[Manufacturing_Cost_per_Unit]]))-Table1[[#This Row],[Marketing_Spend]])/Table1[[#This Row],[Marketing_Spend]]</f>
        <v>142.59199891262088</v>
      </c>
    </row>
    <row r="244" spans="1:24" x14ac:dyDescent="0.3">
      <c r="A244" s="1" t="s">
        <v>261</v>
      </c>
      <c r="B244" s="1" t="s">
        <v>1233</v>
      </c>
      <c r="C244" s="1" t="s">
        <v>1634</v>
      </c>
      <c r="D244" s="1" t="s">
        <v>1637</v>
      </c>
      <c r="E244" s="1">
        <v>2024</v>
      </c>
      <c r="F244" s="1" t="s">
        <v>1641</v>
      </c>
      <c r="G244" s="1">
        <v>3827</v>
      </c>
      <c r="H244" s="1">
        <v>12116</v>
      </c>
      <c r="I244" s="1">
        <v>14155</v>
      </c>
      <c r="J244" s="1">
        <v>50340</v>
      </c>
      <c r="K244" s="1">
        <v>13.99</v>
      </c>
      <c r="L244" s="1">
        <v>9</v>
      </c>
      <c r="M244" s="1">
        <v>7.96</v>
      </c>
      <c r="N244" s="1">
        <v>23.13</v>
      </c>
      <c r="O244" s="1">
        <v>53.01</v>
      </c>
      <c r="P244" s="1">
        <v>3.6</v>
      </c>
      <c r="Q244" s="1">
        <v>18427</v>
      </c>
      <c r="R244" s="1">
        <v>5606</v>
      </c>
      <c r="S244" s="1">
        <v>3</v>
      </c>
      <c r="T244" s="1">
        <f>(Table1[[#This Row],[Selling_Price_per_Unit]]-Table1[[#This Row],[Manufacturing_Cost_per_Unit]])*Table1[[#This Row],[Units_Sold]]-Table1[[#This Row],[Marketing_Spend]]-Table1[[#This Row],[Discount_%]]</f>
        <v>-7853616.1299999999</v>
      </c>
      <c r="U244" s="3">
        <f>Table1[[#This Row],[profit]]/(Table1[[#This Row],[Units_Sold]]*Table1[[#This Row],[Selling_Price_per_Unit]])*100</f>
        <v>-16.937602759596871</v>
      </c>
      <c r="V244" s="6">
        <f>Table1[[#This Row],[Units_Sold]]*Table1[[#This Row],[Selling_Price_per_Unit]]</f>
        <v>46367932</v>
      </c>
      <c r="W244" s="7">
        <f>(Table1[[#This Row],[Units_Sold]]/$Z$1)</f>
        <v>0.76617414235343384</v>
      </c>
      <c r="X244" s="8">
        <f>((Table1[[#This Row],[Units_Sold]]*(Table1[[#This Row],[Selling_Price_per_Unit]]-Table1[[#This Row],[Manufacturing_Cost_per_Unit]]))-Table1[[#This Row],[Marketing_Spend]])/Table1[[#This Row],[Marketing_Spend]]</f>
        <v>-156.01098529996028</v>
      </c>
    </row>
    <row r="245" spans="1:24" hidden="1" x14ac:dyDescent="0.3">
      <c r="A245" s="1" t="s">
        <v>262</v>
      </c>
      <c r="B245" s="1" t="s">
        <v>1234</v>
      </c>
      <c r="C245" s="1" t="s">
        <v>1632</v>
      </c>
      <c r="D245" s="1" t="s">
        <v>1638</v>
      </c>
      <c r="E245" s="1">
        <v>2024</v>
      </c>
      <c r="F245" s="1" t="s">
        <v>1642</v>
      </c>
      <c r="G245" s="1">
        <v>2919</v>
      </c>
      <c r="H245" s="1">
        <v>5861</v>
      </c>
      <c r="I245" s="1">
        <v>9452</v>
      </c>
      <c r="J245" s="1">
        <v>225021</v>
      </c>
      <c r="K245" s="1">
        <v>8.16</v>
      </c>
      <c r="L245" s="1">
        <v>14</v>
      </c>
      <c r="M245" s="1">
        <v>8.33</v>
      </c>
      <c r="N245" s="1">
        <v>9.15</v>
      </c>
      <c r="O245" s="1">
        <v>10.38</v>
      </c>
      <c r="P245" s="1">
        <v>1.8</v>
      </c>
      <c r="Q245" s="1">
        <v>16066</v>
      </c>
      <c r="R245" s="1">
        <v>4321</v>
      </c>
      <c r="S245" s="1">
        <v>14</v>
      </c>
      <c r="T245" s="1">
        <f>(Table1[[#This Row],[Selling_Price_per_Unit]]-Table1[[#This Row],[Manufacturing_Cost_per_Unit]])*Table1[[#This Row],[Units_Sold]]-Table1[[#This Row],[Marketing_Spend]]-Table1[[#This Row],[Discount_%]]</f>
        <v>-10707159.15</v>
      </c>
      <c r="U245" s="3">
        <f>Table1[[#This Row],[profit]]/(Table1[[#This Row],[Units_Sold]]*Table1[[#This Row],[Selling_Price_per_Unit]])*100</f>
        <v>-62.584738458775966</v>
      </c>
      <c r="V245" s="6">
        <f>Table1[[#This Row],[Units_Sold]]*Table1[[#This Row],[Selling_Price_per_Unit]]</f>
        <v>17108259</v>
      </c>
      <c r="W245" s="7">
        <f>(Table1[[#This Row],[Units_Sold]]/$Z$1)</f>
        <v>0.58439046812899753</v>
      </c>
      <c r="X245" s="8">
        <f>((Table1[[#This Row],[Units_Sold]]*(Table1[[#This Row],[Selling_Price_per_Unit]]-Table1[[#This Row],[Manufacturing_Cost_per_Unit]]))-Table1[[#This Row],[Marketing_Spend]])/Table1[[#This Row],[Marketing_Spend]]</f>
        <v>-47.58289226338875</v>
      </c>
    </row>
    <row r="246" spans="1:24" hidden="1" x14ac:dyDescent="0.3">
      <c r="A246" s="1" t="s">
        <v>263</v>
      </c>
      <c r="B246" s="1" t="s">
        <v>1235</v>
      </c>
      <c r="C246" s="1" t="s">
        <v>1634</v>
      </c>
      <c r="D246" s="1" t="s">
        <v>1637</v>
      </c>
      <c r="E246" s="1">
        <v>2024</v>
      </c>
      <c r="F246" s="1" t="s">
        <v>1640</v>
      </c>
      <c r="G246" s="1">
        <v>3284</v>
      </c>
      <c r="H246" s="1">
        <v>8569</v>
      </c>
      <c r="I246" s="1">
        <v>11317</v>
      </c>
      <c r="J246" s="1">
        <v>132302</v>
      </c>
      <c r="K246" s="1">
        <v>3</v>
      </c>
      <c r="L246" s="1">
        <v>4</v>
      </c>
      <c r="M246" s="1">
        <v>9.86</v>
      </c>
      <c r="N246" s="1">
        <v>2.59</v>
      </c>
      <c r="O246" s="1">
        <v>15.79</v>
      </c>
      <c r="P246" s="1">
        <v>1.6</v>
      </c>
      <c r="Q246" s="1">
        <v>2383</v>
      </c>
      <c r="R246" s="1">
        <v>5391</v>
      </c>
      <c r="S246" s="1">
        <v>7</v>
      </c>
      <c r="T246" s="1">
        <f>(Table1[[#This Row],[Selling_Price_per_Unit]]-Table1[[#This Row],[Manufacturing_Cost_per_Unit]])*Table1[[#This Row],[Units_Sold]]-Table1[[#This Row],[Marketing_Spend]]-Table1[[#This Row],[Discount_%]]</f>
        <v>-9156736.5899999999</v>
      </c>
      <c r="U246" s="3">
        <f>Table1[[#This Row],[profit]]/(Table1[[#This Row],[Units_Sold]]*Table1[[#This Row],[Selling_Price_per_Unit]])*100</f>
        <v>-32.539241848324743</v>
      </c>
      <c r="V246" s="6">
        <f>Table1[[#This Row],[Units_Sold]]*Table1[[#This Row],[Selling_Price_per_Unit]]</f>
        <v>28140596</v>
      </c>
      <c r="W246" s="7">
        <f>(Table1[[#This Row],[Units_Sold]]/$Z$1)</f>
        <v>0.65746430193067074</v>
      </c>
      <c r="X246" s="8">
        <f>((Table1[[#This Row],[Units_Sold]]*(Table1[[#This Row],[Selling_Price_per_Unit]]-Table1[[#This Row],[Manufacturing_Cost_per_Unit]]))-Table1[[#This Row],[Marketing_Spend]])/Table1[[#This Row],[Marketing_Spend]]</f>
        <v>-69.210850931958703</v>
      </c>
    </row>
    <row r="247" spans="1:24" x14ac:dyDescent="0.3">
      <c r="A247" s="1" t="s">
        <v>373</v>
      </c>
      <c r="B247" s="1" t="s">
        <v>1318</v>
      </c>
      <c r="C247" s="1" t="s">
        <v>1633</v>
      </c>
      <c r="D247" s="1" t="s">
        <v>1635</v>
      </c>
      <c r="E247" s="1">
        <v>2024</v>
      </c>
      <c r="F247" s="1" t="s">
        <v>1642</v>
      </c>
      <c r="G247" s="1">
        <v>4919</v>
      </c>
      <c r="H247" s="1">
        <v>13200</v>
      </c>
      <c r="I247" s="1">
        <v>4190</v>
      </c>
      <c r="J247" s="1">
        <v>292700</v>
      </c>
      <c r="K247" s="1">
        <v>10.53</v>
      </c>
      <c r="L247" s="1">
        <v>19</v>
      </c>
      <c r="M247" s="1">
        <v>3.86</v>
      </c>
      <c r="N247" s="1">
        <v>14.61</v>
      </c>
      <c r="O247" s="1">
        <v>31.82</v>
      </c>
      <c r="P247" s="1">
        <v>3.6</v>
      </c>
      <c r="Q247" s="1">
        <v>17027</v>
      </c>
      <c r="R247" s="1">
        <v>4152</v>
      </c>
      <c r="S247" s="1">
        <v>5</v>
      </c>
      <c r="T247" s="1">
        <f>(Table1[[#This Row],[Selling_Price_per_Unit]]-Table1[[#This Row],[Manufacturing_Cost_per_Unit]])*Table1[[#This Row],[Units_Sold]]-Table1[[#This Row],[Marketing_Spend]]-Table1[[#This Row],[Discount_%]]</f>
        <v>44027475.390000001</v>
      </c>
      <c r="U247" s="3">
        <f>Table1[[#This Row],[profit]]/(Table1[[#This Row],[Units_Sold]]*Table1[[#This Row],[Selling_Price_per_Unit]])*100</f>
        <v>67.806765648967826</v>
      </c>
      <c r="V247" s="6">
        <f>Table1[[#This Row],[Units_Sold]]*Table1[[#This Row],[Selling_Price_per_Unit]]</f>
        <v>64930800</v>
      </c>
      <c r="W247" s="7">
        <f>(Table1[[#This Row],[Units_Sold]]/$Z$1)</f>
        <v>0.98479503690528902</v>
      </c>
      <c r="X247" s="8">
        <f>((Table1[[#This Row],[Units_Sold]]*(Table1[[#This Row],[Selling_Price_per_Unit]]-Table1[[#This Row],[Manufacturing_Cost_per_Unit]]))-Table1[[#This Row],[Marketing_Spend]])/Table1[[#This Row],[Marketing_Spend]]</f>
        <v>150.41848308848651</v>
      </c>
    </row>
    <row r="248" spans="1:24" hidden="1" x14ac:dyDescent="0.3">
      <c r="A248" s="1" t="s">
        <v>265</v>
      </c>
      <c r="B248" s="1" t="s">
        <v>1237</v>
      </c>
      <c r="C248" s="1" t="s">
        <v>1633</v>
      </c>
      <c r="D248" s="1" t="s">
        <v>1635</v>
      </c>
      <c r="E248" s="1">
        <v>2023</v>
      </c>
      <c r="F248" s="1" t="s">
        <v>1640</v>
      </c>
      <c r="G248" s="1">
        <v>1006</v>
      </c>
      <c r="H248" s="1">
        <v>4930</v>
      </c>
      <c r="I248" s="1">
        <v>11460</v>
      </c>
      <c r="J248" s="1">
        <v>50138</v>
      </c>
      <c r="K248" s="1">
        <v>11.14</v>
      </c>
      <c r="L248" s="1">
        <v>12</v>
      </c>
      <c r="M248" s="1">
        <v>6.01</v>
      </c>
      <c r="N248" s="1">
        <v>7.49</v>
      </c>
      <c r="O248" s="1">
        <v>80.58</v>
      </c>
      <c r="P248" s="1">
        <v>4.9000000000000004</v>
      </c>
      <c r="Q248" s="1">
        <v>12585</v>
      </c>
      <c r="R248" s="1">
        <v>316</v>
      </c>
      <c r="S248" s="1">
        <v>8</v>
      </c>
      <c r="T248" s="1">
        <f>(Table1[[#This Row],[Selling_Price_per_Unit]]-Table1[[#This Row],[Manufacturing_Cost_per_Unit]])*Table1[[#This Row],[Units_Sold]]-Table1[[#This Row],[Marketing_Spend]]-Table1[[#This Row],[Discount_%]]</f>
        <v>-6619325.4900000002</v>
      </c>
      <c r="U248" s="3">
        <f>Table1[[#This Row],[profit]]/(Table1[[#This Row],[Units_Sold]]*Table1[[#This Row],[Selling_Price_per_Unit]])*100</f>
        <v>-133.46544445295771</v>
      </c>
      <c r="V248" s="6">
        <f>Table1[[#This Row],[Units_Sold]]*Table1[[#This Row],[Selling_Price_per_Unit]]</f>
        <v>4959580</v>
      </c>
      <c r="W248" s="7">
        <f>(Table1[[#This Row],[Units_Sold]]/$Z$1)</f>
        <v>0.20140349809447464</v>
      </c>
      <c r="X248" s="8">
        <f>((Table1[[#This Row],[Units_Sold]]*(Table1[[#This Row],[Selling_Price_per_Unit]]-Table1[[#This Row],[Manufacturing_Cost_per_Unit]]))-Table1[[#This Row],[Marketing_Spend]])/Table1[[#This Row],[Marketing_Spend]]</f>
        <v>-132.02197933702979</v>
      </c>
    </row>
    <row r="249" spans="1:24" x14ac:dyDescent="0.3">
      <c r="A249" s="1" t="s">
        <v>291</v>
      </c>
      <c r="B249" s="1" t="s">
        <v>1260</v>
      </c>
      <c r="C249" s="1" t="s">
        <v>1632</v>
      </c>
      <c r="D249" s="1" t="s">
        <v>1635</v>
      </c>
      <c r="E249" s="1">
        <v>2023</v>
      </c>
      <c r="F249" s="1" t="s">
        <v>1639</v>
      </c>
      <c r="G249" s="1">
        <v>4598</v>
      </c>
      <c r="H249" s="1">
        <v>16399</v>
      </c>
      <c r="I249" s="1">
        <v>6819</v>
      </c>
      <c r="J249" s="1">
        <v>182379</v>
      </c>
      <c r="K249" s="1">
        <v>4.5199999999999996</v>
      </c>
      <c r="L249" s="1">
        <v>11</v>
      </c>
      <c r="M249" s="1">
        <v>9.6199999999999992</v>
      </c>
      <c r="N249" s="1">
        <v>13.55</v>
      </c>
      <c r="O249" s="1">
        <v>56.17</v>
      </c>
      <c r="P249" s="1">
        <v>2</v>
      </c>
      <c r="Q249" s="1">
        <v>11834</v>
      </c>
      <c r="R249" s="1">
        <v>2908</v>
      </c>
      <c r="S249" s="1">
        <v>6</v>
      </c>
      <c r="T249" s="1">
        <f>(Table1[[#This Row],[Selling_Price_per_Unit]]-Table1[[#This Row],[Manufacturing_Cost_per_Unit]])*Table1[[#This Row],[Units_Sold]]-Table1[[#This Row],[Marketing_Spend]]-Table1[[#This Row],[Discount_%]]</f>
        <v>43866447.450000003</v>
      </c>
      <c r="U249" s="3">
        <f>Table1[[#This Row],[profit]]/(Table1[[#This Row],[Units_Sold]]*Table1[[#This Row],[Selling_Price_per_Unit]])*100</f>
        <v>58.176304645295929</v>
      </c>
      <c r="V249" s="6">
        <f>Table1[[#This Row],[Units_Sold]]*Table1[[#This Row],[Selling_Price_per_Unit]]</f>
        <v>75402602</v>
      </c>
      <c r="W249" s="7">
        <f>(Table1[[#This Row],[Units_Sold]]/$Z$1)</f>
        <v>0.9205301036166943</v>
      </c>
      <c r="X249" s="8">
        <f>((Table1[[#This Row],[Units_Sold]]*(Table1[[#This Row],[Selling_Price_per_Unit]]-Table1[[#This Row],[Manufacturing_Cost_per_Unit]]))-Table1[[#This Row],[Marketing_Spend]])/Table1[[#This Row],[Marketing_Spend]]</f>
        <v>240.52364033139781</v>
      </c>
    </row>
    <row r="250" spans="1:24" hidden="1" x14ac:dyDescent="0.3">
      <c r="A250" s="1" t="s">
        <v>267</v>
      </c>
      <c r="B250" s="1" t="s">
        <v>1029</v>
      </c>
      <c r="C250" s="1" t="s">
        <v>1634</v>
      </c>
      <c r="D250" s="1" t="s">
        <v>1638</v>
      </c>
      <c r="E250" s="1">
        <v>2023</v>
      </c>
      <c r="F250" s="1" t="s">
        <v>1639</v>
      </c>
      <c r="G250" s="1">
        <v>210</v>
      </c>
      <c r="H250" s="1">
        <v>12316</v>
      </c>
      <c r="I250" s="1">
        <v>2176</v>
      </c>
      <c r="J250" s="1">
        <v>169619</v>
      </c>
      <c r="K250" s="1">
        <v>7.82</v>
      </c>
      <c r="L250" s="1">
        <v>17</v>
      </c>
      <c r="M250" s="1">
        <v>5.45</v>
      </c>
      <c r="N250" s="1">
        <v>24.95</v>
      </c>
      <c r="O250" s="1">
        <v>66.87</v>
      </c>
      <c r="P250" s="1">
        <v>4.2</v>
      </c>
      <c r="Q250" s="1">
        <v>19952</v>
      </c>
      <c r="R250" s="1">
        <v>3874</v>
      </c>
      <c r="S250" s="1">
        <v>2</v>
      </c>
      <c r="T250" s="1">
        <f>(Table1[[#This Row],[Selling_Price_per_Unit]]-Table1[[#This Row],[Manufacturing_Cost_per_Unit]])*Table1[[#This Row],[Units_Sold]]-Table1[[#This Row],[Marketing_Spend]]-Table1[[#This Row],[Discount_%]]</f>
        <v>1959756.05</v>
      </c>
      <c r="U250" s="3">
        <f>Table1[[#This Row],[profit]]/(Table1[[#This Row],[Units_Sold]]*Table1[[#This Row],[Selling_Price_per_Unit]])*100</f>
        <v>75.772748186640683</v>
      </c>
      <c r="V250" s="6">
        <f>Table1[[#This Row],[Units_Sold]]*Table1[[#This Row],[Selling_Price_per_Unit]]</f>
        <v>2586360</v>
      </c>
      <c r="W250" s="7">
        <f>(Table1[[#This Row],[Units_Sold]]/$Z$1)</f>
        <v>4.2042479721510609E-2</v>
      </c>
      <c r="X250" s="8">
        <f>((Table1[[#This Row],[Units_Sold]]*(Table1[[#This Row],[Selling_Price_per_Unit]]-Table1[[#This Row],[Manufacturing_Cost_per_Unit]]))-Table1[[#This Row],[Marketing_Spend]])/Table1[[#This Row],[Marketing_Spend]]</f>
        <v>11.554018122969714</v>
      </c>
    </row>
    <row r="251" spans="1:24" x14ac:dyDescent="0.3">
      <c r="A251" s="1" t="s">
        <v>268</v>
      </c>
      <c r="B251" s="1" t="s">
        <v>1239</v>
      </c>
      <c r="C251" s="1" t="s">
        <v>1632</v>
      </c>
      <c r="D251" s="1" t="s">
        <v>1638</v>
      </c>
      <c r="E251" s="1">
        <v>2023</v>
      </c>
      <c r="F251" s="1" t="s">
        <v>1641</v>
      </c>
      <c r="G251" s="1">
        <v>4543</v>
      </c>
      <c r="H251" s="1">
        <v>3550</v>
      </c>
      <c r="I251" s="1">
        <v>11735</v>
      </c>
      <c r="J251" s="1">
        <v>397520</v>
      </c>
      <c r="K251" s="1">
        <v>1.03</v>
      </c>
      <c r="L251" s="1">
        <v>10</v>
      </c>
      <c r="M251" s="1">
        <v>0.41</v>
      </c>
      <c r="N251" s="1">
        <v>21.45</v>
      </c>
      <c r="O251" s="1">
        <v>87.87</v>
      </c>
      <c r="P251" s="1">
        <v>3.7</v>
      </c>
      <c r="Q251" s="1">
        <v>9620</v>
      </c>
      <c r="R251" s="1">
        <v>5517</v>
      </c>
      <c r="S251" s="1">
        <v>5</v>
      </c>
      <c r="T251" s="1">
        <f>(Table1[[#This Row],[Selling_Price_per_Unit]]-Table1[[#This Row],[Manufacturing_Cost_per_Unit]])*Table1[[#This Row],[Units_Sold]]-Table1[[#This Row],[Marketing_Spend]]-Table1[[#This Row],[Discount_%]]</f>
        <v>-37581996.450000003</v>
      </c>
      <c r="U251" s="3">
        <f>Table1[[#This Row],[profit]]/(Table1[[#This Row],[Units_Sold]]*Table1[[#This Row],[Selling_Price_per_Unit]])*100</f>
        <v>-233.02834851946815</v>
      </c>
      <c r="V251" s="6">
        <f>Table1[[#This Row],[Units_Sold]]*Table1[[#This Row],[Selling_Price_per_Unit]]</f>
        <v>16127650</v>
      </c>
      <c r="W251" s="7">
        <f>(Table1[[#This Row],[Units_Sold]]/$Z$1)</f>
        <v>0.9095189779753462</v>
      </c>
      <c r="X251" s="8">
        <f>((Table1[[#This Row],[Units_Sold]]*(Table1[[#This Row],[Selling_Price_per_Unit]]-Table1[[#This Row],[Manufacturing_Cost_per_Unit]]))-Table1[[#This Row],[Marketing_Spend]])/Table1[[#This Row],[Marketing_Spend]]</f>
        <v>-94.541092272086942</v>
      </c>
    </row>
    <row r="252" spans="1:24" hidden="1" x14ac:dyDescent="0.3">
      <c r="A252" s="1" t="s">
        <v>269</v>
      </c>
      <c r="B252" s="1" t="s">
        <v>1240</v>
      </c>
      <c r="C252" s="1" t="s">
        <v>1633</v>
      </c>
      <c r="D252" s="1" t="s">
        <v>1635</v>
      </c>
      <c r="E252" s="1">
        <v>2024</v>
      </c>
      <c r="F252" s="1" t="s">
        <v>1642</v>
      </c>
      <c r="G252" s="1">
        <v>1350</v>
      </c>
      <c r="H252" s="1">
        <v>13192</v>
      </c>
      <c r="I252" s="1">
        <v>9506</v>
      </c>
      <c r="J252" s="1">
        <v>149931</v>
      </c>
      <c r="K252" s="1">
        <v>5.57</v>
      </c>
      <c r="L252" s="1">
        <v>8</v>
      </c>
      <c r="M252" s="1">
        <v>7.45</v>
      </c>
      <c r="N252" s="1">
        <v>10.199999999999999</v>
      </c>
      <c r="O252" s="1">
        <v>73.25</v>
      </c>
      <c r="P252" s="1">
        <v>2.4</v>
      </c>
      <c r="Q252" s="1">
        <v>9320</v>
      </c>
      <c r="R252" s="1">
        <v>5027</v>
      </c>
      <c r="S252" s="1">
        <v>4</v>
      </c>
      <c r="T252" s="1">
        <f>(Table1[[#This Row],[Selling_Price_per_Unit]]-Table1[[#This Row],[Manufacturing_Cost_per_Unit]])*Table1[[#This Row],[Units_Sold]]-Table1[[#This Row],[Marketing_Spend]]-Table1[[#This Row],[Discount_%]]</f>
        <v>4826158.8</v>
      </c>
      <c r="U252" s="3">
        <f>Table1[[#This Row],[profit]]/(Table1[[#This Row],[Units_Sold]]*Table1[[#This Row],[Selling_Price_per_Unit]])*100</f>
        <v>27.099245333872378</v>
      </c>
      <c r="V252" s="6">
        <f>Table1[[#This Row],[Units_Sold]]*Table1[[#This Row],[Selling_Price_per_Unit]]</f>
        <v>17809200</v>
      </c>
      <c r="W252" s="7">
        <f>(Table1[[#This Row],[Units_Sold]]/$Z$1)</f>
        <v>0.27027308392399679</v>
      </c>
      <c r="X252" s="8">
        <f>((Table1[[#This Row],[Units_Sold]]*(Table1[[#This Row],[Selling_Price_per_Unit]]-Table1[[#This Row],[Manufacturing_Cost_per_Unit]]))-Table1[[#This Row],[Marketing_Spend]])/Table1[[#This Row],[Marketing_Spend]]</f>
        <v>32.189267062848913</v>
      </c>
    </row>
    <row r="253" spans="1:24" x14ac:dyDescent="0.3">
      <c r="A253" s="1" t="s">
        <v>270</v>
      </c>
      <c r="B253" s="1" t="s">
        <v>1241</v>
      </c>
      <c r="C253" s="1" t="s">
        <v>1632</v>
      </c>
      <c r="D253" s="1" t="s">
        <v>1638</v>
      </c>
      <c r="E253" s="1">
        <v>2024</v>
      </c>
      <c r="F253" s="1" t="s">
        <v>1641</v>
      </c>
      <c r="G253" s="1">
        <v>4961</v>
      </c>
      <c r="H253" s="1">
        <v>2665</v>
      </c>
      <c r="I253" s="1">
        <v>9694</v>
      </c>
      <c r="J253" s="1">
        <v>473870</v>
      </c>
      <c r="K253" s="1">
        <v>13.81</v>
      </c>
      <c r="L253" s="1">
        <v>15</v>
      </c>
      <c r="M253" s="1">
        <v>4.46</v>
      </c>
      <c r="N253" s="1">
        <v>24.51</v>
      </c>
      <c r="O253" s="1">
        <v>29.44</v>
      </c>
      <c r="P253" s="1">
        <v>1.7</v>
      </c>
      <c r="Q253" s="1">
        <v>13401</v>
      </c>
      <c r="R253" s="1">
        <v>4529</v>
      </c>
      <c r="S253" s="1">
        <v>7</v>
      </c>
      <c r="T253" s="1">
        <f>(Table1[[#This Row],[Selling_Price_per_Unit]]-Table1[[#This Row],[Manufacturing_Cost_per_Unit]])*Table1[[#This Row],[Units_Sold]]-Table1[[#This Row],[Marketing_Spend]]-Table1[[#This Row],[Discount_%]]</f>
        <v>-35344763.509999998</v>
      </c>
      <c r="U253" s="3">
        <f>Table1[[#This Row],[profit]]/(Table1[[#This Row],[Units_Sold]]*Table1[[#This Row],[Selling_Price_per_Unit]])*100</f>
        <v>-267.33673505122317</v>
      </c>
      <c r="V253" s="6">
        <f>Table1[[#This Row],[Units_Sold]]*Table1[[#This Row],[Selling_Price_per_Unit]]</f>
        <v>13221065</v>
      </c>
      <c r="W253" s="7">
        <f>(Table1[[#This Row],[Units_Sold]]/$Z$1)</f>
        <v>0.99320353284959118</v>
      </c>
      <c r="X253" s="8">
        <f>((Table1[[#This Row],[Units_Sold]]*(Table1[[#This Row],[Selling_Price_per_Unit]]-Table1[[#This Row],[Manufacturing_Cost_per_Unit]]))-Table1[[#This Row],[Marketing_Spend]])/Table1[[#This Row],[Marketing_Spend]]</f>
        <v>-74.587416380019832</v>
      </c>
    </row>
    <row r="254" spans="1:24" x14ac:dyDescent="0.3">
      <c r="A254" s="1" t="s">
        <v>271</v>
      </c>
      <c r="B254" s="1" t="s">
        <v>1242</v>
      </c>
      <c r="C254" s="1" t="s">
        <v>1633</v>
      </c>
      <c r="D254" s="1" t="s">
        <v>1636</v>
      </c>
      <c r="E254" s="1">
        <v>2024</v>
      </c>
      <c r="F254" s="1" t="s">
        <v>1642</v>
      </c>
      <c r="G254" s="1">
        <v>4037</v>
      </c>
      <c r="H254" s="1">
        <v>3533</v>
      </c>
      <c r="I254" s="1">
        <v>2453</v>
      </c>
      <c r="J254" s="1">
        <v>206951</v>
      </c>
      <c r="K254" s="1">
        <v>8.77</v>
      </c>
      <c r="L254" s="1">
        <v>1</v>
      </c>
      <c r="M254" s="1">
        <v>0.2</v>
      </c>
      <c r="N254" s="1">
        <v>16.25</v>
      </c>
      <c r="O254" s="1">
        <v>82.67</v>
      </c>
      <c r="P254" s="1">
        <v>1.3</v>
      </c>
      <c r="Q254" s="1">
        <v>19670</v>
      </c>
      <c r="R254" s="1">
        <v>4706</v>
      </c>
      <c r="S254" s="1">
        <v>10</v>
      </c>
      <c r="T254" s="1">
        <f>(Table1[[#This Row],[Selling_Price_per_Unit]]-Table1[[#This Row],[Manufacturing_Cost_per_Unit]])*Table1[[#This Row],[Units_Sold]]-Table1[[#This Row],[Marketing_Spend]]-Table1[[#This Row],[Discount_%]]</f>
        <v>4152992.75</v>
      </c>
      <c r="U254" s="3">
        <f>Table1[[#This Row],[profit]]/(Table1[[#This Row],[Units_Sold]]*Table1[[#This Row],[Selling_Price_per_Unit]])*100</f>
        <v>29.117815247174782</v>
      </c>
      <c r="V254" s="6">
        <f>Table1[[#This Row],[Units_Sold]]*Table1[[#This Row],[Selling_Price_per_Unit]]</f>
        <v>14262721</v>
      </c>
      <c r="W254" s="7">
        <f>(Table1[[#This Row],[Units_Sold]]/$Z$1)</f>
        <v>0.80821662207494449</v>
      </c>
      <c r="X254" s="8">
        <f>((Table1[[#This Row],[Units_Sold]]*(Table1[[#This Row],[Selling_Price_per_Unit]]-Table1[[#This Row],[Manufacturing_Cost_per_Unit]]))-Table1[[#This Row],[Marketing_Spend]])/Table1[[#This Row],[Marketing_Spend]]</f>
        <v>20.06759571106204</v>
      </c>
    </row>
    <row r="255" spans="1:24" hidden="1" x14ac:dyDescent="0.3">
      <c r="A255" s="1" t="s">
        <v>272</v>
      </c>
      <c r="B255" s="1" t="s">
        <v>1243</v>
      </c>
      <c r="C255" s="1" t="s">
        <v>1634</v>
      </c>
      <c r="D255" s="1" t="s">
        <v>1635</v>
      </c>
      <c r="E255" s="1">
        <v>2024</v>
      </c>
      <c r="F255" s="1" t="s">
        <v>1640</v>
      </c>
      <c r="G255" s="1">
        <v>1577</v>
      </c>
      <c r="H255" s="1">
        <v>1645</v>
      </c>
      <c r="I255" s="1">
        <v>2866</v>
      </c>
      <c r="J255" s="1">
        <v>393676</v>
      </c>
      <c r="K255" s="1">
        <v>8.07</v>
      </c>
      <c r="L255" s="1">
        <v>1</v>
      </c>
      <c r="M255" s="1">
        <v>0.63</v>
      </c>
      <c r="N255" s="1">
        <v>18.55</v>
      </c>
      <c r="O255" s="1">
        <v>17.45</v>
      </c>
      <c r="P255" s="1">
        <v>3.8</v>
      </c>
      <c r="Q255" s="1">
        <v>17759</v>
      </c>
      <c r="R255" s="1">
        <v>4578</v>
      </c>
      <c r="S255" s="1">
        <v>10</v>
      </c>
      <c r="T255" s="1">
        <f>(Table1[[#This Row],[Selling_Price_per_Unit]]-Table1[[#This Row],[Manufacturing_Cost_per_Unit]])*Table1[[#This Row],[Units_Sold]]-Table1[[#This Row],[Marketing_Spend]]-Table1[[#This Row],[Discount_%]]</f>
        <v>-2319211.5499999998</v>
      </c>
      <c r="U255" s="3">
        <f>Table1[[#This Row],[profit]]/(Table1[[#This Row],[Units_Sold]]*Table1[[#This Row],[Selling_Price_per_Unit]])*100</f>
        <v>-89.401080887298988</v>
      </c>
      <c r="V255" s="6">
        <f>Table1[[#This Row],[Units_Sold]]*Table1[[#This Row],[Selling_Price_per_Unit]]</f>
        <v>2594165</v>
      </c>
      <c r="W255" s="7">
        <f>(Table1[[#This Row],[Units_Sold]]/$Z$1)</f>
        <v>0.31571900248010587</v>
      </c>
      <c r="X255" s="8">
        <f>((Table1[[#This Row],[Units_Sold]]*(Table1[[#This Row],[Selling_Price_per_Unit]]-Table1[[#This Row],[Manufacturing_Cost_per_Unit]]))-Table1[[#This Row],[Marketing_Spend]])/Table1[[#This Row],[Marketing_Spend]]</f>
        <v>-5.8911211249860287</v>
      </c>
    </row>
    <row r="256" spans="1:24" hidden="1" x14ac:dyDescent="0.3">
      <c r="A256" s="1" t="s">
        <v>725</v>
      </c>
      <c r="B256" s="1" t="s">
        <v>1327</v>
      </c>
      <c r="C256" s="1" t="s">
        <v>1633</v>
      </c>
      <c r="D256" s="1" t="s">
        <v>1635</v>
      </c>
      <c r="E256" s="1">
        <v>2023</v>
      </c>
      <c r="F256" s="1" t="s">
        <v>1641</v>
      </c>
      <c r="G256" s="1">
        <v>2997</v>
      </c>
      <c r="H256" s="1">
        <v>18458</v>
      </c>
      <c r="I256" s="1">
        <v>3790</v>
      </c>
      <c r="J256" s="1">
        <v>429039</v>
      </c>
      <c r="K256" s="1">
        <v>3.45</v>
      </c>
      <c r="L256" s="1">
        <v>7</v>
      </c>
      <c r="M256" s="1">
        <v>8.3699999999999992</v>
      </c>
      <c r="N256" s="1">
        <v>13.07</v>
      </c>
      <c r="O256" s="1">
        <v>51.05</v>
      </c>
      <c r="P256" s="1">
        <v>4.4000000000000004</v>
      </c>
      <c r="Q256" s="1">
        <v>6567</v>
      </c>
      <c r="R256" s="1">
        <v>3513</v>
      </c>
      <c r="S256" s="1">
        <v>12</v>
      </c>
      <c r="T256" s="1">
        <f>(Table1[[#This Row],[Selling_Price_per_Unit]]-Table1[[#This Row],[Manufacturing_Cost_per_Unit]])*Table1[[#This Row],[Units_Sold]]-Table1[[#This Row],[Marketing_Spend]]-Table1[[#This Row],[Discount_%]]</f>
        <v>43530943.93</v>
      </c>
      <c r="U256" s="3">
        <f>Table1[[#This Row],[profit]]/(Table1[[#This Row],[Units_Sold]]*Table1[[#This Row],[Selling_Price_per_Unit]])*100</f>
        <v>78.691296363723865</v>
      </c>
      <c r="V256" s="6">
        <f>Table1[[#This Row],[Units_Sold]]*Table1[[#This Row],[Selling_Price_per_Unit]]</f>
        <v>55318626</v>
      </c>
      <c r="W256" s="7">
        <f>(Table1[[#This Row],[Units_Sold]]/$Z$1)</f>
        <v>0.60000624631127286</v>
      </c>
      <c r="X256" s="8">
        <f>((Table1[[#This Row],[Units_Sold]]*(Table1[[#This Row],[Selling_Price_per_Unit]]-Table1[[#This Row],[Manufacturing_Cost_per_Unit]]))-Table1[[#This Row],[Marketing_Spend]])/Table1[[#This Row],[Marketing_Spend]]</f>
        <v>101.46153846153847</v>
      </c>
    </row>
    <row r="257" spans="1:24" x14ac:dyDescent="0.3">
      <c r="A257" s="1" t="s">
        <v>660</v>
      </c>
      <c r="B257" s="1" t="s">
        <v>1224</v>
      </c>
      <c r="C257" s="1" t="s">
        <v>1632</v>
      </c>
      <c r="D257" s="1" t="s">
        <v>1637</v>
      </c>
      <c r="E257" s="1">
        <v>2023</v>
      </c>
      <c r="F257" s="1" t="s">
        <v>1640</v>
      </c>
      <c r="G257" s="1">
        <v>4830</v>
      </c>
      <c r="H257" s="1">
        <v>16346</v>
      </c>
      <c r="I257" s="1">
        <v>7330</v>
      </c>
      <c r="J257" s="1">
        <v>332276</v>
      </c>
      <c r="K257" s="1">
        <v>11.97</v>
      </c>
      <c r="L257" s="1">
        <v>5</v>
      </c>
      <c r="M257" s="1">
        <v>9.3800000000000008</v>
      </c>
      <c r="N257" s="1">
        <v>2.63</v>
      </c>
      <c r="O257" s="1">
        <v>50.73</v>
      </c>
      <c r="P257" s="1">
        <v>1.7</v>
      </c>
      <c r="Q257" s="1">
        <v>19966</v>
      </c>
      <c r="R257" s="1">
        <v>1864</v>
      </c>
      <c r="S257" s="1">
        <v>4</v>
      </c>
      <c r="T257" s="1">
        <f>(Table1[[#This Row],[Selling_Price_per_Unit]]-Table1[[#This Row],[Manufacturing_Cost_per_Unit]])*Table1[[#This Row],[Units_Sold]]-Table1[[#This Row],[Marketing_Spend]]-Table1[[#This Row],[Discount_%]]</f>
        <v>43215001.369999997</v>
      </c>
      <c r="U257" s="3">
        <f>Table1[[#This Row],[profit]]/(Table1[[#This Row],[Units_Sold]]*Table1[[#This Row],[Selling_Price_per_Unit]])*100</f>
        <v>54.736359063917725</v>
      </c>
      <c r="V257" s="6">
        <f>Table1[[#This Row],[Units_Sold]]*Table1[[#This Row],[Selling_Price_per_Unit]]</f>
        <v>78951180</v>
      </c>
      <c r="W257" s="7">
        <f>(Table1[[#This Row],[Units_Sold]]/$Z$1)</f>
        <v>0.96697703359474407</v>
      </c>
      <c r="X257" s="8">
        <f>((Table1[[#This Row],[Units_Sold]]*(Table1[[#This Row],[Selling_Price_per_Unit]]-Table1[[#This Row],[Manufacturing_Cost_per_Unit]]))-Table1[[#This Row],[Marketing_Spend]])/Table1[[#This Row],[Marketing_Spend]]</f>
        <v>130.05755456307406</v>
      </c>
    </row>
    <row r="258" spans="1:24" x14ac:dyDescent="0.3">
      <c r="A258" s="1" t="s">
        <v>275</v>
      </c>
      <c r="B258" s="1" t="s">
        <v>1246</v>
      </c>
      <c r="C258" s="1" t="s">
        <v>1632</v>
      </c>
      <c r="D258" s="1" t="s">
        <v>1636</v>
      </c>
      <c r="E258" s="1">
        <v>2024</v>
      </c>
      <c r="F258" s="1" t="s">
        <v>1641</v>
      </c>
      <c r="G258" s="1">
        <v>4785</v>
      </c>
      <c r="H258" s="1">
        <v>15786</v>
      </c>
      <c r="I258" s="1">
        <v>14141</v>
      </c>
      <c r="J258" s="1">
        <v>108478</v>
      </c>
      <c r="K258" s="1">
        <v>13.43</v>
      </c>
      <c r="L258" s="1">
        <v>8</v>
      </c>
      <c r="M258" s="1">
        <v>4.6399999999999997</v>
      </c>
      <c r="N258" s="1">
        <v>15.83</v>
      </c>
      <c r="O258" s="1">
        <v>61.3</v>
      </c>
      <c r="P258" s="1">
        <v>4.7</v>
      </c>
      <c r="Q258" s="1">
        <v>13305</v>
      </c>
      <c r="R258" s="1">
        <v>4527</v>
      </c>
      <c r="S258" s="1">
        <v>10</v>
      </c>
      <c r="T258" s="1">
        <f>(Table1[[#This Row],[Selling_Price_per_Unit]]-Table1[[#This Row],[Manufacturing_Cost_per_Unit]])*Table1[[#This Row],[Units_Sold]]-Table1[[#This Row],[Marketing_Spend]]-Table1[[#This Row],[Discount_%]]</f>
        <v>7762831.1699999999</v>
      </c>
      <c r="U258" s="3">
        <f>Table1[[#This Row],[profit]]/(Table1[[#This Row],[Units_Sold]]*Table1[[#This Row],[Selling_Price_per_Unit]])*100</f>
        <v>10.276993939711669</v>
      </c>
      <c r="V258" s="6">
        <f>Table1[[#This Row],[Units_Sold]]*Table1[[#This Row],[Selling_Price_per_Unit]]</f>
        <v>75536010</v>
      </c>
      <c r="W258" s="7">
        <f>(Table1[[#This Row],[Units_Sold]]/$Z$1)</f>
        <v>0.95796793079727749</v>
      </c>
      <c r="X258" s="8">
        <f>((Table1[[#This Row],[Units_Sold]]*(Table1[[#This Row],[Selling_Price_per_Unit]]-Table1[[#This Row],[Manufacturing_Cost_per_Unit]]))-Table1[[#This Row],[Marketing_Spend]])/Table1[[#This Row],[Marketing_Spend]]</f>
        <v>71.561487121812718</v>
      </c>
    </row>
    <row r="259" spans="1:24" hidden="1" x14ac:dyDescent="0.3">
      <c r="A259" s="1" t="s">
        <v>276</v>
      </c>
      <c r="B259" s="1" t="s">
        <v>1118</v>
      </c>
      <c r="C259" s="1" t="s">
        <v>1632</v>
      </c>
      <c r="D259" s="1" t="s">
        <v>1635</v>
      </c>
      <c r="E259" s="1">
        <v>2023</v>
      </c>
      <c r="F259" s="1" t="s">
        <v>1640</v>
      </c>
      <c r="G259" s="1">
        <v>3154</v>
      </c>
      <c r="H259" s="1">
        <v>4132</v>
      </c>
      <c r="I259" s="1">
        <v>6726</v>
      </c>
      <c r="J259" s="1">
        <v>76762</v>
      </c>
      <c r="K259" s="1">
        <v>10</v>
      </c>
      <c r="L259" s="1">
        <v>11</v>
      </c>
      <c r="M259" s="1">
        <v>6.19</v>
      </c>
      <c r="N259" s="1">
        <v>22.48</v>
      </c>
      <c r="O259" s="1">
        <v>43.09</v>
      </c>
      <c r="P259" s="1">
        <v>4.5</v>
      </c>
      <c r="Q259" s="1">
        <v>19192</v>
      </c>
      <c r="R259" s="1">
        <v>5461</v>
      </c>
      <c r="S259" s="1">
        <v>9</v>
      </c>
      <c r="T259" s="1">
        <f>(Table1[[#This Row],[Selling_Price_per_Unit]]-Table1[[#This Row],[Manufacturing_Cost_per_Unit]])*Table1[[#This Row],[Units_Sold]]-Table1[[#This Row],[Marketing_Spend]]-Table1[[#This Row],[Discount_%]]</f>
        <v>-8258260.4800000004</v>
      </c>
      <c r="U259" s="3">
        <f>Table1[[#This Row],[profit]]/(Table1[[#This Row],[Units_Sold]]*Table1[[#This Row],[Selling_Price_per_Unit]])*100</f>
        <v>-63.367500265493625</v>
      </c>
      <c r="V259" s="6">
        <f>Table1[[#This Row],[Units_Sold]]*Table1[[#This Row],[Selling_Price_per_Unit]]</f>
        <v>13032328</v>
      </c>
      <c r="W259" s="7">
        <f>(Table1[[#This Row],[Units_Sold]]/$Z$1)</f>
        <v>0.63143800496021174</v>
      </c>
      <c r="X259" s="8">
        <f>((Table1[[#This Row],[Units_Sold]]*(Table1[[#This Row],[Selling_Price_per_Unit]]-Table1[[#This Row],[Manufacturing_Cost_per_Unit]]))-Table1[[#This Row],[Marketing_Spend]])/Table1[[#This Row],[Marketing_Spend]]</f>
        <v>-107.58237148589146</v>
      </c>
    </row>
    <row r="260" spans="1:24" hidden="1" x14ac:dyDescent="0.3">
      <c r="A260" s="1" t="s">
        <v>277</v>
      </c>
      <c r="B260" s="1" t="s">
        <v>1247</v>
      </c>
      <c r="C260" s="1" t="s">
        <v>1633</v>
      </c>
      <c r="D260" s="1" t="s">
        <v>1635</v>
      </c>
      <c r="E260" s="1">
        <v>2023</v>
      </c>
      <c r="F260" s="1" t="s">
        <v>1641</v>
      </c>
      <c r="G260" s="1">
        <v>2785</v>
      </c>
      <c r="H260" s="1">
        <v>5994</v>
      </c>
      <c r="I260" s="1">
        <v>7051</v>
      </c>
      <c r="J260" s="1">
        <v>194355</v>
      </c>
      <c r="K260" s="1">
        <v>11.81</v>
      </c>
      <c r="L260" s="1">
        <v>8</v>
      </c>
      <c r="M260" s="1">
        <v>4.8</v>
      </c>
      <c r="N260" s="1">
        <v>15.59</v>
      </c>
      <c r="O260" s="1">
        <v>33.43</v>
      </c>
      <c r="P260" s="1">
        <v>5</v>
      </c>
      <c r="Q260" s="1">
        <v>11879</v>
      </c>
      <c r="R260" s="1">
        <v>9191</v>
      </c>
      <c r="S260" s="1">
        <v>6</v>
      </c>
      <c r="T260" s="1">
        <f>(Table1[[#This Row],[Selling_Price_per_Unit]]-Table1[[#This Row],[Manufacturing_Cost_per_Unit]])*Table1[[#This Row],[Units_Sold]]-Table1[[#This Row],[Marketing_Spend]]-Table1[[#This Row],[Discount_%]]</f>
        <v>-3138115.59</v>
      </c>
      <c r="U260" s="3">
        <f>Table1[[#This Row],[profit]]/(Table1[[#This Row],[Units_Sold]]*Table1[[#This Row],[Selling_Price_per_Unit]])*100</f>
        <v>-18.798664553242649</v>
      </c>
      <c r="V260" s="6">
        <f>Table1[[#This Row],[Units_Sold]]*Table1[[#This Row],[Selling_Price_per_Unit]]</f>
        <v>16693290</v>
      </c>
      <c r="W260" s="7">
        <f>(Table1[[#This Row],[Units_Sold]]/$Z$1)</f>
        <v>0.557563362020986</v>
      </c>
      <c r="X260" s="8">
        <f>((Table1[[#This Row],[Units_Sold]]*(Table1[[#This Row],[Selling_Price_per_Unit]]-Table1[[#This Row],[Manufacturing_Cost_per_Unit]]))-Table1[[#This Row],[Marketing_Spend]])/Table1[[#This Row],[Marketing_Spend]]</f>
        <v>-16.14622726454169</v>
      </c>
    </row>
    <row r="261" spans="1:24" hidden="1" x14ac:dyDescent="0.3">
      <c r="A261" s="1" t="s">
        <v>300</v>
      </c>
      <c r="B261" s="1" t="s">
        <v>1047</v>
      </c>
      <c r="C261" s="1" t="s">
        <v>1634</v>
      </c>
      <c r="D261" s="1" t="s">
        <v>1637</v>
      </c>
      <c r="E261" s="1">
        <v>2023</v>
      </c>
      <c r="F261" s="1" t="s">
        <v>1639</v>
      </c>
      <c r="G261" s="1">
        <v>2574</v>
      </c>
      <c r="H261" s="1">
        <v>18708</v>
      </c>
      <c r="I261" s="1">
        <v>2228</v>
      </c>
      <c r="J261" s="1">
        <v>182212</v>
      </c>
      <c r="K261" s="1">
        <v>3.9</v>
      </c>
      <c r="L261" s="1">
        <v>13</v>
      </c>
      <c r="M261" s="1">
        <v>3.58</v>
      </c>
      <c r="N261" s="1">
        <v>9.99</v>
      </c>
      <c r="O261" s="1">
        <v>50.7</v>
      </c>
      <c r="P261" s="1">
        <v>3.5</v>
      </c>
      <c r="Q261" s="1">
        <v>3169</v>
      </c>
      <c r="R261" s="1">
        <v>4005</v>
      </c>
      <c r="S261" s="1">
        <v>9</v>
      </c>
      <c r="T261" s="1">
        <f>(Table1[[#This Row],[Selling_Price_per_Unit]]-Table1[[#This Row],[Manufacturing_Cost_per_Unit]])*Table1[[#This Row],[Units_Sold]]-Table1[[#This Row],[Marketing_Spend]]-Table1[[#This Row],[Discount_%]]</f>
        <v>42237298.009999998</v>
      </c>
      <c r="U261" s="3">
        <f>Table1[[#This Row],[profit]]/(Table1[[#This Row],[Units_Sold]]*Table1[[#This Row],[Selling_Price_per_Unit]])*100</f>
        <v>87.712244419989759</v>
      </c>
      <c r="V261" s="6">
        <f>Table1[[#This Row],[Units_Sold]]*Table1[[#This Row],[Selling_Price_per_Unit]]</f>
        <v>48154392</v>
      </c>
      <c r="W261" s="7">
        <f>(Table1[[#This Row],[Units_Sold]]/$Z$1)</f>
        <v>0.51532068001508724</v>
      </c>
      <c r="X261" s="8">
        <f>((Table1[[#This Row],[Units_Sold]]*(Table1[[#This Row],[Selling_Price_per_Unit]]-Table1[[#This Row],[Manufacturing_Cost_per_Unit]]))-Table1[[#This Row],[Marketing_Spend]])/Table1[[#This Row],[Marketing_Spend]]</f>
        <v>231.80310846706035</v>
      </c>
    </row>
    <row r="262" spans="1:24" hidden="1" x14ac:dyDescent="0.3">
      <c r="A262" s="1" t="s">
        <v>279</v>
      </c>
      <c r="B262" s="1" t="s">
        <v>1249</v>
      </c>
      <c r="C262" s="1" t="s">
        <v>1632</v>
      </c>
      <c r="D262" s="1" t="s">
        <v>1637</v>
      </c>
      <c r="E262" s="1">
        <v>2024</v>
      </c>
      <c r="F262" s="1" t="s">
        <v>1642</v>
      </c>
      <c r="G262" s="1">
        <v>1004</v>
      </c>
      <c r="H262" s="1">
        <v>10655</v>
      </c>
      <c r="I262" s="1">
        <v>8095</v>
      </c>
      <c r="J262" s="1">
        <v>220492</v>
      </c>
      <c r="K262" s="1">
        <v>9.4499999999999993</v>
      </c>
      <c r="L262" s="1">
        <v>1</v>
      </c>
      <c r="M262" s="1">
        <v>2.19</v>
      </c>
      <c r="N262" s="1">
        <v>2.89</v>
      </c>
      <c r="O262" s="1">
        <v>50.72</v>
      </c>
      <c r="P262" s="1">
        <v>4.0999999999999996</v>
      </c>
      <c r="Q262" s="1">
        <v>14785</v>
      </c>
      <c r="R262" s="1">
        <v>5446</v>
      </c>
      <c r="S262" s="1">
        <v>8</v>
      </c>
      <c r="T262" s="1">
        <f>(Table1[[#This Row],[Selling_Price_per_Unit]]-Table1[[#This Row],[Manufacturing_Cost_per_Unit]])*Table1[[#This Row],[Units_Sold]]-Table1[[#This Row],[Marketing_Spend]]-Table1[[#This Row],[Discount_%]]</f>
        <v>2349745.11</v>
      </c>
      <c r="U262" s="3">
        <f>Table1[[#This Row],[profit]]/(Table1[[#This Row],[Units_Sold]]*Table1[[#This Row],[Selling_Price_per_Unit]])*100</f>
        <v>21.965120372568851</v>
      </c>
      <c r="V262" s="6">
        <f>Table1[[#This Row],[Units_Sold]]*Table1[[#This Row],[Selling_Price_per_Unit]]</f>
        <v>10697620</v>
      </c>
      <c r="W262" s="7">
        <f>(Table1[[#This Row],[Units_Sold]]/$Z$1)</f>
        <v>0.20100309352569834</v>
      </c>
      <c r="X262" s="8">
        <f>((Table1[[#This Row],[Units_Sold]]*(Table1[[#This Row],[Selling_Price_per_Unit]]-Table1[[#This Row],[Manufacturing_Cost_per_Unit]]))-Table1[[#This Row],[Marketing_Spend]])/Table1[[#This Row],[Marketing_Spend]]</f>
        <v>10.65684015746603</v>
      </c>
    </row>
    <row r="263" spans="1:24" hidden="1" x14ac:dyDescent="0.3">
      <c r="A263" s="1" t="s">
        <v>368</v>
      </c>
      <c r="B263" s="1" t="s">
        <v>1314</v>
      </c>
      <c r="C263" s="1" t="s">
        <v>1634</v>
      </c>
      <c r="D263" s="1" t="s">
        <v>1636</v>
      </c>
      <c r="E263" s="1">
        <v>2023</v>
      </c>
      <c r="F263" s="1" t="s">
        <v>1639</v>
      </c>
      <c r="G263" s="1">
        <v>2541</v>
      </c>
      <c r="H263" s="1">
        <v>17870</v>
      </c>
      <c r="I263" s="1">
        <v>1393</v>
      </c>
      <c r="J263" s="1">
        <v>90510</v>
      </c>
      <c r="K263" s="1">
        <v>8.35</v>
      </c>
      <c r="L263" s="1">
        <v>6</v>
      </c>
      <c r="M263" s="1">
        <v>1.36</v>
      </c>
      <c r="N263" s="1">
        <v>4.79</v>
      </c>
      <c r="O263" s="1">
        <v>20.84</v>
      </c>
      <c r="P263" s="1">
        <v>3.8</v>
      </c>
      <c r="Q263" s="1">
        <v>7195</v>
      </c>
      <c r="R263" s="1">
        <v>189</v>
      </c>
      <c r="S263" s="1">
        <v>7</v>
      </c>
      <c r="T263" s="1">
        <f>(Table1[[#This Row],[Selling_Price_per_Unit]]-Table1[[#This Row],[Manufacturing_Cost_per_Unit]])*Table1[[#This Row],[Units_Sold]]-Table1[[#This Row],[Marketing_Spend]]-Table1[[#This Row],[Discount_%]]</f>
        <v>41777542.210000001</v>
      </c>
      <c r="U263" s="3">
        <f>Table1[[#This Row],[profit]]/(Table1[[#This Row],[Units_Sold]]*Table1[[#This Row],[Selling_Price_per_Unit]])*100</f>
        <v>92.00547442755817</v>
      </c>
      <c r="V263" s="6">
        <f>Table1[[#This Row],[Units_Sold]]*Table1[[#This Row],[Selling_Price_per_Unit]]</f>
        <v>45407670</v>
      </c>
      <c r="W263" s="7">
        <f>(Table1[[#This Row],[Units_Sold]]/$Z$1)</f>
        <v>0.50871400463027838</v>
      </c>
      <c r="X263" s="8">
        <f>((Table1[[#This Row],[Units_Sold]]*(Table1[[#This Row],[Selling_Price_per_Unit]]-Table1[[#This Row],[Manufacturing_Cost_per_Unit]]))-Table1[[#This Row],[Marketing_Spend]])/Table1[[#This Row],[Marketing_Spend]]</f>
        <v>461.57935034802784</v>
      </c>
    </row>
    <row r="264" spans="1:24" hidden="1" x14ac:dyDescent="0.3">
      <c r="A264" s="1" t="s">
        <v>281</v>
      </c>
      <c r="B264" s="1" t="s">
        <v>1251</v>
      </c>
      <c r="C264" s="1" t="s">
        <v>1634</v>
      </c>
      <c r="D264" s="1" t="s">
        <v>1638</v>
      </c>
      <c r="E264" s="1">
        <v>2024</v>
      </c>
      <c r="F264" s="1" t="s">
        <v>1640</v>
      </c>
      <c r="G264" s="1">
        <v>3496</v>
      </c>
      <c r="H264" s="1">
        <v>11733</v>
      </c>
      <c r="I264" s="1">
        <v>14222</v>
      </c>
      <c r="J264" s="1">
        <v>397234</v>
      </c>
      <c r="K264" s="1">
        <v>10.58</v>
      </c>
      <c r="L264" s="1">
        <v>19</v>
      </c>
      <c r="M264" s="1">
        <v>5.96</v>
      </c>
      <c r="N264" s="1">
        <v>3.48</v>
      </c>
      <c r="O264" s="1">
        <v>87.52</v>
      </c>
      <c r="P264" s="1">
        <v>2</v>
      </c>
      <c r="Q264" s="1">
        <v>12179</v>
      </c>
      <c r="R264" s="1">
        <v>3727</v>
      </c>
      <c r="S264" s="1">
        <v>9</v>
      </c>
      <c r="T264" s="1">
        <f>(Table1[[#This Row],[Selling_Price_per_Unit]]-Table1[[#This Row],[Manufacturing_Cost_per_Unit]])*Table1[[#This Row],[Units_Sold]]-Table1[[#This Row],[Marketing_Spend]]-Table1[[#This Row],[Discount_%]]</f>
        <v>-9098781.4800000004</v>
      </c>
      <c r="U264" s="3">
        <f>Table1[[#This Row],[profit]]/(Table1[[#This Row],[Units_Sold]]*Table1[[#This Row],[Selling_Price_per_Unit]])*100</f>
        <v>-22.182104163168251</v>
      </c>
      <c r="V264" s="6">
        <f>Table1[[#This Row],[Units_Sold]]*Table1[[#This Row],[Selling_Price_per_Unit]]</f>
        <v>41018568</v>
      </c>
      <c r="W264" s="7">
        <f>(Table1[[#This Row],[Units_Sold]]/$Z$1)</f>
        <v>0.6999071862209576</v>
      </c>
      <c r="X264" s="8">
        <f>((Table1[[#This Row],[Units_Sold]]*(Table1[[#This Row],[Selling_Price_per_Unit]]-Table1[[#This Row],[Manufacturing_Cost_per_Unit]]))-Table1[[#This Row],[Marketing_Spend]])/Table1[[#This Row],[Marketing_Spend]]</f>
        <v>-22.905335394251246</v>
      </c>
    </row>
    <row r="265" spans="1:24" hidden="1" x14ac:dyDescent="0.3">
      <c r="A265" s="1" t="s">
        <v>282</v>
      </c>
      <c r="B265" s="1" t="s">
        <v>1252</v>
      </c>
      <c r="C265" s="1" t="s">
        <v>1632</v>
      </c>
      <c r="D265" s="1" t="s">
        <v>1637</v>
      </c>
      <c r="E265" s="1">
        <v>2023</v>
      </c>
      <c r="F265" s="1" t="s">
        <v>1639</v>
      </c>
      <c r="G265" s="1">
        <v>1095</v>
      </c>
      <c r="H265" s="1">
        <v>3328</v>
      </c>
      <c r="I265" s="1">
        <v>7079</v>
      </c>
      <c r="J265" s="1">
        <v>332363</v>
      </c>
      <c r="K265" s="1">
        <v>6.41</v>
      </c>
      <c r="L265" s="1">
        <v>6</v>
      </c>
      <c r="M265" s="1">
        <v>4.8499999999999996</v>
      </c>
      <c r="N265" s="1">
        <v>13.01</v>
      </c>
      <c r="O265" s="1">
        <v>84.65</v>
      </c>
      <c r="P265" s="1">
        <v>4.9000000000000004</v>
      </c>
      <c r="Q265" s="1">
        <v>16105</v>
      </c>
      <c r="R265" s="1">
        <v>6694</v>
      </c>
      <c r="S265" s="1">
        <v>8</v>
      </c>
      <c r="T265" s="1">
        <f>(Table1[[#This Row],[Selling_Price_per_Unit]]-Table1[[#This Row],[Manufacturing_Cost_per_Unit]])*Table1[[#This Row],[Units_Sold]]-Table1[[#This Row],[Marketing_Spend]]-Table1[[#This Row],[Discount_%]]</f>
        <v>-4439721.01</v>
      </c>
      <c r="U265" s="3">
        <f>Table1[[#This Row],[profit]]/(Table1[[#This Row],[Units_Sold]]*Table1[[#This Row],[Selling_Price_per_Unit]])*100</f>
        <v>-121.83112184975413</v>
      </c>
      <c r="V265" s="6">
        <f>Table1[[#This Row],[Units_Sold]]*Table1[[#This Row],[Selling_Price_per_Unit]]</f>
        <v>3644160</v>
      </c>
      <c r="W265" s="7">
        <f>(Table1[[#This Row],[Units_Sold]]/$Z$1)</f>
        <v>0.21922150140501961</v>
      </c>
      <c r="X265" s="8">
        <f>((Table1[[#This Row],[Units_Sold]]*(Table1[[#This Row],[Selling_Price_per_Unit]]-Table1[[#This Row],[Manufacturing_Cost_per_Unit]]))-Table1[[#This Row],[Marketing_Spend]])/Table1[[#This Row],[Marketing_Spend]]</f>
        <v>-13.358009164678379</v>
      </c>
    </row>
    <row r="266" spans="1:24" hidden="1" x14ac:dyDescent="0.3">
      <c r="A266" s="1" t="s">
        <v>283</v>
      </c>
      <c r="B266" s="1" t="s">
        <v>1253</v>
      </c>
      <c r="C266" s="1" t="s">
        <v>1633</v>
      </c>
      <c r="D266" s="1" t="s">
        <v>1635</v>
      </c>
      <c r="E266" s="1">
        <v>2024</v>
      </c>
      <c r="F266" s="1" t="s">
        <v>1642</v>
      </c>
      <c r="G266" s="1">
        <v>1743</v>
      </c>
      <c r="H266" s="1">
        <v>13760</v>
      </c>
      <c r="I266" s="1">
        <v>9353</v>
      </c>
      <c r="J266" s="1">
        <v>369313</v>
      </c>
      <c r="K266" s="1">
        <v>6.64</v>
      </c>
      <c r="L266" s="1">
        <v>1</v>
      </c>
      <c r="M266" s="1">
        <v>0.27</v>
      </c>
      <c r="N266" s="1">
        <v>0.93</v>
      </c>
      <c r="O266" s="1">
        <v>79.650000000000006</v>
      </c>
      <c r="P266" s="1">
        <v>4.5999999999999996</v>
      </c>
      <c r="Q266" s="1">
        <v>12485</v>
      </c>
      <c r="R266" s="1">
        <v>8487</v>
      </c>
      <c r="S266" s="1">
        <v>10</v>
      </c>
      <c r="T266" s="1">
        <f>(Table1[[#This Row],[Selling_Price_per_Unit]]-Table1[[#This Row],[Manufacturing_Cost_per_Unit]])*Table1[[#This Row],[Units_Sold]]-Table1[[#This Row],[Marketing_Spend]]-Table1[[#This Row],[Discount_%]]</f>
        <v>7312087.0700000003</v>
      </c>
      <c r="U266" s="3">
        <f>Table1[[#This Row],[profit]]/(Table1[[#This Row],[Units_Sold]]*Table1[[#This Row],[Selling_Price_per_Unit]])*100</f>
        <v>30.48776113590575</v>
      </c>
      <c r="V266" s="6">
        <f>Table1[[#This Row],[Units_Sold]]*Table1[[#This Row],[Selling_Price_per_Unit]]</f>
        <v>23983680</v>
      </c>
      <c r="W266" s="7">
        <f>(Table1[[#This Row],[Units_Sold]]/$Z$1)</f>
        <v>0.3489525816885381</v>
      </c>
      <c r="X266" s="8">
        <f>((Table1[[#This Row],[Units_Sold]]*(Table1[[#This Row],[Selling_Price_per_Unit]]-Table1[[#This Row],[Manufacturing_Cost_per_Unit]]))-Table1[[#This Row],[Marketing_Spend]])/Table1[[#This Row],[Marketing_Spend]]</f>
        <v>19.799162228245418</v>
      </c>
    </row>
    <row r="267" spans="1:24" hidden="1" x14ac:dyDescent="0.3">
      <c r="A267" s="1" t="s">
        <v>284</v>
      </c>
      <c r="B267" s="1" t="s">
        <v>1254</v>
      </c>
      <c r="C267" s="1" t="s">
        <v>1634</v>
      </c>
      <c r="D267" s="1" t="s">
        <v>1637</v>
      </c>
      <c r="E267" s="1">
        <v>2024</v>
      </c>
      <c r="F267" s="1" t="s">
        <v>1639</v>
      </c>
      <c r="G267" s="1">
        <v>3486</v>
      </c>
      <c r="H267" s="1">
        <v>10630</v>
      </c>
      <c r="I267" s="1">
        <v>8153</v>
      </c>
      <c r="J267" s="1">
        <v>124965</v>
      </c>
      <c r="K267" s="1">
        <v>9.74</v>
      </c>
      <c r="L267" s="1">
        <v>0</v>
      </c>
      <c r="M267" s="1">
        <v>3.8</v>
      </c>
      <c r="N267" s="1">
        <v>2.02</v>
      </c>
      <c r="O267" s="1">
        <v>43.75</v>
      </c>
      <c r="P267" s="1">
        <v>1.5</v>
      </c>
      <c r="Q267" s="1">
        <v>13891</v>
      </c>
      <c r="R267" s="1">
        <v>3375</v>
      </c>
      <c r="S267" s="1">
        <v>11</v>
      </c>
      <c r="T267" s="1">
        <f>(Table1[[#This Row],[Selling_Price_per_Unit]]-Table1[[#This Row],[Manufacturing_Cost_per_Unit]])*Table1[[#This Row],[Units_Sold]]-Table1[[#This Row],[Marketing_Spend]]-Table1[[#This Row],[Discount_%]]</f>
        <v>8509854.9800000004</v>
      </c>
      <c r="U267" s="3">
        <f>Table1[[#This Row],[profit]]/(Table1[[#This Row],[Units_Sold]]*Table1[[#This Row],[Selling_Price_per_Unit]])*100</f>
        <v>22.964738891056768</v>
      </c>
      <c r="V267" s="6">
        <f>Table1[[#This Row],[Units_Sold]]*Table1[[#This Row],[Selling_Price_per_Unit]]</f>
        <v>37056180</v>
      </c>
      <c r="W267" s="7">
        <f>(Table1[[#This Row],[Units_Sold]]/$Z$1)</f>
        <v>0.6979051633770762</v>
      </c>
      <c r="X267" s="8">
        <f>((Table1[[#This Row],[Units_Sold]]*(Table1[[#This Row],[Selling_Price_per_Unit]]-Table1[[#This Row],[Manufacturing_Cost_per_Unit]]))-Table1[[#This Row],[Marketing_Spend]])/Table1[[#This Row],[Marketing_Spend]]</f>
        <v>68.097923418557201</v>
      </c>
    </row>
    <row r="268" spans="1:24" hidden="1" x14ac:dyDescent="0.3">
      <c r="A268" s="1" t="s">
        <v>285</v>
      </c>
      <c r="B268" s="1" t="s">
        <v>1255</v>
      </c>
      <c r="C268" s="1" t="s">
        <v>1633</v>
      </c>
      <c r="D268" s="1" t="s">
        <v>1636</v>
      </c>
      <c r="E268" s="1">
        <v>2024</v>
      </c>
      <c r="F268" s="1" t="s">
        <v>1639</v>
      </c>
      <c r="G268" s="1">
        <v>612</v>
      </c>
      <c r="H268" s="1">
        <v>6305</v>
      </c>
      <c r="I268" s="1">
        <v>4527</v>
      </c>
      <c r="J268" s="1">
        <v>227912</v>
      </c>
      <c r="K268" s="1">
        <v>14.04</v>
      </c>
      <c r="L268" s="1">
        <v>18</v>
      </c>
      <c r="M268" s="1">
        <v>1.06</v>
      </c>
      <c r="N268" s="1">
        <v>16.809999999999999</v>
      </c>
      <c r="O268" s="1">
        <v>65.3</v>
      </c>
      <c r="P268" s="1">
        <v>1.1000000000000001</v>
      </c>
      <c r="Q268" s="1">
        <v>6361</v>
      </c>
      <c r="R268" s="1">
        <v>4150</v>
      </c>
      <c r="S268" s="1">
        <v>2</v>
      </c>
      <c r="T268" s="1">
        <f>(Table1[[#This Row],[Selling_Price_per_Unit]]-Table1[[#This Row],[Manufacturing_Cost_per_Unit]])*Table1[[#This Row],[Units_Sold]]-Table1[[#This Row],[Marketing_Spend]]-Table1[[#This Row],[Discount_%]]</f>
        <v>860207.19</v>
      </c>
      <c r="U268" s="3">
        <f>Table1[[#This Row],[profit]]/(Table1[[#This Row],[Units_Sold]]*Table1[[#This Row],[Selling_Price_per_Unit]])*100</f>
        <v>22.292899348478485</v>
      </c>
      <c r="V268" s="6">
        <f>Table1[[#This Row],[Units_Sold]]*Table1[[#This Row],[Selling_Price_per_Unit]]</f>
        <v>3858660</v>
      </c>
      <c r="W268" s="7">
        <f>(Table1[[#This Row],[Units_Sold]]/$Z$1)</f>
        <v>0.12252379804554521</v>
      </c>
      <c r="X268" s="8">
        <f>((Table1[[#This Row],[Units_Sold]]*(Table1[[#This Row],[Selling_Price_per_Unit]]-Table1[[#This Row],[Manufacturing_Cost_per_Unit]]))-Table1[[#This Row],[Marketing_Spend]])/Table1[[#This Row],[Marketing_Spend]]</f>
        <v>3.7743690547228756</v>
      </c>
    </row>
    <row r="269" spans="1:24" hidden="1" x14ac:dyDescent="0.3">
      <c r="A269" s="1" t="s">
        <v>286</v>
      </c>
      <c r="B269" s="1" t="s">
        <v>1256</v>
      </c>
      <c r="C269" s="1" t="s">
        <v>1632</v>
      </c>
      <c r="D269" s="1" t="s">
        <v>1638</v>
      </c>
      <c r="E269" s="1">
        <v>2023</v>
      </c>
      <c r="F269" s="1" t="s">
        <v>1639</v>
      </c>
      <c r="G269" s="1">
        <v>2535</v>
      </c>
      <c r="H269" s="1">
        <v>2306</v>
      </c>
      <c r="I269" s="1">
        <v>7072</v>
      </c>
      <c r="J269" s="1">
        <v>225767</v>
      </c>
      <c r="K269" s="1">
        <v>0.96</v>
      </c>
      <c r="L269" s="1">
        <v>3</v>
      </c>
      <c r="M269" s="1">
        <v>5.31</v>
      </c>
      <c r="N269" s="1">
        <v>17.23</v>
      </c>
      <c r="O269" s="1">
        <v>82.23</v>
      </c>
      <c r="P269" s="1">
        <v>3.8</v>
      </c>
      <c r="Q269" s="1">
        <v>20660</v>
      </c>
      <c r="R269" s="1">
        <v>4653</v>
      </c>
      <c r="S269" s="1">
        <v>14</v>
      </c>
      <c r="T269" s="1">
        <f>(Table1[[#This Row],[Selling_Price_per_Unit]]-Table1[[#This Row],[Manufacturing_Cost_per_Unit]])*Table1[[#This Row],[Units_Sold]]-Table1[[#This Row],[Marketing_Spend]]-Table1[[#This Row],[Discount_%]]</f>
        <v>-12307594.23</v>
      </c>
      <c r="U269" s="3">
        <f>Table1[[#This Row],[profit]]/(Table1[[#This Row],[Units_Sold]]*Table1[[#This Row],[Selling_Price_per_Unit]])*100</f>
        <v>-210.54062261042711</v>
      </c>
      <c r="V269" s="6">
        <f>Table1[[#This Row],[Units_Sold]]*Table1[[#This Row],[Selling_Price_per_Unit]]</f>
        <v>5845710</v>
      </c>
      <c r="W269" s="7">
        <f>(Table1[[#This Row],[Units_Sold]]/$Z$1)</f>
        <v>0.50751279092394952</v>
      </c>
      <c r="X269" s="8">
        <f>((Table1[[#This Row],[Units_Sold]]*(Table1[[#This Row],[Selling_Price_per_Unit]]-Table1[[#This Row],[Manufacturing_Cost_per_Unit]]))-Table1[[#This Row],[Marketing_Spend]])/Table1[[#This Row],[Marketing_Spend]]</f>
        <v>-54.514508320525145</v>
      </c>
    </row>
    <row r="270" spans="1:24" hidden="1" x14ac:dyDescent="0.3">
      <c r="A270" s="1" t="s">
        <v>287</v>
      </c>
      <c r="B270" s="1" t="s">
        <v>1046</v>
      </c>
      <c r="C270" s="1" t="s">
        <v>1633</v>
      </c>
      <c r="D270" s="1" t="s">
        <v>1636</v>
      </c>
      <c r="E270" s="1">
        <v>2023</v>
      </c>
      <c r="F270" s="1" t="s">
        <v>1641</v>
      </c>
      <c r="G270" s="1">
        <v>3404</v>
      </c>
      <c r="H270" s="1">
        <v>9702</v>
      </c>
      <c r="I270" s="1">
        <v>6795</v>
      </c>
      <c r="J270" s="1">
        <v>286281</v>
      </c>
      <c r="K270" s="1">
        <v>12.37</v>
      </c>
      <c r="L270" s="1">
        <v>1</v>
      </c>
      <c r="M270" s="1">
        <v>3.96</v>
      </c>
      <c r="N270" s="1">
        <v>8.5399999999999991</v>
      </c>
      <c r="O270" s="1">
        <v>78.03</v>
      </c>
      <c r="P270" s="1">
        <v>3.4</v>
      </c>
      <c r="Q270" s="1">
        <v>3096</v>
      </c>
      <c r="R270" s="1">
        <v>5025</v>
      </c>
      <c r="S270" s="1">
        <v>10</v>
      </c>
      <c r="T270" s="1">
        <f>(Table1[[#This Row],[Selling_Price_per_Unit]]-Table1[[#This Row],[Manufacturing_Cost_per_Unit]])*Table1[[#This Row],[Units_Sold]]-Table1[[#This Row],[Marketing_Spend]]-Table1[[#This Row],[Discount_%]]</f>
        <v>9609138.4600000009</v>
      </c>
      <c r="U270" s="3">
        <f>Table1[[#This Row],[profit]]/(Table1[[#This Row],[Units_Sold]]*Table1[[#This Row],[Selling_Price_per_Unit]])*100</f>
        <v>29.096022880184375</v>
      </c>
      <c r="V270" s="6">
        <f>Table1[[#This Row],[Units_Sold]]*Table1[[#This Row],[Selling_Price_per_Unit]]</f>
        <v>33025608</v>
      </c>
      <c r="W270" s="7">
        <f>(Table1[[#This Row],[Units_Sold]]/$Z$1)</f>
        <v>0.68148857605724822</v>
      </c>
      <c r="X270" s="8">
        <f>((Table1[[#This Row],[Units_Sold]]*(Table1[[#This Row],[Selling_Price_per_Unit]]-Table1[[#This Row],[Manufacturing_Cost_per_Unit]]))-Table1[[#This Row],[Marketing_Spend]])/Table1[[#This Row],[Marketing_Spend]]</f>
        <v>33.565437454808389</v>
      </c>
    </row>
    <row r="271" spans="1:24" hidden="1" x14ac:dyDescent="0.3">
      <c r="A271" s="1" t="s">
        <v>288</v>
      </c>
      <c r="B271" s="1" t="s">
        <v>1257</v>
      </c>
      <c r="C271" s="1" t="s">
        <v>1633</v>
      </c>
      <c r="D271" s="1" t="s">
        <v>1636</v>
      </c>
      <c r="E271" s="1">
        <v>2024</v>
      </c>
      <c r="F271" s="1" t="s">
        <v>1642</v>
      </c>
      <c r="G271" s="1">
        <v>275</v>
      </c>
      <c r="H271" s="1">
        <v>3368</v>
      </c>
      <c r="I271" s="1">
        <v>10276</v>
      </c>
      <c r="J271" s="1">
        <v>134754</v>
      </c>
      <c r="K271" s="1">
        <v>4.3899999999999997</v>
      </c>
      <c r="L271" s="1">
        <v>13</v>
      </c>
      <c r="M271" s="1">
        <v>6.13</v>
      </c>
      <c r="N271" s="1">
        <v>5.39</v>
      </c>
      <c r="O271" s="1">
        <v>43.15</v>
      </c>
      <c r="P271" s="1">
        <v>4.7</v>
      </c>
      <c r="Q271" s="1">
        <v>18363</v>
      </c>
      <c r="R271" s="1">
        <v>2404</v>
      </c>
      <c r="S271" s="1">
        <v>8</v>
      </c>
      <c r="T271" s="1">
        <f>(Table1[[#This Row],[Selling_Price_per_Unit]]-Table1[[#This Row],[Manufacturing_Cost_per_Unit]])*Table1[[#This Row],[Units_Sold]]-Table1[[#This Row],[Marketing_Spend]]-Table1[[#This Row],[Discount_%]]</f>
        <v>-2034459.39</v>
      </c>
      <c r="U271" s="3">
        <f>Table1[[#This Row],[profit]]/(Table1[[#This Row],[Units_Sold]]*Table1[[#This Row],[Selling_Price_per_Unit]])*100</f>
        <v>-219.65659576765276</v>
      </c>
      <c r="V271" s="6">
        <f>Table1[[#This Row],[Units_Sold]]*Table1[[#This Row],[Selling_Price_per_Unit]]</f>
        <v>926200</v>
      </c>
      <c r="W271" s="7">
        <f>(Table1[[#This Row],[Units_Sold]]/$Z$1)</f>
        <v>5.5055628206740086E-2</v>
      </c>
      <c r="X271" s="8">
        <f>((Table1[[#This Row],[Units_Sold]]*(Table1[[#This Row],[Selling_Price_per_Unit]]-Table1[[#This Row],[Manufacturing_Cost_per_Unit]]))-Table1[[#This Row],[Marketing_Spend]])/Table1[[#This Row],[Marketing_Spend]]</f>
        <v>-15.097540703801</v>
      </c>
    </row>
    <row r="272" spans="1:24" x14ac:dyDescent="0.3">
      <c r="A272" s="1" t="s">
        <v>845</v>
      </c>
      <c r="B272" s="1" t="s">
        <v>1341</v>
      </c>
      <c r="C272" s="1" t="s">
        <v>1634</v>
      </c>
      <c r="D272" s="1" t="s">
        <v>1636</v>
      </c>
      <c r="E272" s="1">
        <v>2023</v>
      </c>
      <c r="F272" s="1" t="s">
        <v>1639</v>
      </c>
      <c r="G272" s="1">
        <v>4799</v>
      </c>
      <c r="H272" s="1">
        <v>19133</v>
      </c>
      <c r="I272" s="1">
        <v>10441</v>
      </c>
      <c r="J272" s="1">
        <v>277135</v>
      </c>
      <c r="K272" s="1">
        <v>5.0999999999999996</v>
      </c>
      <c r="L272" s="1">
        <v>14</v>
      </c>
      <c r="M272" s="1">
        <v>8.24</v>
      </c>
      <c r="N272" s="1">
        <v>18.239999999999998</v>
      </c>
      <c r="O272" s="1">
        <v>67.87</v>
      </c>
      <c r="P272" s="1">
        <v>3.8</v>
      </c>
      <c r="Q272" s="1">
        <v>9867</v>
      </c>
      <c r="R272" s="1">
        <v>2286</v>
      </c>
      <c r="S272" s="1">
        <v>13</v>
      </c>
      <c r="T272" s="1">
        <f>(Table1[[#This Row],[Selling_Price_per_Unit]]-Table1[[#This Row],[Manufacturing_Cost_per_Unit]])*Table1[[#This Row],[Units_Sold]]-Table1[[#This Row],[Marketing_Spend]]-Table1[[#This Row],[Discount_%]]</f>
        <v>41435754.759999998</v>
      </c>
      <c r="U272" s="3">
        <f>Table1[[#This Row],[profit]]/(Table1[[#This Row],[Units_Sold]]*Table1[[#This Row],[Selling_Price_per_Unit]])*100</f>
        <v>45.12751638498704</v>
      </c>
      <c r="V272" s="6">
        <f>Table1[[#This Row],[Units_Sold]]*Table1[[#This Row],[Selling_Price_per_Unit]]</f>
        <v>91819267</v>
      </c>
      <c r="W272" s="7">
        <f>(Table1[[#This Row],[Units_Sold]]/$Z$1)</f>
        <v>0.96077076277871154</v>
      </c>
      <c r="X272" s="8">
        <f>((Table1[[#This Row],[Units_Sold]]*(Table1[[#This Row],[Selling_Price_per_Unit]]-Table1[[#This Row],[Manufacturing_Cost_per_Unit]]))-Table1[[#This Row],[Marketing_Spend]])/Table1[[#This Row],[Marketing_Spend]]</f>
        <v>149.51475995453478</v>
      </c>
    </row>
    <row r="273" spans="1:24" hidden="1" x14ac:dyDescent="0.3">
      <c r="A273" s="1" t="s">
        <v>290</v>
      </c>
      <c r="B273" s="1" t="s">
        <v>1259</v>
      </c>
      <c r="C273" s="1" t="s">
        <v>1633</v>
      </c>
      <c r="D273" s="1" t="s">
        <v>1635</v>
      </c>
      <c r="E273" s="1">
        <v>2024</v>
      </c>
      <c r="F273" s="1" t="s">
        <v>1641</v>
      </c>
      <c r="G273" s="1">
        <v>1009</v>
      </c>
      <c r="H273" s="1">
        <v>17012</v>
      </c>
      <c r="I273" s="1">
        <v>1248</v>
      </c>
      <c r="J273" s="1">
        <v>200023</v>
      </c>
      <c r="K273" s="1">
        <v>0.33</v>
      </c>
      <c r="L273" s="1">
        <v>14</v>
      </c>
      <c r="M273" s="1">
        <v>3</v>
      </c>
      <c r="N273" s="1">
        <v>5.43</v>
      </c>
      <c r="O273" s="1">
        <v>16.05</v>
      </c>
      <c r="P273" s="1">
        <v>1.3</v>
      </c>
      <c r="Q273" s="1">
        <v>9419</v>
      </c>
      <c r="R273" s="1">
        <v>2156</v>
      </c>
      <c r="S273" s="1">
        <v>2</v>
      </c>
      <c r="T273" s="1">
        <f>(Table1[[#This Row],[Selling_Price_per_Unit]]-Table1[[#This Row],[Manufacturing_Cost_per_Unit]])*Table1[[#This Row],[Units_Sold]]-Table1[[#This Row],[Marketing_Spend]]-Table1[[#This Row],[Discount_%]]</f>
        <v>15705847.57</v>
      </c>
      <c r="U273" s="3">
        <f>Table1[[#This Row],[profit]]/(Table1[[#This Row],[Units_Sold]]*Table1[[#This Row],[Selling_Price_per_Unit]])*100</f>
        <v>91.498681919158329</v>
      </c>
      <c r="V273" s="6">
        <f>Table1[[#This Row],[Units_Sold]]*Table1[[#This Row],[Selling_Price_per_Unit]]</f>
        <v>17165108</v>
      </c>
      <c r="W273" s="7">
        <f>(Table1[[#This Row],[Units_Sold]]/$Z$1)</f>
        <v>0.20200410494763907</v>
      </c>
      <c r="X273" s="8">
        <f>((Table1[[#This Row],[Units_Sold]]*(Table1[[#This Row],[Selling_Price_per_Unit]]-Table1[[#This Row],[Manufacturing_Cost_per_Unit]]))-Table1[[#This Row],[Marketing_Spend]])/Table1[[#This Row],[Marketing_Spend]]</f>
        <v>78.520235172955111</v>
      </c>
    </row>
    <row r="274" spans="1:24" hidden="1" x14ac:dyDescent="0.3">
      <c r="A274" s="1" t="s">
        <v>612</v>
      </c>
      <c r="B274" s="1" t="s">
        <v>1291</v>
      </c>
      <c r="C274" s="1" t="s">
        <v>1632</v>
      </c>
      <c r="D274" s="1" t="s">
        <v>1635</v>
      </c>
      <c r="E274" s="1">
        <v>2023</v>
      </c>
      <c r="F274" s="1" t="s">
        <v>1642</v>
      </c>
      <c r="G274" s="1">
        <v>2795</v>
      </c>
      <c r="H274" s="1">
        <v>19409</v>
      </c>
      <c r="I274" s="1">
        <v>4667</v>
      </c>
      <c r="J274" s="1">
        <v>350486</v>
      </c>
      <c r="K274" s="1">
        <v>13.82</v>
      </c>
      <c r="L274" s="1">
        <v>5</v>
      </c>
      <c r="M274" s="1">
        <v>0.79</v>
      </c>
      <c r="N274" s="1">
        <v>17.95</v>
      </c>
      <c r="O274" s="1">
        <v>15.14</v>
      </c>
      <c r="P274" s="1">
        <v>1.4</v>
      </c>
      <c r="Q274" s="1">
        <v>18026</v>
      </c>
      <c r="R274" s="1">
        <v>1972</v>
      </c>
      <c r="S274" s="1">
        <v>10</v>
      </c>
      <c r="T274" s="1">
        <f>(Table1[[#This Row],[Selling_Price_per_Unit]]-Table1[[#This Row],[Manufacturing_Cost_per_Unit]])*Table1[[#This Row],[Units_Sold]]-Table1[[#This Row],[Marketing_Spend]]-Table1[[#This Row],[Discount_%]]</f>
        <v>40853386.049999997</v>
      </c>
      <c r="U274" s="3">
        <f>Table1[[#This Row],[profit]]/(Table1[[#This Row],[Units_Sold]]*Table1[[#This Row],[Selling_Price_per_Unit]])*100</f>
        <v>75.308341915038397</v>
      </c>
      <c r="V274" s="6">
        <f>Table1[[#This Row],[Units_Sold]]*Table1[[#This Row],[Selling_Price_per_Unit]]</f>
        <v>54248155</v>
      </c>
      <c r="W274" s="7">
        <f>(Table1[[#This Row],[Units_Sold]]/$Z$1)</f>
        <v>0.5595653848648674</v>
      </c>
      <c r="X274" s="8">
        <f>((Table1[[#This Row],[Units_Sold]]*(Table1[[#This Row],[Selling_Price_per_Unit]]-Table1[[#This Row],[Manufacturing_Cost_per_Unit]]))-Table1[[#This Row],[Marketing_Spend]])/Table1[[#This Row],[Marketing_Spend]]</f>
        <v>116.56215654833574</v>
      </c>
    </row>
    <row r="275" spans="1:24" hidden="1" x14ac:dyDescent="0.3">
      <c r="A275" s="1" t="s">
        <v>292</v>
      </c>
      <c r="B275" s="1" t="s">
        <v>1237</v>
      </c>
      <c r="C275" s="1" t="s">
        <v>1633</v>
      </c>
      <c r="D275" s="1" t="s">
        <v>1637</v>
      </c>
      <c r="E275" s="1">
        <v>2023</v>
      </c>
      <c r="F275" s="1" t="s">
        <v>1640</v>
      </c>
      <c r="G275" s="1">
        <v>3117</v>
      </c>
      <c r="H275" s="1">
        <v>17720</v>
      </c>
      <c r="I275" s="1">
        <v>14594</v>
      </c>
      <c r="J275" s="1">
        <v>130388</v>
      </c>
      <c r="K275" s="1">
        <v>7.54</v>
      </c>
      <c r="L275" s="1">
        <v>4</v>
      </c>
      <c r="M275" s="1">
        <v>5.36</v>
      </c>
      <c r="N275" s="1">
        <v>24.21</v>
      </c>
      <c r="O275" s="1">
        <v>61.41</v>
      </c>
      <c r="P275" s="1">
        <v>1.1000000000000001</v>
      </c>
      <c r="Q275" s="1">
        <v>16128</v>
      </c>
      <c r="R275" s="1">
        <v>7192</v>
      </c>
      <c r="S275" s="1">
        <v>9</v>
      </c>
      <c r="T275" s="1">
        <f>(Table1[[#This Row],[Selling_Price_per_Unit]]-Table1[[#This Row],[Manufacturing_Cost_per_Unit]])*Table1[[#This Row],[Units_Sold]]-Table1[[#This Row],[Marketing_Spend]]-Table1[[#This Row],[Discount_%]]</f>
        <v>9613329.7899999991</v>
      </c>
      <c r="U275" s="3">
        <f>Table1[[#This Row],[profit]]/(Table1[[#This Row],[Units_Sold]]*Table1[[#This Row],[Selling_Price_per_Unit]])*100</f>
        <v>17.404971698202022</v>
      </c>
      <c r="V275" s="6">
        <f>Table1[[#This Row],[Units_Sold]]*Table1[[#This Row],[Selling_Price_per_Unit]]</f>
        <v>55233240</v>
      </c>
      <c r="W275" s="7">
        <f>(Table1[[#This Row],[Units_Sold]]/$Z$1)</f>
        <v>0.62403052043785034</v>
      </c>
      <c r="X275" s="8">
        <f>((Table1[[#This Row],[Units_Sold]]*(Table1[[#This Row],[Selling_Price_per_Unit]]-Table1[[#This Row],[Manufacturing_Cost_per_Unit]]))-Table1[[#This Row],[Marketing_Spend]])/Table1[[#This Row],[Marketing_Spend]]</f>
        <v>73.728824738472866</v>
      </c>
    </row>
    <row r="276" spans="1:24" hidden="1" x14ac:dyDescent="0.3">
      <c r="A276" s="1" t="s">
        <v>293</v>
      </c>
      <c r="B276" s="1" t="s">
        <v>1222</v>
      </c>
      <c r="C276" s="1" t="s">
        <v>1634</v>
      </c>
      <c r="D276" s="1" t="s">
        <v>1635</v>
      </c>
      <c r="E276" s="1">
        <v>2023</v>
      </c>
      <c r="F276" s="1" t="s">
        <v>1639</v>
      </c>
      <c r="G276" s="1">
        <v>865</v>
      </c>
      <c r="H276" s="1">
        <v>17434</v>
      </c>
      <c r="I276" s="1">
        <v>6143</v>
      </c>
      <c r="J276" s="1">
        <v>402912</v>
      </c>
      <c r="K276" s="1">
        <v>0.84</v>
      </c>
      <c r="L276" s="1">
        <v>19</v>
      </c>
      <c r="M276" s="1">
        <v>6.18</v>
      </c>
      <c r="N276" s="1">
        <v>3.7</v>
      </c>
      <c r="O276" s="1">
        <v>77.989999999999995</v>
      </c>
      <c r="P276" s="1">
        <v>1.1000000000000001</v>
      </c>
      <c r="Q276" s="1">
        <v>3572</v>
      </c>
      <c r="R276" s="1">
        <v>9516</v>
      </c>
      <c r="S276" s="1">
        <v>10</v>
      </c>
      <c r="T276" s="1">
        <f>(Table1[[#This Row],[Selling_Price_per_Unit]]-Table1[[#This Row],[Manufacturing_Cost_per_Unit]])*Table1[[#This Row],[Units_Sold]]-Table1[[#This Row],[Marketing_Spend]]-Table1[[#This Row],[Discount_%]]</f>
        <v>9363799.3000000007</v>
      </c>
      <c r="U276" s="3">
        <f>Table1[[#This Row],[profit]]/(Table1[[#This Row],[Units_Sold]]*Table1[[#This Row],[Selling_Price_per_Unit]])*100</f>
        <v>62.092471623782117</v>
      </c>
      <c r="V276" s="6">
        <f>Table1[[#This Row],[Units_Sold]]*Table1[[#This Row],[Selling_Price_per_Unit]]</f>
        <v>15080410</v>
      </c>
      <c r="W276" s="7">
        <f>(Table1[[#This Row],[Units_Sold]]/$Z$1)</f>
        <v>0.17317497599574608</v>
      </c>
      <c r="X276" s="8">
        <f>((Table1[[#This Row],[Units_Sold]]*(Table1[[#This Row],[Selling_Price_per_Unit]]-Table1[[#This Row],[Manufacturing_Cost_per_Unit]]))-Table1[[#This Row],[Marketing_Spend]])/Table1[[#This Row],[Marketing_Spend]]</f>
        <v>23.2403179850687</v>
      </c>
    </row>
    <row r="277" spans="1:24" x14ac:dyDescent="0.3">
      <c r="A277" s="1" t="s">
        <v>294</v>
      </c>
      <c r="B277" s="1" t="s">
        <v>1261</v>
      </c>
      <c r="C277" s="1" t="s">
        <v>1633</v>
      </c>
      <c r="D277" s="1" t="s">
        <v>1636</v>
      </c>
      <c r="E277" s="1">
        <v>2024</v>
      </c>
      <c r="F277" s="1" t="s">
        <v>1642</v>
      </c>
      <c r="G277" s="1">
        <v>4804</v>
      </c>
      <c r="H277" s="1">
        <v>6929</v>
      </c>
      <c r="I277" s="1">
        <v>10847</v>
      </c>
      <c r="J277" s="1">
        <v>347572</v>
      </c>
      <c r="K277" s="1">
        <v>7.37</v>
      </c>
      <c r="L277" s="1">
        <v>6</v>
      </c>
      <c r="M277" s="1">
        <v>6.81</v>
      </c>
      <c r="N277" s="1">
        <v>23.52</v>
      </c>
      <c r="O277" s="1">
        <v>33.4</v>
      </c>
      <c r="P277" s="1">
        <v>4.7</v>
      </c>
      <c r="Q277" s="1">
        <v>10987</v>
      </c>
      <c r="R277" s="1">
        <v>7326</v>
      </c>
      <c r="S277" s="1">
        <v>13</v>
      </c>
      <c r="T277" s="1">
        <f>(Table1[[#This Row],[Selling_Price_per_Unit]]-Table1[[#This Row],[Manufacturing_Cost_per_Unit]])*Table1[[#This Row],[Units_Sold]]-Table1[[#This Row],[Marketing_Spend]]-Table1[[#This Row],[Discount_%]]</f>
        <v>-19169667.52</v>
      </c>
      <c r="U277" s="3">
        <f>Table1[[#This Row],[profit]]/(Table1[[#This Row],[Units_Sold]]*Table1[[#This Row],[Selling_Price_per_Unit]])*100</f>
        <v>-57.589196668144325</v>
      </c>
      <c r="V277" s="6">
        <f>Table1[[#This Row],[Units_Sold]]*Table1[[#This Row],[Selling_Price_per_Unit]]</f>
        <v>33286916</v>
      </c>
      <c r="W277" s="7">
        <f>(Table1[[#This Row],[Units_Sold]]/$Z$1)</f>
        <v>0.9617717742006523</v>
      </c>
      <c r="X277" s="8">
        <f>((Table1[[#This Row],[Units_Sold]]*(Table1[[#This Row],[Selling_Price_per_Unit]]-Table1[[#This Row],[Manufacturing_Cost_per_Unit]]))-Table1[[#This Row],[Marketing_Spend]])/Table1[[#This Row],[Marketing_Spend]]</f>
        <v>-55.153015778025846</v>
      </c>
    </row>
    <row r="278" spans="1:24" x14ac:dyDescent="0.3">
      <c r="A278" s="1" t="s">
        <v>295</v>
      </c>
      <c r="B278" s="1" t="s">
        <v>1262</v>
      </c>
      <c r="C278" s="1" t="s">
        <v>1634</v>
      </c>
      <c r="D278" s="1" t="s">
        <v>1638</v>
      </c>
      <c r="E278" s="1">
        <v>2023</v>
      </c>
      <c r="F278" s="1" t="s">
        <v>1642</v>
      </c>
      <c r="G278" s="1">
        <v>4692</v>
      </c>
      <c r="H278" s="1">
        <v>10576</v>
      </c>
      <c r="I278" s="1">
        <v>13961</v>
      </c>
      <c r="J278" s="1">
        <v>289779</v>
      </c>
      <c r="K278" s="1">
        <v>13.91</v>
      </c>
      <c r="L278" s="1">
        <v>9</v>
      </c>
      <c r="M278" s="1">
        <v>6.67</v>
      </c>
      <c r="N278" s="1">
        <v>4.57</v>
      </c>
      <c r="O278" s="1">
        <v>23.4</v>
      </c>
      <c r="P278" s="1">
        <v>2.4</v>
      </c>
      <c r="Q278" s="1">
        <v>7124</v>
      </c>
      <c r="R278" s="1">
        <v>986</v>
      </c>
      <c r="S278" s="1">
        <v>7</v>
      </c>
      <c r="T278" s="1">
        <f>(Table1[[#This Row],[Selling_Price_per_Unit]]-Table1[[#This Row],[Manufacturing_Cost_per_Unit]])*Table1[[#This Row],[Units_Sold]]-Table1[[#This Row],[Marketing_Spend]]-Table1[[#This Row],[Discount_%]]</f>
        <v>-16172203.57</v>
      </c>
      <c r="U278" s="3">
        <f>Table1[[#This Row],[profit]]/(Table1[[#This Row],[Units_Sold]]*Table1[[#This Row],[Selling_Price_per_Unit]])*100</f>
        <v>-32.590404729361985</v>
      </c>
      <c r="V278" s="6">
        <f>Table1[[#This Row],[Units_Sold]]*Table1[[#This Row],[Selling_Price_per_Unit]]</f>
        <v>49622592</v>
      </c>
      <c r="W278" s="7">
        <f>(Table1[[#This Row],[Units_Sold]]/$Z$1)</f>
        <v>0.93934911834918</v>
      </c>
      <c r="X278" s="8">
        <f>((Table1[[#This Row],[Units_Sold]]*(Table1[[#This Row],[Selling_Price_per_Unit]]-Table1[[#This Row],[Manufacturing_Cost_per_Unit]]))-Table1[[#This Row],[Marketing_Spend]])/Table1[[#This Row],[Marketing_Spend]]</f>
        <v>-55.808733552120756</v>
      </c>
    </row>
    <row r="279" spans="1:24" hidden="1" x14ac:dyDescent="0.3">
      <c r="A279" s="1" t="s">
        <v>296</v>
      </c>
      <c r="B279" s="1" t="s">
        <v>1263</v>
      </c>
      <c r="C279" s="1" t="s">
        <v>1634</v>
      </c>
      <c r="D279" s="1" t="s">
        <v>1635</v>
      </c>
      <c r="E279" s="1">
        <v>2023</v>
      </c>
      <c r="F279" s="1" t="s">
        <v>1641</v>
      </c>
      <c r="G279" s="1">
        <v>3170</v>
      </c>
      <c r="H279" s="1">
        <v>5064</v>
      </c>
      <c r="I279" s="1">
        <v>8833</v>
      </c>
      <c r="J279" s="1">
        <v>404165</v>
      </c>
      <c r="K279" s="1">
        <v>1.58</v>
      </c>
      <c r="L279" s="1">
        <v>13</v>
      </c>
      <c r="M279" s="1">
        <v>5.1100000000000003</v>
      </c>
      <c r="N279" s="1">
        <v>14.19</v>
      </c>
      <c r="O279" s="1">
        <v>40.32</v>
      </c>
      <c r="P279" s="1">
        <v>2.6</v>
      </c>
      <c r="Q279" s="1">
        <v>2438</v>
      </c>
      <c r="R279" s="1">
        <v>8684</v>
      </c>
      <c r="S279" s="1">
        <v>13</v>
      </c>
      <c r="T279" s="1">
        <f>(Table1[[#This Row],[Selling_Price_per_Unit]]-Table1[[#This Row],[Manufacturing_Cost_per_Unit]])*Table1[[#This Row],[Units_Sold]]-Table1[[#This Row],[Marketing_Spend]]-Table1[[#This Row],[Discount_%]]</f>
        <v>-12351909.189999999</v>
      </c>
      <c r="U279" s="3">
        <f>Table1[[#This Row],[profit]]/(Table1[[#This Row],[Units_Sold]]*Table1[[#This Row],[Selling_Price_per_Unit]])*100</f>
        <v>-76.945128786859428</v>
      </c>
      <c r="V279" s="6">
        <f>Table1[[#This Row],[Units_Sold]]*Table1[[#This Row],[Selling_Price_per_Unit]]</f>
        <v>16052880</v>
      </c>
      <c r="W279" s="7">
        <f>(Table1[[#This Row],[Units_Sold]]/$Z$1)</f>
        <v>0.63464124151042212</v>
      </c>
      <c r="X279" s="8">
        <f>((Table1[[#This Row],[Units_Sold]]*(Table1[[#This Row],[Selling_Price_per_Unit]]-Table1[[#This Row],[Manufacturing_Cost_per_Unit]]))-Table1[[#This Row],[Marketing_Spend]])/Table1[[#This Row],[Marketing_Spend]]</f>
        <v>-30.561515717590588</v>
      </c>
    </row>
    <row r="280" spans="1:24" hidden="1" x14ac:dyDescent="0.3">
      <c r="A280" s="1" t="s">
        <v>297</v>
      </c>
      <c r="B280" s="1" t="s">
        <v>1264</v>
      </c>
      <c r="C280" s="1" t="s">
        <v>1632</v>
      </c>
      <c r="D280" s="1" t="s">
        <v>1636</v>
      </c>
      <c r="E280" s="1">
        <v>2024</v>
      </c>
      <c r="F280" s="1" t="s">
        <v>1641</v>
      </c>
      <c r="G280" s="1">
        <v>66</v>
      </c>
      <c r="H280" s="1">
        <v>2889</v>
      </c>
      <c r="I280" s="1">
        <v>12554</v>
      </c>
      <c r="J280" s="1">
        <v>430562</v>
      </c>
      <c r="K280" s="1">
        <v>11.47</v>
      </c>
      <c r="L280" s="1">
        <v>13</v>
      </c>
      <c r="M280" s="1">
        <v>4.29</v>
      </c>
      <c r="N280" s="1">
        <v>9.43</v>
      </c>
      <c r="O280" s="1">
        <v>38.29</v>
      </c>
      <c r="P280" s="1">
        <v>1.1000000000000001</v>
      </c>
      <c r="Q280" s="1">
        <v>9676</v>
      </c>
      <c r="R280" s="1">
        <v>9967</v>
      </c>
      <c r="S280" s="1">
        <v>14</v>
      </c>
      <c r="T280" s="1">
        <f>(Table1[[#This Row],[Selling_Price_per_Unit]]-Table1[[#This Row],[Manufacturing_Cost_per_Unit]])*Table1[[#This Row],[Units_Sold]]-Table1[[#This Row],[Marketing_Spend]]-Table1[[#This Row],[Discount_%]]</f>
        <v>-1068461.43</v>
      </c>
      <c r="U280" s="3">
        <f>Table1[[#This Row],[profit]]/(Table1[[#This Row],[Units_Sold]]*Table1[[#This Row],[Selling_Price_per_Unit]])*100</f>
        <v>-560.36031656125112</v>
      </c>
      <c r="V280" s="6">
        <f>Table1[[#This Row],[Units_Sold]]*Table1[[#This Row],[Selling_Price_per_Unit]]</f>
        <v>190674</v>
      </c>
      <c r="W280" s="7">
        <f>(Table1[[#This Row],[Units_Sold]]/$Z$1)</f>
        <v>1.321335076961762E-2</v>
      </c>
      <c r="X280" s="8">
        <f>((Table1[[#This Row],[Units_Sold]]*(Table1[[#This Row],[Selling_Price_per_Unit]]-Table1[[#This Row],[Manufacturing_Cost_per_Unit]]))-Table1[[#This Row],[Marketing_Spend]])/Table1[[#This Row],[Marketing_Spend]]</f>
        <v>-2.4815287926012979</v>
      </c>
    </row>
    <row r="281" spans="1:24" hidden="1" x14ac:dyDescent="0.3">
      <c r="A281" s="1" t="s">
        <v>298</v>
      </c>
      <c r="B281" s="1" t="s">
        <v>1265</v>
      </c>
      <c r="C281" s="1" t="s">
        <v>1633</v>
      </c>
      <c r="D281" s="1" t="s">
        <v>1636</v>
      </c>
      <c r="E281" s="1">
        <v>2023</v>
      </c>
      <c r="F281" s="1" t="s">
        <v>1640</v>
      </c>
      <c r="G281" s="1">
        <v>1293</v>
      </c>
      <c r="H281" s="1">
        <v>13093</v>
      </c>
      <c r="I281" s="1">
        <v>3320</v>
      </c>
      <c r="J281" s="1">
        <v>256846</v>
      </c>
      <c r="K281" s="1">
        <v>6.15</v>
      </c>
      <c r="L281" s="1">
        <v>4</v>
      </c>
      <c r="M281" s="1">
        <v>0.54</v>
      </c>
      <c r="N281" s="1">
        <v>24.12</v>
      </c>
      <c r="O281" s="1">
        <v>20.6</v>
      </c>
      <c r="P281" s="1">
        <v>2.1</v>
      </c>
      <c r="Q281" s="1">
        <v>2261</v>
      </c>
      <c r="R281" s="1">
        <v>7820</v>
      </c>
      <c r="S281" s="1">
        <v>11</v>
      </c>
      <c r="T281" s="1">
        <f>(Table1[[#This Row],[Selling_Price_per_Unit]]-Table1[[#This Row],[Manufacturing_Cost_per_Unit]])*Table1[[#This Row],[Units_Sold]]-Table1[[#This Row],[Marketing_Spend]]-Table1[[#This Row],[Discount_%]]</f>
        <v>12379618.880000001</v>
      </c>
      <c r="U281" s="3">
        <f>Table1[[#This Row],[profit]]/(Table1[[#This Row],[Units_Sold]]*Table1[[#This Row],[Selling_Price_per_Unit]])*100</f>
        <v>73.12562346977117</v>
      </c>
      <c r="V281" s="6">
        <f>Table1[[#This Row],[Units_Sold]]*Table1[[#This Row],[Selling_Price_per_Unit]]</f>
        <v>16929249</v>
      </c>
      <c r="W281" s="7">
        <f>(Table1[[#This Row],[Units_Sold]]/$Z$1)</f>
        <v>0.25886155371387248</v>
      </c>
      <c r="X281" s="8">
        <f>((Table1[[#This Row],[Units_Sold]]*(Table1[[#This Row],[Selling_Price_per_Unit]]-Table1[[#This Row],[Manufacturing_Cost_per_Unit]]))-Table1[[#This Row],[Marketing_Spend]])/Table1[[#This Row],[Marketing_Spend]]</f>
        <v>48.198698831206251</v>
      </c>
    </row>
    <row r="282" spans="1:24" hidden="1" x14ac:dyDescent="0.3">
      <c r="A282" s="1" t="s">
        <v>299</v>
      </c>
      <c r="B282" s="1" t="s">
        <v>1152</v>
      </c>
      <c r="C282" s="1" t="s">
        <v>1632</v>
      </c>
      <c r="D282" s="1" t="s">
        <v>1635</v>
      </c>
      <c r="E282" s="1">
        <v>2024</v>
      </c>
      <c r="F282" s="1" t="s">
        <v>1642</v>
      </c>
      <c r="G282" s="1">
        <v>2255</v>
      </c>
      <c r="H282" s="1">
        <v>8774</v>
      </c>
      <c r="I282" s="1">
        <v>3881</v>
      </c>
      <c r="J282" s="1">
        <v>220047</v>
      </c>
      <c r="K282" s="1">
        <v>9.83</v>
      </c>
      <c r="L282" s="1">
        <v>17</v>
      </c>
      <c r="M282" s="1">
        <v>0.22</v>
      </c>
      <c r="N282" s="1">
        <v>6.84</v>
      </c>
      <c r="O282" s="1">
        <v>63.78</v>
      </c>
      <c r="P282" s="1">
        <v>4.2</v>
      </c>
      <c r="Q282" s="1">
        <v>14441</v>
      </c>
      <c r="R282" s="1">
        <v>2546</v>
      </c>
      <c r="S282" s="1">
        <v>13</v>
      </c>
      <c r="T282" s="1">
        <f>(Table1[[#This Row],[Selling_Price_per_Unit]]-Table1[[#This Row],[Manufacturing_Cost_per_Unit]])*Table1[[#This Row],[Units_Sold]]-Table1[[#This Row],[Marketing_Spend]]-Table1[[#This Row],[Discount_%]]</f>
        <v>10813661.16</v>
      </c>
      <c r="U282" s="3">
        <f>Table1[[#This Row],[profit]]/(Table1[[#This Row],[Units_Sold]]*Table1[[#This Row],[Selling_Price_per_Unit]])*100</f>
        <v>54.65483415270981</v>
      </c>
      <c r="V282" s="6">
        <f>Table1[[#This Row],[Units_Sold]]*Table1[[#This Row],[Selling_Price_per_Unit]]</f>
        <v>19785370</v>
      </c>
      <c r="W282" s="7">
        <f>(Table1[[#This Row],[Units_Sold]]/$Z$1)</f>
        <v>0.45145615129526873</v>
      </c>
      <c r="X282" s="8">
        <f>((Table1[[#This Row],[Units_Sold]]*(Table1[[#This Row],[Selling_Price_per_Unit]]-Table1[[#This Row],[Manufacturing_Cost_per_Unit]]))-Table1[[#This Row],[Marketing_Spend]])/Table1[[#This Row],[Marketing_Spend]]</f>
        <v>49.142537730575739</v>
      </c>
    </row>
    <row r="283" spans="1:24" x14ac:dyDescent="0.3">
      <c r="A283" s="1" t="s">
        <v>626</v>
      </c>
      <c r="B283" s="1" t="s">
        <v>1032</v>
      </c>
      <c r="C283" s="1" t="s">
        <v>1634</v>
      </c>
      <c r="D283" s="1" t="s">
        <v>1635</v>
      </c>
      <c r="E283" s="1">
        <v>2024</v>
      </c>
      <c r="F283" s="1" t="s">
        <v>1642</v>
      </c>
      <c r="G283" s="1">
        <v>4854</v>
      </c>
      <c r="H283" s="1">
        <v>14088</v>
      </c>
      <c r="I283" s="1">
        <v>5669</v>
      </c>
      <c r="J283" s="1">
        <v>232240</v>
      </c>
      <c r="K283" s="1">
        <v>13.29</v>
      </c>
      <c r="L283" s="1">
        <v>12</v>
      </c>
      <c r="M283" s="1">
        <v>2.5099999999999998</v>
      </c>
      <c r="N283" s="1">
        <v>0.34</v>
      </c>
      <c r="O283" s="1">
        <v>67.11</v>
      </c>
      <c r="P283" s="1">
        <v>5</v>
      </c>
      <c r="Q283" s="1">
        <v>18238</v>
      </c>
      <c r="R283" s="1">
        <v>8652</v>
      </c>
      <c r="S283" s="1">
        <v>14</v>
      </c>
      <c r="T283" s="1">
        <f>(Table1[[#This Row],[Selling_Price_per_Unit]]-Table1[[#This Row],[Manufacturing_Cost_per_Unit]])*Table1[[#This Row],[Units_Sold]]-Table1[[#This Row],[Marketing_Spend]]-Table1[[#This Row],[Discount_%]]</f>
        <v>40633585.659999996</v>
      </c>
      <c r="U283" s="3">
        <f>Table1[[#This Row],[profit]]/(Table1[[#This Row],[Units_Sold]]*Table1[[#This Row],[Selling_Price_per_Unit]])*100</f>
        <v>59.420463186604792</v>
      </c>
      <c r="V283" s="6">
        <f>Table1[[#This Row],[Units_Sold]]*Table1[[#This Row],[Selling_Price_per_Unit]]</f>
        <v>68383152</v>
      </c>
      <c r="W283" s="7">
        <f>(Table1[[#This Row],[Units_Sold]]/$Z$1)</f>
        <v>0.97178188842005953</v>
      </c>
      <c r="X283" s="8">
        <f>((Table1[[#This Row],[Units_Sold]]*(Table1[[#This Row],[Selling_Price_per_Unit]]-Table1[[#This Row],[Manufacturing_Cost_per_Unit]]))-Table1[[#This Row],[Marketing_Spend]])/Table1[[#This Row],[Marketing_Spend]]</f>
        <v>174.96377023768514</v>
      </c>
    </row>
    <row r="284" spans="1:24" hidden="1" x14ac:dyDescent="0.3">
      <c r="A284" s="1" t="s">
        <v>301</v>
      </c>
      <c r="B284" s="1" t="s">
        <v>1266</v>
      </c>
      <c r="C284" s="1" t="s">
        <v>1634</v>
      </c>
      <c r="D284" s="1" t="s">
        <v>1635</v>
      </c>
      <c r="E284" s="1">
        <v>2024</v>
      </c>
      <c r="F284" s="1" t="s">
        <v>1640</v>
      </c>
      <c r="G284" s="1">
        <v>1119</v>
      </c>
      <c r="H284" s="1">
        <v>18820</v>
      </c>
      <c r="I284" s="1">
        <v>4767</v>
      </c>
      <c r="J284" s="1">
        <v>468058</v>
      </c>
      <c r="K284" s="1">
        <v>2.39</v>
      </c>
      <c r="L284" s="1">
        <v>1</v>
      </c>
      <c r="M284" s="1">
        <v>3.34</v>
      </c>
      <c r="N284" s="1">
        <v>24.57</v>
      </c>
      <c r="O284" s="1">
        <v>67.69</v>
      </c>
      <c r="P284" s="1">
        <v>4</v>
      </c>
      <c r="Q284" s="1">
        <v>8628</v>
      </c>
      <c r="R284" s="1">
        <v>6574</v>
      </c>
      <c r="S284" s="1">
        <v>7</v>
      </c>
      <c r="T284" s="1">
        <f>(Table1[[#This Row],[Selling_Price_per_Unit]]-Table1[[#This Row],[Manufacturing_Cost_per_Unit]])*Table1[[#This Row],[Units_Sold]]-Table1[[#This Row],[Marketing_Spend]]-Table1[[#This Row],[Discount_%]]</f>
        <v>15257224.43</v>
      </c>
      <c r="U284" s="3">
        <f>Table1[[#This Row],[profit]]/(Table1[[#This Row],[Units_Sold]]*Table1[[#This Row],[Selling_Price_per_Unit]])*100</f>
        <v>72.447904611582942</v>
      </c>
      <c r="V284" s="6">
        <f>Table1[[#This Row],[Units_Sold]]*Table1[[#This Row],[Selling_Price_per_Unit]]</f>
        <v>21059580</v>
      </c>
      <c r="W284" s="7">
        <f>(Table1[[#This Row],[Units_Sold]]/$Z$1)</f>
        <v>0.22402635623033512</v>
      </c>
      <c r="X284" s="8">
        <f>((Table1[[#This Row],[Units_Sold]]*(Table1[[#This Row],[Selling_Price_per_Unit]]-Table1[[#This Row],[Manufacturing_Cost_per_Unit]]))-Table1[[#This Row],[Marketing_Spend]])/Table1[[#This Row],[Marketing_Spend]]</f>
        <v>32.596919612526655</v>
      </c>
    </row>
    <row r="285" spans="1:24" hidden="1" x14ac:dyDescent="0.3">
      <c r="A285" s="1" t="s">
        <v>302</v>
      </c>
      <c r="B285" s="1" t="s">
        <v>1267</v>
      </c>
      <c r="C285" s="1" t="s">
        <v>1633</v>
      </c>
      <c r="D285" s="1" t="s">
        <v>1638</v>
      </c>
      <c r="E285" s="1">
        <v>2023</v>
      </c>
      <c r="F285" s="1" t="s">
        <v>1640</v>
      </c>
      <c r="G285" s="1">
        <v>3494</v>
      </c>
      <c r="H285" s="1">
        <v>12245</v>
      </c>
      <c r="I285" s="1">
        <v>7245</v>
      </c>
      <c r="J285" s="1">
        <v>338565</v>
      </c>
      <c r="K285" s="1">
        <v>2.41</v>
      </c>
      <c r="L285" s="1">
        <v>11</v>
      </c>
      <c r="M285" s="1">
        <v>3.88</v>
      </c>
      <c r="N285" s="1">
        <v>13.41</v>
      </c>
      <c r="O285" s="1">
        <v>38.22</v>
      </c>
      <c r="P285" s="1">
        <v>2.8</v>
      </c>
      <c r="Q285" s="1">
        <v>20569</v>
      </c>
      <c r="R285" s="1">
        <v>3691</v>
      </c>
      <c r="S285" s="1">
        <v>12</v>
      </c>
      <c r="T285" s="1">
        <f>(Table1[[#This Row],[Selling_Price_per_Unit]]-Table1[[#This Row],[Manufacturing_Cost_per_Unit]])*Table1[[#This Row],[Units_Sold]]-Table1[[#This Row],[Marketing_Spend]]-Table1[[#This Row],[Discount_%]]</f>
        <v>17131421.59</v>
      </c>
      <c r="U285" s="3">
        <f>Table1[[#This Row],[profit]]/(Table1[[#This Row],[Units_Sold]]*Table1[[#This Row],[Selling_Price_per_Unit]])*100</f>
        <v>40.041626723803255</v>
      </c>
      <c r="V285" s="6">
        <f>Table1[[#This Row],[Units_Sold]]*Table1[[#This Row],[Selling_Price_per_Unit]]</f>
        <v>42784030</v>
      </c>
      <c r="W285" s="7">
        <f>(Table1[[#This Row],[Units_Sold]]/$Z$1)</f>
        <v>0.69950678165218128</v>
      </c>
      <c r="X285" s="8">
        <f>((Table1[[#This Row],[Units_Sold]]*(Table1[[#This Row],[Selling_Price_per_Unit]]-Table1[[#This Row],[Manufacturing_Cost_per_Unit]]))-Table1[[#This Row],[Marketing_Spend]])/Table1[[#This Row],[Marketing_Spend]]</f>
        <v>50.60013586755867</v>
      </c>
    </row>
    <row r="286" spans="1:24" hidden="1" x14ac:dyDescent="0.3">
      <c r="A286" s="1" t="s">
        <v>303</v>
      </c>
      <c r="B286" s="1" t="s">
        <v>1268</v>
      </c>
      <c r="C286" s="1" t="s">
        <v>1634</v>
      </c>
      <c r="D286" s="1" t="s">
        <v>1636</v>
      </c>
      <c r="E286" s="1">
        <v>2023</v>
      </c>
      <c r="F286" s="1" t="s">
        <v>1639</v>
      </c>
      <c r="G286" s="1">
        <v>2615</v>
      </c>
      <c r="H286" s="1">
        <v>15699</v>
      </c>
      <c r="I286" s="1">
        <v>14842</v>
      </c>
      <c r="J286" s="1">
        <v>313852</v>
      </c>
      <c r="K286" s="1">
        <v>1.06</v>
      </c>
      <c r="L286" s="1">
        <v>5</v>
      </c>
      <c r="M286" s="1">
        <v>1.38</v>
      </c>
      <c r="N286" s="1">
        <v>12.57</v>
      </c>
      <c r="O286" s="1">
        <v>36.06</v>
      </c>
      <c r="P286" s="1">
        <v>2.2000000000000002</v>
      </c>
      <c r="Q286" s="1">
        <v>13591</v>
      </c>
      <c r="R286" s="1">
        <v>2281</v>
      </c>
      <c r="S286" s="1">
        <v>7</v>
      </c>
      <c r="T286" s="1">
        <f>(Table1[[#This Row],[Selling_Price_per_Unit]]-Table1[[#This Row],[Manufacturing_Cost_per_Unit]])*Table1[[#This Row],[Units_Sold]]-Table1[[#This Row],[Marketing_Spend]]-Table1[[#This Row],[Discount_%]]</f>
        <v>1927190.43</v>
      </c>
      <c r="U286" s="3">
        <f>Table1[[#This Row],[profit]]/(Table1[[#This Row],[Units_Sold]]*Table1[[#This Row],[Selling_Price_per_Unit]])*100</f>
        <v>4.694409247973681</v>
      </c>
      <c r="V286" s="6">
        <f>Table1[[#This Row],[Units_Sold]]*Table1[[#This Row],[Selling_Price_per_Unit]]</f>
        <v>41052885</v>
      </c>
      <c r="W286" s="7">
        <f>(Table1[[#This Row],[Units_Sold]]/$Z$1)</f>
        <v>0.52352897367500117</v>
      </c>
      <c r="X286" s="8">
        <f>((Table1[[#This Row],[Units_Sold]]*(Table1[[#This Row],[Selling_Price_per_Unit]]-Table1[[#This Row],[Manufacturing_Cost_per_Unit]]))-Table1[[#This Row],[Marketing_Spend]])/Table1[[#This Row],[Marketing_Spend]]</f>
        <v>6.1404834125638832</v>
      </c>
    </row>
    <row r="287" spans="1:24" hidden="1" x14ac:dyDescent="0.3">
      <c r="A287" s="1" t="s">
        <v>304</v>
      </c>
      <c r="B287" s="1" t="s">
        <v>1269</v>
      </c>
      <c r="C287" s="1" t="s">
        <v>1634</v>
      </c>
      <c r="D287" s="1" t="s">
        <v>1636</v>
      </c>
      <c r="E287" s="1">
        <v>2024</v>
      </c>
      <c r="F287" s="1" t="s">
        <v>1641</v>
      </c>
      <c r="G287" s="1">
        <v>1110</v>
      </c>
      <c r="H287" s="1">
        <v>17376</v>
      </c>
      <c r="I287" s="1">
        <v>9914</v>
      </c>
      <c r="J287" s="1">
        <v>446846</v>
      </c>
      <c r="K287" s="1">
        <v>2.78</v>
      </c>
      <c r="L287" s="1">
        <v>3</v>
      </c>
      <c r="M287" s="1">
        <v>7.38</v>
      </c>
      <c r="N287" s="1">
        <v>6.44</v>
      </c>
      <c r="O287" s="1">
        <v>47.81</v>
      </c>
      <c r="P287" s="1">
        <v>2.9</v>
      </c>
      <c r="Q287" s="1">
        <v>19815</v>
      </c>
      <c r="R287" s="1">
        <v>5111</v>
      </c>
      <c r="S287" s="1">
        <v>5</v>
      </c>
      <c r="T287" s="1">
        <f>(Table1[[#This Row],[Selling_Price_per_Unit]]-Table1[[#This Row],[Manufacturing_Cost_per_Unit]])*Table1[[#This Row],[Units_Sold]]-Table1[[#This Row],[Marketing_Spend]]-Table1[[#This Row],[Discount_%]]</f>
        <v>7835967.5599999996</v>
      </c>
      <c r="U287" s="3">
        <f>Table1[[#This Row],[profit]]/(Table1[[#This Row],[Units_Sold]]*Table1[[#This Row],[Selling_Price_per_Unit]])*100</f>
        <v>40.627476025749502</v>
      </c>
      <c r="V287" s="6">
        <f>Table1[[#This Row],[Units_Sold]]*Table1[[#This Row],[Selling_Price_per_Unit]]</f>
        <v>19287360</v>
      </c>
      <c r="W287" s="7">
        <f>(Table1[[#This Row],[Units_Sold]]/$Z$1)</f>
        <v>0.2222245356708418</v>
      </c>
      <c r="X287" s="8">
        <f>((Table1[[#This Row],[Units_Sold]]*(Table1[[#This Row],[Selling_Price_per_Unit]]-Table1[[#This Row],[Manufacturing_Cost_per_Unit]]))-Table1[[#This Row],[Marketing_Spend]])/Table1[[#This Row],[Marketing_Spend]]</f>
        <v>17.536184725833955</v>
      </c>
    </row>
    <row r="288" spans="1:24" hidden="1" x14ac:dyDescent="0.3">
      <c r="A288" s="1" t="s">
        <v>437</v>
      </c>
      <c r="B288" s="1" t="s">
        <v>1358</v>
      </c>
      <c r="C288" s="1" t="s">
        <v>1633</v>
      </c>
      <c r="D288" s="1" t="s">
        <v>1638</v>
      </c>
      <c r="E288" s="1">
        <v>2024</v>
      </c>
      <c r="F288" s="1" t="s">
        <v>1639</v>
      </c>
      <c r="G288" s="1">
        <v>2889</v>
      </c>
      <c r="H288" s="1">
        <v>16583</v>
      </c>
      <c r="I288" s="1">
        <v>2700</v>
      </c>
      <c r="J288" s="1">
        <v>172115</v>
      </c>
      <c r="K288" s="1">
        <v>5.54</v>
      </c>
      <c r="L288" s="1">
        <v>5</v>
      </c>
      <c r="M288" s="1">
        <v>2.0099999999999998</v>
      </c>
      <c r="N288" s="1">
        <v>0.95</v>
      </c>
      <c r="O288" s="1">
        <v>10.86</v>
      </c>
      <c r="P288" s="1">
        <v>4.3</v>
      </c>
      <c r="Q288" s="1">
        <v>7026</v>
      </c>
      <c r="R288" s="1">
        <v>4592</v>
      </c>
      <c r="S288" s="1">
        <v>12</v>
      </c>
      <c r="T288" s="1">
        <f>(Table1[[#This Row],[Selling_Price_per_Unit]]-Table1[[#This Row],[Manufacturing_Cost_per_Unit]])*Table1[[#This Row],[Units_Sold]]-Table1[[#This Row],[Marketing_Spend]]-Table1[[#This Row],[Discount_%]]</f>
        <v>39935871.049999997</v>
      </c>
      <c r="U288" s="3">
        <f>Table1[[#This Row],[profit]]/(Table1[[#This Row],[Units_Sold]]*Table1[[#This Row],[Selling_Price_per_Unit]])*100</f>
        <v>83.35900436181322</v>
      </c>
      <c r="V288" s="6">
        <f>Table1[[#This Row],[Units_Sold]]*Table1[[#This Row],[Selling_Price_per_Unit]]</f>
        <v>47908287</v>
      </c>
      <c r="W288" s="7">
        <f>(Table1[[#This Row],[Units_Sold]]/$Z$1)</f>
        <v>0.5783843995973531</v>
      </c>
      <c r="X288" s="8">
        <f>((Table1[[#This Row],[Units_Sold]]*(Table1[[#This Row],[Selling_Price_per_Unit]]-Table1[[#This Row],[Manufacturing_Cost_per_Unit]]))-Table1[[#This Row],[Marketing_Spend]])/Table1[[#This Row],[Marketing_Spend]]</f>
        <v>232.03016587746563</v>
      </c>
    </row>
    <row r="289" spans="1:24" x14ac:dyDescent="0.3">
      <c r="A289" s="1" t="s">
        <v>739</v>
      </c>
      <c r="B289" s="1" t="s">
        <v>1186</v>
      </c>
      <c r="C289" s="1" t="s">
        <v>1632</v>
      </c>
      <c r="D289" s="1" t="s">
        <v>1635</v>
      </c>
      <c r="E289" s="1">
        <v>2024</v>
      </c>
      <c r="F289" s="1" t="s">
        <v>1641</v>
      </c>
      <c r="G289" s="1">
        <v>3950</v>
      </c>
      <c r="H289" s="1">
        <v>17138</v>
      </c>
      <c r="I289" s="1">
        <v>7099</v>
      </c>
      <c r="J289" s="1">
        <v>142769</v>
      </c>
      <c r="K289" s="1">
        <v>8.57</v>
      </c>
      <c r="L289" s="1">
        <v>5</v>
      </c>
      <c r="M289" s="1">
        <v>7.11</v>
      </c>
      <c r="N289" s="1">
        <v>6.74</v>
      </c>
      <c r="O289" s="1">
        <v>59.3</v>
      </c>
      <c r="P289" s="1">
        <v>2.5</v>
      </c>
      <c r="Q289" s="1">
        <v>19547</v>
      </c>
      <c r="R289" s="1">
        <v>5541</v>
      </c>
      <c r="S289" s="1">
        <v>11</v>
      </c>
      <c r="T289" s="1">
        <f>(Table1[[#This Row],[Selling_Price_per_Unit]]-Table1[[#This Row],[Manufacturing_Cost_per_Unit]])*Table1[[#This Row],[Units_Sold]]-Table1[[#This Row],[Marketing_Spend]]-Table1[[#This Row],[Discount_%]]</f>
        <v>39511274.259999998</v>
      </c>
      <c r="U289" s="3">
        <f>Table1[[#This Row],[profit]]/(Table1[[#This Row],[Units_Sold]]*Table1[[#This Row],[Selling_Price_per_Unit]])*100</f>
        <v>58.366520265129971</v>
      </c>
      <c r="V289" s="6">
        <f>Table1[[#This Row],[Units_Sold]]*Table1[[#This Row],[Selling_Price_per_Unit]]</f>
        <v>67695100</v>
      </c>
      <c r="W289" s="7">
        <f>(Table1[[#This Row],[Units_Sold]]/$Z$1)</f>
        <v>0.79079902333317575</v>
      </c>
      <c r="X289" s="8">
        <f>((Table1[[#This Row],[Units_Sold]]*(Table1[[#This Row],[Selling_Price_per_Unit]]-Table1[[#This Row],[Manufacturing_Cost_per_Unit]]))-Table1[[#This Row],[Marketing_Spend]])/Table1[[#This Row],[Marketing_Spend]]</f>
        <v>276.74972157821378</v>
      </c>
    </row>
    <row r="290" spans="1:24" hidden="1" x14ac:dyDescent="0.3">
      <c r="A290" s="1" t="s">
        <v>307</v>
      </c>
      <c r="B290" s="1" t="s">
        <v>1272</v>
      </c>
      <c r="C290" s="1" t="s">
        <v>1633</v>
      </c>
      <c r="D290" s="1" t="s">
        <v>1635</v>
      </c>
      <c r="E290" s="1">
        <v>2024</v>
      </c>
      <c r="F290" s="1" t="s">
        <v>1639</v>
      </c>
      <c r="G290" s="1">
        <v>351</v>
      </c>
      <c r="H290" s="1">
        <v>8714</v>
      </c>
      <c r="I290" s="1">
        <v>5932</v>
      </c>
      <c r="J290" s="1">
        <v>209380</v>
      </c>
      <c r="K290" s="1">
        <v>12.21</v>
      </c>
      <c r="L290" s="1">
        <v>13</v>
      </c>
      <c r="M290" s="1">
        <v>4.92</v>
      </c>
      <c r="N290" s="1">
        <v>1.24</v>
      </c>
      <c r="O290" s="1">
        <v>74.39</v>
      </c>
      <c r="P290" s="1">
        <v>2.2000000000000002</v>
      </c>
      <c r="Q290" s="1">
        <v>7521</v>
      </c>
      <c r="R290" s="1">
        <v>2731</v>
      </c>
      <c r="S290" s="1">
        <v>3</v>
      </c>
      <c r="T290" s="1">
        <f>(Table1[[#This Row],[Selling_Price_per_Unit]]-Table1[[#This Row],[Manufacturing_Cost_per_Unit]])*Table1[[#This Row],[Units_Sold]]-Table1[[#This Row],[Marketing_Spend]]-Table1[[#This Row],[Discount_%]]</f>
        <v>767100.76</v>
      </c>
      <c r="U290" s="3">
        <f>Table1[[#This Row],[profit]]/(Table1[[#This Row],[Units_Sold]]*Table1[[#This Row],[Selling_Price_per_Unit]])*100</f>
        <v>25.080012057749034</v>
      </c>
      <c r="V290" s="6">
        <f>Table1[[#This Row],[Units_Sold]]*Table1[[#This Row],[Selling_Price_per_Unit]]</f>
        <v>3058614</v>
      </c>
      <c r="W290" s="7">
        <f>(Table1[[#This Row],[Units_Sold]]/$Z$1)</f>
        <v>7.0271001820239168E-2</v>
      </c>
      <c r="X290" s="8">
        <f>((Table1[[#This Row],[Units_Sold]]*(Table1[[#This Row],[Selling_Price_per_Unit]]-Table1[[#This Row],[Manufacturing_Cost_per_Unit]]))-Table1[[#This Row],[Marketing_Spend]])/Table1[[#This Row],[Marketing_Spend]]</f>
        <v>3.6636832553252461</v>
      </c>
    </row>
    <row r="291" spans="1:24" x14ac:dyDescent="0.3">
      <c r="A291" s="1" t="s">
        <v>308</v>
      </c>
      <c r="B291" s="1" t="s">
        <v>1273</v>
      </c>
      <c r="C291" s="1" t="s">
        <v>1634</v>
      </c>
      <c r="D291" s="1" t="s">
        <v>1636</v>
      </c>
      <c r="E291" s="1">
        <v>2024</v>
      </c>
      <c r="F291" s="1" t="s">
        <v>1639</v>
      </c>
      <c r="G291" s="1">
        <v>4326</v>
      </c>
      <c r="H291" s="1">
        <v>2226</v>
      </c>
      <c r="I291" s="1">
        <v>14504</v>
      </c>
      <c r="J291" s="1">
        <v>94789</v>
      </c>
      <c r="K291" s="1">
        <v>10.28</v>
      </c>
      <c r="L291" s="1">
        <v>15</v>
      </c>
      <c r="M291" s="1">
        <v>7.01</v>
      </c>
      <c r="N291" s="1">
        <v>14.98</v>
      </c>
      <c r="O291" s="1">
        <v>39.520000000000003</v>
      </c>
      <c r="P291" s="1">
        <v>3.6</v>
      </c>
      <c r="Q291" s="1">
        <v>7937</v>
      </c>
      <c r="R291" s="1">
        <v>1621</v>
      </c>
      <c r="S291" s="1">
        <v>4</v>
      </c>
      <c r="T291" s="1">
        <f>(Table1[[#This Row],[Selling_Price_per_Unit]]-Table1[[#This Row],[Manufacturing_Cost_per_Unit]])*Table1[[#This Row],[Units_Sold]]-Table1[[#This Row],[Marketing_Spend]]-Table1[[#This Row],[Discount_%]]</f>
        <v>-53209431.979999997</v>
      </c>
      <c r="U291" s="3">
        <f>Table1[[#This Row],[profit]]/(Table1[[#This Row],[Units_Sold]]*Table1[[#This Row],[Selling_Price_per_Unit]])*100</f>
        <v>-552.55682517251876</v>
      </c>
      <c r="V291" s="6">
        <f>Table1[[#This Row],[Units_Sold]]*Table1[[#This Row],[Selling_Price_per_Unit]]</f>
        <v>9629676</v>
      </c>
      <c r="W291" s="7">
        <f>(Table1[[#This Row],[Units_Sold]]/$Z$1)</f>
        <v>0.86607508226311858</v>
      </c>
      <c r="X291" s="8">
        <f>((Table1[[#This Row],[Units_Sold]]*(Table1[[#This Row],[Selling_Price_per_Unit]]-Table1[[#This Row],[Manufacturing_Cost_per_Unit]]))-Table1[[#This Row],[Marketing_Spend]])/Table1[[#This Row],[Marketing_Spend]]</f>
        <v>-561.34590511557246</v>
      </c>
    </row>
    <row r="292" spans="1:24" hidden="1" x14ac:dyDescent="0.3">
      <c r="A292" s="1" t="s">
        <v>309</v>
      </c>
      <c r="B292" s="1" t="s">
        <v>1204</v>
      </c>
      <c r="C292" s="1" t="s">
        <v>1633</v>
      </c>
      <c r="D292" s="1" t="s">
        <v>1635</v>
      </c>
      <c r="E292" s="1">
        <v>2024</v>
      </c>
      <c r="F292" s="1" t="s">
        <v>1642</v>
      </c>
      <c r="G292" s="1">
        <v>656</v>
      </c>
      <c r="H292" s="1">
        <v>15332</v>
      </c>
      <c r="I292" s="1">
        <v>3347</v>
      </c>
      <c r="J292" s="1">
        <v>498906</v>
      </c>
      <c r="K292" s="1">
        <v>1.66</v>
      </c>
      <c r="L292" s="1">
        <v>3</v>
      </c>
      <c r="M292" s="1">
        <v>8.56</v>
      </c>
      <c r="N292" s="1">
        <v>8.5399999999999991</v>
      </c>
      <c r="O292" s="1">
        <v>78.37</v>
      </c>
      <c r="P292" s="1">
        <v>1.5</v>
      </c>
      <c r="Q292" s="1">
        <v>8539</v>
      </c>
      <c r="R292" s="1">
        <v>2772</v>
      </c>
      <c r="S292" s="1">
        <v>4</v>
      </c>
      <c r="T292" s="1">
        <f>(Table1[[#This Row],[Selling_Price_per_Unit]]-Table1[[#This Row],[Manufacturing_Cost_per_Unit]])*Table1[[#This Row],[Units_Sold]]-Table1[[#This Row],[Marketing_Spend]]-Table1[[#This Row],[Discount_%]]</f>
        <v>7363245.46</v>
      </c>
      <c r="U292" s="3">
        <f>Table1[[#This Row],[profit]]/(Table1[[#This Row],[Units_Sold]]*Table1[[#This Row],[Selling_Price_per_Unit]])*100</f>
        <v>73.209363049066837</v>
      </c>
      <c r="V292" s="6">
        <f>Table1[[#This Row],[Units_Sold]]*Table1[[#This Row],[Selling_Price_per_Unit]]</f>
        <v>10057792</v>
      </c>
      <c r="W292" s="7">
        <f>(Table1[[#This Row],[Units_Sold]]/$Z$1)</f>
        <v>0.13133269855862362</v>
      </c>
      <c r="X292" s="8">
        <f>((Table1[[#This Row],[Units_Sold]]*(Table1[[#This Row],[Selling_Price_per_Unit]]-Table1[[#This Row],[Manufacturing_Cost_per_Unit]]))-Table1[[#This Row],[Marketing_Spend]])/Table1[[#This Row],[Marketing_Spend]]</f>
        <v>14.758800254957848</v>
      </c>
    </row>
    <row r="293" spans="1:24" x14ac:dyDescent="0.3">
      <c r="A293" s="1" t="s">
        <v>435</v>
      </c>
      <c r="B293" s="1" t="s">
        <v>1290</v>
      </c>
      <c r="C293" s="1" t="s">
        <v>1634</v>
      </c>
      <c r="D293" s="1" t="s">
        <v>1638</v>
      </c>
      <c r="E293" s="1">
        <v>2024</v>
      </c>
      <c r="F293" s="1" t="s">
        <v>1639</v>
      </c>
      <c r="G293" s="1">
        <v>4661</v>
      </c>
      <c r="H293" s="1">
        <v>13222</v>
      </c>
      <c r="I293" s="1">
        <v>4720</v>
      </c>
      <c r="J293" s="1">
        <v>312093</v>
      </c>
      <c r="K293" s="1">
        <v>5.59</v>
      </c>
      <c r="L293" s="1">
        <v>13</v>
      </c>
      <c r="M293" s="1">
        <v>6.85</v>
      </c>
      <c r="N293" s="1">
        <v>12.34</v>
      </c>
      <c r="O293" s="1">
        <v>34.880000000000003</v>
      </c>
      <c r="P293" s="1">
        <v>4</v>
      </c>
      <c r="Q293" s="1">
        <v>20688</v>
      </c>
      <c r="R293" s="1">
        <v>7816</v>
      </c>
      <c r="S293" s="1">
        <v>3</v>
      </c>
      <c r="T293" s="1">
        <f>(Table1[[#This Row],[Selling_Price_per_Unit]]-Table1[[#This Row],[Manufacturing_Cost_per_Unit]])*Table1[[#This Row],[Units_Sold]]-Table1[[#This Row],[Marketing_Spend]]-Table1[[#This Row],[Discount_%]]</f>
        <v>39315716.659999996</v>
      </c>
      <c r="U293" s="3">
        <f>Table1[[#This Row],[profit]]/(Table1[[#This Row],[Units_Sold]]*Table1[[#This Row],[Selling_Price_per_Unit]])*100</f>
        <v>63.795484604968969</v>
      </c>
      <c r="V293" s="6">
        <f>Table1[[#This Row],[Units_Sold]]*Table1[[#This Row],[Selling_Price_per_Unit]]</f>
        <v>61627742</v>
      </c>
      <c r="W293" s="7">
        <f>(Table1[[#This Row],[Units_Sold]]/$Z$1)</f>
        <v>0.93314284753314747</v>
      </c>
      <c r="X293" s="8">
        <f>((Table1[[#This Row],[Units_Sold]]*(Table1[[#This Row],[Selling_Price_per_Unit]]-Table1[[#This Row],[Manufacturing_Cost_per_Unit]]))-Table1[[#This Row],[Marketing_Spend]])/Table1[[#This Row],[Marketing_Spend]]</f>
        <v>125.97440186098375</v>
      </c>
    </row>
    <row r="294" spans="1:24" hidden="1" x14ac:dyDescent="0.3">
      <c r="A294" s="1" t="s">
        <v>311</v>
      </c>
      <c r="B294" s="1" t="s">
        <v>1082</v>
      </c>
      <c r="C294" s="1" t="s">
        <v>1632</v>
      </c>
      <c r="D294" s="1" t="s">
        <v>1635</v>
      </c>
      <c r="E294" s="1">
        <v>2023</v>
      </c>
      <c r="F294" s="1" t="s">
        <v>1639</v>
      </c>
      <c r="G294" s="1">
        <v>749</v>
      </c>
      <c r="H294" s="1">
        <v>19797</v>
      </c>
      <c r="I294" s="1">
        <v>11273</v>
      </c>
      <c r="J294" s="1">
        <v>329003</v>
      </c>
      <c r="K294" s="1">
        <v>4.6500000000000004</v>
      </c>
      <c r="L294" s="1">
        <v>12</v>
      </c>
      <c r="M294" s="1">
        <v>3.09</v>
      </c>
      <c r="N294" s="1">
        <v>22.58</v>
      </c>
      <c r="O294" s="1">
        <v>37.9</v>
      </c>
      <c r="P294" s="1">
        <v>4.7</v>
      </c>
      <c r="Q294" s="1">
        <v>5635</v>
      </c>
      <c r="R294" s="1">
        <v>7068</v>
      </c>
      <c r="S294" s="1">
        <v>12</v>
      </c>
      <c r="T294" s="1">
        <f>(Table1[[#This Row],[Selling_Price_per_Unit]]-Table1[[#This Row],[Manufacturing_Cost_per_Unit]])*Table1[[#This Row],[Units_Sold]]-Table1[[#This Row],[Marketing_Spend]]-Table1[[#This Row],[Discount_%]]</f>
        <v>6055450.4199999999</v>
      </c>
      <c r="U294" s="3">
        <f>Table1[[#This Row],[profit]]/(Table1[[#This Row],[Units_Sold]]*Table1[[#This Row],[Selling_Price_per_Unit]])*100</f>
        <v>40.838074007922735</v>
      </c>
      <c r="V294" s="6">
        <f>Table1[[#This Row],[Units_Sold]]*Table1[[#This Row],[Selling_Price_per_Unit]]</f>
        <v>14827953</v>
      </c>
      <c r="W294" s="7">
        <f>(Table1[[#This Row],[Units_Sold]]/$Z$1)</f>
        <v>0.14995151100672119</v>
      </c>
      <c r="X294" s="8">
        <f>((Table1[[#This Row],[Units_Sold]]*(Table1[[#This Row],[Selling_Price_per_Unit]]-Table1[[#This Row],[Manufacturing_Cost_per_Unit]]))-Table1[[#This Row],[Marketing_Spend]])/Table1[[#This Row],[Marketing_Spend]]</f>
        <v>18.405525177581968</v>
      </c>
    </row>
    <row r="295" spans="1:24" hidden="1" x14ac:dyDescent="0.3">
      <c r="A295" s="1" t="s">
        <v>312</v>
      </c>
      <c r="B295" s="1" t="s">
        <v>1274</v>
      </c>
      <c r="C295" s="1" t="s">
        <v>1632</v>
      </c>
      <c r="D295" s="1" t="s">
        <v>1635</v>
      </c>
      <c r="E295" s="1">
        <v>2023</v>
      </c>
      <c r="F295" s="1" t="s">
        <v>1639</v>
      </c>
      <c r="G295" s="1">
        <v>1189</v>
      </c>
      <c r="H295" s="1">
        <v>11606</v>
      </c>
      <c r="I295" s="1">
        <v>3449</v>
      </c>
      <c r="J295" s="1">
        <v>57684</v>
      </c>
      <c r="K295" s="1">
        <v>3.75</v>
      </c>
      <c r="L295" s="1">
        <v>3</v>
      </c>
      <c r="M295" s="1">
        <v>9.3699999999999992</v>
      </c>
      <c r="N295" s="1">
        <v>17.84</v>
      </c>
      <c r="O295" s="1">
        <v>65.510000000000005</v>
      </c>
      <c r="P295" s="1">
        <v>3.4</v>
      </c>
      <c r="Q295" s="1">
        <v>16611</v>
      </c>
      <c r="R295" s="1">
        <v>728</v>
      </c>
      <c r="S295" s="1">
        <v>6</v>
      </c>
      <c r="T295" s="1">
        <f>(Table1[[#This Row],[Selling_Price_per_Unit]]-Table1[[#This Row],[Manufacturing_Cost_per_Unit]])*Table1[[#This Row],[Units_Sold]]-Table1[[#This Row],[Marketing_Spend]]-Table1[[#This Row],[Discount_%]]</f>
        <v>9640971.1600000001</v>
      </c>
      <c r="U295" s="3">
        <f>Table1[[#This Row],[profit]]/(Table1[[#This Row],[Units_Sold]]*Table1[[#This Row],[Selling_Price_per_Unit]])*100</f>
        <v>69.864469046563457</v>
      </c>
      <c r="V295" s="6">
        <f>Table1[[#This Row],[Units_Sold]]*Table1[[#This Row],[Selling_Price_per_Unit]]</f>
        <v>13799534</v>
      </c>
      <c r="W295" s="7">
        <f>(Table1[[#This Row],[Units_Sold]]/$Z$1)</f>
        <v>0.23804051613750532</v>
      </c>
      <c r="X295" s="8">
        <f>((Table1[[#This Row],[Units_Sold]]*(Table1[[#This Row],[Selling_Price_per_Unit]]-Table1[[#This Row],[Manufacturing_Cost_per_Unit]]))-Table1[[#This Row],[Marketing_Spend]])/Table1[[#This Row],[Marketing_Spend]]</f>
        <v>167.13454337424588</v>
      </c>
    </row>
    <row r="296" spans="1:24" hidden="1" x14ac:dyDescent="0.3">
      <c r="A296" s="1" t="s">
        <v>313</v>
      </c>
      <c r="B296" s="1" t="s">
        <v>1275</v>
      </c>
      <c r="C296" s="1" t="s">
        <v>1634</v>
      </c>
      <c r="D296" s="1" t="s">
        <v>1635</v>
      </c>
      <c r="E296" s="1">
        <v>2024</v>
      </c>
      <c r="F296" s="1" t="s">
        <v>1641</v>
      </c>
      <c r="G296" s="1">
        <v>240</v>
      </c>
      <c r="H296" s="1">
        <v>9157</v>
      </c>
      <c r="I296" s="1">
        <v>9305</v>
      </c>
      <c r="J296" s="1">
        <v>141088</v>
      </c>
      <c r="K296" s="1">
        <v>7.73</v>
      </c>
      <c r="L296" s="1">
        <v>19</v>
      </c>
      <c r="M296" s="1">
        <v>5.16</v>
      </c>
      <c r="N296" s="1">
        <v>20.45</v>
      </c>
      <c r="O296" s="1">
        <v>22.77</v>
      </c>
      <c r="P296" s="1">
        <v>3.2</v>
      </c>
      <c r="Q296" s="1">
        <v>13464</v>
      </c>
      <c r="R296" s="1">
        <v>7262</v>
      </c>
      <c r="S296" s="1">
        <v>6</v>
      </c>
      <c r="T296" s="1">
        <f>(Table1[[#This Row],[Selling_Price_per_Unit]]-Table1[[#This Row],[Manufacturing_Cost_per_Unit]])*Table1[[#This Row],[Units_Sold]]-Table1[[#This Row],[Marketing_Spend]]-Table1[[#This Row],[Discount_%]]</f>
        <v>-176628.45</v>
      </c>
      <c r="U296" s="3">
        <f>Table1[[#This Row],[profit]]/(Table1[[#This Row],[Units_Sold]]*Table1[[#This Row],[Selling_Price_per_Unit]])*100</f>
        <v>-8.0370413344981984</v>
      </c>
      <c r="V296" s="6">
        <f>Table1[[#This Row],[Units_Sold]]*Table1[[#This Row],[Selling_Price_per_Unit]]</f>
        <v>2197680</v>
      </c>
      <c r="W296" s="7">
        <f>(Table1[[#This Row],[Units_Sold]]/$Z$1)</f>
        <v>4.8048548253154987E-2</v>
      </c>
      <c r="X296" s="8">
        <f>((Table1[[#This Row],[Units_Sold]]*(Table1[[#This Row],[Selling_Price_per_Unit]]-Table1[[#This Row],[Manufacturing_Cost_per_Unit]]))-Table1[[#This Row],[Marketing_Spend]])/Table1[[#This Row],[Marketing_Spend]]</f>
        <v>-1.2517577682014063</v>
      </c>
    </row>
    <row r="297" spans="1:24" hidden="1" x14ac:dyDescent="0.3">
      <c r="A297" s="1" t="s">
        <v>314</v>
      </c>
      <c r="B297" s="1" t="s">
        <v>1276</v>
      </c>
      <c r="C297" s="1" t="s">
        <v>1634</v>
      </c>
      <c r="D297" s="1" t="s">
        <v>1637</v>
      </c>
      <c r="E297" s="1">
        <v>2023</v>
      </c>
      <c r="F297" s="1" t="s">
        <v>1641</v>
      </c>
      <c r="G297" s="1">
        <v>2350</v>
      </c>
      <c r="H297" s="1">
        <v>16051</v>
      </c>
      <c r="I297" s="1">
        <v>11605</v>
      </c>
      <c r="J297" s="1">
        <v>444423</v>
      </c>
      <c r="K297" s="1">
        <v>8.0299999999999994</v>
      </c>
      <c r="L297" s="1">
        <v>17</v>
      </c>
      <c r="M297" s="1">
        <v>4.97</v>
      </c>
      <c r="N297" s="1">
        <v>16.68</v>
      </c>
      <c r="O297" s="1">
        <v>81.7</v>
      </c>
      <c r="P297" s="1">
        <v>4.8</v>
      </c>
      <c r="Q297" s="1">
        <v>10211</v>
      </c>
      <c r="R297" s="1">
        <v>2779</v>
      </c>
      <c r="S297" s="1">
        <v>7</v>
      </c>
      <c r="T297" s="1">
        <f>(Table1[[#This Row],[Selling_Price_per_Unit]]-Table1[[#This Row],[Manufacturing_Cost_per_Unit]])*Table1[[#This Row],[Units_Sold]]-Table1[[#This Row],[Marketing_Spend]]-Table1[[#This Row],[Discount_%]]</f>
        <v>10003660.32</v>
      </c>
      <c r="U297" s="3">
        <f>Table1[[#This Row],[profit]]/(Table1[[#This Row],[Units_Sold]]*Table1[[#This Row],[Selling_Price_per_Unit]])*100</f>
        <v>26.520944065260071</v>
      </c>
      <c r="V297" s="6">
        <f>Table1[[#This Row],[Units_Sold]]*Table1[[#This Row],[Selling_Price_per_Unit]]</f>
        <v>37719850</v>
      </c>
      <c r="W297" s="7">
        <f>(Table1[[#This Row],[Units_Sold]]/$Z$1)</f>
        <v>0.47047536831214254</v>
      </c>
      <c r="X297" s="8">
        <f>((Table1[[#This Row],[Units_Sold]]*(Table1[[#This Row],[Selling_Price_per_Unit]]-Table1[[#This Row],[Manufacturing_Cost_per_Unit]]))-Table1[[#This Row],[Marketing_Spend]])/Table1[[#This Row],[Marketing_Spend]]</f>
        <v>22.509359326587507</v>
      </c>
    </row>
    <row r="298" spans="1:24" hidden="1" x14ac:dyDescent="0.3">
      <c r="A298" s="1" t="s">
        <v>315</v>
      </c>
      <c r="B298" s="1" t="s">
        <v>1247</v>
      </c>
      <c r="C298" s="1" t="s">
        <v>1634</v>
      </c>
      <c r="D298" s="1" t="s">
        <v>1636</v>
      </c>
      <c r="E298" s="1">
        <v>2024</v>
      </c>
      <c r="F298" s="1" t="s">
        <v>1639</v>
      </c>
      <c r="G298" s="1">
        <v>1030</v>
      </c>
      <c r="H298" s="1">
        <v>9406</v>
      </c>
      <c r="I298" s="1">
        <v>3883</v>
      </c>
      <c r="J298" s="1">
        <v>96099</v>
      </c>
      <c r="K298" s="1">
        <v>5.35</v>
      </c>
      <c r="L298" s="1">
        <v>5</v>
      </c>
      <c r="M298" s="1">
        <v>1.78</v>
      </c>
      <c r="N298" s="1">
        <v>3.14</v>
      </c>
      <c r="O298" s="1">
        <v>42.36</v>
      </c>
      <c r="P298" s="1">
        <v>3.5</v>
      </c>
      <c r="Q298" s="1">
        <v>9404</v>
      </c>
      <c r="R298" s="1">
        <v>5366</v>
      </c>
      <c r="S298" s="1">
        <v>6</v>
      </c>
      <c r="T298" s="1">
        <f>(Table1[[#This Row],[Selling_Price_per_Unit]]-Table1[[#This Row],[Manufacturing_Cost_per_Unit]])*Table1[[#This Row],[Units_Sold]]-Table1[[#This Row],[Marketing_Spend]]-Table1[[#This Row],[Discount_%]]</f>
        <v>5592587.8600000003</v>
      </c>
      <c r="U298" s="3">
        <f>Table1[[#This Row],[profit]]/(Table1[[#This Row],[Units_Sold]]*Table1[[#This Row],[Selling_Price_per_Unit]])*100</f>
        <v>57.725887215142578</v>
      </c>
      <c r="V298" s="6">
        <f>Table1[[#This Row],[Units_Sold]]*Table1[[#This Row],[Selling_Price_per_Unit]]</f>
        <v>9688180</v>
      </c>
      <c r="W298" s="7">
        <f>(Table1[[#This Row],[Units_Sold]]/$Z$1)</f>
        <v>0.20620835291979014</v>
      </c>
      <c r="X298" s="8">
        <f>((Table1[[#This Row],[Units_Sold]]*(Table1[[#This Row],[Selling_Price_per_Unit]]-Table1[[#This Row],[Manufacturing_Cost_per_Unit]]))-Table1[[#This Row],[Marketing_Spend]])/Table1[[#This Row],[Marketing_Spend]]</f>
        <v>58.19614147909968</v>
      </c>
    </row>
    <row r="299" spans="1:24" hidden="1" x14ac:dyDescent="0.3">
      <c r="A299" s="1" t="s">
        <v>316</v>
      </c>
      <c r="B299" s="1" t="s">
        <v>1277</v>
      </c>
      <c r="C299" s="1" t="s">
        <v>1634</v>
      </c>
      <c r="D299" s="1" t="s">
        <v>1638</v>
      </c>
      <c r="E299" s="1">
        <v>2023</v>
      </c>
      <c r="F299" s="1" t="s">
        <v>1640</v>
      </c>
      <c r="G299" s="1">
        <v>3025</v>
      </c>
      <c r="H299" s="1">
        <v>8787</v>
      </c>
      <c r="I299" s="1">
        <v>11248</v>
      </c>
      <c r="J299" s="1">
        <v>116093</v>
      </c>
      <c r="K299" s="1">
        <v>5.31</v>
      </c>
      <c r="L299" s="1">
        <v>2</v>
      </c>
      <c r="M299" s="1">
        <v>1.08</v>
      </c>
      <c r="N299" s="1">
        <v>19.14</v>
      </c>
      <c r="O299" s="1">
        <v>46.45</v>
      </c>
      <c r="P299" s="1">
        <v>2</v>
      </c>
      <c r="Q299" s="1">
        <v>3783</v>
      </c>
      <c r="R299" s="1">
        <v>4522</v>
      </c>
      <c r="S299" s="1">
        <v>13</v>
      </c>
      <c r="T299" s="1">
        <f>(Table1[[#This Row],[Selling_Price_per_Unit]]-Table1[[#This Row],[Manufacturing_Cost_per_Unit]])*Table1[[#This Row],[Units_Sold]]-Table1[[#This Row],[Marketing_Spend]]-Table1[[#This Row],[Discount_%]]</f>
        <v>-7560637.1399999997</v>
      </c>
      <c r="U299" s="3">
        <f>Table1[[#This Row],[profit]]/(Table1[[#This Row],[Units_Sold]]*Table1[[#This Row],[Selling_Price_per_Unit]])*100</f>
        <v>-28.444112649509464</v>
      </c>
      <c r="V299" s="6">
        <f>Table1[[#This Row],[Units_Sold]]*Table1[[#This Row],[Selling_Price_per_Unit]]</f>
        <v>26580675</v>
      </c>
      <c r="W299" s="7">
        <f>(Table1[[#This Row],[Units_Sold]]/$Z$1)</f>
        <v>0.60561191027414096</v>
      </c>
      <c r="X299" s="8">
        <f>((Table1[[#This Row],[Units_Sold]]*(Table1[[#This Row],[Selling_Price_per_Unit]]-Table1[[#This Row],[Manufacturing_Cost_per_Unit]]))-Table1[[#This Row],[Marketing_Spend]])/Table1[[#This Row],[Marketing_Spend]]</f>
        <v>-65.125528670979307</v>
      </c>
    </row>
    <row r="300" spans="1:24" hidden="1" x14ac:dyDescent="0.3">
      <c r="A300" s="1" t="s">
        <v>317</v>
      </c>
      <c r="B300" s="1" t="s">
        <v>1278</v>
      </c>
      <c r="C300" s="1" t="s">
        <v>1633</v>
      </c>
      <c r="D300" s="1" t="s">
        <v>1638</v>
      </c>
      <c r="E300" s="1">
        <v>2023</v>
      </c>
      <c r="F300" s="1" t="s">
        <v>1639</v>
      </c>
      <c r="G300" s="1">
        <v>1234</v>
      </c>
      <c r="H300" s="1">
        <v>2392</v>
      </c>
      <c r="I300" s="1">
        <v>1837</v>
      </c>
      <c r="J300" s="1">
        <v>210761</v>
      </c>
      <c r="K300" s="1">
        <v>12.43</v>
      </c>
      <c r="L300" s="1">
        <v>12</v>
      </c>
      <c r="M300" s="1">
        <v>8.42</v>
      </c>
      <c r="N300" s="1">
        <v>5.25</v>
      </c>
      <c r="O300" s="1">
        <v>66.459999999999994</v>
      </c>
      <c r="P300" s="1">
        <v>2.2000000000000002</v>
      </c>
      <c r="Q300" s="1">
        <v>3977</v>
      </c>
      <c r="R300" s="1">
        <v>9730</v>
      </c>
      <c r="S300" s="1">
        <v>7</v>
      </c>
      <c r="T300" s="1">
        <f>(Table1[[#This Row],[Selling_Price_per_Unit]]-Table1[[#This Row],[Manufacturing_Cost_per_Unit]])*Table1[[#This Row],[Units_Sold]]-Table1[[#This Row],[Marketing_Spend]]-Table1[[#This Row],[Discount_%]]</f>
        <v>474103.75</v>
      </c>
      <c r="U300" s="3">
        <f>Table1[[#This Row],[profit]]/(Table1[[#This Row],[Units_Sold]]*Table1[[#This Row],[Selling_Price_per_Unit]])*100</f>
        <v>16.061905094236327</v>
      </c>
      <c r="V300" s="6">
        <f>Table1[[#This Row],[Units_Sold]]*Table1[[#This Row],[Selling_Price_per_Unit]]</f>
        <v>2951728</v>
      </c>
      <c r="W300" s="7">
        <f>(Table1[[#This Row],[Units_Sold]]/$Z$1)</f>
        <v>0.24704961893497188</v>
      </c>
      <c r="X300" s="8">
        <f>((Table1[[#This Row],[Units_Sold]]*(Table1[[#This Row],[Selling_Price_per_Unit]]-Table1[[#This Row],[Manufacturing_Cost_per_Unit]]))-Table1[[#This Row],[Marketing_Spend]])/Table1[[#This Row],[Marketing_Spend]]</f>
        <v>2.2495101086064309</v>
      </c>
    </row>
    <row r="301" spans="1:24" hidden="1" x14ac:dyDescent="0.3">
      <c r="A301" s="1" t="s">
        <v>318</v>
      </c>
      <c r="B301" s="1" t="s">
        <v>1279</v>
      </c>
      <c r="C301" s="1" t="s">
        <v>1634</v>
      </c>
      <c r="D301" s="1" t="s">
        <v>1636</v>
      </c>
      <c r="E301" s="1">
        <v>2024</v>
      </c>
      <c r="F301" s="1" t="s">
        <v>1640</v>
      </c>
      <c r="G301" s="1">
        <v>3377</v>
      </c>
      <c r="H301" s="1">
        <v>11722</v>
      </c>
      <c r="I301" s="1">
        <v>14744</v>
      </c>
      <c r="J301" s="1">
        <v>360795</v>
      </c>
      <c r="K301" s="1">
        <v>11.84</v>
      </c>
      <c r="L301" s="1">
        <v>15</v>
      </c>
      <c r="M301" s="1">
        <v>6.14</v>
      </c>
      <c r="N301" s="1">
        <v>8.09</v>
      </c>
      <c r="O301" s="1">
        <v>75.67</v>
      </c>
      <c r="P301" s="1">
        <v>3.8</v>
      </c>
      <c r="Q301" s="1">
        <v>4593</v>
      </c>
      <c r="R301" s="1">
        <v>7563</v>
      </c>
      <c r="S301" s="1">
        <v>9</v>
      </c>
      <c r="T301" s="1">
        <f>(Table1[[#This Row],[Selling_Price_per_Unit]]-Table1[[#This Row],[Manufacturing_Cost_per_Unit]])*Table1[[#This Row],[Units_Sold]]-Table1[[#This Row],[Marketing_Spend]]-Table1[[#This Row],[Discount_%]]</f>
        <v>-10566097.09</v>
      </c>
      <c r="U301" s="3">
        <f>Table1[[#This Row],[profit]]/(Table1[[#This Row],[Units_Sold]]*Table1[[#This Row],[Selling_Price_per_Unit]])*100</f>
        <v>-26.692043216966422</v>
      </c>
      <c r="V301" s="6">
        <f>Table1[[#This Row],[Units_Sold]]*Table1[[#This Row],[Selling_Price_per_Unit]]</f>
        <v>39585194</v>
      </c>
      <c r="W301" s="7">
        <f>(Table1[[#This Row],[Units_Sold]]/$Z$1)</f>
        <v>0.67608311437876822</v>
      </c>
      <c r="X301" s="8">
        <f>((Table1[[#This Row],[Units_Sold]]*(Table1[[#This Row],[Selling_Price_per_Unit]]-Table1[[#This Row],[Manufacturing_Cost_per_Unit]]))-Table1[[#This Row],[Marketing_Spend]])/Table1[[#This Row],[Marketing_Spend]]</f>
        <v>-29.285574910960516</v>
      </c>
    </row>
    <row r="302" spans="1:24" hidden="1" x14ac:dyDescent="0.3">
      <c r="A302" s="1" t="s">
        <v>319</v>
      </c>
      <c r="B302" s="1" t="s">
        <v>1280</v>
      </c>
      <c r="C302" s="1" t="s">
        <v>1634</v>
      </c>
      <c r="D302" s="1" t="s">
        <v>1635</v>
      </c>
      <c r="E302" s="1">
        <v>2024</v>
      </c>
      <c r="F302" s="1" t="s">
        <v>1642</v>
      </c>
      <c r="G302" s="1">
        <v>3444</v>
      </c>
      <c r="H302" s="1">
        <v>6175</v>
      </c>
      <c r="I302" s="1">
        <v>4289</v>
      </c>
      <c r="J302" s="1">
        <v>63893</v>
      </c>
      <c r="K302" s="1">
        <v>4.62</v>
      </c>
      <c r="L302" s="1">
        <v>4</v>
      </c>
      <c r="M302" s="1">
        <v>3.26</v>
      </c>
      <c r="N302" s="1">
        <v>20.48</v>
      </c>
      <c r="O302" s="1">
        <v>28.91</v>
      </c>
      <c r="P302" s="1">
        <v>3.9</v>
      </c>
      <c r="Q302" s="1">
        <v>8707</v>
      </c>
      <c r="R302" s="1">
        <v>9713</v>
      </c>
      <c r="S302" s="1">
        <v>3</v>
      </c>
      <c r="T302" s="1">
        <f>(Table1[[#This Row],[Selling_Price_per_Unit]]-Table1[[#This Row],[Manufacturing_Cost_per_Unit]])*Table1[[#This Row],[Units_Sold]]-Table1[[#This Row],[Marketing_Spend]]-Table1[[#This Row],[Discount_%]]</f>
        <v>6431470.5199999996</v>
      </c>
      <c r="U302" s="3">
        <f>Table1[[#This Row],[profit]]/(Table1[[#This Row],[Units_Sold]]*Table1[[#This Row],[Selling_Price_per_Unit]])*100</f>
        <v>30.241976987496884</v>
      </c>
      <c r="V302" s="6">
        <f>Table1[[#This Row],[Units_Sold]]*Table1[[#This Row],[Selling_Price_per_Unit]]</f>
        <v>21266700</v>
      </c>
      <c r="W302" s="7">
        <f>(Table1[[#This Row],[Units_Sold]]/$Z$1)</f>
        <v>0.68949666743277405</v>
      </c>
      <c r="X302" s="8">
        <f>((Table1[[#This Row],[Units_Sold]]*(Table1[[#This Row],[Selling_Price_per_Unit]]-Table1[[#This Row],[Manufacturing_Cost_per_Unit]]))-Table1[[#This Row],[Marketing_Spend]])/Table1[[#This Row],[Marketing_Spend]]</f>
        <v>100.6603383782261</v>
      </c>
    </row>
    <row r="303" spans="1:24" hidden="1" x14ac:dyDescent="0.3">
      <c r="A303" s="1" t="s">
        <v>320</v>
      </c>
      <c r="B303" s="1" t="s">
        <v>1281</v>
      </c>
      <c r="C303" s="1" t="s">
        <v>1633</v>
      </c>
      <c r="D303" s="1" t="s">
        <v>1638</v>
      </c>
      <c r="E303" s="1">
        <v>2024</v>
      </c>
      <c r="F303" s="1" t="s">
        <v>1640</v>
      </c>
      <c r="G303" s="1">
        <v>177</v>
      </c>
      <c r="H303" s="1">
        <v>3433</v>
      </c>
      <c r="I303" s="1">
        <v>8404</v>
      </c>
      <c r="J303" s="1">
        <v>116418</v>
      </c>
      <c r="K303" s="1">
        <v>13.71</v>
      </c>
      <c r="L303" s="1">
        <v>3</v>
      </c>
      <c r="M303" s="1">
        <v>1.92</v>
      </c>
      <c r="N303" s="1">
        <v>13.41</v>
      </c>
      <c r="O303" s="1">
        <v>62.91</v>
      </c>
      <c r="P303" s="1">
        <v>2.2000000000000002</v>
      </c>
      <c r="Q303" s="1">
        <v>10894</v>
      </c>
      <c r="R303" s="1">
        <v>1226</v>
      </c>
      <c r="S303" s="1">
        <v>5</v>
      </c>
      <c r="T303" s="1">
        <f>(Table1[[#This Row],[Selling_Price_per_Unit]]-Table1[[#This Row],[Manufacturing_Cost_per_Unit]])*Table1[[#This Row],[Units_Sold]]-Table1[[#This Row],[Marketing_Spend]]-Table1[[#This Row],[Discount_%]]</f>
        <v>-996298.41</v>
      </c>
      <c r="U303" s="3">
        <f>Table1[[#This Row],[profit]]/(Table1[[#This Row],[Units_Sold]]*Table1[[#This Row],[Selling_Price_per_Unit]])*100</f>
        <v>-163.96168296741004</v>
      </c>
      <c r="V303" s="6">
        <f>Table1[[#This Row],[Units_Sold]]*Table1[[#This Row],[Selling_Price_per_Unit]]</f>
        <v>607641</v>
      </c>
      <c r="W303" s="7">
        <f>(Table1[[#This Row],[Units_Sold]]/$Z$1)</f>
        <v>3.54358043367018E-2</v>
      </c>
      <c r="X303" s="8">
        <f>((Table1[[#This Row],[Units_Sold]]*(Table1[[#This Row],[Selling_Price_per_Unit]]-Table1[[#This Row],[Manufacturing_Cost_per_Unit]]))-Table1[[#This Row],[Marketing_Spend]])/Table1[[#This Row],[Marketing_Spend]]</f>
        <v>-8.557826109364532</v>
      </c>
    </row>
    <row r="304" spans="1:24" hidden="1" x14ac:dyDescent="0.3">
      <c r="A304" s="1" t="s">
        <v>21</v>
      </c>
      <c r="B304" s="1" t="s">
        <v>1021</v>
      </c>
      <c r="C304" s="1" t="s">
        <v>1632</v>
      </c>
      <c r="D304" s="1" t="s">
        <v>1637</v>
      </c>
      <c r="E304" s="1">
        <v>2024</v>
      </c>
      <c r="F304" s="1" t="s">
        <v>1639</v>
      </c>
      <c r="G304" s="1">
        <v>3142</v>
      </c>
      <c r="H304" s="1">
        <v>19089</v>
      </c>
      <c r="I304" s="1">
        <v>6493</v>
      </c>
      <c r="J304" s="1">
        <v>361478</v>
      </c>
      <c r="K304" s="1">
        <v>11.57</v>
      </c>
      <c r="L304" s="1">
        <v>17</v>
      </c>
      <c r="M304" s="1">
        <v>4.51</v>
      </c>
      <c r="N304" s="1">
        <v>1.39</v>
      </c>
      <c r="O304" s="1">
        <v>10.31</v>
      </c>
      <c r="P304" s="1">
        <v>1.1000000000000001</v>
      </c>
      <c r="Q304" s="1">
        <v>7397</v>
      </c>
      <c r="R304" s="1">
        <v>3236</v>
      </c>
      <c r="S304" s="1">
        <v>12</v>
      </c>
      <c r="T304" s="1">
        <f>(Table1[[#This Row],[Selling_Price_per_Unit]]-Table1[[#This Row],[Manufacturing_Cost_per_Unit]])*Table1[[#This Row],[Units_Sold]]-Table1[[#This Row],[Marketing_Spend]]-Table1[[#This Row],[Discount_%]]</f>
        <v>39215152.609999999</v>
      </c>
      <c r="U304" s="3">
        <f>Table1[[#This Row],[profit]]/(Table1[[#This Row],[Units_Sold]]*Table1[[#This Row],[Selling_Price_per_Unit]])*100</f>
        <v>65.382955911001361</v>
      </c>
      <c r="V304" s="6">
        <f>Table1[[#This Row],[Units_Sold]]*Table1[[#This Row],[Selling_Price_per_Unit]]</f>
        <v>59977638</v>
      </c>
      <c r="W304" s="7">
        <f>(Table1[[#This Row],[Units_Sold]]/$Z$1)</f>
        <v>0.62903557754755401</v>
      </c>
      <c r="X304" s="8">
        <f>((Table1[[#This Row],[Units_Sold]]*(Table1[[#This Row],[Selling_Price_per_Unit]]-Table1[[#This Row],[Manufacturing_Cost_per_Unit]]))-Table1[[#This Row],[Marketing_Spend]])/Table1[[#This Row],[Marketing_Spend]]</f>
        <v>108.48558971776983</v>
      </c>
    </row>
    <row r="305" spans="1:24" hidden="1" x14ac:dyDescent="0.3">
      <c r="A305" s="1" t="s">
        <v>193</v>
      </c>
      <c r="B305" s="1" t="s">
        <v>1176</v>
      </c>
      <c r="C305" s="1" t="s">
        <v>1633</v>
      </c>
      <c r="D305" s="1" t="s">
        <v>1638</v>
      </c>
      <c r="E305" s="1">
        <v>2024</v>
      </c>
      <c r="F305" s="1" t="s">
        <v>1640</v>
      </c>
      <c r="G305" s="1">
        <v>3560</v>
      </c>
      <c r="H305" s="1">
        <v>18213</v>
      </c>
      <c r="I305" s="1">
        <v>7103</v>
      </c>
      <c r="J305" s="1">
        <v>485633</v>
      </c>
      <c r="K305" s="1">
        <v>9.73</v>
      </c>
      <c r="L305" s="1">
        <v>10</v>
      </c>
      <c r="M305" s="1">
        <v>6.58</v>
      </c>
      <c r="N305" s="1">
        <v>14.46</v>
      </c>
      <c r="O305" s="1">
        <v>36.29</v>
      </c>
      <c r="P305" s="1">
        <v>3.4</v>
      </c>
      <c r="Q305" s="1">
        <v>18256</v>
      </c>
      <c r="R305" s="1">
        <v>1073</v>
      </c>
      <c r="S305" s="1">
        <v>11</v>
      </c>
      <c r="T305" s="1">
        <f>(Table1[[#This Row],[Selling_Price_per_Unit]]-Table1[[#This Row],[Manufacturing_Cost_per_Unit]])*Table1[[#This Row],[Units_Sold]]-Table1[[#This Row],[Marketing_Spend]]-Table1[[#This Row],[Discount_%]]</f>
        <v>39065952.539999999</v>
      </c>
      <c r="U305" s="3">
        <f>Table1[[#This Row],[profit]]/(Table1[[#This Row],[Units_Sold]]*Table1[[#This Row],[Selling_Price_per_Unit]])*100</f>
        <v>60.251370856845675</v>
      </c>
      <c r="V305" s="6">
        <f>Table1[[#This Row],[Units_Sold]]*Table1[[#This Row],[Selling_Price_per_Unit]]</f>
        <v>64838280</v>
      </c>
      <c r="W305" s="7">
        <f>(Table1[[#This Row],[Units_Sold]]/$Z$1)</f>
        <v>0.71272013242179899</v>
      </c>
      <c r="X305" s="8">
        <f>((Table1[[#This Row],[Units_Sold]]*(Table1[[#This Row],[Selling_Price_per_Unit]]-Table1[[#This Row],[Manufacturing_Cost_per_Unit]]))-Table1[[#This Row],[Marketing_Spend]])/Table1[[#This Row],[Marketing_Spend]]</f>
        <v>80.4433944974909</v>
      </c>
    </row>
    <row r="306" spans="1:24" hidden="1" x14ac:dyDescent="0.3">
      <c r="A306" s="1" t="s">
        <v>323</v>
      </c>
      <c r="B306" s="1" t="s">
        <v>1282</v>
      </c>
      <c r="C306" s="1" t="s">
        <v>1633</v>
      </c>
      <c r="D306" s="1" t="s">
        <v>1635</v>
      </c>
      <c r="E306" s="1">
        <v>2023</v>
      </c>
      <c r="F306" s="1" t="s">
        <v>1641</v>
      </c>
      <c r="G306" s="1">
        <v>619</v>
      </c>
      <c r="H306" s="1">
        <v>19174</v>
      </c>
      <c r="I306" s="1">
        <v>4783</v>
      </c>
      <c r="J306" s="1">
        <v>180351</v>
      </c>
      <c r="K306" s="1">
        <v>5.32</v>
      </c>
      <c r="L306" s="1">
        <v>13</v>
      </c>
      <c r="M306" s="1">
        <v>2.0699999999999998</v>
      </c>
      <c r="N306" s="1">
        <v>15.19</v>
      </c>
      <c r="O306" s="1">
        <v>65.2</v>
      </c>
      <c r="P306" s="1">
        <v>1.4</v>
      </c>
      <c r="Q306" s="1">
        <v>14780</v>
      </c>
      <c r="R306" s="1">
        <v>9524</v>
      </c>
      <c r="S306" s="1">
        <v>13</v>
      </c>
      <c r="T306" s="1">
        <f>(Table1[[#This Row],[Selling_Price_per_Unit]]-Table1[[#This Row],[Manufacturing_Cost_per_Unit]])*Table1[[#This Row],[Units_Sold]]-Table1[[#This Row],[Marketing_Spend]]-Table1[[#This Row],[Discount_%]]</f>
        <v>8727662.8100000005</v>
      </c>
      <c r="U306" s="3">
        <f>Table1[[#This Row],[profit]]/(Table1[[#This Row],[Units_Sold]]*Table1[[#This Row],[Selling_Price_per_Unit]])*100</f>
        <v>73.535083015789596</v>
      </c>
      <c r="V306" s="6">
        <f>Table1[[#This Row],[Units_Sold]]*Table1[[#This Row],[Selling_Price_per_Unit]]</f>
        <v>11868706</v>
      </c>
      <c r="W306" s="7">
        <f>(Table1[[#This Row],[Units_Sold]]/$Z$1)</f>
        <v>0.12392521403626224</v>
      </c>
      <c r="X306" s="8">
        <f>((Table1[[#This Row],[Units_Sold]]*(Table1[[#This Row],[Selling_Price_per_Unit]]-Table1[[#This Row],[Manufacturing_Cost_per_Unit]]))-Table1[[#This Row],[Marketing_Spend]])/Table1[[#This Row],[Marketing_Spend]]</f>
        <v>48.392734168371675</v>
      </c>
    </row>
    <row r="307" spans="1:24" hidden="1" x14ac:dyDescent="0.3">
      <c r="A307" s="1" t="s">
        <v>509</v>
      </c>
      <c r="B307" s="1" t="s">
        <v>1397</v>
      </c>
      <c r="C307" s="1" t="s">
        <v>1632</v>
      </c>
      <c r="D307" s="1" t="s">
        <v>1636</v>
      </c>
      <c r="E307" s="1">
        <v>2024</v>
      </c>
      <c r="F307" s="1" t="s">
        <v>1641</v>
      </c>
      <c r="G307" s="1">
        <v>3627</v>
      </c>
      <c r="H307" s="1">
        <v>15556</v>
      </c>
      <c r="I307" s="1">
        <v>4800</v>
      </c>
      <c r="J307" s="1">
        <v>171534</v>
      </c>
      <c r="K307" s="1">
        <v>5.53</v>
      </c>
      <c r="L307" s="1">
        <v>3</v>
      </c>
      <c r="M307" s="1">
        <v>6.29</v>
      </c>
      <c r="N307" s="1">
        <v>2.31</v>
      </c>
      <c r="O307" s="1">
        <v>83.16</v>
      </c>
      <c r="P307" s="1">
        <v>1.1000000000000001</v>
      </c>
      <c r="Q307" s="1">
        <v>4839</v>
      </c>
      <c r="R307" s="1">
        <v>4818</v>
      </c>
      <c r="S307" s="1">
        <v>8</v>
      </c>
      <c r="T307" s="1">
        <f>(Table1[[#This Row],[Selling_Price_per_Unit]]-Table1[[#This Row],[Manufacturing_Cost_per_Unit]])*Table1[[#This Row],[Units_Sold]]-Table1[[#This Row],[Marketing_Spend]]-Table1[[#This Row],[Discount_%]]</f>
        <v>38840475.689999998</v>
      </c>
      <c r="U307" s="3">
        <f>Table1[[#This Row],[profit]]/(Table1[[#This Row],[Units_Sold]]*Table1[[#This Row],[Selling_Price_per_Unit]])*100</f>
        <v>68.839712856839313</v>
      </c>
      <c r="V307" s="6">
        <f>Table1[[#This Row],[Units_Sold]]*Table1[[#This Row],[Selling_Price_per_Unit]]</f>
        <v>56421612</v>
      </c>
      <c r="W307" s="7">
        <f>(Table1[[#This Row],[Units_Sold]]/$Z$1)</f>
        <v>0.7261336854758047</v>
      </c>
      <c r="X307" s="8">
        <f>((Table1[[#This Row],[Units_Sold]]*(Table1[[#This Row],[Selling_Price_per_Unit]]-Table1[[#This Row],[Manufacturing_Cost_per_Unit]]))-Table1[[#This Row],[Marketing_Spend]])/Table1[[#This Row],[Marketing_Spend]]</f>
        <v>226.43020042673754</v>
      </c>
    </row>
    <row r="308" spans="1:24" hidden="1" x14ac:dyDescent="0.3">
      <c r="A308" s="1" t="s">
        <v>325</v>
      </c>
      <c r="B308" s="1" t="s">
        <v>1284</v>
      </c>
      <c r="C308" s="1" t="s">
        <v>1632</v>
      </c>
      <c r="D308" s="1" t="s">
        <v>1637</v>
      </c>
      <c r="E308" s="1">
        <v>2023</v>
      </c>
      <c r="F308" s="1" t="s">
        <v>1641</v>
      </c>
      <c r="G308" s="1">
        <v>2783</v>
      </c>
      <c r="H308" s="1">
        <v>14739</v>
      </c>
      <c r="I308" s="1">
        <v>8702</v>
      </c>
      <c r="J308" s="1">
        <v>88635</v>
      </c>
      <c r="K308" s="1">
        <v>14.12</v>
      </c>
      <c r="L308" s="1">
        <v>13</v>
      </c>
      <c r="M308" s="1">
        <v>0.84</v>
      </c>
      <c r="N308" s="1">
        <v>16.079999999999998</v>
      </c>
      <c r="O308" s="1">
        <v>37.69</v>
      </c>
      <c r="P308" s="1">
        <v>1.2</v>
      </c>
      <c r="Q308" s="1">
        <v>12082</v>
      </c>
      <c r="R308" s="1">
        <v>8684</v>
      </c>
      <c r="S308" s="1">
        <v>2</v>
      </c>
      <c r="T308" s="1">
        <f>(Table1[[#This Row],[Selling_Price_per_Unit]]-Table1[[#This Row],[Manufacturing_Cost_per_Unit]])*Table1[[#This Row],[Units_Sold]]-Table1[[#This Row],[Marketing_Spend]]-Table1[[#This Row],[Discount_%]]</f>
        <v>16712319.92</v>
      </c>
      <c r="U308" s="3">
        <f>Table1[[#This Row],[profit]]/(Table1[[#This Row],[Units_Sold]]*Table1[[#This Row],[Selling_Price_per_Unit]])*100</f>
        <v>40.743235617507231</v>
      </c>
      <c r="V308" s="6">
        <f>Table1[[#This Row],[Units_Sold]]*Table1[[#This Row],[Selling_Price_per_Unit]]</f>
        <v>41018637</v>
      </c>
      <c r="W308" s="7">
        <f>(Table1[[#This Row],[Units_Sold]]/$Z$1)</f>
        <v>0.55716295745220967</v>
      </c>
      <c r="X308" s="8">
        <f>((Table1[[#This Row],[Units_Sold]]*(Table1[[#This Row],[Selling_Price_per_Unit]]-Table1[[#This Row],[Manufacturing_Cost_per_Unit]]))-Table1[[#This Row],[Marketing_Spend]])/Table1[[#This Row],[Marketing_Spend]]</f>
        <v>188.55233259998872</v>
      </c>
    </row>
    <row r="309" spans="1:24" x14ac:dyDescent="0.3">
      <c r="A309" s="1" t="s">
        <v>861</v>
      </c>
      <c r="B309" s="1" t="s">
        <v>1462</v>
      </c>
      <c r="C309" s="1" t="s">
        <v>1632</v>
      </c>
      <c r="D309" s="1" t="s">
        <v>1636</v>
      </c>
      <c r="E309" s="1">
        <v>2024</v>
      </c>
      <c r="F309" s="1" t="s">
        <v>1642</v>
      </c>
      <c r="G309" s="1">
        <v>3763</v>
      </c>
      <c r="H309" s="1">
        <v>15614</v>
      </c>
      <c r="I309" s="1">
        <v>5293</v>
      </c>
      <c r="J309" s="1">
        <v>178389</v>
      </c>
      <c r="K309" s="1">
        <v>6.7</v>
      </c>
      <c r="L309" s="1">
        <v>2</v>
      </c>
      <c r="M309" s="1">
        <v>4.3600000000000003</v>
      </c>
      <c r="N309" s="1">
        <v>13.97</v>
      </c>
      <c r="O309" s="1">
        <v>71.739999999999995</v>
      </c>
      <c r="P309" s="1">
        <v>1.5</v>
      </c>
      <c r="Q309" s="1">
        <v>15371</v>
      </c>
      <c r="R309" s="1">
        <v>5810</v>
      </c>
      <c r="S309" s="1">
        <v>6</v>
      </c>
      <c r="T309" s="1">
        <f>(Table1[[#This Row],[Selling_Price_per_Unit]]-Table1[[#This Row],[Manufacturing_Cost_per_Unit]])*Table1[[#This Row],[Units_Sold]]-Table1[[#This Row],[Marketing_Spend]]-Table1[[#This Row],[Discount_%]]</f>
        <v>38659520.030000001</v>
      </c>
      <c r="U309" s="3">
        <f>Table1[[#This Row],[profit]]/(Table1[[#This Row],[Units_Sold]]*Table1[[#This Row],[Selling_Price_per_Unit]])*100</f>
        <v>65.797298760990515</v>
      </c>
      <c r="V309" s="6">
        <f>Table1[[#This Row],[Units_Sold]]*Table1[[#This Row],[Selling_Price_per_Unit]]</f>
        <v>58755482</v>
      </c>
      <c r="W309" s="7">
        <f>(Table1[[#This Row],[Units_Sold]]/$Z$1)</f>
        <v>0.75336119615259256</v>
      </c>
      <c r="X309" s="8">
        <f>((Table1[[#This Row],[Units_Sold]]*(Table1[[#This Row],[Selling_Price_per_Unit]]-Table1[[#This Row],[Manufacturing_Cost_per_Unit]]))-Table1[[#This Row],[Marketing_Spend]])/Table1[[#This Row],[Marketing_Spend]]</f>
        <v>216.71478622560809</v>
      </c>
    </row>
    <row r="310" spans="1:24" x14ac:dyDescent="0.3">
      <c r="A310" s="1" t="s">
        <v>185</v>
      </c>
      <c r="B310" s="1" t="s">
        <v>1171</v>
      </c>
      <c r="C310" s="1" t="s">
        <v>1634</v>
      </c>
      <c r="D310" s="1" t="s">
        <v>1638</v>
      </c>
      <c r="E310" s="1">
        <v>2024</v>
      </c>
      <c r="F310" s="1" t="s">
        <v>1640</v>
      </c>
      <c r="G310" s="1">
        <v>4147</v>
      </c>
      <c r="H310" s="1">
        <v>13918</v>
      </c>
      <c r="I310" s="1">
        <v>4547</v>
      </c>
      <c r="J310" s="1">
        <v>444145</v>
      </c>
      <c r="K310" s="1">
        <v>9.0500000000000007</v>
      </c>
      <c r="L310" s="1">
        <v>14</v>
      </c>
      <c r="M310" s="1">
        <v>9.26</v>
      </c>
      <c r="N310" s="1">
        <v>21.95</v>
      </c>
      <c r="O310" s="1">
        <v>67.209999999999994</v>
      </c>
      <c r="P310" s="1">
        <v>1.7</v>
      </c>
      <c r="Q310" s="1">
        <v>12071</v>
      </c>
      <c r="R310" s="1">
        <v>436</v>
      </c>
      <c r="S310" s="1">
        <v>3</v>
      </c>
      <c r="T310" s="1">
        <f>(Table1[[#This Row],[Selling_Price_per_Unit]]-Table1[[#This Row],[Manufacturing_Cost_per_Unit]])*Table1[[#This Row],[Units_Sold]]-Table1[[#This Row],[Marketing_Spend]]-Table1[[#This Row],[Discount_%]]</f>
        <v>38417370.049999997</v>
      </c>
      <c r="U310" s="3">
        <f>Table1[[#This Row],[profit]]/(Table1[[#This Row],[Units_Sold]]*Table1[[#This Row],[Selling_Price_per_Unit]])*100</f>
        <v>66.560528765178162</v>
      </c>
      <c r="V310" s="6">
        <f>Table1[[#This Row],[Units_Sold]]*Table1[[#This Row],[Selling_Price_per_Unit]]</f>
        <v>57717946</v>
      </c>
      <c r="W310" s="7">
        <f>(Table1[[#This Row],[Units_Sold]]/$Z$1)</f>
        <v>0.83023887335764046</v>
      </c>
      <c r="X310" s="8">
        <f>((Table1[[#This Row],[Units_Sold]]*(Table1[[#This Row],[Selling_Price_per_Unit]]-Table1[[#This Row],[Manufacturing_Cost_per_Unit]]))-Table1[[#This Row],[Marketing_Spend]])/Table1[[#This Row],[Marketing_Spend]]</f>
        <v>86.49740962973803</v>
      </c>
    </row>
    <row r="311" spans="1:24" x14ac:dyDescent="0.3">
      <c r="A311" s="1" t="s">
        <v>328</v>
      </c>
      <c r="B311" s="1" t="s">
        <v>1287</v>
      </c>
      <c r="C311" s="1" t="s">
        <v>1634</v>
      </c>
      <c r="D311" s="1" t="s">
        <v>1638</v>
      </c>
      <c r="E311" s="1">
        <v>2024</v>
      </c>
      <c r="F311" s="1" t="s">
        <v>1639</v>
      </c>
      <c r="G311" s="1">
        <v>4064</v>
      </c>
      <c r="H311" s="1">
        <v>6516</v>
      </c>
      <c r="I311" s="1">
        <v>12887</v>
      </c>
      <c r="J311" s="1">
        <v>390662</v>
      </c>
      <c r="K311" s="1">
        <v>5.89</v>
      </c>
      <c r="L311" s="1">
        <v>15</v>
      </c>
      <c r="M311" s="1">
        <v>2.74</v>
      </c>
      <c r="N311" s="1">
        <v>6.66</v>
      </c>
      <c r="O311" s="1">
        <v>64.069999999999993</v>
      </c>
      <c r="P311" s="1">
        <v>3.7</v>
      </c>
      <c r="Q311" s="1">
        <v>6789</v>
      </c>
      <c r="R311" s="1">
        <v>2495</v>
      </c>
      <c r="S311" s="1">
        <v>3</v>
      </c>
      <c r="T311" s="1">
        <f>(Table1[[#This Row],[Selling_Price_per_Unit]]-Table1[[#This Row],[Manufacturing_Cost_per_Unit]])*Table1[[#This Row],[Units_Sold]]-Table1[[#This Row],[Marketing_Spend]]-Table1[[#This Row],[Discount_%]]</f>
        <v>-26282412.66</v>
      </c>
      <c r="U311" s="3">
        <f>Table1[[#This Row],[profit]]/(Table1[[#This Row],[Units_Sold]]*Table1[[#This Row],[Selling_Price_per_Unit]])*100</f>
        <v>-99.249986178782208</v>
      </c>
      <c r="V311" s="6">
        <f>Table1[[#This Row],[Units_Sold]]*Table1[[#This Row],[Selling_Price_per_Unit]]</f>
        <v>26481024</v>
      </c>
      <c r="W311" s="7">
        <f>(Table1[[#This Row],[Units_Sold]]/$Z$1)</f>
        <v>0.81362208375342437</v>
      </c>
      <c r="X311" s="8">
        <f>((Table1[[#This Row],[Units_Sold]]*(Table1[[#This Row],[Selling_Price_per_Unit]]-Table1[[#This Row],[Manufacturing_Cost_per_Unit]]))-Table1[[#This Row],[Marketing_Spend]])/Table1[[#This Row],[Marketing_Spend]]</f>
        <v>-67.276586921686771</v>
      </c>
    </row>
    <row r="312" spans="1:24" hidden="1" x14ac:dyDescent="0.3">
      <c r="A312" s="1" t="s">
        <v>592</v>
      </c>
      <c r="B312" s="1" t="s">
        <v>1335</v>
      </c>
      <c r="C312" s="1" t="s">
        <v>1632</v>
      </c>
      <c r="D312" s="1" t="s">
        <v>1638</v>
      </c>
      <c r="E312" s="1">
        <v>2023</v>
      </c>
      <c r="F312" s="1" t="s">
        <v>1640</v>
      </c>
      <c r="G312" s="1">
        <v>3562</v>
      </c>
      <c r="H312" s="1">
        <v>13503</v>
      </c>
      <c r="I312" s="1">
        <v>2654</v>
      </c>
      <c r="J312" s="1">
        <v>328355</v>
      </c>
      <c r="K312" s="1">
        <v>8.99</v>
      </c>
      <c r="L312" s="1">
        <v>15</v>
      </c>
      <c r="M312" s="1">
        <v>7.15</v>
      </c>
      <c r="N312" s="1">
        <v>11.32</v>
      </c>
      <c r="O312" s="1">
        <v>21.8</v>
      </c>
      <c r="P312" s="1">
        <v>1.5</v>
      </c>
      <c r="Q312" s="1">
        <v>14436</v>
      </c>
      <c r="R312" s="1">
        <v>4316</v>
      </c>
      <c r="S312" s="1">
        <v>2</v>
      </c>
      <c r="T312" s="1">
        <f>(Table1[[#This Row],[Selling_Price_per_Unit]]-Table1[[#This Row],[Manufacturing_Cost_per_Unit]])*Table1[[#This Row],[Units_Sold]]-Table1[[#This Row],[Marketing_Spend]]-Table1[[#This Row],[Discount_%]]</f>
        <v>38315771.68</v>
      </c>
      <c r="U312" s="3">
        <f>Table1[[#This Row],[profit]]/(Table1[[#This Row],[Units_Sold]]*Table1[[#This Row],[Selling_Price_per_Unit]])*100</f>
        <v>79.662401388707138</v>
      </c>
      <c r="V312" s="6">
        <f>Table1[[#This Row],[Units_Sold]]*Table1[[#This Row],[Selling_Price_per_Unit]]</f>
        <v>48097686</v>
      </c>
      <c r="W312" s="7">
        <f>(Table1[[#This Row],[Units_Sold]]/$Z$1)</f>
        <v>0.7131205369905752</v>
      </c>
      <c r="X312" s="8">
        <f>((Table1[[#This Row],[Units_Sold]]*(Table1[[#This Row],[Selling_Price_per_Unit]]-Table1[[#This Row],[Manufacturing_Cost_per_Unit]]))-Table1[[#This Row],[Marketing_Spend]])/Table1[[#This Row],[Marketing_Spend]]</f>
        <v>116.69011588067792</v>
      </c>
    </row>
    <row r="313" spans="1:24" hidden="1" x14ac:dyDescent="0.3">
      <c r="A313" s="1" t="s">
        <v>330</v>
      </c>
      <c r="B313" s="1" t="s">
        <v>1060</v>
      </c>
      <c r="C313" s="1" t="s">
        <v>1633</v>
      </c>
      <c r="D313" s="1" t="s">
        <v>1635</v>
      </c>
      <c r="E313" s="1">
        <v>2024</v>
      </c>
      <c r="F313" s="1" t="s">
        <v>1641</v>
      </c>
      <c r="G313" s="1">
        <v>1736</v>
      </c>
      <c r="H313" s="1">
        <v>11252</v>
      </c>
      <c r="I313" s="1">
        <v>1924</v>
      </c>
      <c r="J313" s="1">
        <v>415795</v>
      </c>
      <c r="K313" s="1">
        <v>7.55</v>
      </c>
      <c r="L313" s="1">
        <v>12</v>
      </c>
      <c r="M313" s="1">
        <v>7.4</v>
      </c>
      <c r="N313" s="1">
        <v>2.99</v>
      </c>
      <c r="O313" s="1">
        <v>11.24</v>
      </c>
      <c r="P313" s="1">
        <v>3.7</v>
      </c>
      <c r="Q313" s="1">
        <v>16525</v>
      </c>
      <c r="R313" s="1">
        <v>7159</v>
      </c>
      <c r="S313" s="1">
        <v>8</v>
      </c>
      <c r="T313" s="1">
        <f>(Table1[[#This Row],[Selling_Price_per_Unit]]-Table1[[#This Row],[Manufacturing_Cost_per_Unit]])*Table1[[#This Row],[Units_Sold]]-Table1[[#This Row],[Marketing_Spend]]-Table1[[#This Row],[Discount_%]]</f>
        <v>15777610.01</v>
      </c>
      <c r="U313" s="3">
        <f>Table1[[#This Row],[profit]]/(Table1[[#This Row],[Units_Sold]]*Table1[[#This Row],[Selling_Price_per_Unit]])*100</f>
        <v>80.772174091733405</v>
      </c>
      <c r="V313" s="6">
        <f>Table1[[#This Row],[Units_Sold]]*Table1[[#This Row],[Selling_Price_per_Unit]]</f>
        <v>19533472</v>
      </c>
      <c r="W313" s="7">
        <f>(Table1[[#This Row],[Units_Sold]]/$Z$1)</f>
        <v>0.34755116569782107</v>
      </c>
      <c r="X313" s="8">
        <f>((Table1[[#This Row],[Units_Sold]]*(Table1[[#This Row],[Selling_Price_per_Unit]]-Table1[[#This Row],[Manufacturing_Cost_per_Unit]]))-Table1[[#This Row],[Marketing_Spend]])/Table1[[#This Row],[Marketing_Spend]]</f>
        <v>37.945653507136932</v>
      </c>
    </row>
    <row r="314" spans="1:24" hidden="1" x14ac:dyDescent="0.3">
      <c r="A314" s="1" t="s">
        <v>869</v>
      </c>
      <c r="B314" s="1" t="s">
        <v>1409</v>
      </c>
      <c r="C314" s="1" t="s">
        <v>1634</v>
      </c>
      <c r="D314" s="1" t="s">
        <v>1638</v>
      </c>
      <c r="E314" s="1">
        <v>2023</v>
      </c>
      <c r="F314" s="1" t="s">
        <v>1642</v>
      </c>
      <c r="G314" s="1">
        <v>3008</v>
      </c>
      <c r="H314" s="1">
        <v>13823</v>
      </c>
      <c r="I314" s="1">
        <v>1064</v>
      </c>
      <c r="J314" s="1">
        <v>275898</v>
      </c>
      <c r="K314" s="1">
        <v>13.57</v>
      </c>
      <c r="L314" s="1">
        <v>9</v>
      </c>
      <c r="M314" s="1">
        <v>8.99</v>
      </c>
      <c r="N314" s="1">
        <v>18.760000000000002</v>
      </c>
      <c r="O314" s="1">
        <v>18.420000000000002</v>
      </c>
      <c r="P314" s="1">
        <v>4.9000000000000004</v>
      </c>
      <c r="Q314" s="1">
        <v>17164</v>
      </c>
      <c r="R314" s="1">
        <v>9566</v>
      </c>
      <c r="S314" s="1">
        <v>14</v>
      </c>
      <c r="T314" s="1">
        <f>(Table1[[#This Row],[Selling_Price_per_Unit]]-Table1[[#This Row],[Manufacturing_Cost_per_Unit]])*Table1[[#This Row],[Units_Sold]]-Table1[[#This Row],[Marketing_Spend]]-Table1[[#This Row],[Discount_%]]</f>
        <v>38103155.240000002</v>
      </c>
      <c r="U314" s="3">
        <f>Table1[[#This Row],[profit]]/(Table1[[#This Row],[Units_Sold]]*Table1[[#This Row],[Selling_Price_per_Unit]])*100</f>
        <v>91.639096822132714</v>
      </c>
      <c r="V314" s="6">
        <f>Table1[[#This Row],[Units_Sold]]*Table1[[#This Row],[Selling_Price_per_Unit]]</f>
        <v>41579584</v>
      </c>
      <c r="W314" s="7">
        <f>(Table1[[#This Row],[Units_Sold]]/$Z$1)</f>
        <v>0.60220847143954248</v>
      </c>
      <c r="X314" s="8">
        <f>((Table1[[#This Row],[Units_Sold]]*(Table1[[#This Row],[Selling_Price_per_Unit]]-Table1[[#This Row],[Manufacturing_Cost_per_Unit]]))-Table1[[#This Row],[Marketing_Spend]])/Table1[[#This Row],[Marketing_Spend]]</f>
        <v>138.10601744122829</v>
      </c>
    </row>
    <row r="315" spans="1:24" hidden="1" x14ac:dyDescent="0.3">
      <c r="A315" s="1" t="s">
        <v>332</v>
      </c>
      <c r="B315" s="1" t="s">
        <v>1289</v>
      </c>
      <c r="C315" s="1" t="s">
        <v>1633</v>
      </c>
      <c r="D315" s="1" t="s">
        <v>1638</v>
      </c>
      <c r="E315" s="1">
        <v>2023</v>
      </c>
      <c r="F315" s="1" t="s">
        <v>1639</v>
      </c>
      <c r="G315" s="1">
        <v>204</v>
      </c>
      <c r="H315" s="1">
        <v>17085</v>
      </c>
      <c r="I315" s="1">
        <v>2979</v>
      </c>
      <c r="J315" s="1">
        <v>471280</v>
      </c>
      <c r="K315" s="1">
        <v>12.88</v>
      </c>
      <c r="L315" s="1">
        <v>6</v>
      </c>
      <c r="M315" s="1">
        <v>1.19</v>
      </c>
      <c r="N315" s="1">
        <v>23.36</v>
      </c>
      <c r="O315" s="1">
        <v>58.53</v>
      </c>
      <c r="P315" s="1">
        <v>2.6</v>
      </c>
      <c r="Q315" s="1">
        <v>4402</v>
      </c>
      <c r="R315" s="1">
        <v>7211</v>
      </c>
      <c r="S315" s="1">
        <v>13</v>
      </c>
      <c r="T315" s="1">
        <f>(Table1[[#This Row],[Selling_Price_per_Unit]]-Table1[[#This Row],[Manufacturing_Cost_per_Unit]])*Table1[[#This Row],[Units_Sold]]-Table1[[#This Row],[Marketing_Spend]]-Table1[[#This Row],[Discount_%]]</f>
        <v>2406320.64</v>
      </c>
      <c r="U315" s="3">
        <f>Table1[[#This Row],[profit]]/(Table1[[#This Row],[Units_Sold]]*Table1[[#This Row],[Selling_Price_per_Unit]])*100</f>
        <v>69.041202293033109</v>
      </c>
      <c r="V315" s="6">
        <f>Table1[[#This Row],[Units_Sold]]*Table1[[#This Row],[Selling_Price_per_Unit]]</f>
        <v>3485340</v>
      </c>
      <c r="W315" s="7">
        <f>(Table1[[#This Row],[Units_Sold]]/$Z$1)</f>
        <v>4.0841266015181739E-2</v>
      </c>
      <c r="X315" s="8">
        <f>((Table1[[#This Row],[Units_Sold]]*(Table1[[#This Row],[Selling_Price_per_Unit]]-Table1[[#This Row],[Manufacturing_Cost_per_Unit]]))-Table1[[#This Row],[Marketing_Spend]])/Table1[[#This Row],[Marketing_Spend]]</f>
        <v>5.1059752164318448</v>
      </c>
    </row>
    <row r="316" spans="1:24" hidden="1" x14ac:dyDescent="0.3">
      <c r="A316" s="1" t="s">
        <v>333</v>
      </c>
      <c r="B316" s="1" t="s">
        <v>1290</v>
      </c>
      <c r="C316" s="1" t="s">
        <v>1633</v>
      </c>
      <c r="D316" s="1" t="s">
        <v>1636</v>
      </c>
      <c r="E316" s="1">
        <v>2024</v>
      </c>
      <c r="F316" s="1" t="s">
        <v>1642</v>
      </c>
      <c r="G316" s="1">
        <v>2587</v>
      </c>
      <c r="H316" s="1">
        <v>8791</v>
      </c>
      <c r="I316" s="1">
        <v>10396</v>
      </c>
      <c r="J316" s="1">
        <v>434957</v>
      </c>
      <c r="K316" s="1">
        <v>10.15</v>
      </c>
      <c r="L316" s="1">
        <v>13</v>
      </c>
      <c r="M316" s="1">
        <v>1.41</v>
      </c>
      <c r="N316" s="1">
        <v>5.16</v>
      </c>
      <c r="O316" s="1">
        <v>66.73</v>
      </c>
      <c r="P316" s="1">
        <v>3.1</v>
      </c>
      <c r="Q316" s="1">
        <v>10455</v>
      </c>
      <c r="R316" s="1">
        <v>6892</v>
      </c>
      <c r="S316" s="1">
        <v>7</v>
      </c>
      <c r="T316" s="1">
        <f>(Table1[[#This Row],[Selling_Price_per_Unit]]-Table1[[#This Row],[Manufacturing_Cost_per_Unit]])*Table1[[#This Row],[Units_Sold]]-Table1[[#This Row],[Marketing_Spend]]-Table1[[#This Row],[Discount_%]]</f>
        <v>-4587097.16</v>
      </c>
      <c r="U316" s="3">
        <f>Table1[[#This Row],[profit]]/(Table1[[#This Row],[Units_Sold]]*Table1[[#This Row],[Selling_Price_per_Unit]])*100</f>
        <v>-20.169876094858761</v>
      </c>
      <c r="V316" s="6">
        <f>Table1[[#This Row],[Units_Sold]]*Table1[[#This Row],[Selling_Price_per_Unit]]</f>
        <v>22742317</v>
      </c>
      <c r="W316" s="7">
        <f>(Table1[[#This Row],[Units_Sold]]/$Z$1)</f>
        <v>0.51792330971213307</v>
      </c>
      <c r="X316" s="8">
        <f>((Table1[[#This Row],[Units_Sold]]*(Table1[[#This Row],[Selling_Price_per_Unit]]-Table1[[#This Row],[Manufacturing_Cost_per_Unit]]))-Table1[[#This Row],[Marketing_Spend]])/Table1[[#This Row],[Marketing_Spend]]</f>
        <v>-10.546081566683604</v>
      </c>
    </row>
    <row r="317" spans="1:24" hidden="1" x14ac:dyDescent="0.3">
      <c r="A317" s="1" t="s">
        <v>334</v>
      </c>
      <c r="B317" s="1" t="s">
        <v>1291</v>
      </c>
      <c r="C317" s="1" t="s">
        <v>1632</v>
      </c>
      <c r="D317" s="1" t="s">
        <v>1636</v>
      </c>
      <c r="E317" s="1">
        <v>2023</v>
      </c>
      <c r="F317" s="1" t="s">
        <v>1641</v>
      </c>
      <c r="G317" s="1">
        <v>1459</v>
      </c>
      <c r="H317" s="1">
        <v>2474</v>
      </c>
      <c r="I317" s="1">
        <v>6051</v>
      </c>
      <c r="J317" s="1">
        <v>391207</v>
      </c>
      <c r="K317" s="1">
        <v>12.57</v>
      </c>
      <c r="L317" s="1">
        <v>14</v>
      </c>
      <c r="M317" s="1">
        <v>2.86</v>
      </c>
      <c r="N317" s="1">
        <v>18.38</v>
      </c>
      <c r="O317" s="1">
        <v>11.68</v>
      </c>
      <c r="P317" s="1">
        <v>2.6</v>
      </c>
      <c r="Q317" s="1">
        <v>9194</v>
      </c>
      <c r="R317" s="1">
        <v>9655</v>
      </c>
      <c r="S317" s="1">
        <v>13</v>
      </c>
      <c r="T317" s="1">
        <f>(Table1[[#This Row],[Selling_Price_per_Unit]]-Table1[[#This Row],[Manufacturing_Cost_per_Unit]])*Table1[[#This Row],[Units_Sold]]-Table1[[#This Row],[Marketing_Spend]]-Table1[[#This Row],[Discount_%]]</f>
        <v>-5610068.3799999999</v>
      </c>
      <c r="U317" s="3">
        <f>Table1[[#This Row],[profit]]/(Table1[[#This Row],[Units_Sold]]*Table1[[#This Row],[Selling_Price_per_Unit]])*100</f>
        <v>-155.42224134425024</v>
      </c>
      <c r="V317" s="6">
        <f>Table1[[#This Row],[Units_Sold]]*Table1[[#This Row],[Selling_Price_per_Unit]]</f>
        <v>3609566</v>
      </c>
      <c r="W317" s="7">
        <f>(Table1[[#This Row],[Units_Sold]]/$Z$1)</f>
        <v>0.29209513292230466</v>
      </c>
      <c r="X317" s="8">
        <f>((Table1[[#This Row],[Units_Sold]]*(Table1[[#This Row],[Selling_Price_per_Unit]]-Table1[[#This Row],[Manufacturing_Cost_per_Unit]]))-Table1[[#This Row],[Marketing_Spend]])/Table1[[#This Row],[Marketing_Spend]]</f>
        <v>-14.340362007837284</v>
      </c>
    </row>
    <row r="318" spans="1:24" x14ac:dyDescent="0.3">
      <c r="A318" s="1" t="s">
        <v>335</v>
      </c>
      <c r="B318" s="1" t="s">
        <v>1292</v>
      </c>
      <c r="C318" s="1" t="s">
        <v>1632</v>
      </c>
      <c r="D318" s="1" t="s">
        <v>1635</v>
      </c>
      <c r="E318" s="1">
        <v>2023</v>
      </c>
      <c r="F318" s="1" t="s">
        <v>1641</v>
      </c>
      <c r="G318" s="1">
        <v>4107</v>
      </c>
      <c r="H318" s="1">
        <v>5633</v>
      </c>
      <c r="I318" s="1">
        <v>10035</v>
      </c>
      <c r="J318" s="1">
        <v>314598</v>
      </c>
      <c r="K318" s="1">
        <v>12.88</v>
      </c>
      <c r="L318" s="1">
        <v>11</v>
      </c>
      <c r="M318" s="1">
        <v>5.18</v>
      </c>
      <c r="N318" s="1">
        <v>21.66</v>
      </c>
      <c r="O318" s="1">
        <v>12.91</v>
      </c>
      <c r="P318" s="1">
        <v>2.2000000000000002</v>
      </c>
      <c r="Q318" s="1">
        <v>6330</v>
      </c>
      <c r="R318" s="1">
        <v>3651</v>
      </c>
      <c r="S318" s="1">
        <v>12</v>
      </c>
      <c r="T318" s="1">
        <f>(Table1[[#This Row],[Selling_Price_per_Unit]]-Table1[[#This Row],[Manufacturing_Cost_per_Unit]])*Table1[[#This Row],[Units_Sold]]-Table1[[#This Row],[Marketing_Spend]]-Table1[[#This Row],[Discount_%]]</f>
        <v>-18393633.66</v>
      </c>
      <c r="U318" s="3">
        <f>Table1[[#This Row],[profit]]/(Table1[[#This Row],[Units_Sold]]*Table1[[#This Row],[Selling_Price_per_Unit]])*100</f>
        <v>-79.506581079330459</v>
      </c>
      <c r="V318" s="6">
        <f>Table1[[#This Row],[Units_Sold]]*Table1[[#This Row],[Selling_Price_per_Unit]]</f>
        <v>23134731</v>
      </c>
      <c r="W318" s="7">
        <f>(Table1[[#This Row],[Units_Sold]]/$Z$1)</f>
        <v>0.82223078198211463</v>
      </c>
      <c r="X318" s="8">
        <f>((Table1[[#This Row],[Units_Sold]]*(Table1[[#This Row],[Selling_Price_per_Unit]]-Table1[[#This Row],[Manufacturing_Cost_per_Unit]]))-Table1[[#This Row],[Marketing_Spend]])/Table1[[#This Row],[Marketing_Spend]]</f>
        <v>-58.467034119733754</v>
      </c>
    </row>
    <row r="319" spans="1:24" hidden="1" x14ac:dyDescent="0.3">
      <c r="A319" s="1" t="s">
        <v>336</v>
      </c>
      <c r="B319" s="1" t="s">
        <v>1252</v>
      </c>
      <c r="C319" s="1" t="s">
        <v>1634</v>
      </c>
      <c r="D319" s="1" t="s">
        <v>1638</v>
      </c>
      <c r="E319" s="1">
        <v>2024</v>
      </c>
      <c r="F319" s="1" t="s">
        <v>1641</v>
      </c>
      <c r="G319" s="1">
        <v>834</v>
      </c>
      <c r="H319" s="1">
        <v>16163</v>
      </c>
      <c r="I319" s="1">
        <v>2729</v>
      </c>
      <c r="J319" s="1">
        <v>333022</v>
      </c>
      <c r="K319" s="1">
        <v>11.23</v>
      </c>
      <c r="L319" s="1">
        <v>16</v>
      </c>
      <c r="M319" s="1">
        <v>7.48</v>
      </c>
      <c r="N319" s="1">
        <v>13.02</v>
      </c>
      <c r="O319" s="1">
        <v>82.2</v>
      </c>
      <c r="P319" s="1">
        <v>4.2</v>
      </c>
      <c r="Q319" s="1">
        <v>11334</v>
      </c>
      <c r="R319" s="1">
        <v>7811</v>
      </c>
      <c r="S319" s="1">
        <v>5</v>
      </c>
      <c r="T319" s="1">
        <f>(Table1[[#This Row],[Selling_Price_per_Unit]]-Table1[[#This Row],[Manufacturing_Cost_per_Unit]])*Table1[[#This Row],[Units_Sold]]-Table1[[#This Row],[Marketing_Spend]]-Table1[[#This Row],[Discount_%]]</f>
        <v>10870920.98</v>
      </c>
      <c r="U319" s="3">
        <f>Table1[[#This Row],[profit]]/(Table1[[#This Row],[Units_Sold]]*Table1[[#This Row],[Selling_Price_per_Unit]])*100</f>
        <v>80.645161381258163</v>
      </c>
      <c r="V319" s="6">
        <f>Table1[[#This Row],[Units_Sold]]*Table1[[#This Row],[Selling_Price_per_Unit]]</f>
        <v>13479942</v>
      </c>
      <c r="W319" s="7">
        <f>(Table1[[#This Row],[Units_Sold]]/$Z$1)</f>
        <v>0.16696870517971357</v>
      </c>
      <c r="X319" s="8">
        <f>((Table1[[#This Row],[Units_Sold]]*(Table1[[#This Row],[Selling_Price_per_Unit]]-Table1[[#This Row],[Manufacturing_Cost_per_Unit]]))-Table1[[#This Row],[Marketing_Spend]])/Table1[[#This Row],[Marketing_Spend]]</f>
        <v>32.643290833638616</v>
      </c>
    </row>
    <row r="320" spans="1:24" hidden="1" x14ac:dyDescent="0.3">
      <c r="A320" s="1" t="s">
        <v>337</v>
      </c>
      <c r="B320" s="1" t="s">
        <v>1293</v>
      </c>
      <c r="C320" s="1" t="s">
        <v>1634</v>
      </c>
      <c r="D320" s="1" t="s">
        <v>1635</v>
      </c>
      <c r="E320" s="1">
        <v>2024</v>
      </c>
      <c r="F320" s="1" t="s">
        <v>1642</v>
      </c>
      <c r="G320" s="1">
        <v>3225</v>
      </c>
      <c r="H320" s="1">
        <v>5472</v>
      </c>
      <c r="I320" s="1">
        <v>1813</v>
      </c>
      <c r="J320" s="1">
        <v>232170</v>
      </c>
      <c r="K320" s="1">
        <v>6.59</v>
      </c>
      <c r="L320" s="1">
        <v>8</v>
      </c>
      <c r="M320" s="1">
        <v>8.3699999999999992</v>
      </c>
      <c r="N320" s="1">
        <v>16.73</v>
      </c>
      <c r="O320" s="1">
        <v>15.86</v>
      </c>
      <c r="P320" s="1">
        <v>2.1</v>
      </c>
      <c r="Q320" s="1">
        <v>11989</v>
      </c>
      <c r="R320" s="1">
        <v>3728</v>
      </c>
      <c r="S320" s="1">
        <v>2</v>
      </c>
      <c r="T320" s="1">
        <f>(Table1[[#This Row],[Selling_Price_per_Unit]]-Table1[[#This Row],[Manufacturing_Cost_per_Unit]])*Table1[[#This Row],[Units_Sold]]-Table1[[#This Row],[Marketing_Spend]]-Table1[[#This Row],[Discount_%]]</f>
        <v>11568088.27</v>
      </c>
      <c r="U320" s="3">
        <f>Table1[[#This Row],[profit]]/(Table1[[#This Row],[Units_Sold]]*Table1[[#This Row],[Selling_Price_per_Unit]])*100</f>
        <v>65.551975780860417</v>
      </c>
      <c r="V320" s="6">
        <f>Table1[[#This Row],[Units_Sold]]*Table1[[#This Row],[Selling_Price_per_Unit]]</f>
        <v>17647200</v>
      </c>
      <c r="W320" s="7">
        <f>(Table1[[#This Row],[Units_Sold]]/$Z$1)</f>
        <v>0.6456523671517701</v>
      </c>
      <c r="X320" s="8">
        <f>((Table1[[#This Row],[Units_Sold]]*(Table1[[#This Row],[Selling_Price_per_Unit]]-Table1[[#This Row],[Manufacturing_Cost_per_Unit]]))-Table1[[#This Row],[Marketing_Spend]])/Table1[[#This Row],[Marketing_Spend]]</f>
        <v>49.826011112546844</v>
      </c>
    </row>
    <row r="321" spans="1:24" hidden="1" x14ac:dyDescent="0.3">
      <c r="A321" s="1" t="s">
        <v>998</v>
      </c>
      <c r="B321" s="1" t="s">
        <v>1357</v>
      </c>
      <c r="C321" s="1" t="s">
        <v>1632</v>
      </c>
      <c r="D321" s="1" t="s">
        <v>1637</v>
      </c>
      <c r="E321" s="1">
        <v>2023</v>
      </c>
      <c r="F321" s="1" t="s">
        <v>1640</v>
      </c>
      <c r="G321" s="1">
        <v>2922</v>
      </c>
      <c r="H321" s="1">
        <v>18573</v>
      </c>
      <c r="I321" s="1">
        <v>5450</v>
      </c>
      <c r="J321" s="1">
        <v>332844</v>
      </c>
      <c r="K321" s="1">
        <v>1.05</v>
      </c>
      <c r="L321" s="1">
        <v>14</v>
      </c>
      <c r="M321" s="1">
        <v>7.75</v>
      </c>
      <c r="N321" s="1">
        <v>1.0900000000000001</v>
      </c>
      <c r="O321" s="1">
        <v>31.35</v>
      </c>
      <c r="P321" s="1">
        <v>2.6</v>
      </c>
      <c r="Q321" s="1">
        <v>13017</v>
      </c>
      <c r="R321" s="1">
        <v>8402</v>
      </c>
      <c r="S321" s="1">
        <v>11</v>
      </c>
      <c r="T321" s="1">
        <f>(Table1[[#This Row],[Selling_Price_per_Unit]]-Table1[[#This Row],[Manufacturing_Cost_per_Unit]])*Table1[[#This Row],[Units_Sold]]-Table1[[#This Row],[Marketing_Spend]]-Table1[[#This Row],[Discount_%]]</f>
        <v>38012560.909999996</v>
      </c>
      <c r="U321" s="3">
        <f>Table1[[#This Row],[profit]]/(Table1[[#This Row],[Units_Sold]]*Table1[[#This Row],[Selling_Price_per_Unit]])*100</f>
        <v>70.043019307832893</v>
      </c>
      <c r="V321" s="6">
        <f>Table1[[#This Row],[Units_Sold]]*Table1[[#This Row],[Selling_Price_per_Unit]]</f>
        <v>54270306</v>
      </c>
      <c r="W321" s="7">
        <f>(Table1[[#This Row],[Units_Sold]]/$Z$1)</f>
        <v>0.58499107498216196</v>
      </c>
      <c r="X321" s="8">
        <f>((Table1[[#This Row],[Units_Sold]]*(Table1[[#This Row],[Selling_Price_per_Unit]]-Table1[[#This Row],[Manufacturing_Cost_per_Unit]]))-Table1[[#This Row],[Marketing_Spend]])/Table1[[#This Row],[Marketing_Spend]]</f>
        <v>114.20533943829541</v>
      </c>
    </row>
    <row r="322" spans="1:24" hidden="1" x14ac:dyDescent="0.3">
      <c r="A322" s="1" t="s">
        <v>596</v>
      </c>
      <c r="B322" s="1" t="s">
        <v>1073</v>
      </c>
      <c r="C322" s="1" t="s">
        <v>1632</v>
      </c>
      <c r="D322" s="1" t="s">
        <v>1637</v>
      </c>
      <c r="E322" s="1">
        <v>2024</v>
      </c>
      <c r="F322" s="1" t="s">
        <v>1640</v>
      </c>
      <c r="G322" s="1">
        <v>3634</v>
      </c>
      <c r="H322" s="1">
        <v>13701</v>
      </c>
      <c r="I322" s="1">
        <v>3124</v>
      </c>
      <c r="J322" s="1">
        <v>437881</v>
      </c>
      <c r="K322" s="1">
        <v>10.02</v>
      </c>
      <c r="L322" s="1">
        <v>16</v>
      </c>
      <c r="M322" s="1">
        <v>0.75</v>
      </c>
      <c r="N322" s="1">
        <v>15.55</v>
      </c>
      <c r="O322" s="1">
        <v>44.53</v>
      </c>
      <c r="P322" s="1">
        <v>1.1000000000000001</v>
      </c>
      <c r="Q322" s="1">
        <v>5508</v>
      </c>
      <c r="R322" s="1">
        <v>1065</v>
      </c>
      <c r="S322" s="1">
        <v>4</v>
      </c>
      <c r="T322" s="1">
        <f>(Table1[[#This Row],[Selling_Price_per_Unit]]-Table1[[#This Row],[Manufacturing_Cost_per_Unit]])*Table1[[#This Row],[Units_Sold]]-Table1[[#This Row],[Marketing_Spend]]-Table1[[#This Row],[Discount_%]]</f>
        <v>37998921.450000003</v>
      </c>
      <c r="U322" s="3">
        <f>Table1[[#This Row],[profit]]/(Table1[[#This Row],[Units_Sold]]*Table1[[#This Row],[Selling_Price_per_Unit]])*100</f>
        <v>76.319247674114962</v>
      </c>
      <c r="V322" s="6">
        <f>Table1[[#This Row],[Units_Sold]]*Table1[[#This Row],[Selling_Price_per_Unit]]</f>
        <v>49789434</v>
      </c>
      <c r="W322" s="7">
        <f>(Table1[[#This Row],[Units_Sold]]/$Z$1)</f>
        <v>0.72753510146652167</v>
      </c>
      <c r="X322" s="8">
        <f>((Table1[[#This Row],[Units_Sold]]*(Table1[[#This Row],[Selling_Price_per_Unit]]-Table1[[#This Row],[Manufacturing_Cost_per_Unit]]))-Table1[[#This Row],[Marketing_Spend]])/Table1[[#This Row],[Marketing_Spend]]</f>
        <v>86.779140908146275</v>
      </c>
    </row>
    <row r="323" spans="1:24" hidden="1" x14ac:dyDescent="0.3">
      <c r="A323" s="1" t="s">
        <v>340</v>
      </c>
      <c r="B323" s="1" t="s">
        <v>1295</v>
      </c>
      <c r="C323" s="1" t="s">
        <v>1634</v>
      </c>
      <c r="D323" s="1" t="s">
        <v>1635</v>
      </c>
      <c r="E323" s="1">
        <v>2023</v>
      </c>
      <c r="F323" s="1" t="s">
        <v>1642</v>
      </c>
      <c r="G323" s="1">
        <v>587</v>
      </c>
      <c r="H323" s="1">
        <v>10605</v>
      </c>
      <c r="I323" s="1">
        <v>2628</v>
      </c>
      <c r="J323" s="1">
        <v>118344</v>
      </c>
      <c r="K323" s="1">
        <v>10.1</v>
      </c>
      <c r="L323" s="1">
        <v>1</v>
      </c>
      <c r="M323" s="1">
        <v>7.39</v>
      </c>
      <c r="N323" s="1">
        <v>7.42</v>
      </c>
      <c r="O323" s="1">
        <v>69.2</v>
      </c>
      <c r="P323" s="1">
        <v>2</v>
      </c>
      <c r="Q323" s="1">
        <v>3660</v>
      </c>
      <c r="R323" s="1">
        <v>6559</v>
      </c>
      <c r="S323" s="1">
        <v>2</v>
      </c>
      <c r="T323" s="1">
        <f>(Table1[[#This Row],[Selling_Price_per_Unit]]-Table1[[#This Row],[Manufacturing_Cost_per_Unit]])*Table1[[#This Row],[Units_Sold]]-Table1[[#This Row],[Marketing_Spend]]-Table1[[#This Row],[Discount_%]]</f>
        <v>4564147.58</v>
      </c>
      <c r="U323" s="3">
        <f>Table1[[#This Row],[profit]]/(Table1[[#This Row],[Units_Sold]]*Table1[[#This Row],[Selling_Price_per_Unit]])*100</f>
        <v>73.318049809361568</v>
      </c>
      <c r="V323" s="6">
        <f>Table1[[#This Row],[Units_Sold]]*Table1[[#This Row],[Selling_Price_per_Unit]]</f>
        <v>6225135</v>
      </c>
      <c r="W323" s="7">
        <f>(Table1[[#This Row],[Units_Sold]]/$Z$1)</f>
        <v>0.11751874093584157</v>
      </c>
      <c r="X323" s="8">
        <f>((Table1[[#This Row],[Units_Sold]]*(Table1[[#This Row],[Selling_Price_per_Unit]]-Table1[[#This Row],[Manufacturing_Cost_per_Unit]]))-Table1[[#This Row],[Marketing_Spend]])/Table1[[#This Row],[Marketing_Spend]]</f>
        <v>38.566847495437031</v>
      </c>
    </row>
    <row r="324" spans="1:24" hidden="1" x14ac:dyDescent="0.3">
      <c r="A324" s="1" t="s">
        <v>341</v>
      </c>
      <c r="B324" s="1" t="s">
        <v>1296</v>
      </c>
      <c r="C324" s="1" t="s">
        <v>1633</v>
      </c>
      <c r="D324" s="1" t="s">
        <v>1635</v>
      </c>
      <c r="E324" s="1">
        <v>2024</v>
      </c>
      <c r="F324" s="1" t="s">
        <v>1639</v>
      </c>
      <c r="G324" s="1">
        <v>1891</v>
      </c>
      <c r="H324" s="1">
        <v>9728</v>
      </c>
      <c r="I324" s="1">
        <v>8709</v>
      </c>
      <c r="J324" s="1">
        <v>417090</v>
      </c>
      <c r="K324" s="1">
        <v>2.69</v>
      </c>
      <c r="L324" s="1">
        <v>4</v>
      </c>
      <c r="M324" s="1">
        <v>3.06</v>
      </c>
      <c r="N324" s="1">
        <v>0.02</v>
      </c>
      <c r="O324" s="1">
        <v>34.78</v>
      </c>
      <c r="P324" s="1">
        <v>2.2999999999999998</v>
      </c>
      <c r="Q324" s="1">
        <v>14768</v>
      </c>
      <c r="R324" s="1">
        <v>4196</v>
      </c>
      <c r="S324" s="1">
        <v>11</v>
      </c>
      <c r="T324" s="1">
        <f>(Table1[[#This Row],[Selling_Price_per_Unit]]-Table1[[#This Row],[Manufacturing_Cost_per_Unit]])*Table1[[#This Row],[Units_Sold]]-Table1[[#This Row],[Marketing_Spend]]-Table1[[#This Row],[Discount_%]]</f>
        <v>1509838.98</v>
      </c>
      <c r="U324" s="3">
        <f>Table1[[#This Row],[profit]]/(Table1[[#This Row],[Units_Sold]]*Table1[[#This Row],[Selling_Price_per_Unit]])*100</f>
        <v>8.2075879033997605</v>
      </c>
      <c r="V324" s="6">
        <f>Table1[[#This Row],[Units_Sold]]*Table1[[#This Row],[Selling_Price_per_Unit]]</f>
        <v>18395648</v>
      </c>
      <c r="W324" s="7">
        <f>(Table1[[#This Row],[Units_Sold]]/$Z$1)</f>
        <v>0.37858251977798363</v>
      </c>
      <c r="X324" s="8">
        <f>((Table1[[#This Row],[Units_Sold]]*(Table1[[#This Row],[Selling_Price_per_Unit]]-Table1[[#This Row],[Manufacturing_Cost_per_Unit]]))-Table1[[#This Row],[Marketing_Spend]])/Table1[[#This Row],[Marketing_Spend]]</f>
        <v>3.6199357452827927</v>
      </c>
    </row>
    <row r="325" spans="1:24" hidden="1" x14ac:dyDescent="0.3">
      <c r="A325" s="1" t="s">
        <v>342</v>
      </c>
      <c r="B325" s="1" t="s">
        <v>1028</v>
      </c>
      <c r="C325" s="1" t="s">
        <v>1632</v>
      </c>
      <c r="D325" s="1" t="s">
        <v>1636</v>
      </c>
      <c r="E325" s="1">
        <v>2024</v>
      </c>
      <c r="F325" s="1" t="s">
        <v>1639</v>
      </c>
      <c r="G325" s="1">
        <v>2505</v>
      </c>
      <c r="H325" s="1">
        <v>11403</v>
      </c>
      <c r="I325" s="1">
        <v>6388</v>
      </c>
      <c r="J325" s="1">
        <v>86593</v>
      </c>
      <c r="K325" s="1">
        <v>10.41</v>
      </c>
      <c r="L325" s="1">
        <v>12</v>
      </c>
      <c r="M325" s="1">
        <v>2.65</v>
      </c>
      <c r="N325" s="1">
        <v>24.08</v>
      </c>
      <c r="O325" s="1">
        <v>78.7</v>
      </c>
      <c r="P325" s="1">
        <v>3.4</v>
      </c>
      <c r="Q325" s="1">
        <v>15985</v>
      </c>
      <c r="R325" s="1">
        <v>1119</v>
      </c>
      <c r="S325" s="1">
        <v>4</v>
      </c>
      <c r="T325" s="1">
        <f>(Table1[[#This Row],[Selling_Price_per_Unit]]-Table1[[#This Row],[Manufacturing_Cost_per_Unit]])*Table1[[#This Row],[Units_Sold]]-Table1[[#This Row],[Marketing_Spend]]-Table1[[#This Row],[Discount_%]]</f>
        <v>12475957.92</v>
      </c>
      <c r="U325" s="3">
        <f>Table1[[#This Row],[profit]]/(Table1[[#This Row],[Units_Sold]]*Table1[[#This Row],[Selling_Price_per_Unit]])*100</f>
        <v>43.6764213220494</v>
      </c>
      <c r="V325" s="6">
        <f>Table1[[#This Row],[Units_Sold]]*Table1[[#This Row],[Selling_Price_per_Unit]]</f>
        <v>28564515</v>
      </c>
      <c r="W325" s="7">
        <f>(Table1[[#This Row],[Units_Sold]]/$Z$1)</f>
        <v>0.5015067223923052</v>
      </c>
      <c r="X325" s="8">
        <f>((Table1[[#This Row],[Units_Sold]]*(Table1[[#This Row],[Selling_Price_per_Unit]]-Table1[[#This Row],[Manufacturing_Cost_per_Unit]]))-Table1[[#This Row],[Marketing_Spend]])/Table1[[#This Row],[Marketing_Spend]]</f>
        <v>144.0761031492153</v>
      </c>
    </row>
    <row r="326" spans="1:24" hidden="1" x14ac:dyDescent="0.3">
      <c r="A326" s="1" t="s">
        <v>343</v>
      </c>
      <c r="B326" s="1" t="s">
        <v>1297</v>
      </c>
      <c r="C326" s="1" t="s">
        <v>1633</v>
      </c>
      <c r="D326" s="1" t="s">
        <v>1635</v>
      </c>
      <c r="E326" s="1">
        <v>2023</v>
      </c>
      <c r="F326" s="1" t="s">
        <v>1639</v>
      </c>
      <c r="G326" s="1">
        <v>574</v>
      </c>
      <c r="H326" s="1">
        <v>4520</v>
      </c>
      <c r="I326" s="1">
        <v>13909</v>
      </c>
      <c r="J326" s="1">
        <v>86304</v>
      </c>
      <c r="K326" s="1">
        <v>3.44</v>
      </c>
      <c r="L326" s="1">
        <v>19</v>
      </c>
      <c r="M326" s="1">
        <v>6.96</v>
      </c>
      <c r="N326" s="1">
        <v>22.94</v>
      </c>
      <c r="O326" s="1">
        <v>66.040000000000006</v>
      </c>
      <c r="P326" s="1">
        <v>2.8</v>
      </c>
      <c r="Q326" s="1">
        <v>4422</v>
      </c>
      <c r="R326" s="1">
        <v>8028</v>
      </c>
      <c r="S326" s="1">
        <v>6</v>
      </c>
      <c r="T326" s="1">
        <f>(Table1[[#This Row],[Selling_Price_per_Unit]]-Table1[[#This Row],[Manufacturing_Cost_per_Unit]])*Table1[[#This Row],[Units_Sold]]-Table1[[#This Row],[Marketing_Spend]]-Table1[[#This Row],[Discount_%]]</f>
        <v>-5475612.9400000004</v>
      </c>
      <c r="U326" s="3">
        <f>Table1[[#This Row],[profit]]/(Table1[[#This Row],[Units_Sold]]*Table1[[#This Row],[Selling_Price_per_Unit]])*100</f>
        <v>-211.04857004101015</v>
      </c>
      <c r="V326" s="6">
        <f>Table1[[#This Row],[Units_Sold]]*Table1[[#This Row],[Selling_Price_per_Unit]]</f>
        <v>2594480</v>
      </c>
      <c r="W326" s="7">
        <f>(Table1[[#This Row],[Units_Sold]]/$Z$1)</f>
        <v>0.11491611123879567</v>
      </c>
      <c r="X326" s="8">
        <f>((Table1[[#This Row],[Units_Sold]]*(Table1[[#This Row],[Selling_Price_per_Unit]]-Table1[[#This Row],[Manufacturing_Cost_per_Unit]]))-Table1[[#This Row],[Marketing_Spend]])/Table1[[#This Row],[Marketing_Spend]]</f>
        <v>-63.445379124953654</v>
      </c>
    </row>
    <row r="327" spans="1:24" hidden="1" x14ac:dyDescent="0.3">
      <c r="A327" s="1" t="s">
        <v>931</v>
      </c>
      <c r="B327" s="1" t="s">
        <v>1288</v>
      </c>
      <c r="C327" s="1" t="s">
        <v>1633</v>
      </c>
      <c r="D327" s="1" t="s">
        <v>1638</v>
      </c>
      <c r="E327" s="1">
        <v>2024</v>
      </c>
      <c r="F327" s="1" t="s">
        <v>1642</v>
      </c>
      <c r="G327" s="1">
        <v>2254</v>
      </c>
      <c r="H327" s="1">
        <v>18224</v>
      </c>
      <c r="I327" s="1">
        <v>1326</v>
      </c>
      <c r="J327" s="1">
        <v>340626</v>
      </c>
      <c r="K327" s="1">
        <v>12.28</v>
      </c>
      <c r="L327" s="1">
        <v>17</v>
      </c>
      <c r="M327" s="1">
        <v>7.37</v>
      </c>
      <c r="N327" s="1">
        <v>15.14</v>
      </c>
      <c r="O327" s="1">
        <v>81.06</v>
      </c>
      <c r="P327" s="1">
        <v>2.7</v>
      </c>
      <c r="Q327" s="1">
        <v>11435</v>
      </c>
      <c r="R327" s="1">
        <v>8639</v>
      </c>
      <c r="S327" s="1">
        <v>13</v>
      </c>
      <c r="T327" s="1">
        <f>(Table1[[#This Row],[Selling_Price_per_Unit]]-Table1[[#This Row],[Manufacturing_Cost_per_Unit]])*Table1[[#This Row],[Units_Sold]]-Table1[[#This Row],[Marketing_Spend]]-Table1[[#This Row],[Discount_%]]</f>
        <v>37747450.859999999</v>
      </c>
      <c r="U327" s="3">
        <f>Table1[[#This Row],[profit]]/(Table1[[#This Row],[Units_Sold]]*Table1[[#This Row],[Selling_Price_per_Unit]])*100</f>
        <v>91.894603866854979</v>
      </c>
      <c r="V327" s="6">
        <f>Table1[[#This Row],[Units_Sold]]*Table1[[#This Row],[Selling_Price_per_Unit]]</f>
        <v>41076896</v>
      </c>
      <c r="W327" s="7">
        <f>(Table1[[#This Row],[Units_Sold]]/$Z$1)</f>
        <v>0.45125594901088056</v>
      </c>
      <c r="X327" s="8">
        <f>((Table1[[#This Row],[Units_Sold]]*(Table1[[#This Row],[Selling_Price_per_Unit]]-Table1[[#This Row],[Manufacturing_Cost_per_Unit]]))-Table1[[#This Row],[Marketing_Spend]])/Table1[[#This Row],[Marketing_Spend]]</f>
        <v>110.81792347031642</v>
      </c>
    </row>
    <row r="328" spans="1:24" hidden="1" x14ac:dyDescent="0.3">
      <c r="A328" s="1" t="s">
        <v>746</v>
      </c>
      <c r="B328" s="1" t="s">
        <v>1518</v>
      </c>
      <c r="C328" s="1" t="s">
        <v>1632</v>
      </c>
      <c r="D328" s="1" t="s">
        <v>1637</v>
      </c>
      <c r="E328" s="1">
        <v>2023</v>
      </c>
      <c r="F328" s="1" t="s">
        <v>1640</v>
      </c>
      <c r="G328" s="1">
        <v>2346</v>
      </c>
      <c r="H328" s="1">
        <v>18338</v>
      </c>
      <c r="I328" s="1">
        <v>2515</v>
      </c>
      <c r="J328" s="1">
        <v>99067</v>
      </c>
      <c r="K328" s="1">
        <v>12.68</v>
      </c>
      <c r="L328" s="1">
        <v>14</v>
      </c>
      <c r="M328" s="1">
        <v>7.86</v>
      </c>
      <c r="N328" s="1">
        <v>9.68</v>
      </c>
      <c r="O328" s="1">
        <v>68.739999999999995</v>
      </c>
      <c r="P328" s="1">
        <v>3.8</v>
      </c>
      <c r="Q328" s="1">
        <v>16755</v>
      </c>
      <c r="R328" s="1">
        <v>6084</v>
      </c>
      <c r="S328" s="1">
        <v>11</v>
      </c>
      <c r="T328" s="1">
        <f>(Table1[[#This Row],[Selling_Price_per_Unit]]-Table1[[#This Row],[Manufacturing_Cost_per_Unit]])*Table1[[#This Row],[Units_Sold]]-Table1[[#This Row],[Marketing_Spend]]-Table1[[#This Row],[Discount_%]]</f>
        <v>37021681.32</v>
      </c>
      <c r="U328" s="3">
        <f>Table1[[#This Row],[profit]]/(Table1[[#This Row],[Units_Sold]]*Table1[[#This Row],[Selling_Price_per_Unit]])*100</f>
        <v>86.055010503255303</v>
      </c>
      <c r="V328" s="6">
        <f>Table1[[#This Row],[Units_Sold]]*Table1[[#This Row],[Selling_Price_per_Unit]]</f>
        <v>43020948</v>
      </c>
      <c r="W328" s="7">
        <f>(Table1[[#This Row],[Units_Sold]]/$Z$1)</f>
        <v>0.46967455917459</v>
      </c>
      <c r="X328" s="8">
        <f>((Table1[[#This Row],[Units_Sold]]*(Table1[[#This Row],[Selling_Price_per_Unit]]-Table1[[#This Row],[Manufacturing_Cost_per_Unit]]))-Table1[[#This Row],[Marketing_Spend]])/Table1[[#This Row],[Marketing_Spend]]</f>
        <v>373.70356425449444</v>
      </c>
    </row>
    <row r="329" spans="1:24" x14ac:dyDescent="0.3">
      <c r="A329" s="1" t="s">
        <v>346</v>
      </c>
      <c r="B329" s="1" t="s">
        <v>1300</v>
      </c>
      <c r="C329" s="1" t="s">
        <v>1634</v>
      </c>
      <c r="D329" s="1" t="s">
        <v>1635</v>
      </c>
      <c r="E329" s="1">
        <v>2023</v>
      </c>
      <c r="F329" s="1" t="s">
        <v>1640</v>
      </c>
      <c r="G329" s="1">
        <v>4830</v>
      </c>
      <c r="H329" s="1">
        <v>6733</v>
      </c>
      <c r="I329" s="1">
        <v>11444</v>
      </c>
      <c r="J329" s="1">
        <v>163613</v>
      </c>
      <c r="K329" s="1">
        <v>0.03</v>
      </c>
      <c r="L329" s="1">
        <v>14</v>
      </c>
      <c r="M329" s="1">
        <v>5.32</v>
      </c>
      <c r="N329" s="1">
        <v>11.19</v>
      </c>
      <c r="O329" s="1">
        <v>68.62</v>
      </c>
      <c r="P329" s="1">
        <v>1</v>
      </c>
      <c r="Q329" s="1">
        <v>16657</v>
      </c>
      <c r="R329" s="1">
        <v>6065</v>
      </c>
      <c r="S329" s="1">
        <v>7</v>
      </c>
      <c r="T329" s="1">
        <f>(Table1[[#This Row],[Selling_Price_per_Unit]]-Table1[[#This Row],[Manufacturing_Cost_per_Unit]])*Table1[[#This Row],[Units_Sold]]-Table1[[#This Row],[Marketing_Spend]]-Table1[[#This Row],[Discount_%]]</f>
        <v>-22917754.190000001</v>
      </c>
      <c r="U329" s="3">
        <f>Table1[[#This Row],[profit]]/(Table1[[#This Row],[Units_Sold]]*Table1[[#This Row],[Selling_Price_per_Unit]])*100</f>
        <v>-70.471953718882219</v>
      </c>
      <c r="V329" s="6">
        <f>Table1[[#This Row],[Units_Sold]]*Table1[[#This Row],[Selling_Price_per_Unit]]</f>
        <v>32520390</v>
      </c>
      <c r="W329" s="7">
        <f>(Table1[[#This Row],[Units_Sold]]/$Z$1)</f>
        <v>0.96697703359474407</v>
      </c>
      <c r="X329" s="8">
        <f>((Table1[[#This Row],[Units_Sold]]*(Table1[[#This Row],[Selling_Price_per_Unit]]-Table1[[#This Row],[Manufacturing_Cost_per_Unit]]))-Table1[[#This Row],[Marketing_Spend]])/Table1[[#This Row],[Marketing_Spend]]</f>
        <v>-140.07287318244883</v>
      </c>
    </row>
    <row r="330" spans="1:24" x14ac:dyDescent="0.3">
      <c r="A330" s="1" t="s">
        <v>347</v>
      </c>
      <c r="B330" s="1" t="s">
        <v>1301</v>
      </c>
      <c r="C330" s="1" t="s">
        <v>1632</v>
      </c>
      <c r="D330" s="1" t="s">
        <v>1636</v>
      </c>
      <c r="E330" s="1">
        <v>2024</v>
      </c>
      <c r="F330" s="1" t="s">
        <v>1640</v>
      </c>
      <c r="G330" s="1">
        <v>4165</v>
      </c>
      <c r="H330" s="1">
        <v>11016</v>
      </c>
      <c r="I330" s="1">
        <v>11077</v>
      </c>
      <c r="J330" s="1">
        <v>250410</v>
      </c>
      <c r="K330" s="1">
        <v>10.78</v>
      </c>
      <c r="L330" s="1">
        <v>10</v>
      </c>
      <c r="M330" s="1">
        <v>8.2200000000000006</v>
      </c>
      <c r="N330" s="1">
        <v>2.5499999999999998</v>
      </c>
      <c r="O330" s="1">
        <v>59.35</v>
      </c>
      <c r="P330" s="1">
        <v>4.0999999999999996</v>
      </c>
      <c r="Q330" s="1">
        <v>9593</v>
      </c>
      <c r="R330" s="1">
        <v>2369</v>
      </c>
      <c r="S330" s="1">
        <v>4</v>
      </c>
      <c r="T330" s="1">
        <f>(Table1[[#This Row],[Selling_Price_per_Unit]]-Table1[[#This Row],[Manufacturing_Cost_per_Unit]])*Table1[[#This Row],[Units_Sold]]-Table1[[#This Row],[Marketing_Spend]]-Table1[[#This Row],[Discount_%]]</f>
        <v>-504477.55</v>
      </c>
      <c r="U330" s="3">
        <f>Table1[[#This Row],[profit]]/(Table1[[#This Row],[Units_Sold]]*Table1[[#This Row],[Selling_Price_per_Unit]])*100</f>
        <v>-1.0995194374045913</v>
      </c>
      <c r="V330" s="6">
        <f>Table1[[#This Row],[Units_Sold]]*Table1[[#This Row],[Selling_Price_per_Unit]]</f>
        <v>45881640</v>
      </c>
      <c r="W330" s="7">
        <f>(Table1[[#This Row],[Units_Sold]]/$Z$1)</f>
        <v>0.83384251447662716</v>
      </c>
      <c r="X330" s="8">
        <f>((Table1[[#This Row],[Units_Sold]]*(Table1[[#This Row],[Selling_Price_per_Unit]]-Table1[[#This Row],[Manufacturing_Cost_per_Unit]]))-Table1[[#This Row],[Marketing_Spend]])/Table1[[#This Row],[Marketing_Spend]]</f>
        <v>-2.0145960624575694</v>
      </c>
    </row>
    <row r="331" spans="1:24" hidden="1" x14ac:dyDescent="0.3">
      <c r="A331" s="1" t="s">
        <v>728</v>
      </c>
      <c r="B331" s="1" t="s">
        <v>1026</v>
      </c>
      <c r="C331" s="1" t="s">
        <v>1633</v>
      </c>
      <c r="D331" s="1" t="s">
        <v>1637</v>
      </c>
      <c r="E331" s="1">
        <v>2024</v>
      </c>
      <c r="F331" s="1" t="s">
        <v>1642</v>
      </c>
      <c r="G331" s="1">
        <v>3316</v>
      </c>
      <c r="H331" s="1">
        <v>14475</v>
      </c>
      <c r="I331" s="1">
        <v>3304</v>
      </c>
      <c r="J331" s="1">
        <v>339750</v>
      </c>
      <c r="K331" s="1">
        <v>9.93</v>
      </c>
      <c r="L331" s="1">
        <v>12</v>
      </c>
      <c r="M331" s="1">
        <v>1.61</v>
      </c>
      <c r="N331" s="1">
        <v>7.48</v>
      </c>
      <c r="O331" s="1">
        <v>15.69</v>
      </c>
      <c r="P331" s="1">
        <v>1</v>
      </c>
      <c r="Q331" s="1">
        <v>12726</v>
      </c>
      <c r="R331" s="1">
        <v>122</v>
      </c>
      <c r="S331" s="1">
        <v>7</v>
      </c>
      <c r="T331" s="1">
        <f>(Table1[[#This Row],[Selling_Price_per_Unit]]-Table1[[#This Row],[Manufacturing_Cost_per_Unit]])*Table1[[#This Row],[Units_Sold]]-Table1[[#This Row],[Marketing_Spend]]-Table1[[#This Row],[Discount_%]]</f>
        <v>36703278.520000003</v>
      </c>
      <c r="U331" s="3">
        <f>Table1[[#This Row],[profit]]/(Table1[[#This Row],[Units_Sold]]*Table1[[#This Row],[Selling_Price_per_Unit]])*100</f>
        <v>76.466597332033317</v>
      </c>
      <c r="V331" s="6">
        <f>Table1[[#This Row],[Units_Sold]]*Table1[[#This Row],[Selling_Price_per_Unit]]</f>
        <v>47999100</v>
      </c>
      <c r="W331" s="7">
        <f>(Table1[[#This Row],[Units_Sold]]/$Z$1)</f>
        <v>0.66387077503109138</v>
      </c>
      <c r="X331" s="8">
        <f>((Table1[[#This Row],[Units_Sold]]*(Table1[[#This Row],[Selling_Price_per_Unit]]-Table1[[#This Row],[Manufacturing_Cost_per_Unit]]))-Table1[[#This Row],[Marketing_Spend]])/Table1[[#This Row],[Marketing_Spend]]</f>
        <v>108.03027520235467</v>
      </c>
    </row>
    <row r="332" spans="1:24" x14ac:dyDescent="0.3">
      <c r="A332" s="1" t="s">
        <v>400</v>
      </c>
      <c r="B332" s="1" t="s">
        <v>1334</v>
      </c>
      <c r="C332" s="1" t="s">
        <v>1632</v>
      </c>
      <c r="D332" s="1" t="s">
        <v>1636</v>
      </c>
      <c r="E332" s="1">
        <v>2023</v>
      </c>
      <c r="F332" s="1" t="s">
        <v>1640</v>
      </c>
      <c r="G332" s="1">
        <v>4633</v>
      </c>
      <c r="H332" s="1">
        <v>19771</v>
      </c>
      <c r="I332" s="1">
        <v>11802</v>
      </c>
      <c r="J332" s="1">
        <v>303661</v>
      </c>
      <c r="K332" s="1">
        <v>0.15</v>
      </c>
      <c r="L332" s="1">
        <v>5</v>
      </c>
      <c r="M332" s="1">
        <v>7.5</v>
      </c>
      <c r="N332" s="1">
        <v>16.809999999999999</v>
      </c>
      <c r="O332" s="1">
        <v>30.62</v>
      </c>
      <c r="P332" s="1">
        <v>2.4</v>
      </c>
      <c r="Q332" s="1">
        <v>16600</v>
      </c>
      <c r="R332" s="1">
        <v>9933</v>
      </c>
      <c r="S332" s="1">
        <v>14</v>
      </c>
      <c r="T332" s="1">
        <f>(Table1[[#This Row],[Selling_Price_per_Unit]]-Table1[[#This Row],[Manufacturing_Cost_per_Unit]])*Table1[[#This Row],[Units_Sold]]-Table1[[#This Row],[Marketing_Spend]]-Table1[[#This Row],[Discount_%]]</f>
        <v>36616699.189999998</v>
      </c>
      <c r="U332" s="3">
        <f>Table1[[#This Row],[profit]]/(Table1[[#This Row],[Units_Sold]]*Table1[[#This Row],[Selling_Price_per_Unit]])*100</f>
        <v>39.974980077029841</v>
      </c>
      <c r="V332" s="6">
        <f>Table1[[#This Row],[Units_Sold]]*Table1[[#This Row],[Selling_Price_per_Unit]]</f>
        <v>91599043</v>
      </c>
      <c r="W332" s="7">
        <f>(Table1[[#This Row],[Units_Sold]]/$Z$1)</f>
        <v>0.92753718357027937</v>
      </c>
      <c r="X332" s="8">
        <f>((Table1[[#This Row],[Units_Sold]]*(Table1[[#This Row],[Selling_Price_per_Unit]]-Table1[[#This Row],[Manufacturing_Cost_per_Unit]]))-Table1[[#This Row],[Marketing_Spend]])/Table1[[#This Row],[Marketing_Spend]]</f>
        <v>120.58419092343107</v>
      </c>
    </row>
    <row r="333" spans="1:24" x14ac:dyDescent="0.3">
      <c r="A333" s="1" t="s">
        <v>350</v>
      </c>
      <c r="B333" s="1" t="s">
        <v>1272</v>
      </c>
      <c r="C333" s="1" t="s">
        <v>1632</v>
      </c>
      <c r="D333" s="1" t="s">
        <v>1635</v>
      </c>
      <c r="E333" s="1">
        <v>2024</v>
      </c>
      <c r="F333" s="1" t="s">
        <v>1640</v>
      </c>
      <c r="G333" s="1">
        <v>4545</v>
      </c>
      <c r="H333" s="1">
        <v>3896</v>
      </c>
      <c r="I333" s="1">
        <v>1880</v>
      </c>
      <c r="J333" s="1">
        <v>334334</v>
      </c>
      <c r="K333" s="1">
        <v>2.42</v>
      </c>
      <c r="L333" s="1">
        <v>16</v>
      </c>
      <c r="M333" s="1">
        <v>8.1199999999999992</v>
      </c>
      <c r="N333" s="1">
        <v>24.02</v>
      </c>
      <c r="O333" s="1">
        <v>74.7</v>
      </c>
      <c r="P333" s="1">
        <v>3.4</v>
      </c>
      <c r="Q333" s="1">
        <v>7108</v>
      </c>
      <c r="R333" s="1">
        <v>8508</v>
      </c>
      <c r="S333" s="1">
        <v>5</v>
      </c>
      <c r="T333" s="1">
        <f>(Table1[[#This Row],[Selling_Price_per_Unit]]-Table1[[#This Row],[Manufacturing_Cost_per_Unit]])*Table1[[#This Row],[Units_Sold]]-Table1[[#This Row],[Marketing_Spend]]-Table1[[#This Row],[Discount_%]]</f>
        <v>8828361.9800000004</v>
      </c>
      <c r="U333" s="3">
        <f>Table1[[#This Row],[profit]]/(Table1[[#This Row],[Units_Sold]]*Table1[[#This Row],[Selling_Price_per_Unit]])*100</f>
        <v>49.857132417553871</v>
      </c>
      <c r="V333" s="6">
        <f>Table1[[#This Row],[Units_Sold]]*Table1[[#This Row],[Selling_Price_per_Unit]]</f>
        <v>17707320</v>
      </c>
      <c r="W333" s="7">
        <f>(Table1[[#This Row],[Units_Sold]]/$Z$1)</f>
        <v>0.90991938254412252</v>
      </c>
      <c r="X333" s="8">
        <f>((Table1[[#This Row],[Units_Sold]]*(Table1[[#This Row],[Selling_Price_per_Unit]]-Table1[[#This Row],[Manufacturing_Cost_per_Unit]]))-Table1[[#This Row],[Marketing_Spend]])/Table1[[#This Row],[Marketing_Spend]]</f>
        <v>26.405887525648005</v>
      </c>
    </row>
    <row r="334" spans="1:24" hidden="1" x14ac:dyDescent="0.3">
      <c r="A334" s="1" t="s">
        <v>351</v>
      </c>
      <c r="B334" s="1" t="s">
        <v>1303</v>
      </c>
      <c r="C334" s="1" t="s">
        <v>1632</v>
      </c>
      <c r="D334" s="1" t="s">
        <v>1637</v>
      </c>
      <c r="E334" s="1">
        <v>2024</v>
      </c>
      <c r="F334" s="1" t="s">
        <v>1641</v>
      </c>
      <c r="G334" s="1">
        <v>2751</v>
      </c>
      <c r="H334" s="1">
        <v>3091</v>
      </c>
      <c r="I334" s="1">
        <v>5836</v>
      </c>
      <c r="J334" s="1">
        <v>56142</v>
      </c>
      <c r="K334" s="1">
        <v>1.25</v>
      </c>
      <c r="L334" s="1">
        <v>18</v>
      </c>
      <c r="M334" s="1">
        <v>4.82</v>
      </c>
      <c r="N334" s="1">
        <v>22.57</v>
      </c>
      <c r="O334" s="1">
        <v>30.75</v>
      </c>
      <c r="P334" s="1">
        <v>2.5</v>
      </c>
      <c r="Q334" s="1">
        <v>14399</v>
      </c>
      <c r="R334" s="1">
        <v>295</v>
      </c>
      <c r="S334" s="1">
        <v>4</v>
      </c>
      <c r="T334" s="1">
        <f>(Table1[[#This Row],[Selling_Price_per_Unit]]-Table1[[#This Row],[Manufacturing_Cost_per_Unit]])*Table1[[#This Row],[Units_Sold]]-Table1[[#This Row],[Marketing_Spend]]-Table1[[#This Row],[Discount_%]]</f>
        <v>-7607659.5700000003</v>
      </c>
      <c r="U334" s="3">
        <f>Table1[[#This Row],[profit]]/(Table1[[#This Row],[Units_Sold]]*Table1[[#This Row],[Selling_Price_per_Unit]])*100</f>
        <v>-89.466711613705712</v>
      </c>
      <c r="V334" s="6">
        <f>Table1[[#This Row],[Units_Sold]]*Table1[[#This Row],[Selling_Price_per_Unit]]</f>
        <v>8503341</v>
      </c>
      <c r="W334" s="7">
        <f>(Table1[[#This Row],[Units_Sold]]/$Z$1)</f>
        <v>0.55075648435178903</v>
      </c>
      <c r="X334" s="8">
        <f>((Table1[[#This Row],[Units_Sold]]*(Table1[[#This Row],[Selling_Price_per_Unit]]-Table1[[#This Row],[Manufacturing_Cost_per_Unit]]))-Table1[[#This Row],[Marketing_Spend]])/Table1[[#This Row],[Marketing_Spend]]</f>
        <v>-135.50705354280217</v>
      </c>
    </row>
    <row r="335" spans="1:24" hidden="1" x14ac:dyDescent="0.3">
      <c r="A335" s="1" t="s">
        <v>352</v>
      </c>
      <c r="B335" s="1" t="s">
        <v>1304</v>
      </c>
      <c r="C335" s="1" t="s">
        <v>1632</v>
      </c>
      <c r="D335" s="1" t="s">
        <v>1638</v>
      </c>
      <c r="E335" s="1">
        <v>2023</v>
      </c>
      <c r="F335" s="1" t="s">
        <v>1642</v>
      </c>
      <c r="G335" s="1">
        <v>1021</v>
      </c>
      <c r="H335" s="1">
        <v>12803</v>
      </c>
      <c r="I335" s="1">
        <v>11312</v>
      </c>
      <c r="J335" s="1">
        <v>471614</v>
      </c>
      <c r="K335" s="1">
        <v>0.28999999999999998</v>
      </c>
      <c r="L335" s="1">
        <v>13</v>
      </c>
      <c r="M335" s="1">
        <v>0.56999999999999995</v>
      </c>
      <c r="N335" s="1">
        <v>17.420000000000002</v>
      </c>
      <c r="O335" s="1">
        <v>60.89</v>
      </c>
      <c r="P335" s="1">
        <v>4.2</v>
      </c>
      <c r="Q335" s="1">
        <v>10792</v>
      </c>
      <c r="R335" s="1">
        <v>3373</v>
      </c>
      <c r="S335" s="1">
        <v>8</v>
      </c>
      <c r="T335" s="1">
        <f>(Table1[[#This Row],[Selling_Price_per_Unit]]-Table1[[#This Row],[Manufacturing_Cost_per_Unit]])*Table1[[#This Row],[Units_Sold]]-Table1[[#This Row],[Marketing_Spend]]-Table1[[#This Row],[Discount_%]]</f>
        <v>1050679.58</v>
      </c>
      <c r="U335" s="3">
        <f>Table1[[#This Row],[profit]]/(Table1[[#This Row],[Units_Sold]]*Table1[[#This Row],[Selling_Price_per_Unit]])*100</f>
        <v>8.0377187245612962</v>
      </c>
      <c r="V335" s="6">
        <f>Table1[[#This Row],[Units_Sold]]*Table1[[#This Row],[Selling_Price_per_Unit]]</f>
        <v>13071863</v>
      </c>
      <c r="W335" s="7">
        <f>(Table1[[#This Row],[Units_Sold]]/$Z$1)</f>
        <v>0.20440653236029682</v>
      </c>
      <c r="X335" s="8">
        <f>((Table1[[#This Row],[Units_Sold]]*(Table1[[#This Row],[Selling_Price_per_Unit]]-Table1[[#This Row],[Manufacturing_Cost_per_Unit]]))-Table1[[#This Row],[Marketing_Spend]])/Table1[[#This Row],[Marketing_Spend]]</f>
        <v>2.2278749146547812</v>
      </c>
    </row>
    <row r="336" spans="1:24" hidden="1" x14ac:dyDescent="0.3">
      <c r="A336" s="1" t="s">
        <v>353</v>
      </c>
      <c r="B336" s="1" t="s">
        <v>1117</v>
      </c>
      <c r="C336" s="1" t="s">
        <v>1632</v>
      </c>
      <c r="D336" s="1" t="s">
        <v>1638</v>
      </c>
      <c r="E336" s="1">
        <v>2024</v>
      </c>
      <c r="F336" s="1" t="s">
        <v>1641</v>
      </c>
      <c r="G336" s="1">
        <v>1216</v>
      </c>
      <c r="H336" s="1">
        <v>7683</v>
      </c>
      <c r="I336" s="1">
        <v>12182</v>
      </c>
      <c r="J336" s="1">
        <v>233043</v>
      </c>
      <c r="K336" s="1">
        <v>2.4900000000000002</v>
      </c>
      <c r="L336" s="1">
        <v>7</v>
      </c>
      <c r="M336" s="1">
        <v>1.75</v>
      </c>
      <c r="N336" s="1">
        <v>2.42</v>
      </c>
      <c r="O336" s="1">
        <v>46.34</v>
      </c>
      <c r="P336" s="1">
        <v>4.5</v>
      </c>
      <c r="Q336" s="1">
        <v>11362</v>
      </c>
      <c r="R336" s="1">
        <v>5210</v>
      </c>
      <c r="S336" s="1">
        <v>12</v>
      </c>
      <c r="T336" s="1">
        <f>(Table1[[#This Row],[Selling_Price_per_Unit]]-Table1[[#This Row],[Manufacturing_Cost_per_Unit]])*Table1[[#This Row],[Units_Sold]]-Table1[[#This Row],[Marketing_Spend]]-Table1[[#This Row],[Discount_%]]</f>
        <v>-5703829.4199999999</v>
      </c>
      <c r="U336" s="3">
        <f>Table1[[#This Row],[profit]]/(Table1[[#This Row],[Units_Sold]]*Table1[[#This Row],[Selling_Price_per_Unit]])*100</f>
        <v>-61.052312821540376</v>
      </c>
      <c r="V336" s="6">
        <f>Table1[[#This Row],[Units_Sold]]*Table1[[#This Row],[Selling_Price_per_Unit]]</f>
        <v>9342528</v>
      </c>
      <c r="W336" s="7">
        <f>(Table1[[#This Row],[Units_Sold]]/$Z$1)</f>
        <v>0.24344597781598526</v>
      </c>
      <c r="X336" s="8">
        <f>((Table1[[#This Row],[Units_Sold]]*(Table1[[#This Row],[Selling_Price_per_Unit]]-Table1[[#This Row],[Manufacturing_Cost_per_Unit]]))-Table1[[#This Row],[Marketing_Spend]])/Table1[[#This Row],[Marketing_Spend]]</f>
        <v>-24.475427281660465</v>
      </c>
    </row>
    <row r="337" spans="1:24" x14ac:dyDescent="0.3">
      <c r="A337" s="1" t="s">
        <v>354</v>
      </c>
      <c r="B337" s="1" t="s">
        <v>1216</v>
      </c>
      <c r="C337" s="1" t="s">
        <v>1634</v>
      </c>
      <c r="D337" s="1" t="s">
        <v>1637</v>
      </c>
      <c r="E337" s="1">
        <v>2024</v>
      </c>
      <c r="F337" s="1" t="s">
        <v>1641</v>
      </c>
      <c r="G337" s="1">
        <v>4979</v>
      </c>
      <c r="H337" s="1">
        <v>2812</v>
      </c>
      <c r="I337" s="1">
        <v>11622</v>
      </c>
      <c r="J337" s="1">
        <v>354006</v>
      </c>
      <c r="K337" s="1">
        <v>13.36</v>
      </c>
      <c r="L337" s="1">
        <v>12</v>
      </c>
      <c r="M337" s="1">
        <v>7.07</v>
      </c>
      <c r="N337" s="1">
        <v>6.85</v>
      </c>
      <c r="O337" s="1">
        <v>79.069999999999993</v>
      </c>
      <c r="P337" s="1">
        <v>4.4000000000000004</v>
      </c>
      <c r="Q337" s="1">
        <v>7031</v>
      </c>
      <c r="R337" s="1">
        <v>7501</v>
      </c>
      <c r="S337" s="1">
        <v>12</v>
      </c>
      <c r="T337" s="1">
        <f>(Table1[[#This Row],[Selling_Price_per_Unit]]-Table1[[#This Row],[Manufacturing_Cost_per_Unit]])*Table1[[#This Row],[Units_Sold]]-Table1[[#This Row],[Marketing_Spend]]-Table1[[#This Row],[Discount_%]]</f>
        <v>-44219002.850000001</v>
      </c>
      <c r="U337" s="3">
        <f>Table1[[#This Row],[profit]]/(Table1[[#This Row],[Units_Sold]]*Table1[[#This Row],[Selling_Price_per_Unit]])*100</f>
        <v>-315.82863424676674</v>
      </c>
      <c r="V337" s="6">
        <f>Table1[[#This Row],[Units_Sold]]*Table1[[#This Row],[Selling_Price_per_Unit]]</f>
        <v>14000948</v>
      </c>
      <c r="W337" s="7">
        <f>(Table1[[#This Row],[Units_Sold]]/$Z$1)</f>
        <v>0.99680717396857776</v>
      </c>
      <c r="X337" s="8">
        <f>((Table1[[#This Row],[Units_Sold]]*(Table1[[#This Row],[Selling_Price_per_Unit]]-Table1[[#This Row],[Manufacturing_Cost_per_Unit]]))-Table1[[#This Row],[Marketing_Spend]])/Table1[[#This Row],[Marketing_Spend]]</f>
        <v>-124.91030095535103</v>
      </c>
    </row>
    <row r="338" spans="1:24" hidden="1" x14ac:dyDescent="0.3">
      <c r="A338" s="1" t="s">
        <v>355</v>
      </c>
      <c r="B338" s="1" t="s">
        <v>1171</v>
      </c>
      <c r="C338" s="1" t="s">
        <v>1633</v>
      </c>
      <c r="D338" s="1" t="s">
        <v>1637</v>
      </c>
      <c r="E338" s="1">
        <v>2024</v>
      </c>
      <c r="F338" s="1" t="s">
        <v>1639</v>
      </c>
      <c r="G338" s="1">
        <v>2824</v>
      </c>
      <c r="H338" s="1">
        <v>8814</v>
      </c>
      <c r="I338" s="1">
        <v>3363</v>
      </c>
      <c r="J338" s="1">
        <v>234482</v>
      </c>
      <c r="K338" s="1">
        <v>3.62</v>
      </c>
      <c r="L338" s="1">
        <v>19</v>
      </c>
      <c r="M338" s="1">
        <v>7.12</v>
      </c>
      <c r="N338" s="1">
        <v>8</v>
      </c>
      <c r="O338" s="1">
        <v>83.36</v>
      </c>
      <c r="P338" s="1">
        <v>4.0999999999999996</v>
      </c>
      <c r="Q338" s="1">
        <v>11912</v>
      </c>
      <c r="R338" s="1">
        <v>3312</v>
      </c>
      <c r="S338" s="1">
        <v>8</v>
      </c>
      <c r="T338" s="1">
        <f>(Table1[[#This Row],[Selling_Price_per_Unit]]-Table1[[#This Row],[Manufacturing_Cost_per_Unit]])*Table1[[#This Row],[Units_Sold]]-Table1[[#This Row],[Marketing_Spend]]-Table1[[#This Row],[Discount_%]]</f>
        <v>15159134</v>
      </c>
      <c r="U338" s="3">
        <f>Table1[[#This Row],[profit]]/(Table1[[#This Row],[Units_Sold]]*Table1[[#This Row],[Selling_Price_per_Unit]])*100</f>
        <v>60.902714969939019</v>
      </c>
      <c r="V338" s="6">
        <f>Table1[[#This Row],[Units_Sold]]*Table1[[#This Row],[Selling_Price_per_Unit]]</f>
        <v>24890736</v>
      </c>
      <c r="W338" s="7">
        <f>(Table1[[#This Row],[Units_Sold]]/$Z$1)</f>
        <v>0.56537125111212361</v>
      </c>
      <c r="X338" s="8">
        <f>((Table1[[#This Row],[Units_Sold]]*(Table1[[#This Row],[Selling_Price_per_Unit]]-Table1[[#This Row],[Manufacturing_Cost_per_Unit]]))-Table1[[#This Row],[Marketing_Spend]])/Table1[[#This Row],[Marketing_Spend]]</f>
        <v>64.649491218942174</v>
      </c>
    </row>
    <row r="339" spans="1:24" hidden="1" x14ac:dyDescent="0.3">
      <c r="A339" s="1" t="s">
        <v>356</v>
      </c>
      <c r="B339" s="1" t="s">
        <v>1305</v>
      </c>
      <c r="C339" s="1" t="s">
        <v>1633</v>
      </c>
      <c r="D339" s="1" t="s">
        <v>1636</v>
      </c>
      <c r="E339" s="1">
        <v>2023</v>
      </c>
      <c r="F339" s="1" t="s">
        <v>1642</v>
      </c>
      <c r="G339" s="1">
        <v>2032</v>
      </c>
      <c r="H339" s="1">
        <v>3639</v>
      </c>
      <c r="I339" s="1">
        <v>4092</v>
      </c>
      <c r="J339" s="1">
        <v>200575</v>
      </c>
      <c r="K339" s="1">
        <v>5.31</v>
      </c>
      <c r="L339" s="1">
        <v>2</v>
      </c>
      <c r="M339" s="1">
        <v>8.98</v>
      </c>
      <c r="N339" s="1">
        <v>19.079999999999998</v>
      </c>
      <c r="O339" s="1">
        <v>89.74</v>
      </c>
      <c r="P339" s="1">
        <v>2.1</v>
      </c>
      <c r="Q339" s="1">
        <v>7844</v>
      </c>
      <c r="R339" s="1">
        <v>2855</v>
      </c>
      <c r="S339" s="1">
        <v>5</v>
      </c>
      <c r="T339" s="1">
        <f>(Table1[[#This Row],[Selling_Price_per_Unit]]-Table1[[#This Row],[Manufacturing_Cost_per_Unit]])*Table1[[#This Row],[Units_Sold]]-Table1[[#This Row],[Marketing_Spend]]-Table1[[#This Row],[Discount_%]]</f>
        <v>-1121090.08</v>
      </c>
      <c r="U339" s="3">
        <f>Table1[[#This Row],[profit]]/(Table1[[#This Row],[Units_Sold]]*Table1[[#This Row],[Selling_Price_per_Unit]])*100</f>
        <v>-15.161240974309376</v>
      </c>
      <c r="V339" s="6">
        <f>Table1[[#This Row],[Units_Sold]]*Table1[[#This Row],[Selling_Price_per_Unit]]</f>
        <v>7394448</v>
      </c>
      <c r="W339" s="7">
        <f>(Table1[[#This Row],[Units_Sold]]/$Z$1)</f>
        <v>0.40681104187671219</v>
      </c>
      <c r="X339" s="8">
        <f>((Table1[[#This Row],[Units_Sold]]*(Table1[[#This Row],[Selling_Price_per_Unit]]-Table1[[#This Row],[Manufacturing_Cost_per_Unit]]))-Table1[[#This Row],[Marketing_Spend]])/Table1[[#This Row],[Marketing_Spend]]</f>
        <v>-5.5892858033154678</v>
      </c>
    </row>
    <row r="340" spans="1:24" hidden="1" x14ac:dyDescent="0.3">
      <c r="A340" s="1" t="s">
        <v>357</v>
      </c>
      <c r="B340" s="1" t="s">
        <v>1103</v>
      </c>
      <c r="C340" s="1" t="s">
        <v>1632</v>
      </c>
      <c r="D340" s="1" t="s">
        <v>1637</v>
      </c>
      <c r="E340" s="1">
        <v>2024</v>
      </c>
      <c r="F340" s="1" t="s">
        <v>1640</v>
      </c>
      <c r="G340" s="1">
        <v>903</v>
      </c>
      <c r="H340" s="1">
        <v>16188</v>
      </c>
      <c r="I340" s="1">
        <v>13613</v>
      </c>
      <c r="J340" s="1">
        <v>175438</v>
      </c>
      <c r="K340" s="1">
        <v>1.58</v>
      </c>
      <c r="L340" s="1">
        <v>4</v>
      </c>
      <c r="M340" s="1">
        <v>5.83</v>
      </c>
      <c r="N340" s="1">
        <v>20.059999999999999</v>
      </c>
      <c r="O340" s="1">
        <v>22.29</v>
      </c>
      <c r="P340" s="1">
        <v>4.2</v>
      </c>
      <c r="Q340" s="1">
        <v>18259</v>
      </c>
      <c r="R340" s="1">
        <v>1621</v>
      </c>
      <c r="S340" s="1">
        <v>13</v>
      </c>
      <c r="T340" s="1">
        <f>(Table1[[#This Row],[Selling_Price_per_Unit]]-Table1[[#This Row],[Manufacturing_Cost_per_Unit]])*Table1[[#This Row],[Units_Sold]]-Table1[[#This Row],[Marketing_Spend]]-Table1[[#This Row],[Discount_%]]</f>
        <v>2149766.94</v>
      </c>
      <c r="U340" s="3">
        <f>Table1[[#This Row],[profit]]/(Table1[[#This Row],[Units_Sold]]*Table1[[#This Row],[Selling_Price_per_Unit]])*100</f>
        <v>14.706537470436654</v>
      </c>
      <c r="V340" s="6">
        <f>Table1[[#This Row],[Units_Sold]]*Table1[[#This Row],[Selling_Price_per_Unit]]</f>
        <v>14617764</v>
      </c>
      <c r="W340" s="7">
        <f>(Table1[[#This Row],[Units_Sold]]/$Z$1)</f>
        <v>0.18078266280249564</v>
      </c>
      <c r="X340" s="8">
        <f>((Table1[[#This Row],[Units_Sold]]*(Table1[[#This Row],[Selling_Price_per_Unit]]-Table1[[#This Row],[Manufacturing_Cost_per_Unit]]))-Table1[[#This Row],[Marketing_Spend]])/Table1[[#This Row],[Marketing_Spend]]</f>
        <v>12.253827563013715</v>
      </c>
    </row>
    <row r="341" spans="1:24" hidden="1" x14ac:dyDescent="0.3">
      <c r="A341" s="1" t="s">
        <v>945</v>
      </c>
      <c r="B341" s="1" t="s">
        <v>1129</v>
      </c>
      <c r="C341" s="1" t="s">
        <v>1632</v>
      </c>
      <c r="D341" s="1" t="s">
        <v>1638</v>
      </c>
      <c r="E341" s="1">
        <v>2023</v>
      </c>
      <c r="F341" s="1" t="s">
        <v>1642</v>
      </c>
      <c r="G341" s="1">
        <v>3278</v>
      </c>
      <c r="H341" s="1">
        <v>13829</v>
      </c>
      <c r="I341" s="1">
        <v>2646</v>
      </c>
      <c r="J341" s="1">
        <v>156611</v>
      </c>
      <c r="K341" s="1">
        <v>5.39</v>
      </c>
      <c r="L341" s="1">
        <v>7</v>
      </c>
      <c r="M341" s="1">
        <v>6.06</v>
      </c>
      <c r="N341" s="1">
        <v>7.15</v>
      </c>
      <c r="O341" s="1">
        <v>39.83</v>
      </c>
      <c r="P341" s="1">
        <v>4.2</v>
      </c>
      <c r="Q341" s="1">
        <v>11755</v>
      </c>
      <c r="R341" s="1">
        <v>8047</v>
      </c>
      <c r="S341" s="1">
        <v>4</v>
      </c>
      <c r="T341" s="1">
        <f>(Table1[[#This Row],[Selling_Price_per_Unit]]-Table1[[#This Row],[Manufacturing_Cost_per_Unit]])*Table1[[#This Row],[Units_Sold]]-Table1[[#This Row],[Marketing_Spend]]-Table1[[#This Row],[Discount_%]]</f>
        <v>36501255.850000001</v>
      </c>
      <c r="U341" s="3">
        <f>Table1[[#This Row],[profit]]/(Table1[[#This Row],[Units_Sold]]*Table1[[#This Row],[Selling_Price_per_Unit]])*100</f>
        <v>80.520799990964335</v>
      </c>
      <c r="V341" s="6">
        <f>Table1[[#This Row],[Units_Sold]]*Table1[[#This Row],[Selling_Price_per_Unit]]</f>
        <v>45331462</v>
      </c>
      <c r="W341" s="7">
        <f>(Table1[[#This Row],[Units_Sold]]/$Z$1)</f>
        <v>0.65626308822434187</v>
      </c>
      <c r="X341" s="8">
        <f>((Table1[[#This Row],[Units_Sold]]*(Table1[[#This Row],[Selling_Price_per_Unit]]-Table1[[#This Row],[Manufacturing_Cost_per_Unit]]))-Table1[[#This Row],[Marketing_Spend]])/Table1[[#This Row],[Marketing_Spend]]</f>
        <v>233.06959919801292</v>
      </c>
    </row>
    <row r="342" spans="1:24" x14ac:dyDescent="0.3">
      <c r="A342" s="1" t="s">
        <v>359</v>
      </c>
      <c r="B342" s="1" t="s">
        <v>1307</v>
      </c>
      <c r="C342" s="1" t="s">
        <v>1634</v>
      </c>
      <c r="D342" s="1" t="s">
        <v>1637</v>
      </c>
      <c r="E342" s="1">
        <v>2024</v>
      </c>
      <c r="F342" s="1" t="s">
        <v>1642</v>
      </c>
      <c r="G342" s="1">
        <v>3786</v>
      </c>
      <c r="H342" s="1">
        <v>8424</v>
      </c>
      <c r="I342" s="1">
        <v>5231</v>
      </c>
      <c r="J342" s="1">
        <v>150167</v>
      </c>
      <c r="K342" s="1">
        <v>7.79</v>
      </c>
      <c r="L342" s="1">
        <v>5</v>
      </c>
      <c r="M342" s="1">
        <v>1.21</v>
      </c>
      <c r="N342" s="1">
        <v>10.45</v>
      </c>
      <c r="O342" s="1">
        <v>31.28</v>
      </c>
      <c r="P342" s="1">
        <v>1.2</v>
      </c>
      <c r="Q342" s="1">
        <v>19493</v>
      </c>
      <c r="R342" s="1">
        <v>1180</v>
      </c>
      <c r="S342" s="1">
        <v>12</v>
      </c>
      <c r="T342" s="1">
        <f>(Table1[[#This Row],[Selling_Price_per_Unit]]-Table1[[#This Row],[Manufacturing_Cost_per_Unit]])*Table1[[#This Row],[Units_Sold]]-Table1[[#This Row],[Marketing_Spend]]-Table1[[#This Row],[Discount_%]]</f>
        <v>11938520.550000001</v>
      </c>
      <c r="U342" s="3">
        <f>Table1[[#This Row],[profit]]/(Table1[[#This Row],[Units_Sold]]*Table1[[#This Row],[Selling_Price_per_Unit]])*100</f>
        <v>37.4327336016784</v>
      </c>
      <c r="V342" s="6">
        <f>Table1[[#This Row],[Units_Sold]]*Table1[[#This Row],[Selling_Price_per_Unit]]</f>
        <v>31893264</v>
      </c>
      <c r="W342" s="7">
        <f>(Table1[[#This Row],[Units_Sold]]/$Z$1)</f>
        <v>0.75796584869351991</v>
      </c>
      <c r="X342" s="8">
        <f>((Table1[[#This Row],[Units_Sold]]*(Table1[[#This Row],[Selling_Price_per_Unit]]-Table1[[#This Row],[Manufacturing_Cost_per_Unit]]))-Table1[[#This Row],[Marketing_Spend]])/Table1[[#This Row],[Marketing_Spend]]</f>
        <v>79.501694779811814</v>
      </c>
    </row>
    <row r="343" spans="1:24" x14ac:dyDescent="0.3">
      <c r="A343" s="1" t="s">
        <v>360</v>
      </c>
      <c r="B343" s="1" t="s">
        <v>1308</v>
      </c>
      <c r="C343" s="1" t="s">
        <v>1632</v>
      </c>
      <c r="D343" s="1" t="s">
        <v>1637</v>
      </c>
      <c r="E343" s="1">
        <v>2024</v>
      </c>
      <c r="F343" s="1" t="s">
        <v>1642</v>
      </c>
      <c r="G343" s="1">
        <v>3819</v>
      </c>
      <c r="H343" s="1">
        <v>1862</v>
      </c>
      <c r="I343" s="1">
        <v>7641</v>
      </c>
      <c r="J343" s="1">
        <v>394179</v>
      </c>
      <c r="K343" s="1">
        <v>9.1199999999999992</v>
      </c>
      <c r="L343" s="1">
        <v>1</v>
      </c>
      <c r="M343" s="1">
        <v>7.21</v>
      </c>
      <c r="N343" s="1">
        <v>1.1100000000000001</v>
      </c>
      <c r="O343" s="1">
        <v>57.27</v>
      </c>
      <c r="P343" s="1">
        <v>2.8</v>
      </c>
      <c r="Q343" s="1">
        <v>17658</v>
      </c>
      <c r="R343" s="1">
        <v>5723</v>
      </c>
      <c r="S343" s="1">
        <v>3</v>
      </c>
      <c r="T343" s="1">
        <f>(Table1[[#This Row],[Selling_Price_per_Unit]]-Table1[[#This Row],[Manufacturing_Cost_per_Unit]])*Table1[[#This Row],[Units_Sold]]-Table1[[#This Row],[Marketing_Spend]]-Table1[[#This Row],[Discount_%]]</f>
        <v>-22464181.109999999</v>
      </c>
      <c r="U343" s="3">
        <f>Table1[[#This Row],[profit]]/(Table1[[#This Row],[Units_Sold]]*Table1[[#This Row],[Selling_Price_per_Unit]])*100</f>
        <v>-315.9084602708657</v>
      </c>
      <c r="V343" s="6">
        <f>Table1[[#This Row],[Units_Sold]]*Table1[[#This Row],[Selling_Price_per_Unit]]</f>
        <v>7110978</v>
      </c>
      <c r="W343" s="7">
        <f>(Table1[[#This Row],[Units_Sold]]/$Z$1)</f>
        <v>0.76457252407832865</v>
      </c>
      <c r="X343" s="8">
        <f>((Table1[[#This Row],[Units_Sold]]*(Table1[[#This Row],[Selling_Price_per_Unit]]-Table1[[#This Row],[Manufacturing_Cost_per_Unit]]))-Table1[[#This Row],[Marketing_Spend]])/Table1[[#This Row],[Marketing_Spend]]</f>
        <v>-56.989793976848084</v>
      </c>
    </row>
    <row r="344" spans="1:24" hidden="1" x14ac:dyDescent="0.3">
      <c r="A344" s="1" t="s">
        <v>361</v>
      </c>
      <c r="B344" s="1" t="s">
        <v>1309</v>
      </c>
      <c r="C344" s="1" t="s">
        <v>1632</v>
      </c>
      <c r="D344" s="1" t="s">
        <v>1637</v>
      </c>
      <c r="E344" s="1">
        <v>2024</v>
      </c>
      <c r="F344" s="1" t="s">
        <v>1641</v>
      </c>
      <c r="G344" s="1">
        <v>624</v>
      </c>
      <c r="H344" s="1">
        <v>14981</v>
      </c>
      <c r="I344" s="1">
        <v>14166</v>
      </c>
      <c r="J344" s="1">
        <v>320160</v>
      </c>
      <c r="K344" s="1">
        <v>3.68</v>
      </c>
      <c r="L344" s="1">
        <v>12</v>
      </c>
      <c r="M344" s="1">
        <v>1.84</v>
      </c>
      <c r="N344" s="1">
        <v>7.23</v>
      </c>
      <c r="O344" s="1">
        <v>50.46</v>
      </c>
      <c r="P344" s="1">
        <v>4.8</v>
      </c>
      <c r="Q344" s="1">
        <v>20823</v>
      </c>
      <c r="R344" s="1">
        <v>821</v>
      </c>
      <c r="S344" s="1">
        <v>2</v>
      </c>
      <c r="T344" s="1">
        <f>(Table1[[#This Row],[Selling_Price_per_Unit]]-Table1[[#This Row],[Manufacturing_Cost_per_Unit]])*Table1[[#This Row],[Units_Sold]]-Table1[[#This Row],[Marketing_Spend]]-Table1[[#This Row],[Discount_%]]</f>
        <v>188392.77</v>
      </c>
      <c r="U344" s="3">
        <f>Table1[[#This Row],[profit]]/(Table1[[#This Row],[Units_Sold]]*Table1[[#This Row],[Selling_Price_per_Unit]])*100</f>
        <v>2.0152959774688965</v>
      </c>
      <c r="V344" s="6">
        <f>Table1[[#This Row],[Units_Sold]]*Table1[[#This Row],[Selling_Price_per_Unit]]</f>
        <v>9348144</v>
      </c>
      <c r="W344" s="7">
        <f>(Table1[[#This Row],[Units_Sold]]/$Z$1)</f>
        <v>0.12492622545820296</v>
      </c>
      <c r="X344" s="8">
        <f>((Table1[[#This Row],[Units_Sold]]*(Table1[[#This Row],[Selling_Price_per_Unit]]-Table1[[#This Row],[Manufacturing_Cost_per_Unit]]))-Table1[[#This Row],[Marketing_Spend]])/Table1[[#This Row],[Marketing_Spend]]</f>
        <v>0.58845577211394307</v>
      </c>
    </row>
    <row r="345" spans="1:24" hidden="1" x14ac:dyDescent="0.3">
      <c r="A345" s="1" t="s">
        <v>362</v>
      </c>
      <c r="B345" s="1" t="s">
        <v>1310</v>
      </c>
      <c r="C345" s="1" t="s">
        <v>1634</v>
      </c>
      <c r="D345" s="1" t="s">
        <v>1638</v>
      </c>
      <c r="E345" s="1">
        <v>2023</v>
      </c>
      <c r="F345" s="1" t="s">
        <v>1640</v>
      </c>
      <c r="G345" s="1">
        <v>3311</v>
      </c>
      <c r="H345" s="1">
        <v>5238</v>
      </c>
      <c r="I345" s="1">
        <v>7443</v>
      </c>
      <c r="J345" s="1">
        <v>314528</v>
      </c>
      <c r="K345" s="1">
        <v>0.87</v>
      </c>
      <c r="L345" s="1">
        <v>4</v>
      </c>
      <c r="M345" s="1">
        <v>3.28</v>
      </c>
      <c r="N345" s="1">
        <v>11.28</v>
      </c>
      <c r="O345" s="1">
        <v>11.44</v>
      </c>
      <c r="P345" s="1">
        <v>4.5999999999999996</v>
      </c>
      <c r="Q345" s="1">
        <v>19497</v>
      </c>
      <c r="R345" s="1">
        <v>1662</v>
      </c>
      <c r="S345" s="1">
        <v>13</v>
      </c>
      <c r="T345" s="1">
        <f>(Table1[[#This Row],[Selling_Price_per_Unit]]-Table1[[#This Row],[Manufacturing_Cost_per_Unit]])*Table1[[#This Row],[Units_Sold]]-Table1[[#This Row],[Marketing_Spend]]-Table1[[#This Row],[Discount_%]]</f>
        <v>-7615294.2800000003</v>
      </c>
      <c r="U345" s="3">
        <f>Table1[[#This Row],[profit]]/(Table1[[#This Row],[Units_Sold]]*Table1[[#This Row],[Selling_Price_per_Unit]])*100</f>
        <v>-43.909856289141835</v>
      </c>
      <c r="V345" s="6">
        <f>Table1[[#This Row],[Units_Sold]]*Table1[[#This Row],[Selling_Price_per_Unit]]</f>
        <v>17343018</v>
      </c>
      <c r="W345" s="7">
        <f>(Table1[[#This Row],[Units_Sold]]/$Z$1)</f>
        <v>0.66286976360915062</v>
      </c>
      <c r="X345" s="8">
        <f>((Table1[[#This Row],[Units_Sold]]*(Table1[[#This Row],[Selling_Price_per_Unit]]-Table1[[#This Row],[Manufacturing_Cost_per_Unit]]))-Table1[[#This Row],[Marketing_Spend]])/Table1[[#This Row],[Marketing_Spend]]</f>
        <v>-24.211780827144164</v>
      </c>
    </row>
    <row r="346" spans="1:24" hidden="1" x14ac:dyDescent="0.3">
      <c r="A346" s="1" t="s">
        <v>363</v>
      </c>
      <c r="B346" s="1" t="s">
        <v>1302</v>
      </c>
      <c r="C346" s="1" t="s">
        <v>1634</v>
      </c>
      <c r="D346" s="1" t="s">
        <v>1637</v>
      </c>
      <c r="E346" s="1">
        <v>2023</v>
      </c>
      <c r="F346" s="1" t="s">
        <v>1639</v>
      </c>
      <c r="G346" s="1">
        <v>1198</v>
      </c>
      <c r="H346" s="1">
        <v>3969</v>
      </c>
      <c r="I346" s="1">
        <v>11939</v>
      </c>
      <c r="J346" s="1">
        <v>243392</v>
      </c>
      <c r="K346" s="1">
        <v>5.87</v>
      </c>
      <c r="L346" s="1">
        <v>7</v>
      </c>
      <c r="M346" s="1">
        <v>4.87</v>
      </c>
      <c r="N346" s="1">
        <v>2.92</v>
      </c>
      <c r="O346" s="1">
        <v>84.62</v>
      </c>
      <c r="P346" s="1">
        <v>1.4</v>
      </c>
      <c r="Q346" s="1">
        <v>5179</v>
      </c>
      <c r="R346" s="1">
        <v>739</v>
      </c>
      <c r="S346" s="1">
        <v>3</v>
      </c>
      <c r="T346" s="1">
        <f>(Table1[[#This Row],[Selling_Price_per_Unit]]-Table1[[#This Row],[Manufacturing_Cost_per_Unit]])*Table1[[#This Row],[Units_Sold]]-Table1[[#This Row],[Marketing_Spend]]-Table1[[#This Row],[Discount_%]]</f>
        <v>-9791454.9199999999</v>
      </c>
      <c r="U346" s="3">
        <f>Table1[[#This Row],[profit]]/(Table1[[#This Row],[Units_Sold]]*Table1[[#This Row],[Selling_Price_per_Unit]])*100</f>
        <v>-205.92511244280067</v>
      </c>
      <c r="V346" s="6">
        <f>Table1[[#This Row],[Units_Sold]]*Table1[[#This Row],[Selling_Price_per_Unit]]</f>
        <v>4754862</v>
      </c>
      <c r="W346" s="7">
        <f>(Table1[[#This Row],[Units_Sold]]/$Z$1)</f>
        <v>0.23984233669699864</v>
      </c>
      <c r="X346" s="8">
        <f>((Table1[[#This Row],[Units_Sold]]*(Table1[[#This Row],[Selling_Price_per_Unit]]-Table1[[#This Row],[Manufacturing_Cost_per_Unit]]))-Table1[[#This Row],[Marketing_Spend]])/Table1[[#This Row],[Marketing_Spend]]</f>
        <v>-40.229144754141466</v>
      </c>
    </row>
    <row r="347" spans="1:24" hidden="1" x14ac:dyDescent="0.3">
      <c r="A347" s="1" t="s">
        <v>63</v>
      </c>
      <c r="B347" s="1" t="s">
        <v>1063</v>
      </c>
      <c r="C347" s="1" t="s">
        <v>1634</v>
      </c>
      <c r="D347" s="1" t="s">
        <v>1636</v>
      </c>
      <c r="E347" s="1">
        <v>2024</v>
      </c>
      <c r="F347" s="1" t="s">
        <v>1641</v>
      </c>
      <c r="G347" s="1">
        <v>2874</v>
      </c>
      <c r="H347" s="1">
        <v>15922</v>
      </c>
      <c r="I347" s="1">
        <v>3155</v>
      </c>
      <c r="J347" s="1">
        <v>263981</v>
      </c>
      <c r="K347" s="1">
        <v>10.64</v>
      </c>
      <c r="L347" s="1">
        <v>2</v>
      </c>
      <c r="M347" s="1">
        <v>1.08</v>
      </c>
      <c r="N347" s="1">
        <v>8.5399999999999991</v>
      </c>
      <c r="O347" s="1">
        <v>78.28</v>
      </c>
      <c r="P347" s="1">
        <v>5</v>
      </c>
      <c r="Q347" s="1">
        <v>2102</v>
      </c>
      <c r="R347" s="1">
        <v>2886</v>
      </c>
      <c r="S347" s="1">
        <v>4</v>
      </c>
      <c r="T347" s="1">
        <f>(Table1[[#This Row],[Selling_Price_per_Unit]]-Table1[[#This Row],[Manufacturing_Cost_per_Unit]])*Table1[[#This Row],[Units_Sold]]-Table1[[#This Row],[Marketing_Spend]]-Table1[[#This Row],[Discount_%]]</f>
        <v>36428368.460000001</v>
      </c>
      <c r="U347" s="3">
        <f>Table1[[#This Row],[profit]]/(Table1[[#This Row],[Units_Sold]]*Table1[[#This Row],[Selling_Price_per_Unit]])*100</f>
        <v>79.607747782618418</v>
      </c>
      <c r="V347" s="6">
        <f>Table1[[#This Row],[Units_Sold]]*Table1[[#This Row],[Selling_Price_per_Unit]]</f>
        <v>45759828</v>
      </c>
      <c r="W347" s="7">
        <f>(Table1[[#This Row],[Units_Sold]]/$Z$1)</f>
        <v>0.57538136533153095</v>
      </c>
      <c r="X347" s="8">
        <f>((Table1[[#This Row],[Units_Sold]]*(Table1[[#This Row],[Selling_Price_per_Unit]]-Table1[[#This Row],[Manufacturing_Cost_per_Unit]]))-Table1[[#This Row],[Marketing_Spend]])/Table1[[#This Row],[Marketing_Spend]]</f>
        <v>137.99620806042859</v>
      </c>
    </row>
    <row r="348" spans="1:24" hidden="1" x14ac:dyDescent="0.3">
      <c r="A348" s="1" t="s">
        <v>514</v>
      </c>
      <c r="B348" s="1" t="s">
        <v>1283</v>
      </c>
      <c r="C348" s="1" t="s">
        <v>1633</v>
      </c>
      <c r="D348" s="1" t="s">
        <v>1636</v>
      </c>
      <c r="E348" s="1">
        <v>2024</v>
      </c>
      <c r="F348" s="1" t="s">
        <v>1641</v>
      </c>
      <c r="G348" s="1">
        <v>3686</v>
      </c>
      <c r="H348" s="1">
        <v>11933</v>
      </c>
      <c r="I348" s="1">
        <v>1971</v>
      </c>
      <c r="J348" s="1">
        <v>368215</v>
      </c>
      <c r="K348" s="1">
        <v>13.19</v>
      </c>
      <c r="L348" s="1">
        <v>0</v>
      </c>
      <c r="M348" s="1">
        <v>0.32</v>
      </c>
      <c r="N348" s="1">
        <v>15.97</v>
      </c>
      <c r="O348" s="1">
        <v>80.930000000000007</v>
      </c>
      <c r="P348" s="1">
        <v>2.4</v>
      </c>
      <c r="Q348" s="1">
        <v>20787</v>
      </c>
      <c r="R348" s="1">
        <v>970</v>
      </c>
      <c r="S348" s="1">
        <v>5</v>
      </c>
      <c r="T348" s="1">
        <f>(Table1[[#This Row],[Selling_Price_per_Unit]]-Table1[[#This Row],[Manufacturing_Cost_per_Unit]])*Table1[[#This Row],[Units_Sold]]-Table1[[#This Row],[Marketing_Spend]]-Table1[[#This Row],[Discount_%]]</f>
        <v>36351701.030000001</v>
      </c>
      <c r="U348" s="3">
        <f>Table1[[#This Row],[profit]]/(Table1[[#This Row],[Units_Sold]]*Table1[[#This Row],[Selling_Price_per_Unit]])*100</f>
        <v>82.645605603432699</v>
      </c>
      <c r="V348" s="6">
        <f>Table1[[#This Row],[Units_Sold]]*Table1[[#This Row],[Selling_Price_per_Unit]]</f>
        <v>43985038</v>
      </c>
      <c r="W348" s="7">
        <f>(Table1[[#This Row],[Units_Sold]]/$Z$1)</f>
        <v>0.73794562025470534</v>
      </c>
      <c r="X348" s="8">
        <f>((Table1[[#This Row],[Units_Sold]]*(Table1[[#This Row],[Selling_Price_per_Unit]]-Table1[[#This Row],[Manufacturing_Cost_per_Unit]]))-Table1[[#This Row],[Marketing_Spend]])/Table1[[#This Row],[Marketing_Spend]]</f>
        <v>98.724161155846446</v>
      </c>
    </row>
    <row r="349" spans="1:24" x14ac:dyDescent="0.3">
      <c r="A349" s="1" t="s">
        <v>366</v>
      </c>
      <c r="B349" s="1" t="s">
        <v>1312</v>
      </c>
      <c r="C349" s="1" t="s">
        <v>1632</v>
      </c>
      <c r="D349" s="1" t="s">
        <v>1635</v>
      </c>
      <c r="E349" s="1">
        <v>2023</v>
      </c>
      <c r="F349" s="1" t="s">
        <v>1640</v>
      </c>
      <c r="G349" s="1">
        <v>4983</v>
      </c>
      <c r="H349" s="1">
        <v>10517</v>
      </c>
      <c r="I349" s="1">
        <v>11575</v>
      </c>
      <c r="J349" s="1">
        <v>161431</v>
      </c>
      <c r="K349" s="1">
        <v>14.4</v>
      </c>
      <c r="L349" s="1">
        <v>11</v>
      </c>
      <c r="M349" s="1">
        <v>4.08</v>
      </c>
      <c r="N349" s="1">
        <v>14.53</v>
      </c>
      <c r="O349" s="1">
        <v>72.8</v>
      </c>
      <c r="P349" s="1">
        <v>2.1</v>
      </c>
      <c r="Q349" s="1">
        <v>8574</v>
      </c>
      <c r="R349" s="1">
        <v>3836</v>
      </c>
      <c r="S349" s="1">
        <v>4</v>
      </c>
      <c r="T349" s="1">
        <f>(Table1[[#This Row],[Selling_Price_per_Unit]]-Table1[[#This Row],[Manufacturing_Cost_per_Unit]])*Table1[[#This Row],[Units_Sold]]-Table1[[#This Row],[Marketing_Spend]]-Table1[[#This Row],[Discount_%]]</f>
        <v>-5433459.5300000003</v>
      </c>
      <c r="U349" s="3">
        <f>Table1[[#This Row],[profit]]/(Table1[[#This Row],[Units_Sold]]*Table1[[#This Row],[Selling_Price_per_Unit]])*100</f>
        <v>-10.367968655471008</v>
      </c>
      <c r="V349" s="6">
        <f>Table1[[#This Row],[Units_Sold]]*Table1[[#This Row],[Selling_Price_per_Unit]]</f>
        <v>52406211</v>
      </c>
      <c r="W349" s="7">
        <f>(Table1[[#This Row],[Units_Sold]]/$Z$1)</f>
        <v>0.99760798310613041</v>
      </c>
      <c r="X349" s="8">
        <f>((Table1[[#This Row],[Units_Sold]]*(Table1[[#This Row],[Selling_Price_per_Unit]]-Table1[[#This Row],[Manufacturing_Cost_per_Unit]]))-Table1[[#This Row],[Marketing_Spend]])/Table1[[#This Row],[Marketing_Spend]]</f>
        <v>-33.658002490228021</v>
      </c>
    </row>
    <row r="350" spans="1:24" x14ac:dyDescent="0.3">
      <c r="A350" s="1" t="s">
        <v>367</v>
      </c>
      <c r="B350" s="1" t="s">
        <v>1313</v>
      </c>
      <c r="C350" s="1" t="s">
        <v>1633</v>
      </c>
      <c r="D350" s="1" t="s">
        <v>1638</v>
      </c>
      <c r="E350" s="1">
        <v>2023</v>
      </c>
      <c r="F350" s="1" t="s">
        <v>1642</v>
      </c>
      <c r="G350" s="1">
        <v>3904</v>
      </c>
      <c r="H350" s="1">
        <v>4308</v>
      </c>
      <c r="I350" s="1">
        <v>961</v>
      </c>
      <c r="J350" s="1">
        <v>392162</v>
      </c>
      <c r="K350" s="1">
        <v>9.24</v>
      </c>
      <c r="L350" s="1">
        <v>10</v>
      </c>
      <c r="M350" s="1">
        <v>2.8</v>
      </c>
      <c r="N350" s="1">
        <v>1.97</v>
      </c>
      <c r="O350" s="1">
        <v>73.62</v>
      </c>
      <c r="P350" s="1">
        <v>2.9</v>
      </c>
      <c r="Q350" s="1">
        <v>5496</v>
      </c>
      <c r="R350" s="1">
        <v>7846</v>
      </c>
      <c r="S350" s="1">
        <v>11</v>
      </c>
      <c r="T350" s="1">
        <f>(Table1[[#This Row],[Selling_Price_per_Unit]]-Table1[[#This Row],[Manufacturing_Cost_per_Unit]])*Table1[[#This Row],[Units_Sold]]-Table1[[#This Row],[Marketing_Spend]]-Table1[[#This Row],[Discount_%]]</f>
        <v>12674524.029999999</v>
      </c>
      <c r="U350" s="3">
        <f>Table1[[#This Row],[profit]]/(Table1[[#This Row],[Units_Sold]]*Table1[[#This Row],[Selling_Price_per_Unit]])*100</f>
        <v>75.360913728461725</v>
      </c>
      <c r="V350" s="6">
        <f>Table1[[#This Row],[Units_Sold]]*Table1[[#This Row],[Selling_Price_per_Unit]]</f>
        <v>16818432</v>
      </c>
      <c r="W350" s="7">
        <f>(Table1[[#This Row],[Units_Sold]]/$Z$1)</f>
        <v>0.78158971825132106</v>
      </c>
      <c r="X350" s="8">
        <f>((Table1[[#This Row],[Units_Sold]]*(Table1[[#This Row],[Selling_Price_per_Unit]]-Table1[[#This Row],[Manufacturing_Cost_per_Unit]]))-Table1[[#This Row],[Marketing_Spend]])/Table1[[#This Row],[Marketing_Spend]]</f>
        <v>32.319617913005338</v>
      </c>
    </row>
    <row r="351" spans="1:24" hidden="1" x14ac:dyDescent="0.3">
      <c r="A351" s="1" t="s">
        <v>635</v>
      </c>
      <c r="B351" s="1" t="s">
        <v>1136</v>
      </c>
      <c r="C351" s="1" t="s">
        <v>1634</v>
      </c>
      <c r="D351" s="1" t="s">
        <v>1637</v>
      </c>
      <c r="E351" s="1">
        <v>2024</v>
      </c>
      <c r="F351" s="1" t="s">
        <v>1642</v>
      </c>
      <c r="G351" s="1">
        <v>3186</v>
      </c>
      <c r="H351" s="1">
        <v>14649</v>
      </c>
      <c r="I351" s="1">
        <v>3351</v>
      </c>
      <c r="J351" s="1">
        <v>172118</v>
      </c>
      <c r="K351" s="1">
        <v>14.6</v>
      </c>
      <c r="L351" s="1">
        <v>6</v>
      </c>
      <c r="M351" s="1">
        <v>5.47</v>
      </c>
      <c r="N351" s="1">
        <v>4.8600000000000003</v>
      </c>
      <c r="O351" s="1">
        <v>87.81</v>
      </c>
      <c r="P351" s="1">
        <v>2.5</v>
      </c>
      <c r="Q351" s="1">
        <v>5265</v>
      </c>
      <c r="R351" s="1">
        <v>6852</v>
      </c>
      <c r="S351" s="1">
        <v>6</v>
      </c>
      <c r="T351" s="1">
        <f>(Table1[[#This Row],[Selling_Price_per_Unit]]-Table1[[#This Row],[Manufacturing_Cost_per_Unit]])*Table1[[#This Row],[Units_Sold]]-Table1[[#This Row],[Marketing_Spend]]-Table1[[#This Row],[Discount_%]]</f>
        <v>35823305.140000001</v>
      </c>
      <c r="U351" s="3">
        <f>Table1[[#This Row],[profit]]/(Table1[[#This Row],[Units_Sold]]*Table1[[#This Row],[Selling_Price_per_Unit]])*100</f>
        <v>76.755923598606216</v>
      </c>
      <c r="V351" s="6">
        <f>Table1[[#This Row],[Units_Sold]]*Table1[[#This Row],[Selling_Price_per_Unit]]</f>
        <v>46671714</v>
      </c>
      <c r="W351" s="7">
        <f>(Table1[[#This Row],[Units_Sold]]/$Z$1)</f>
        <v>0.63784447806063238</v>
      </c>
      <c r="X351" s="8">
        <f>((Table1[[#This Row],[Units_Sold]]*(Table1[[#This Row],[Selling_Price_per_Unit]]-Table1[[#This Row],[Manufacturing_Cost_per_Unit]]))-Table1[[#This Row],[Marketing_Spend]])/Table1[[#This Row],[Marketing_Spend]]</f>
        <v>208.13226972193496</v>
      </c>
    </row>
    <row r="352" spans="1:24" hidden="1" x14ac:dyDescent="0.3">
      <c r="A352" s="1" t="s">
        <v>369</v>
      </c>
      <c r="B352" s="1" t="s">
        <v>1315</v>
      </c>
      <c r="C352" s="1" t="s">
        <v>1634</v>
      </c>
      <c r="D352" s="1" t="s">
        <v>1638</v>
      </c>
      <c r="E352" s="1">
        <v>2023</v>
      </c>
      <c r="F352" s="1" t="s">
        <v>1640</v>
      </c>
      <c r="G352" s="1">
        <v>2710</v>
      </c>
      <c r="H352" s="1">
        <v>16370</v>
      </c>
      <c r="I352" s="1">
        <v>12251</v>
      </c>
      <c r="J352" s="1">
        <v>230005</v>
      </c>
      <c r="K352" s="1">
        <v>6.24</v>
      </c>
      <c r="L352" s="1">
        <v>14</v>
      </c>
      <c r="M352" s="1">
        <v>7.28</v>
      </c>
      <c r="N352" s="1">
        <v>11.86</v>
      </c>
      <c r="O352" s="1">
        <v>45.81</v>
      </c>
      <c r="P352" s="1">
        <v>2.8</v>
      </c>
      <c r="Q352" s="1">
        <v>15735</v>
      </c>
      <c r="R352" s="1">
        <v>1351</v>
      </c>
      <c r="S352" s="1">
        <v>7</v>
      </c>
      <c r="T352" s="1">
        <f>(Table1[[#This Row],[Selling_Price_per_Unit]]-Table1[[#This Row],[Manufacturing_Cost_per_Unit]])*Table1[[#This Row],[Units_Sold]]-Table1[[#This Row],[Marketing_Spend]]-Table1[[#This Row],[Discount_%]]</f>
        <v>10932473.140000001</v>
      </c>
      <c r="U352" s="3">
        <f>Table1[[#This Row],[profit]]/(Table1[[#This Row],[Units_Sold]]*Table1[[#This Row],[Selling_Price_per_Unit]])*100</f>
        <v>24.643389919910199</v>
      </c>
      <c r="V352" s="6">
        <f>Table1[[#This Row],[Units_Sold]]*Table1[[#This Row],[Selling_Price_per_Unit]]</f>
        <v>44362700</v>
      </c>
      <c r="W352" s="7">
        <f>(Table1[[#This Row],[Units_Sold]]/$Z$1)</f>
        <v>0.54254819069187499</v>
      </c>
      <c r="X352" s="8">
        <f>((Table1[[#This Row],[Units_Sold]]*(Table1[[#This Row],[Selling_Price_per_Unit]]-Table1[[#This Row],[Manufacturing_Cost_per_Unit]]))-Table1[[#This Row],[Marketing_Spend]])/Table1[[#This Row],[Marketing_Spend]]</f>
        <v>47.531510184561206</v>
      </c>
    </row>
    <row r="353" spans="1:24" hidden="1" x14ac:dyDescent="0.3">
      <c r="A353" s="1" t="s">
        <v>370</v>
      </c>
      <c r="B353" s="1" t="s">
        <v>1214</v>
      </c>
      <c r="C353" s="1" t="s">
        <v>1634</v>
      </c>
      <c r="D353" s="1" t="s">
        <v>1638</v>
      </c>
      <c r="E353" s="1">
        <v>2023</v>
      </c>
      <c r="F353" s="1" t="s">
        <v>1640</v>
      </c>
      <c r="G353" s="1">
        <v>3174</v>
      </c>
      <c r="H353" s="1">
        <v>14213</v>
      </c>
      <c r="I353" s="1">
        <v>13147</v>
      </c>
      <c r="J353" s="1">
        <v>333970</v>
      </c>
      <c r="K353" s="1">
        <v>6.43</v>
      </c>
      <c r="L353" s="1">
        <v>10</v>
      </c>
      <c r="M353" s="1">
        <v>8.1300000000000008</v>
      </c>
      <c r="N353" s="1">
        <v>9.0399999999999991</v>
      </c>
      <c r="O353" s="1">
        <v>76.349999999999994</v>
      </c>
      <c r="P353" s="1">
        <v>1.5</v>
      </c>
      <c r="Q353" s="1">
        <v>3866</v>
      </c>
      <c r="R353" s="1">
        <v>9394</v>
      </c>
      <c r="S353" s="1">
        <v>14</v>
      </c>
      <c r="T353" s="1">
        <f>(Table1[[#This Row],[Selling_Price_per_Unit]]-Table1[[#This Row],[Manufacturing_Cost_per_Unit]])*Table1[[#This Row],[Units_Sold]]-Table1[[#This Row],[Marketing_Spend]]-Table1[[#This Row],[Discount_%]]</f>
        <v>3049504.96</v>
      </c>
      <c r="U353" s="3">
        <f>Table1[[#This Row],[profit]]/(Table1[[#This Row],[Units_Sold]]*Table1[[#This Row],[Selling_Price_per_Unit]])*100</f>
        <v>6.7598438750150676</v>
      </c>
      <c r="V353" s="6">
        <f>Table1[[#This Row],[Units_Sold]]*Table1[[#This Row],[Selling_Price_per_Unit]]</f>
        <v>45112062</v>
      </c>
      <c r="W353" s="7">
        <f>(Table1[[#This Row],[Units_Sold]]/$Z$1)</f>
        <v>0.63544205064797465</v>
      </c>
      <c r="X353" s="8">
        <f>((Table1[[#This Row],[Units_Sold]]*(Table1[[#This Row],[Selling_Price_per_Unit]]-Table1[[#This Row],[Manufacturing_Cost_per_Unit]]))-Table1[[#This Row],[Marketing_Spend]])/Table1[[#This Row],[Marketing_Spend]]</f>
        <v>9.1311015959517317</v>
      </c>
    </row>
    <row r="354" spans="1:24" hidden="1" x14ac:dyDescent="0.3">
      <c r="A354" s="1" t="s">
        <v>371</v>
      </c>
      <c r="B354" s="1" t="s">
        <v>1316</v>
      </c>
      <c r="C354" s="1" t="s">
        <v>1632</v>
      </c>
      <c r="D354" s="1" t="s">
        <v>1635</v>
      </c>
      <c r="E354" s="1">
        <v>2024</v>
      </c>
      <c r="F354" s="1" t="s">
        <v>1640</v>
      </c>
      <c r="G354" s="1">
        <v>3101</v>
      </c>
      <c r="H354" s="1">
        <v>9061</v>
      </c>
      <c r="I354" s="1">
        <v>11954</v>
      </c>
      <c r="J354" s="1">
        <v>380170</v>
      </c>
      <c r="K354" s="1">
        <v>8.11</v>
      </c>
      <c r="L354" s="1">
        <v>15</v>
      </c>
      <c r="M354" s="1">
        <v>2.57</v>
      </c>
      <c r="N354" s="1">
        <v>8.9700000000000006</v>
      </c>
      <c r="O354" s="1">
        <v>34.21</v>
      </c>
      <c r="P354" s="1">
        <v>3.8</v>
      </c>
      <c r="Q354" s="1">
        <v>15664</v>
      </c>
      <c r="R354" s="1">
        <v>4803</v>
      </c>
      <c r="S354" s="1">
        <v>10</v>
      </c>
      <c r="T354" s="1">
        <f>(Table1[[#This Row],[Selling_Price_per_Unit]]-Table1[[#This Row],[Manufacturing_Cost_per_Unit]])*Table1[[#This Row],[Units_Sold]]-Table1[[#This Row],[Marketing_Spend]]-Table1[[#This Row],[Discount_%]]</f>
        <v>-9351371.9700000007</v>
      </c>
      <c r="U354" s="3">
        <f>Table1[[#This Row],[profit]]/(Table1[[#This Row],[Units_Sold]]*Table1[[#This Row],[Selling_Price_per_Unit]])*100</f>
        <v>-33.281081882903301</v>
      </c>
      <c r="V354" s="6">
        <f>Table1[[#This Row],[Units_Sold]]*Table1[[#This Row],[Selling_Price_per_Unit]]</f>
        <v>28098161</v>
      </c>
      <c r="W354" s="7">
        <f>(Table1[[#This Row],[Units_Sold]]/$Z$1)</f>
        <v>0.62082728388764008</v>
      </c>
      <c r="X354" s="8">
        <f>((Table1[[#This Row],[Units_Sold]]*(Table1[[#This Row],[Selling_Price_per_Unit]]-Table1[[#This Row],[Manufacturing_Cost_per_Unit]]))-Table1[[#This Row],[Marketing_Spend]])/Table1[[#This Row],[Marketing_Spend]]</f>
        <v>-24.597845700607621</v>
      </c>
    </row>
    <row r="355" spans="1:24" hidden="1" x14ac:dyDescent="0.3">
      <c r="A355" s="1" t="s">
        <v>372</v>
      </c>
      <c r="B355" s="1" t="s">
        <v>1317</v>
      </c>
      <c r="C355" s="1" t="s">
        <v>1633</v>
      </c>
      <c r="D355" s="1" t="s">
        <v>1638</v>
      </c>
      <c r="E355" s="1">
        <v>2024</v>
      </c>
      <c r="F355" s="1" t="s">
        <v>1641</v>
      </c>
      <c r="G355" s="1">
        <v>54</v>
      </c>
      <c r="H355" s="1">
        <v>4219</v>
      </c>
      <c r="I355" s="1">
        <v>12880</v>
      </c>
      <c r="J355" s="1">
        <v>171668</v>
      </c>
      <c r="K355" s="1">
        <v>10.45</v>
      </c>
      <c r="L355" s="1">
        <v>2</v>
      </c>
      <c r="M355" s="1">
        <v>7.74</v>
      </c>
      <c r="N355" s="1">
        <v>13.23</v>
      </c>
      <c r="O355" s="1">
        <v>47.42</v>
      </c>
      <c r="P355" s="1">
        <v>4.5999999999999996</v>
      </c>
      <c r="Q355" s="1">
        <v>8264</v>
      </c>
      <c r="R355" s="1">
        <v>448</v>
      </c>
      <c r="S355" s="1">
        <v>10</v>
      </c>
      <c r="T355" s="1">
        <f>(Table1[[#This Row],[Selling_Price_per_Unit]]-Table1[[#This Row],[Manufacturing_Cost_per_Unit]])*Table1[[#This Row],[Units_Sold]]-Table1[[#This Row],[Marketing_Spend]]-Table1[[#This Row],[Discount_%]]</f>
        <v>-639375.23</v>
      </c>
      <c r="U355" s="3">
        <f>Table1[[#This Row],[profit]]/(Table1[[#This Row],[Units_Sold]]*Table1[[#This Row],[Selling_Price_per_Unit]])*100</f>
        <v>-280.64190654271243</v>
      </c>
      <c r="V355" s="6">
        <f>Table1[[#This Row],[Units_Sold]]*Table1[[#This Row],[Selling_Price_per_Unit]]</f>
        <v>227826</v>
      </c>
      <c r="W355" s="7">
        <f>(Table1[[#This Row],[Units_Sold]]/$Z$1)</f>
        <v>1.0810923356959871E-2</v>
      </c>
      <c r="X355" s="8">
        <f>((Table1[[#This Row],[Units_Sold]]*(Table1[[#This Row],[Selling_Price_per_Unit]]-Table1[[#This Row],[Manufacturing_Cost_per_Unit]]))-Table1[[#This Row],[Marketing_Spend]])/Table1[[#This Row],[Marketing_Spend]]</f>
        <v>-3.7244099074958643</v>
      </c>
    </row>
    <row r="356" spans="1:24" hidden="1" x14ac:dyDescent="0.3">
      <c r="A356" s="1" t="s">
        <v>26</v>
      </c>
      <c r="B356" s="1" t="s">
        <v>1026</v>
      </c>
      <c r="C356" s="1" t="s">
        <v>1633</v>
      </c>
      <c r="D356" s="1" t="s">
        <v>1636</v>
      </c>
      <c r="E356" s="1">
        <v>2023</v>
      </c>
      <c r="F356" s="1" t="s">
        <v>1641</v>
      </c>
      <c r="G356" s="1">
        <v>2969</v>
      </c>
      <c r="H356" s="1">
        <v>14497</v>
      </c>
      <c r="I356" s="1">
        <v>2349</v>
      </c>
      <c r="J356" s="1">
        <v>280893</v>
      </c>
      <c r="K356" s="1">
        <v>4.24</v>
      </c>
      <c r="L356" s="1">
        <v>10</v>
      </c>
      <c r="M356" s="1">
        <v>8.18</v>
      </c>
      <c r="N356" s="1">
        <v>4.92</v>
      </c>
      <c r="O356" s="1">
        <v>31.37</v>
      </c>
      <c r="P356" s="1">
        <v>1</v>
      </c>
      <c r="Q356" s="1">
        <v>17024</v>
      </c>
      <c r="R356" s="1">
        <v>8065</v>
      </c>
      <c r="S356" s="1">
        <v>4</v>
      </c>
      <c r="T356" s="1">
        <f>(Table1[[#This Row],[Selling_Price_per_Unit]]-Table1[[#This Row],[Manufacturing_Cost_per_Unit]])*Table1[[#This Row],[Units_Sold]]-Table1[[#This Row],[Marketing_Spend]]-Table1[[#This Row],[Discount_%]]</f>
        <v>35786514.079999998</v>
      </c>
      <c r="U356" s="3">
        <f>Table1[[#This Row],[profit]]/(Table1[[#This Row],[Units_Sold]]*Table1[[#This Row],[Selling_Price_per_Unit]])*100</f>
        <v>83.144027870901525</v>
      </c>
      <c r="V356" s="6">
        <f>Table1[[#This Row],[Units_Sold]]*Table1[[#This Row],[Selling_Price_per_Unit]]</f>
        <v>43041593</v>
      </c>
      <c r="W356" s="7">
        <f>(Table1[[#This Row],[Units_Sold]]/$Z$1)</f>
        <v>0.59440058234840476</v>
      </c>
      <c r="X356" s="8">
        <f>((Table1[[#This Row],[Units_Sold]]*(Table1[[#This Row],[Selling_Price_per_Unit]]-Table1[[#This Row],[Manufacturing_Cost_per_Unit]]))-Table1[[#This Row],[Marketing_Spend]])/Table1[[#This Row],[Marketing_Spend]]</f>
        <v>127.40267290391715</v>
      </c>
    </row>
    <row r="357" spans="1:24" hidden="1" x14ac:dyDescent="0.3">
      <c r="A357" s="1" t="s">
        <v>374</v>
      </c>
      <c r="B357" s="1" t="s">
        <v>1162</v>
      </c>
      <c r="C357" s="1" t="s">
        <v>1632</v>
      </c>
      <c r="D357" s="1" t="s">
        <v>1637</v>
      </c>
      <c r="E357" s="1">
        <v>2023</v>
      </c>
      <c r="F357" s="1" t="s">
        <v>1642</v>
      </c>
      <c r="G357" s="1">
        <v>926</v>
      </c>
      <c r="H357" s="1">
        <v>5241</v>
      </c>
      <c r="I357" s="1">
        <v>6797</v>
      </c>
      <c r="J357" s="1">
        <v>468734</v>
      </c>
      <c r="K357" s="1">
        <v>2.58</v>
      </c>
      <c r="L357" s="1">
        <v>13</v>
      </c>
      <c r="M357" s="1">
        <v>5.07</v>
      </c>
      <c r="N357" s="1">
        <v>19.920000000000002</v>
      </c>
      <c r="O357" s="1">
        <v>47.08</v>
      </c>
      <c r="P357" s="1">
        <v>4.0999999999999996</v>
      </c>
      <c r="Q357" s="1">
        <v>17792</v>
      </c>
      <c r="R357" s="1">
        <v>3041</v>
      </c>
      <c r="S357" s="1">
        <v>10</v>
      </c>
      <c r="T357" s="1">
        <f>(Table1[[#This Row],[Selling_Price_per_Unit]]-Table1[[#This Row],[Manufacturing_Cost_per_Unit]])*Table1[[#This Row],[Units_Sold]]-Table1[[#This Row],[Marketing_Spend]]-Table1[[#This Row],[Discount_%]]</f>
        <v>-1909609.92</v>
      </c>
      <c r="U357" s="3">
        <f>Table1[[#This Row],[profit]]/(Table1[[#This Row],[Units_Sold]]*Table1[[#This Row],[Selling_Price_per_Unit]])*100</f>
        <v>-39.347714873136418</v>
      </c>
      <c r="V357" s="6">
        <f>Table1[[#This Row],[Units_Sold]]*Table1[[#This Row],[Selling_Price_per_Unit]]</f>
        <v>4853166</v>
      </c>
      <c r="W357" s="7">
        <f>(Table1[[#This Row],[Units_Sold]]/$Z$1)</f>
        <v>0.18538731534342298</v>
      </c>
      <c r="X357" s="8">
        <f>((Table1[[#This Row],[Units_Sold]]*(Table1[[#This Row],[Selling_Price_per_Unit]]-Table1[[#This Row],[Manufacturing_Cost_per_Unit]]))-Table1[[#This Row],[Marketing_Spend]])/Table1[[#This Row],[Marketing_Spend]]</f>
        <v>-4.0739310568467406</v>
      </c>
    </row>
    <row r="358" spans="1:24" hidden="1" x14ac:dyDescent="0.3">
      <c r="A358" s="1" t="s">
        <v>375</v>
      </c>
      <c r="B358" s="1" t="s">
        <v>1131</v>
      </c>
      <c r="C358" s="1" t="s">
        <v>1632</v>
      </c>
      <c r="D358" s="1" t="s">
        <v>1636</v>
      </c>
      <c r="E358" s="1">
        <v>2023</v>
      </c>
      <c r="F358" s="1" t="s">
        <v>1640</v>
      </c>
      <c r="G358" s="1">
        <v>1041</v>
      </c>
      <c r="H358" s="1">
        <v>11266</v>
      </c>
      <c r="I358" s="1">
        <v>7154</v>
      </c>
      <c r="J358" s="1">
        <v>74045</v>
      </c>
      <c r="K358" s="1">
        <v>7.5</v>
      </c>
      <c r="L358" s="1">
        <v>2</v>
      </c>
      <c r="M358" s="1">
        <v>8.56</v>
      </c>
      <c r="N358" s="1">
        <v>8.52</v>
      </c>
      <c r="O358" s="1">
        <v>81.03</v>
      </c>
      <c r="P358" s="1">
        <v>2.4</v>
      </c>
      <c r="Q358" s="1">
        <v>3114</v>
      </c>
      <c r="R358" s="1">
        <v>8537</v>
      </c>
      <c r="S358" s="1">
        <v>14</v>
      </c>
      <c r="T358" s="1">
        <f>(Table1[[#This Row],[Selling_Price_per_Unit]]-Table1[[#This Row],[Manufacturing_Cost_per_Unit]])*Table1[[#This Row],[Units_Sold]]-Table1[[#This Row],[Marketing_Spend]]-Table1[[#This Row],[Discount_%]]</f>
        <v>4206538.4800000004</v>
      </c>
      <c r="U358" s="3">
        <f>Table1[[#This Row],[profit]]/(Table1[[#This Row],[Units_Sold]]*Table1[[#This Row],[Selling_Price_per_Unit]])*100</f>
        <v>35.867771109352347</v>
      </c>
      <c r="V358" s="6">
        <f>Table1[[#This Row],[Units_Sold]]*Table1[[#This Row],[Selling_Price_per_Unit]]</f>
        <v>11727906</v>
      </c>
      <c r="W358" s="7">
        <f>(Table1[[#This Row],[Units_Sold]]/$Z$1)</f>
        <v>0.20841057804805974</v>
      </c>
      <c r="X358" s="8">
        <f>((Table1[[#This Row],[Units_Sold]]*(Table1[[#This Row],[Selling_Price_per_Unit]]-Table1[[#This Row],[Manufacturing_Cost_per_Unit]]))-Table1[[#This Row],[Marketing_Spend]])/Table1[[#This Row],[Marketing_Spend]]</f>
        <v>56.810682692956988</v>
      </c>
    </row>
    <row r="359" spans="1:24" x14ac:dyDescent="0.3">
      <c r="A359" s="1" t="s">
        <v>376</v>
      </c>
      <c r="B359" s="1" t="s">
        <v>1077</v>
      </c>
      <c r="C359" s="1" t="s">
        <v>1632</v>
      </c>
      <c r="D359" s="1" t="s">
        <v>1638</v>
      </c>
      <c r="E359" s="1">
        <v>2023</v>
      </c>
      <c r="F359" s="1" t="s">
        <v>1639</v>
      </c>
      <c r="G359" s="1">
        <v>4192</v>
      </c>
      <c r="H359" s="1">
        <v>5498</v>
      </c>
      <c r="I359" s="1">
        <v>13493</v>
      </c>
      <c r="J359" s="1">
        <v>231948</v>
      </c>
      <c r="K359" s="1">
        <v>6.18</v>
      </c>
      <c r="L359" s="1">
        <v>0</v>
      </c>
      <c r="M359" s="1">
        <v>7.5</v>
      </c>
      <c r="N359" s="1">
        <v>20.14</v>
      </c>
      <c r="O359" s="1">
        <v>46.41</v>
      </c>
      <c r="P359" s="1">
        <v>1.7</v>
      </c>
      <c r="Q359" s="1">
        <v>15896</v>
      </c>
      <c r="R359" s="1">
        <v>371</v>
      </c>
      <c r="S359" s="1">
        <v>7</v>
      </c>
      <c r="T359" s="1">
        <f>(Table1[[#This Row],[Selling_Price_per_Unit]]-Table1[[#This Row],[Manufacturing_Cost_per_Unit]])*Table1[[#This Row],[Units_Sold]]-Table1[[#This Row],[Marketing_Spend]]-Table1[[#This Row],[Discount_%]]</f>
        <v>-33747008.140000001</v>
      </c>
      <c r="U359" s="3">
        <f>Table1[[#This Row],[profit]]/(Table1[[#This Row],[Units_Sold]]*Table1[[#This Row],[Selling_Price_per_Unit]])*100</f>
        <v>-146.42298856419686</v>
      </c>
      <c r="V359" s="6">
        <f>Table1[[#This Row],[Units_Sold]]*Table1[[#This Row],[Selling_Price_per_Unit]]</f>
        <v>23047616</v>
      </c>
      <c r="W359" s="7">
        <f>(Table1[[#This Row],[Units_Sold]]/$Z$1)</f>
        <v>0.83924797615510704</v>
      </c>
      <c r="X359" s="8">
        <f>((Table1[[#This Row],[Units_Sold]]*(Table1[[#This Row],[Selling_Price_per_Unit]]-Table1[[#This Row],[Manufacturing_Cost_per_Unit]]))-Table1[[#This Row],[Marketing_Spend]])/Table1[[#This Row],[Marketing_Spend]]</f>
        <v>-145.49376584406849</v>
      </c>
    </row>
    <row r="360" spans="1:24" x14ac:dyDescent="0.3">
      <c r="A360" s="1" t="s">
        <v>345</v>
      </c>
      <c r="B360" s="1" t="s">
        <v>1299</v>
      </c>
      <c r="C360" s="1" t="s">
        <v>1632</v>
      </c>
      <c r="D360" s="1" t="s">
        <v>1636</v>
      </c>
      <c r="E360" s="1">
        <v>2023</v>
      </c>
      <c r="F360" s="1" t="s">
        <v>1640</v>
      </c>
      <c r="G360" s="1">
        <v>4181</v>
      </c>
      <c r="H360" s="1">
        <v>14380</v>
      </c>
      <c r="I360" s="1">
        <v>5766</v>
      </c>
      <c r="J360" s="1">
        <v>236292</v>
      </c>
      <c r="K360" s="1">
        <v>2.48</v>
      </c>
      <c r="L360" s="1">
        <v>13</v>
      </c>
      <c r="M360" s="1">
        <v>0.93</v>
      </c>
      <c r="N360" s="1">
        <v>1.98</v>
      </c>
      <c r="O360" s="1">
        <v>16.100000000000001</v>
      </c>
      <c r="P360" s="1">
        <v>1.9</v>
      </c>
      <c r="Q360" s="1">
        <v>3868</v>
      </c>
      <c r="R360" s="1">
        <v>8354</v>
      </c>
      <c r="S360" s="1">
        <v>10</v>
      </c>
      <c r="T360" s="1">
        <f>(Table1[[#This Row],[Selling_Price_per_Unit]]-Table1[[#This Row],[Manufacturing_Cost_per_Unit]])*Table1[[#This Row],[Units_Sold]]-Table1[[#This Row],[Marketing_Spend]]-Table1[[#This Row],[Discount_%]]</f>
        <v>35778840.020000003</v>
      </c>
      <c r="U360" s="3">
        <f>Table1[[#This Row],[profit]]/(Table1[[#This Row],[Units_Sold]]*Table1[[#This Row],[Selling_Price_per_Unit]])*100</f>
        <v>59.509623507096656</v>
      </c>
      <c r="V360" s="6">
        <f>Table1[[#This Row],[Units_Sold]]*Table1[[#This Row],[Selling_Price_per_Unit]]</f>
        <v>60122780</v>
      </c>
      <c r="W360" s="7">
        <f>(Table1[[#This Row],[Units_Sold]]/$Z$1)</f>
        <v>0.83704575102683743</v>
      </c>
      <c r="X360" s="8">
        <f>((Table1[[#This Row],[Units_Sold]]*(Table1[[#This Row],[Selling_Price_per_Unit]]-Table1[[#This Row],[Manufacturing_Cost_per_Unit]]))-Table1[[#This Row],[Marketing_Spend]])/Table1[[#This Row],[Marketing_Spend]]</f>
        <v>151.41791512196772</v>
      </c>
    </row>
    <row r="361" spans="1:24" x14ac:dyDescent="0.3">
      <c r="A361" s="1" t="s">
        <v>378</v>
      </c>
      <c r="B361" s="1" t="s">
        <v>1111</v>
      </c>
      <c r="C361" s="1" t="s">
        <v>1632</v>
      </c>
      <c r="D361" s="1" t="s">
        <v>1635</v>
      </c>
      <c r="E361" s="1">
        <v>2023</v>
      </c>
      <c r="F361" s="1" t="s">
        <v>1639</v>
      </c>
      <c r="G361" s="1">
        <v>4515</v>
      </c>
      <c r="H361" s="1">
        <v>1794</v>
      </c>
      <c r="I361" s="1">
        <v>10124</v>
      </c>
      <c r="J361" s="1">
        <v>364063</v>
      </c>
      <c r="K361" s="1">
        <v>9.4700000000000006</v>
      </c>
      <c r="L361" s="1">
        <v>0</v>
      </c>
      <c r="M361" s="1">
        <v>1.37</v>
      </c>
      <c r="N361" s="1">
        <v>1.39</v>
      </c>
      <c r="O361" s="1">
        <v>42.32</v>
      </c>
      <c r="P361" s="1">
        <v>2.2999999999999998</v>
      </c>
      <c r="Q361" s="1">
        <v>18380</v>
      </c>
      <c r="R361" s="1">
        <v>7936</v>
      </c>
      <c r="S361" s="1">
        <v>11</v>
      </c>
      <c r="T361" s="1">
        <f>(Table1[[#This Row],[Selling_Price_per_Unit]]-Table1[[#This Row],[Manufacturing_Cost_per_Unit]])*Table1[[#This Row],[Units_Sold]]-Table1[[#This Row],[Marketing_Spend]]-Table1[[#This Row],[Discount_%]]</f>
        <v>-37974014.390000001</v>
      </c>
      <c r="U361" s="3">
        <f>Table1[[#This Row],[profit]]/(Table1[[#This Row],[Units_Sold]]*Table1[[#This Row],[Selling_Price_per_Unit]])*100</f>
        <v>-468.82020158248673</v>
      </c>
      <c r="V361" s="6">
        <f>Table1[[#This Row],[Units_Sold]]*Table1[[#This Row],[Selling_Price_per_Unit]]</f>
        <v>8099910</v>
      </c>
      <c r="W361" s="7">
        <f>(Table1[[#This Row],[Units_Sold]]/$Z$1)</f>
        <v>0.9039133140124781</v>
      </c>
      <c r="X361" s="8">
        <f>((Table1[[#This Row],[Units_Sold]]*(Table1[[#This Row],[Selling_Price_per_Unit]]-Table1[[#This Row],[Manufacturing_Cost_per_Unit]]))-Table1[[#This Row],[Marketing_Spend]])/Table1[[#This Row],[Marketing_Spend]]</f>
        <v>-104.30615854948182</v>
      </c>
    </row>
    <row r="362" spans="1:24" hidden="1" x14ac:dyDescent="0.3">
      <c r="A362" s="1" t="s">
        <v>379</v>
      </c>
      <c r="B362" s="1" t="s">
        <v>1320</v>
      </c>
      <c r="C362" s="1" t="s">
        <v>1634</v>
      </c>
      <c r="D362" s="1" t="s">
        <v>1638</v>
      </c>
      <c r="E362" s="1">
        <v>2024</v>
      </c>
      <c r="F362" s="1" t="s">
        <v>1640</v>
      </c>
      <c r="G362" s="1">
        <v>685</v>
      </c>
      <c r="H362" s="1">
        <v>11677</v>
      </c>
      <c r="I362" s="1">
        <v>14187</v>
      </c>
      <c r="J362" s="1">
        <v>149441</v>
      </c>
      <c r="K362" s="1">
        <v>7.99</v>
      </c>
      <c r="L362" s="1">
        <v>16</v>
      </c>
      <c r="M362" s="1">
        <v>0.7</v>
      </c>
      <c r="N362" s="1">
        <v>13.85</v>
      </c>
      <c r="O362" s="1">
        <v>46.81</v>
      </c>
      <c r="P362" s="1">
        <v>4.4000000000000004</v>
      </c>
      <c r="Q362" s="1">
        <v>18388</v>
      </c>
      <c r="R362" s="1">
        <v>9757</v>
      </c>
      <c r="S362" s="1">
        <v>12</v>
      </c>
      <c r="T362" s="1">
        <f>(Table1[[#This Row],[Selling_Price_per_Unit]]-Table1[[#This Row],[Manufacturing_Cost_per_Unit]])*Table1[[#This Row],[Units_Sold]]-Table1[[#This Row],[Marketing_Spend]]-Table1[[#This Row],[Discount_%]]</f>
        <v>-1868804.85</v>
      </c>
      <c r="U362" s="3">
        <f>Table1[[#This Row],[profit]]/(Table1[[#This Row],[Units_Sold]]*Table1[[#This Row],[Selling_Price_per_Unit]])*100</f>
        <v>-23.363725809486365</v>
      </c>
      <c r="V362" s="6">
        <f>Table1[[#This Row],[Units_Sold]]*Table1[[#This Row],[Selling_Price_per_Unit]]</f>
        <v>7998745</v>
      </c>
      <c r="W362" s="7">
        <f>(Table1[[#This Row],[Units_Sold]]/$Z$1)</f>
        <v>0.13713856480587985</v>
      </c>
      <c r="X362" s="8">
        <f>((Table1[[#This Row],[Units_Sold]]*(Table1[[#This Row],[Selling_Price_per_Unit]]-Table1[[#This Row],[Manufacturing_Cost_per_Unit]]))-Table1[[#This Row],[Marketing_Spend]])/Table1[[#This Row],[Marketing_Spend]]</f>
        <v>-12.50520941374857</v>
      </c>
    </row>
    <row r="363" spans="1:24" x14ac:dyDescent="0.3">
      <c r="A363" s="1" t="s">
        <v>280</v>
      </c>
      <c r="B363" s="1" t="s">
        <v>1250</v>
      </c>
      <c r="C363" s="1" t="s">
        <v>1634</v>
      </c>
      <c r="D363" s="1" t="s">
        <v>1636</v>
      </c>
      <c r="E363" s="1">
        <v>2024</v>
      </c>
      <c r="F363" s="1" t="s">
        <v>1642</v>
      </c>
      <c r="G363" s="1">
        <v>4615</v>
      </c>
      <c r="H363" s="1">
        <v>11926</v>
      </c>
      <c r="I363" s="1">
        <v>4100</v>
      </c>
      <c r="J363" s="1">
        <v>367712</v>
      </c>
      <c r="K363" s="1">
        <v>3.73</v>
      </c>
      <c r="L363" s="1">
        <v>15</v>
      </c>
      <c r="M363" s="1">
        <v>1.1299999999999999</v>
      </c>
      <c r="N363" s="1">
        <v>21.1</v>
      </c>
      <c r="O363" s="1">
        <v>35.520000000000003</v>
      </c>
      <c r="P363" s="1">
        <v>3.3</v>
      </c>
      <c r="Q363" s="1">
        <v>9973</v>
      </c>
      <c r="R363" s="1">
        <v>4829</v>
      </c>
      <c r="S363" s="1">
        <v>6</v>
      </c>
      <c r="T363" s="1">
        <f>(Table1[[#This Row],[Selling_Price_per_Unit]]-Table1[[#This Row],[Manufacturing_Cost_per_Unit]])*Table1[[#This Row],[Units_Sold]]-Table1[[#This Row],[Marketing_Spend]]-Table1[[#This Row],[Discount_%]]</f>
        <v>35749256.899999999</v>
      </c>
      <c r="U363" s="3">
        <f>Table1[[#This Row],[profit]]/(Table1[[#This Row],[Units_Sold]]*Table1[[#This Row],[Selling_Price_per_Unit]])*100</f>
        <v>64.953193483324128</v>
      </c>
      <c r="V363" s="6">
        <f>Table1[[#This Row],[Units_Sold]]*Table1[[#This Row],[Selling_Price_per_Unit]]</f>
        <v>55038490</v>
      </c>
      <c r="W363" s="7">
        <f>(Table1[[#This Row],[Units_Sold]]/$Z$1)</f>
        <v>0.92393354245129278</v>
      </c>
      <c r="X363" s="8">
        <f>((Table1[[#This Row],[Units_Sold]]*(Table1[[#This Row],[Selling_Price_per_Unit]]-Table1[[#This Row],[Manufacturing_Cost_per_Unit]]))-Table1[[#This Row],[Marketing_Spend]])/Table1[[#This Row],[Marketing_Spend]]</f>
        <v>97.220863066747896</v>
      </c>
    </row>
    <row r="364" spans="1:24" hidden="1" x14ac:dyDescent="0.3">
      <c r="A364" s="1" t="s">
        <v>381</v>
      </c>
      <c r="B364" s="1" t="s">
        <v>1322</v>
      </c>
      <c r="C364" s="1" t="s">
        <v>1632</v>
      </c>
      <c r="D364" s="1" t="s">
        <v>1635</v>
      </c>
      <c r="E364" s="1">
        <v>2024</v>
      </c>
      <c r="F364" s="1" t="s">
        <v>1641</v>
      </c>
      <c r="G364" s="1">
        <v>1732</v>
      </c>
      <c r="H364" s="1">
        <v>2636</v>
      </c>
      <c r="I364" s="1">
        <v>6233</v>
      </c>
      <c r="J364" s="1">
        <v>299877</v>
      </c>
      <c r="K364" s="1">
        <v>9.08</v>
      </c>
      <c r="L364" s="1">
        <v>19</v>
      </c>
      <c r="M364" s="1">
        <v>3.88</v>
      </c>
      <c r="N364" s="1">
        <v>23.36</v>
      </c>
      <c r="O364" s="1">
        <v>32.700000000000003</v>
      </c>
      <c r="P364" s="1">
        <v>2.7</v>
      </c>
      <c r="Q364" s="1">
        <v>4716</v>
      </c>
      <c r="R364" s="1">
        <v>7141</v>
      </c>
      <c r="S364" s="1">
        <v>3</v>
      </c>
      <c r="T364" s="1">
        <f>(Table1[[#This Row],[Selling_Price_per_Unit]]-Table1[[#This Row],[Manufacturing_Cost_per_Unit]])*Table1[[#This Row],[Units_Sold]]-Table1[[#This Row],[Marketing_Spend]]-Table1[[#This Row],[Discount_%]]</f>
        <v>-6529904.3600000003</v>
      </c>
      <c r="U364" s="3">
        <f>Table1[[#This Row],[profit]]/(Table1[[#This Row],[Units_Sold]]*Table1[[#This Row],[Selling_Price_per_Unit]])*100</f>
        <v>-143.02551717733147</v>
      </c>
      <c r="V364" s="6">
        <f>Table1[[#This Row],[Units_Sold]]*Table1[[#This Row],[Selling_Price_per_Unit]]</f>
        <v>4565552</v>
      </c>
      <c r="W364" s="7">
        <f>(Table1[[#This Row],[Units_Sold]]/$Z$1)</f>
        <v>0.34675035656026848</v>
      </c>
      <c r="X364" s="8">
        <f>((Table1[[#This Row],[Units_Sold]]*(Table1[[#This Row],[Selling_Price_per_Unit]]-Table1[[#This Row],[Manufacturing_Cost_per_Unit]]))-Table1[[#This Row],[Marketing_Spend]])/Table1[[#This Row],[Marketing_Spend]]</f>
        <v>-21.775197831110756</v>
      </c>
    </row>
    <row r="365" spans="1:24" x14ac:dyDescent="0.3">
      <c r="A365" s="1" t="s">
        <v>382</v>
      </c>
      <c r="B365" s="1" t="s">
        <v>1260</v>
      </c>
      <c r="C365" s="1" t="s">
        <v>1633</v>
      </c>
      <c r="D365" s="1" t="s">
        <v>1636</v>
      </c>
      <c r="E365" s="1">
        <v>2023</v>
      </c>
      <c r="F365" s="1" t="s">
        <v>1639</v>
      </c>
      <c r="G365" s="1">
        <v>4802</v>
      </c>
      <c r="H365" s="1">
        <v>3564</v>
      </c>
      <c r="I365" s="1">
        <v>5893</v>
      </c>
      <c r="J365" s="1">
        <v>479404</v>
      </c>
      <c r="K365" s="1">
        <v>1.76</v>
      </c>
      <c r="L365" s="1">
        <v>5</v>
      </c>
      <c r="M365" s="1">
        <v>2.88</v>
      </c>
      <c r="N365" s="1">
        <v>18.149999999999999</v>
      </c>
      <c r="O365" s="1">
        <v>44.93</v>
      </c>
      <c r="P365" s="1">
        <v>2.6</v>
      </c>
      <c r="Q365" s="1">
        <v>5864</v>
      </c>
      <c r="R365" s="1">
        <v>5275</v>
      </c>
      <c r="S365" s="1">
        <v>9</v>
      </c>
      <c r="T365" s="1">
        <f>(Table1[[#This Row],[Selling_Price_per_Unit]]-Table1[[#This Row],[Manufacturing_Cost_per_Unit]])*Table1[[#This Row],[Units_Sold]]-Table1[[#This Row],[Marketing_Spend]]-Table1[[#This Row],[Discount_%]]</f>
        <v>-11663280.15</v>
      </c>
      <c r="U365" s="3">
        <f>Table1[[#This Row],[profit]]/(Table1[[#This Row],[Units_Sold]]*Table1[[#This Row],[Selling_Price_per_Unit]])*100</f>
        <v>-68.14921479826728</v>
      </c>
      <c r="V365" s="6">
        <f>Table1[[#This Row],[Units_Sold]]*Table1[[#This Row],[Selling_Price_per_Unit]]</f>
        <v>17114328</v>
      </c>
      <c r="W365" s="7">
        <f>(Table1[[#This Row],[Units_Sold]]/$Z$1)</f>
        <v>0.96137136963187597</v>
      </c>
      <c r="X365" s="8">
        <f>((Table1[[#This Row],[Units_Sold]]*(Table1[[#This Row],[Selling_Price_per_Unit]]-Table1[[#This Row],[Manufacturing_Cost_per_Unit]]))-Table1[[#This Row],[Marketing_Spend]])/Table1[[#This Row],[Marketing_Spend]]</f>
        <v>-24.328670599327499</v>
      </c>
    </row>
    <row r="366" spans="1:24" hidden="1" x14ac:dyDescent="0.3">
      <c r="A366" s="1" t="s">
        <v>383</v>
      </c>
      <c r="B366" s="1" t="s">
        <v>1323</v>
      </c>
      <c r="C366" s="1" t="s">
        <v>1634</v>
      </c>
      <c r="D366" s="1" t="s">
        <v>1636</v>
      </c>
      <c r="E366" s="1">
        <v>2023</v>
      </c>
      <c r="F366" s="1" t="s">
        <v>1640</v>
      </c>
      <c r="G366" s="1">
        <v>169</v>
      </c>
      <c r="H366" s="1">
        <v>8509</v>
      </c>
      <c r="I366" s="1">
        <v>14228</v>
      </c>
      <c r="J366" s="1">
        <v>186917</v>
      </c>
      <c r="K366" s="1">
        <v>5.0599999999999996</v>
      </c>
      <c r="L366" s="1">
        <v>7</v>
      </c>
      <c r="M366" s="1">
        <v>7.25</v>
      </c>
      <c r="N366" s="1">
        <v>22.94</v>
      </c>
      <c r="O366" s="1">
        <v>60.7</v>
      </c>
      <c r="P366" s="1">
        <v>4.8</v>
      </c>
      <c r="Q366" s="1">
        <v>13769</v>
      </c>
      <c r="R366" s="1">
        <v>9906</v>
      </c>
      <c r="S366" s="1">
        <v>5</v>
      </c>
      <c r="T366" s="1">
        <f>(Table1[[#This Row],[Selling_Price_per_Unit]]-Table1[[#This Row],[Manufacturing_Cost_per_Unit]])*Table1[[#This Row],[Units_Sold]]-Table1[[#This Row],[Marketing_Spend]]-Table1[[#This Row],[Discount_%]]</f>
        <v>-1153450.94</v>
      </c>
      <c r="U366" s="3">
        <f>Table1[[#This Row],[profit]]/(Table1[[#This Row],[Units_Sold]]*Table1[[#This Row],[Selling_Price_per_Unit]])*100</f>
        <v>-80.210994137081443</v>
      </c>
      <c r="V366" s="6">
        <f>Table1[[#This Row],[Units_Sold]]*Table1[[#This Row],[Selling_Price_per_Unit]]</f>
        <v>1438021</v>
      </c>
      <c r="W366" s="7">
        <f>(Table1[[#This Row],[Units_Sold]]/$Z$1)</f>
        <v>3.3834186061596633E-2</v>
      </c>
      <c r="X366" s="8">
        <f>((Table1[[#This Row],[Units_Sold]]*(Table1[[#This Row],[Selling_Price_per_Unit]]-Table1[[#This Row],[Manufacturing_Cost_per_Unit]]))-Table1[[#This Row],[Marketing_Spend]])/Table1[[#This Row],[Marketing_Spend]]</f>
        <v>-6.1708030837216521</v>
      </c>
    </row>
    <row r="367" spans="1:24" hidden="1" x14ac:dyDescent="0.3">
      <c r="A367" s="1" t="s">
        <v>384</v>
      </c>
      <c r="B367" s="1" t="s">
        <v>1324</v>
      </c>
      <c r="C367" s="1" t="s">
        <v>1634</v>
      </c>
      <c r="D367" s="1" t="s">
        <v>1635</v>
      </c>
      <c r="E367" s="1">
        <v>2023</v>
      </c>
      <c r="F367" s="1" t="s">
        <v>1639</v>
      </c>
      <c r="G367" s="1">
        <v>880</v>
      </c>
      <c r="H367" s="1">
        <v>14487</v>
      </c>
      <c r="I367" s="1">
        <v>11966</v>
      </c>
      <c r="J367" s="1">
        <v>267770</v>
      </c>
      <c r="K367" s="1">
        <v>2.14</v>
      </c>
      <c r="L367" s="1">
        <v>15</v>
      </c>
      <c r="M367" s="1">
        <v>8.36</v>
      </c>
      <c r="N367" s="1">
        <v>22.71</v>
      </c>
      <c r="O367" s="1">
        <v>46</v>
      </c>
      <c r="P367" s="1">
        <v>1.6</v>
      </c>
      <c r="Q367" s="1">
        <v>19361</v>
      </c>
      <c r="R367" s="1">
        <v>1226</v>
      </c>
      <c r="S367" s="1">
        <v>6</v>
      </c>
      <c r="T367" s="1">
        <f>(Table1[[#This Row],[Selling_Price_per_Unit]]-Table1[[#This Row],[Manufacturing_Cost_per_Unit]])*Table1[[#This Row],[Units_Sold]]-Table1[[#This Row],[Marketing_Spend]]-Table1[[#This Row],[Discount_%]]</f>
        <v>1950687.29</v>
      </c>
      <c r="U367" s="3">
        <f>Table1[[#This Row],[profit]]/(Table1[[#This Row],[Units_Sold]]*Table1[[#This Row],[Selling_Price_per_Unit]])*100</f>
        <v>15.301236296491524</v>
      </c>
      <c r="V367" s="6">
        <f>Table1[[#This Row],[Units_Sold]]*Table1[[#This Row],[Selling_Price_per_Unit]]</f>
        <v>12748560</v>
      </c>
      <c r="W367" s="7">
        <f>(Table1[[#This Row],[Units_Sold]]/$Z$1)</f>
        <v>0.17617801026156829</v>
      </c>
      <c r="X367" s="8">
        <f>((Table1[[#This Row],[Units_Sold]]*(Table1[[#This Row],[Selling_Price_per_Unit]]-Table1[[#This Row],[Manufacturing_Cost_per_Unit]]))-Table1[[#This Row],[Marketing_Spend]])/Table1[[#This Row],[Marketing_Spend]]</f>
        <v>7.2850207267431006</v>
      </c>
    </row>
    <row r="368" spans="1:24" x14ac:dyDescent="0.3">
      <c r="A368" s="1" t="s">
        <v>385</v>
      </c>
      <c r="B368" s="1" t="s">
        <v>1325</v>
      </c>
      <c r="C368" s="1" t="s">
        <v>1632</v>
      </c>
      <c r="D368" s="1" t="s">
        <v>1635</v>
      </c>
      <c r="E368" s="1">
        <v>2023</v>
      </c>
      <c r="F368" s="1" t="s">
        <v>1641</v>
      </c>
      <c r="G368" s="1">
        <v>3725</v>
      </c>
      <c r="H368" s="1">
        <v>6043</v>
      </c>
      <c r="I368" s="1">
        <v>1667</v>
      </c>
      <c r="J368" s="1">
        <v>479890</v>
      </c>
      <c r="K368" s="1">
        <v>10.38</v>
      </c>
      <c r="L368" s="1">
        <v>18</v>
      </c>
      <c r="M368" s="1">
        <v>8.6199999999999992</v>
      </c>
      <c r="N368" s="1">
        <v>15.11</v>
      </c>
      <c r="O368" s="1">
        <v>37.03</v>
      </c>
      <c r="P368" s="1">
        <v>1</v>
      </c>
      <c r="Q368" s="1">
        <v>15329</v>
      </c>
      <c r="R368" s="1">
        <v>4479</v>
      </c>
      <c r="S368" s="1">
        <v>9</v>
      </c>
      <c r="T368" s="1">
        <f>(Table1[[#This Row],[Selling_Price_per_Unit]]-Table1[[#This Row],[Manufacturing_Cost_per_Unit]])*Table1[[#This Row],[Units_Sold]]-Table1[[#This Row],[Marketing_Spend]]-Table1[[#This Row],[Discount_%]]</f>
        <v>15820694.890000001</v>
      </c>
      <c r="U368" s="3">
        <f>Table1[[#This Row],[profit]]/(Table1[[#This Row],[Units_Sold]]*Table1[[#This Row],[Selling_Price_per_Unit]])*100</f>
        <v>70.282416240655621</v>
      </c>
      <c r="V368" s="6">
        <f>Table1[[#This Row],[Units_Sold]]*Table1[[#This Row],[Selling_Price_per_Unit]]</f>
        <v>22510175</v>
      </c>
      <c r="W368" s="7">
        <f>(Table1[[#This Row],[Units_Sold]]/$Z$1)</f>
        <v>0.74575350934584295</v>
      </c>
      <c r="X368" s="8">
        <f>((Table1[[#This Row],[Units_Sold]]*(Table1[[#This Row],[Selling_Price_per_Unit]]-Table1[[#This Row],[Manufacturing_Cost_per_Unit]]))-Table1[[#This Row],[Marketing_Spend]])/Table1[[#This Row],[Marketing_Spend]]</f>
        <v>32.96736752172373</v>
      </c>
    </row>
    <row r="369" spans="1:24" hidden="1" x14ac:dyDescent="0.3">
      <c r="A369" s="1" t="s">
        <v>386</v>
      </c>
      <c r="B369" s="1" t="s">
        <v>1326</v>
      </c>
      <c r="C369" s="1" t="s">
        <v>1632</v>
      </c>
      <c r="D369" s="1" t="s">
        <v>1635</v>
      </c>
      <c r="E369" s="1">
        <v>2024</v>
      </c>
      <c r="F369" s="1" t="s">
        <v>1642</v>
      </c>
      <c r="G369" s="1">
        <v>1419</v>
      </c>
      <c r="H369" s="1">
        <v>2507</v>
      </c>
      <c r="I369" s="1">
        <v>11058</v>
      </c>
      <c r="J369" s="1">
        <v>168325</v>
      </c>
      <c r="K369" s="1">
        <v>3.09</v>
      </c>
      <c r="L369" s="1">
        <v>0</v>
      </c>
      <c r="M369" s="1">
        <v>3.16</v>
      </c>
      <c r="N369" s="1">
        <v>13.19</v>
      </c>
      <c r="O369" s="1">
        <v>41.05</v>
      </c>
      <c r="P369" s="1">
        <v>2</v>
      </c>
      <c r="Q369" s="1">
        <v>6460</v>
      </c>
      <c r="R369" s="1">
        <v>8808</v>
      </c>
      <c r="S369" s="1">
        <v>12</v>
      </c>
      <c r="T369" s="1">
        <f>(Table1[[#This Row],[Selling_Price_per_Unit]]-Table1[[#This Row],[Manufacturing_Cost_per_Unit]])*Table1[[#This Row],[Units_Sold]]-Table1[[#This Row],[Marketing_Spend]]-Table1[[#This Row],[Discount_%]]</f>
        <v>-12302207.189999999</v>
      </c>
      <c r="U369" s="3">
        <f>Table1[[#This Row],[profit]]/(Table1[[#This Row],[Units_Sold]]*Table1[[#This Row],[Selling_Price_per_Unit]])*100</f>
        <v>-345.81697504914354</v>
      </c>
      <c r="V369" s="6">
        <f>Table1[[#This Row],[Units_Sold]]*Table1[[#This Row],[Selling_Price_per_Unit]]</f>
        <v>3557433</v>
      </c>
      <c r="W369" s="7">
        <f>(Table1[[#This Row],[Units_Sold]]/$Z$1)</f>
        <v>0.28408704154677883</v>
      </c>
      <c r="X369" s="8">
        <f>((Table1[[#This Row],[Units_Sold]]*(Table1[[#This Row],[Selling_Price_per_Unit]]-Table1[[#This Row],[Manufacturing_Cost_per_Unit]]))-Table1[[#This Row],[Marketing_Spend]])/Table1[[#This Row],[Marketing_Spend]]</f>
        <v>-73.085958710827271</v>
      </c>
    </row>
    <row r="370" spans="1:24" hidden="1" x14ac:dyDescent="0.3">
      <c r="A370" s="1" t="s">
        <v>387</v>
      </c>
      <c r="B370" s="1" t="s">
        <v>1251</v>
      </c>
      <c r="C370" s="1" t="s">
        <v>1632</v>
      </c>
      <c r="D370" s="1" t="s">
        <v>1638</v>
      </c>
      <c r="E370" s="1">
        <v>2024</v>
      </c>
      <c r="F370" s="1" t="s">
        <v>1642</v>
      </c>
      <c r="G370" s="1">
        <v>790</v>
      </c>
      <c r="H370" s="1">
        <v>6945</v>
      </c>
      <c r="I370" s="1">
        <v>9423</v>
      </c>
      <c r="J370" s="1">
        <v>69337</v>
      </c>
      <c r="K370" s="1">
        <v>5.88</v>
      </c>
      <c r="L370" s="1">
        <v>2</v>
      </c>
      <c r="M370" s="1">
        <v>8.52</v>
      </c>
      <c r="N370" s="1">
        <v>13.94</v>
      </c>
      <c r="O370" s="1">
        <v>29.38</v>
      </c>
      <c r="P370" s="1">
        <v>4.3</v>
      </c>
      <c r="Q370" s="1">
        <v>20281</v>
      </c>
      <c r="R370" s="1">
        <v>9593</v>
      </c>
      <c r="S370" s="1">
        <v>9</v>
      </c>
      <c r="T370" s="1">
        <f>(Table1[[#This Row],[Selling_Price_per_Unit]]-Table1[[#This Row],[Manufacturing_Cost_per_Unit]])*Table1[[#This Row],[Units_Sold]]-Table1[[#This Row],[Marketing_Spend]]-Table1[[#This Row],[Discount_%]]</f>
        <v>-2026970.94</v>
      </c>
      <c r="U370" s="3">
        <f>Table1[[#This Row],[profit]]/(Table1[[#This Row],[Units_Sold]]*Table1[[#This Row],[Selling_Price_per_Unit]])*100</f>
        <v>-36.94436285097192</v>
      </c>
      <c r="V370" s="6">
        <f>Table1[[#This Row],[Units_Sold]]*Table1[[#This Row],[Selling_Price_per_Unit]]</f>
        <v>5486550</v>
      </c>
      <c r="W370" s="7">
        <f>(Table1[[#This Row],[Units_Sold]]/$Z$1)</f>
        <v>0.15815980466663515</v>
      </c>
      <c r="X370" s="8">
        <f>((Table1[[#This Row],[Units_Sold]]*(Table1[[#This Row],[Selling_Price_per_Unit]]-Table1[[#This Row],[Manufacturing_Cost_per_Unit]]))-Table1[[#This Row],[Marketing_Spend]])/Table1[[#This Row],[Marketing_Spend]]</f>
        <v>-29.233410733086231</v>
      </c>
    </row>
    <row r="371" spans="1:24" hidden="1" x14ac:dyDescent="0.3">
      <c r="A371" s="1" t="s">
        <v>388</v>
      </c>
      <c r="B371" s="1" t="s">
        <v>1327</v>
      </c>
      <c r="C371" s="1" t="s">
        <v>1633</v>
      </c>
      <c r="D371" s="1" t="s">
        <v>1637</v>
      </c>
      <c r="E371" s="1">
        <v>2023</v>
      </c>
      <c r="F371" s="1" t="s">
        <v>1641</v>
      </c>
      <c r="G371" s="1">
        <v>166</v>
      </c>
      <c r="H371" s="1">
        <v>12206</v>
      </c>
      <c r="I371" s="1">
        <v>13827</v>
      </c>
      <c r="J371" s="1">
        <v>203385</v>
      </c>
      <c r="K371" s="1">
        <v>13.44</v>
      </c>
      <c r="L371" s="1">
        <v>2</v>
      </c>
      <c r="M371" s="1">
        <v>0.41</v>
      </c>
      <c r="N371" s="1">
        <v>24.46</v>
      </c>
      <c r="O371" s="1">
        <v>83.96</v>
      </c>
      <c r="P371" s="1">
        <v>1.8</v>
      </c>
      <c r="Q371" s="1">
        <v>9801</v>
      </c>
      <c r="R371" s="1">
        <v>8152</v>
      </c>
      <c r="S371" s="1">
        <v>13</v>
      </c>
      <c r="T371" s="1">
        <f>(Table1[[#This Row],[Selling_Price_per_Unit]]-Table1[[#This Row],[Manufacturing_Cost_per_Unit]])*Table1[[#This Row],[Units_Sold]]-Table1[[#This Row],[Marketing_Spend]]-Table1[[#This Row],[Discount_%]]</f>
        <v>-472495.46</v>
      </c>
      <c r="U371" s="3">
        <f>Table1[[#This Row],[profit]]/(Table1[[#This Row],[Units_Sold]]*Table1[[#This Row],[Selling_Price_per_Unit]])*100</f>
        <v>-23.319336332714112</v>
      </c>
      <c r="V371" s="6">
        <f>Table1[[#This Row],[Units_Sold]]*Table1[[#This Row],[Selling_Price_per_Unit]]</f>
        <v>2026196</v>
      </c>
      <c r="W371" s="7">
        <f>(Table1[[#This Row],[Units_Sold]]/$Z$1)</f>
        <v>3.3233579208432194E-2</v>
      </c>
      <c r="X371" s="8">
        <f>((Table1[[#This Row],[Units_Sold]]*(Table1[[#This Row],[Selling_Price_per_Unit]]-Table1[[#This Row],[Manufacturing_Cost_per_Unit]]))-Table1[[#This Row],[Marketing_Spend]])/Table1[[#This Row],[Marketing_Spend]]</f>
        <v>-2.323037588809401</v>
      </c>
    </row>
    <row r="372" spans="1:24" x14ac:dyDescent="0.3">
      <c r="A372" s="1" t="s">
        <v>690</v>
      </c>
      <c r="B372" s="1" t="s">
        <v>1481</v>
      </c>
      <c r="C372" s="1" t="s">
        <v>1632</v>
      </c>
      <c r="D372" s="1" t="s">
        <v>1635</v>
      </c>
      <c r="E372" s="1">
        <v>2024</v>
      </c>
      <c r="F372" s="1" t="s">
        <v>1639</v>
      </c>
      <c r="G372" s="1">
        <v>4580</v>
      </c>
      <c r="H372" s="1">
        <v>18775</v>
      </c>
      <c r="I372" s="1">
        <v>10902</v>
      </c>
      <c r="J372" s="1">
        <v>314889</v>
      </c>
      <c r="K372" s="1">
        <v>12.34</v>
      </c>
      <c r="L372" s="1">
        <v>14</v>
      </c>
      <c r="M372" s="1">
        <v>8.9600000000000009</v>
      </c>
      <c r="N372" s="1">
        <v>15.39</v>
      </c>
      <c r="O372" s="1">
        <v>51.53</v>
      </c>
      <c r="P372" s="1">
        <v>2.9</v>
      </c>
      <c r="Q372" s="1">
        <v>15904</v>
      </c>
      <c r="R372" s="1">
        <v>4935</v>
      </c>
      <c r="S372" s="1">
        <v>4</v>
      </c>
      <c r="T372" s="1">
        <f>(Table1[[#This Row],[Selling_Price_per_Unit]]-Table1[[#This Row],[Manufacturing_Cost_per_Unit]])*Table1[[#This Row],[Units_Sold]]-Table1[[#This Row],[Marketing_Spend]]-Table1[[#This Row],[Discount_%]]</f>
        <v>35743435.609999999</v>
      </c>
      <c r="U372" s="3">
        <f>Table1[[#This Row],[profit]]/(Table1[[#This Row],[Units_Sold]]*Table1[[#This Row],[Selling_Price_per_Unit]])*100</f>
        <v>41.567209496508298</v>
      </c>
      <c r="V372" s="6">
        <f>Table1[[#This Row],[Units_Sold]]*Table1[[#This Row],[Selling_Price_per_Unit]]</f>
        <v>85989500</v>
      </c>
      <c r="W372" s="7">
        <f>(Table1[[#This Row],[Units_Sold]]/$Z$1)</f>
        <v>0.9169264624977076</v>
      </c>
      <c r="X372" s="8">
        <f>((Table1[[#This Row],[Units_Sold]]*(Table1[[#This Row],[Selling_Price_per_Unit]]-Table1[[#This Row],[Manufacturing_Cost_per_Unit]]))-Table1[[#This Row],[Marketing_Spend]])/Table1[[#This Row],[Marketing_Spend]]</f>
        <v>113.51127222608602</v>
      </c>
    </row>
    <row r="373" spans="1:24" hidden="1" x14ac:dyDescent="0.3">
      <c r="A373" s="1" t="s">
        <v>390</v>
      </c>
      <c r="B373" s="1" t="s">
        <v>1328</v>
      </c>
      <c r="C373" s="1" t="s">
        <v>1634</v>
      </c>
      <c r="D373" s="1" t="s">
        <v>1638</v>
      </c>
      <c r="E373" s="1">
        <v>2024</v>
      </c>
      <c r="F373" s="1" t="s">
        <v>1640</v>
      </c>
      <c r="G373" s="1">
        <v>1200</v>
      </c>
      <c r="H373" s="1">
        <v>13218</v>
      </c>
      <c r="I373" s="1">
        <v>13270</v>
      </c>
      <c r="J373" s="1">
        <v>390093</v>
      </c>
      <c r="K373" s="1">
        <v>7.62</v>
      </c>
      <c r="L373" s="1">
        <v>11</v>
      </c>
      <c r="M373" s="1">
        <v>6.24</v>
      </c>
      <c r="N373" s="1">
        <v>2.66</v>
      </c>
      <c r="O373" s="1">
        <v>11.07</v>
      </c>
      <c r="P373" s="1">
        <v>1.5</v>
      </c>
      <c r="Q373" s="1">
        <v>9230</v>
      </c>
      <c r="R373" s="1">
        <v>849</v>
      </c>
      <c r="S373" s="1">
        <v>7</v>
      </c>
      <c r="T373" s="1">
        <f>(Table1[[#This Row],[Selling_Price_per_Unit]]-Table1[[#This Row],[Manufacturing_Cost_per_Unit]])*Table1[[#This Row],[Units_Sold]]-Table1[[#This Row],[Marketing_Spend]]-Table1[[#This Row],[Discount_%]]</f>
        <v>-452495.66</v>
      </c>
      <c r="U373" s="3">
        <f>Table1[[#This Row],[profit]]/(Table1[[#This Row],[Units_Sold]]*Table1[[#This Row],[Selling_Price_per_Unit]])*100</f>
        <v>-2.8527743733292983</v>
      </c>
      <c r="V373" s="6">
        <f>Table1[[#This Row],[Units_Sold]]*Table1[[#This Row],[Selling_Price_per_Unit]]</f>
        <v>15861600</v>
      </c>
      <c r="W373" s="7">
        <f>(Table1[[#This Row],[Units_Sold]]/$Z$1)</f>
        <v>0.24024274126577491</v>
      </c>
      <c r="X373" s="8">
        <f>((Table1[[#This Row],[Units_Sold]]*(Table1[[#This Row],[Selling_Price_per_Unit]]-Table1[[#This Row],[Manufacturing_Cost_per_Unit]]))-Table1[[#This Row],[Marketing_Spend]])/Table1[[#This Row],[Marketing_Spend]]</f>
        <v>-1.159961855249902</v>
      </c>
    </row>
    <row r="374" spans="1:24" hidden="1" x14ac:dyDescent="0.3">
      <c r="A374" s="1" t="s">
        <v>391</v>
      </c>
      <c r="B374" s="1" t="s">
        <v>1103</v>
      </c>
      <c r="C374" s="1" t="s">
        <v>1633</v>
      </c>
      <c r="D374" s="1" t="s">
        <v>1636</v>
      </c>
      <c r="E374" s="1">
        <v>2023</v>
      </c>
      <c r="F374" s="1" t="s">
        <v>1639</v>
      </c>
      <c r="G374" s="1">
        <v>1981</v>
      </c>
      <c r="H374" s="1">
        <v>10939</v>
      </c>
      <c r="I374" s="1">
        <v>7056</v>
      </c>
      <c r="J374" s="1">
        <v>312420</v>
      </c>
      <c r="K374" s="1">
        <v>6.29</v>
      </c>
      <c r="L374" s="1">
        <v>11</v>
      </c>
      <c r="M374" s="1">
        <v>0.63</v>
      </c>
      <c r="N374" s="1">
        <v>19.46</v>
      </c>
      <c r="O374" s="1">
        <v>11.56</v>
      </c>
      <c r="P374" s="1">
        <v>3.9</v>
      </c>
      <c r="Q374" s="1">
        <v>19383</v>
      </c>
      <c r="R374" s="1">
        <v>1956</v>
      </c>
      <c r="S374" s="1">
        <v>5</v>
      </c>
      <c r="T374" s="1">
        <f>(Table1[[#This Row],[Selling_Price_per_Unit]]-Table1[[#This Row],[Manufacturing_Cost_per_Unit]])*Table1[[#This Row],[Units_Sold]]-Table1[[#This Row],[Marketing_Spend]]-Table1[[#This Row],[Discount_%]]</f>
        <v>7379783.54</v>
      </c>
      <c r="U374" s="3">
        <f>Table1[[#This Row],[profit]]/(Table1[[#This Row],[Units_Sold]]*Table1[[#This Row],[Selling_Price_per_Unit]])*100</f>
        <v>34.055050265205715</v>
      </c>
      <c r="V374" s="6">
        <f>Table1[[#This Row],[Units_Sold]]*Table1[[#This Row],[Selling_Price_per_Unit]]</f>
        <v>21670159</v>
      </c>
      <c r="W374" s="7">
        <f>(Table1[[#This Row],[Units_Sold]]/$Z$1)</f>
        <v>0.3966007253729168</v>
      </c>
      <c r="X374" s="8">
        <f>((Table1[[#This Row],[Units_Sold]]*(Table1[[#This Row],[Selling_Price_per_Unit]]-Table1[[#This Row],[Manufacturing_Cost_per_Unit]]))-Table1[[#This Row],[Marketing_Spend]])/Table1[[#This Row],[Marketing_Spend]]</f>
        <v>23.621416682670763</v>
      </c>
    </row>
    <row r="375" spans="1:24" hidden="1" x14ac:dyDescent="0.3">
      <c r="A375" s="1" t="s">
        <v>392</v>
      </c>
      <c r="B375" s="1" t="s">
        <v>1329</v>
      </c>
      <c r="C375" s="1" t="s">
        <v>1634</v>
      </c>
      <c r="D375" s="1" t="s">
        <v>1638</v>
      </c>
      <c r="E375" s="1">
        <v>2024</v>
      </c>
      <c r="F375" s="1" t="s">
        <v>1640</v>
      </c>
      <c r="G375" s="1">
        <v>1062</v>
      </c>
      <c r="H375" s="1">
        <v>14781</v>
      </c>
      <c r="I375" s="1">
        <v>10198</v>
      </c>
      <c r="J375" s="1">
        <v>363295</v>
      </c>
      <c r="K375" s="1">
        <v>0.27</v>
      </c>
      <c r="L375" s="1">
        <v>19</v>
      </c>
      <c r="M375" s="1">
        <v>3.25</v>
      </c>
      <c r="N375" s="1">
        <v>4.26</v>
      </c>
      <c r="O375" s="1">
        <v>87.84</v>
      </c>
      <c r="P375" s="1">
        <v>1.3</v>
      </c>
      <c r="Q375" s="1">
        <v>18479</v>
      </c>
      <c r="R375" s="1">
        <v>8691</v>
      </c>
      <c r="S375" s="1">
        <v>2</v>
      </c>
      <c r="T375" s="1">
        <f>(Table1[[#This Row],[Selling_Price_per_Unit]]-Table1[[#This Row],[Manufacturing_Cost_per_Unit]])*Table1[[#This Row],[Units_Sold]]-Table1[[#This Row],[Marketing_Spend]]-Table1[[#This Row],[Discount_%]]</f>
        <v>4503846.74</v>
      </c>
      <c r="U375" s="3">
        <f>Table1[[#This Row],[profit]]/(Table1[[#This Row],[Units_Sold]]*Table1[[#This Row],[Selling_Price_per_Unit]])*100</f>
        <v>28.691633186646825</v>
      </c>
      <c r="V375" s="6">
        <f>Table1[[#This Row],[Units_Sold]]*Table1[[#This Row],[Selling_Price_per_Unit]]</f>
        <v>15697422</v>
      </c>
      <c r="W375" s="7">
        <f>(Table1[[#This Row],[Units_Sold]]/$Z$1)</f>
        <v>0.21261482602021081</v>
      </c>
      <c r="X375" s="8">
        <f>((Table1[[#This Row],[Units_Sold]]*(Table1[[#This Row],[Selling_Price_per_Unit]]-Table1[[#This Row],[Manufacturing_Cost_per_Unit]]))-Table1[[#This Row],[Marketing_Spend]])/Table1[[#This Row],[Marketing_Spend]]</f>
        <v>12.397228147923864</v>
      </c>
    </row>
    <row r="376" spans="1:24" hidden="1" x14ac:dyDescent="0.3">
      <c r="A376" s="1" t="s">
        <v>393</v>
      </c>
      <c r="B376" s="1" t="s">
        <v>1330</v>
      </c>
      <c r="C376" s="1" t="s">
        <v>1634</v>
      </c>
      <c r="D376" s="1" t="s">
        <v>1636</v>
      </c>
      <c r="E376" s="1">
        <v>2024</v>
      </c>
      <c r="F376" s="1" t="s">
        <v>1641</v>
      </c>
      <c r="G376" s="1">
        <v>1714</v>
      </c>
      <c r="H376" s="1">
        <v>2935</v>
      </c>
      <c r="I376" s="1">
        <v>11520</v>
      </c>
      <c r="J376" s="1">
        <v>460827</v>
      </c>
      <c r="K376" s="1">
        <v>11.89</v>
      </c>
      <c r="L376" s="1">
        <v>12</v>
      </c>
      <c r="M376" s="1">
        <v>6.73</v>
      </c>
      <c r="N376" s="1">
        <v>11.18</v>
      </c>
      <c r="O376" s="1">
        <v>27.72</v>
      </c>
      <c r="P376" s="1">
        <v>2.2999999999999998</v>
      </c>
      <c r="Q376" s="1">
        <v>2478</v>
      </c>
      <c r="R376" s="1">
        <v>1626</v>
      </c>
      <c r="S376" s="1">
        <v>13</v>
      </c>
      <c r="T376" s="1">
        <f>(Table1[[#This Row],[Selling_Price_per_Unit]]-Table1[[#This Row],[Manufacturing_Cost_per_Unit]])*Table1[[#This Row],[Units_Sold]]-Table1[[#This Row],[Marketing_Spend]]-Table1[[#This Row],[Discount_%]]</f>
        <v>-15175528.18</v>
      </c>
      <c r="U376" s="3">
        <f>Table1[[#This Row],[profit]]/(Table1[[#This Row],[Units_Sold]]*Table1[[#This Row],[Selling_Price_per_Unit]])*100</f>
        <v>-301.66497726906783</v>
      </c>
      <c r="V376" s="6">
        <f>Table1[[#This Row],[Units_Sold]]*Table1[[#This Row],[Selling_Price_per_Unit]]</f>
        <v>5030590</v>
      </c>
      <c r="W376" s="7">
        <f>(Table1[[#This Row],[Units_Sold]]/$Z$1)</f>
        <v>0.34314671544128184</v>
      </c>
      <c r="X376" s="8">
        <f>((Table1[[#This Row],[Units_Sold]]*(Table1[[#This Row],[Selling_Price_per_Unit]]-Table1[[#This Row],[Manufacturing_Cost_per_Unit]]))-Table1[[#This Row],[Marketing_Spend]])/Table1[[#This Row],[Marketing_Spend]]</f>
        <v>-32.931050046980751</v>
      </c>
    </row>
    <row r="377" spans="1:24" hidden="1" x14ac:dyDescent="0.3">
      <c r="A377" s="1" t="s">
        <v>394</v>
      </c>
      <c r="B377" s="1" t="s">
        <v>1230</v>
      </c>
      <c r="C377" s="1" t="s">
        <v>1633</v>
      </c>
      <c r="D377" s="1" t="s">
        <v>1636</v>
      </c>
      <c r="E377" s="1">
        <v>2023</v>
      </c>
      <c r="F377" s="1" t="s">
        <v>1642</v>
      </c>
      <c r="G377" s="1">
        <v>1131</v>
      </c>
      <c r="H377" s="1">
        <v>2071</v>
      </c>
      <c r="I377" s="1">
        <v>1969</v>
      </c>
      <c r="J377" s="1">
        <v>193016</v>
      </c>
      <c r="K377" s="1">
        <v>1.04</v>
      </c>
      <c r="L377" s="1">
        <v>19</v>
      </c>
      <c r="M377" s="1">
        <v>3.37</v>
      </c>
      <c r="N377" s="1">
        <v>5.26</v>
      </c>
      <c r="O377" s="1">
        <v>74.45</v>
      </c>
      <c r="P377" s="1">
        <v>2.1</v>
      </c>
      <c r="Q377" s="1">
        <v>2230</v>
      </c>
      <c r="R377" s="1">
        <v>6329</v>
      </c>
      <c r="S377" s="1">
        <v>8</v>
      </c>
      <c r="T377" s="1">
        <f>(Table1[[#This Row],[Selling_Price_per_Unit]]-Table1[[#This Row],[Manufacturing_Cost_per_Unit]])*Table1[[#This Row],[Units_Sold]]-Table1[[#This Row],[Marketing_Spend]]-Table1[[#This Row],[Discount_%]]</f>
        <v>-77659.259999999995</v>
      </c>
      <c r="U377" s="3">
        <f>Table1[[#This Row],[profit]]/(Table1[[#This Row],[Units_Sold]]*Table1[[#This Row],[Selling_Price_per_Unit]])*100</f>
        <v>-3.3155115418556367</v>
      </c>
      <c r="V377" s="6">
        <f>Table1[[#This Row],[Units_Sold]]*Table1[[#This Row],[Selling_Price_per_Unit]]</f>
        <v>2342301</v>
      </c>
      <c r="W377" s="7">
        <f>(Table1[[#This Row],[Units_Sold]]/$Z$1)</f>
        <v>0.22642878364299288</v>
      </c>
      <c r="X377" s="8">
        <f>((Table1[[#This Row],[Units_Sold]]*(Table1[[#This Row],[Selling_Price_per_Unit]]-Table1[[#This Row],[Manufacturing_Cost_per_Unit]]))-Table1[[#This Row],[Marketing_Spend]])/Table1[[#This Row],[Marketing_Spend]]</f>
        <v>-0.40231897873751399</v>
      </c>
    </row>
    <row r="378" spans="1:24" x14ac:dyDescent="0.3">
      <c r="A378" s="1" t="s">
        <v>395</v>
      </c>
      <c r="B378" s="1" t="s">
        <v>1331</v>
      </c>
      <c r="C378" s="1" t="s">
        <v>1634</v>
      </c>
      <c r="D378" s="1" t="s">
        <v>1638</v>
      </c>
      <c r="E378" s="1">
        <v>2023</v>
      </c>
      <c r="F378" s="1" t="s">
        <v>1641</v>
      </c>
      <c r="G378" s="1">
        <v>4779</v>
      </c>
      <c r="H378" s="1">
        <v>3882</v>
      </c>
      <c r="I378" s="1">
        <v>1630</v>
      </c>
      <c r="J378" s="1">
        <v>365031</v>
      </c>
      <c r="K378" s="1">
        <v>7.11</v>
      </c>
      <c r="L378" s="1">
        <v>8</v>
      </c>
      <c r="M378" s="1">
        <v>1.8</v>
      </c>
      <c r="N378" s="1">
        <v>17.239999999999998</v>
      </c>
      <c r="O378" s="1">
        <v>14.66</v>
      </c>
      <c r="P378" s="1">
        <v>3.2</v>
      </c>
      <c r="Q378" s="1">
        <v>1556</v>
      </c>
      <c r="R378" s="1">
        <v>8611</v>
      </c>
      <c r="S378" s="1">
        <v>9</v>
      </c>
      <c r="T378" s="1">
        <f>(Table1[[#This Row],[Selling_Price_per_Unit]]-Table1[[#This Row],[Manufacturing_Cost_per_Unit]])*Table1[[#This Row],[Units_Sold]]-Table1[[#This Row],[Marketing_Spend]]-Table1[[#This Row],[Discount_%]]</f>
        <v>10397259.76</v>
      </c>
      <c r="U378" s="3">
        <f>Table1[[#This Row],[profit]]/(Table1[[#This Row],[Units_Sold]]*Table1[[#This Row],[Selling_Price_per_Unit]])*100</f>
        <v>56.043639747525852</v>
      </c>
      <c r="V378" s="6">
        <f>Table1[[#This Row],[Units_Sold]]*Table1[[#This Row],[Selling_Price_per_Unit]]</f>
        <v>18552078</v>
      </c>
      <c r="W378" s="7">
        <f>(Table1[[#This Row],[Units_Sold]]/$Z$1)</f>
        <v>0.95676671709094863</v>
      </c>
      <c r="X378" s="8">
        <f>((Table1[[#This Row],[Units_Sold]]*(Table1[[#This Row],[Selling_Price_per_Unit]]-Table1[[#This Row],[Manufacturing_Cost_per_Unit]]))-Table1[[#This Row],[Marketing_Spend]])/Table1[[#This Row],[Marketing_Spend]]</f>
        <v>28.483271283808772</v>
      </c>
    </row>
    <row r="379" spans="1:24" hidden="1" x14ac:dyDescent="0.3">
      <c r="A379" s="1" t="s">
        <v>396</v>
      </c>
      <c r="B379" s="1" t="s">
        <v>1218</v>
      </c>
      <c r="C379" s="1" t="s">
        <v>1633</v>
      </c>
      <c r="D379" s="1" t="s">
        <v>1635</v>
      </c>
      <c r="E379" s="1">
        <v>2024</v>
      </c>
      <c r="F379" s="1" t="s">
        <v>1640</v>
      </c>
      <c r="G379" s="1">
        <v>562</v>
      </c>
      <c r="H379" s="1">
        <v>6584</v>
      </c>
      <c r="I379" s="1">
        <v>2451</v>
      </c>
      <c r="J379" s="1">
        <v>131442</v>
      </c>
      <c r="K379" s="1">
        <v>8.41</v>
      </c>
      <c r="L379" s="1">
        <v>6</v>
      </c>
      <c r="M379" s="1">
        <v>2.81</v>
      </c>
      <c r="N379" s="1">
        <v>21.93</v>
      </c>
      <c r="O379" s="1">
        <v>83.69</v>
      </c>
      <c r="P379" s="1">
        <v>3.9</v>
      </c>
      <c r="Q379" s="1">
        <v>3743</v>
      </c>
      <c r="R379" s="1">
        <v>8627</v>
      </c>
      <c r="S379" s="1">
        <v>10</v>
      </c>
      <c r="T379" s="1">
        <f>(Table1[[#This Row],[Selling_Price_per_Unit]]-Table1[[#This Row],[Manufacturing_Cost_per_Unit]])*Table1[[#This Row],[Units_Sold]]-Table1[[#This Row],[Marketing_Spend]]-Table1[[#This Row],[Discount_%]]</f>
        <v>2191282.0699999998</v>
      </c>
      <c r="U379" s="3">
        <f>Table1[[#This Row],[profit]]/(Table1[[#This Row],[Units_Sold]]*Table1[[#This Row],[Selling_Price_per_Unit]])*100</f>
        <v>59.220510576702715</v>
      </c>
      <c r="V379" s="6">
        <f>Table1[[#This Row],[Units_Sold]]*Table1[[#This Row],[Selling_Price_per_Unit]]</f>
        <v>3700208</v>
      </c>
      <c r="W379" s="7">
        <f>(Table1[[#This Row],[Units_Sold]]/$Z$1)</f>
        <v>0.11251368382613793</v>
      </c>
      <c r="X379" s="8">
        <f>((Table1[[#This Row],[Units_Sold]]*(Table1[[#This Row],[Selling_Price_per_Unit]]-Table1[[#This Row],[Manufacturing_Cost_per_Unit]]))-Table1[[#This Row],[Marketing_Spend]])/Table1[[#This Row],[Marketing_Spend]]</f>
        <v>16.671261849332787</v>
      </c>
    </row>
    <row r="380" spans="1:24" x14ac:dyDescent="0.3">
      <c r="A380" s="1" t="s">
        <v>692</v>
      </c>
      <c r="B380" s="1" t="s">
        <v>1494</v>
      </c>
      <c r="C380" s="1" t="s">
        <v>1633</v>
      </c>
      <c r="D380" s="1" t="s">
        <v>1638</v>
      </c>
      <c r="E380" s="1">
        <v>2024</v>
      </c>
      <c r="F380" s="1" t="s">
        <v>1640</v>
      </c>
      <c r="G380" s="1">
        <v>4909</v>
      </c>
      <c r="H380" s="1">
        <v>11725</v>
      </c>
      <c r="I380" s="1">
        <v>4404</v>
      </c>
      <c r="J380" s="1">
        <v>316010</v>
      </c>
      <c r="K380" s="1">
        <v>6.28</v>
      </c>
      <c r="L380" s="1">
        <v>1</v>
      </c>
      <c r="M380" s="1">
        <v>2.4</v>
      </c>
      <c r="N380" s="1">
        <v>15.16</v>
      </c>
      <c r="O380" s="1">
        <v>43.8</v>
      </c>
      <c r="P380" s="1">
        <v>3.4</v>
      </c>
      <c r="Q380" s="1">
        <v>3930</v>
      </c>
      <c r="R380" s="1">
        <v>6886</v>
      </c>
      <c r="S380" s="1">
        <v>8</v>
      </c>
      <c r="T380" s="1">
        <f>(Table1[[#This Row],[Selling_Price_per_Unit]]-Table1[[#This Row],[Manufacturing_Cost_per_Unit]])*Table1[[#This Row],[Units_Sold]]-Table1[[#This Row],[Marketing_Spend]]-Table1[[#This Row],[Discount_%]]</f>
        <v>35622763.840000004</v>
      </c>
      <c r="U380" s="3">
        <f>Table1[[#This Row],[profit]]/(Table1[[#This Row],[Units_Sold]]*Table1[[#This Row],[Selling_Price_per_Unit]])*100</f>
        <v>61.890177503484537</v>
      </c>
      <c r="V380" s="6">
        <f>Table1[[#This Row],[Units_Sold]]*Table1[[#This Row],[Selling_Price_per_Unit]]</f>
        <v>57558025</v>
      </c>
      <c r="W380" s="7">
        <f>(Table1[[#This Row],[Units_Sold]]/$Z$1)</f>
        <v>0.98279301406140762</v>
      </c>
      <c r="X380" s="8">
        <f>((Table1[[#This Row],[Units_Sold]]*(Table1[[#This Row],[Selling_Price_per_Unit]]-Table1[[#This Row],[Manufacturing_Cost_per_Unit]]))-Table1[[#This Row],[Marketing_Spend]])/Table1[[#This Row],[Marketing_Spend]]</f>
        <v>112.72674598905098</v>
      </c>
    </row>
    <row r="381" spans="1:24" hidden="1" x14ac:dyDescent="0.3">
      <c r="A381" s="1" t="s">
        <v>398</v>
      </c>
      <c r="B381" s="1" t="s">
        <v>1332</v>
      </c>
      <c r="C381" s="1" t="s">
        <v>1632</v>
      </c>
      <c r="D381" s="1" t="s">
        <v>1638</v>
      </c>
      <c r="E381" s="1">
        <v>2024</v>
      </c>
      <c r="F381" s="1" t="s">
        <v>1641</v>
      </c>
      <c r="G381" s="1">
        <v>609</v>
      </c>
      <c r="H381" s="1">
        <v>15007</v>
      </c>
      <c r="I381" s="1">
        <v>3610</v>
      </c>
      <c r="J381" s="1">
        <v>108653</v>
      </c>
      <c r="K381" s="1">
        <v>10.33</v>
      </c>
      <c r="L381" s="1">
        <v>18</v>
      </c>
      <c r="M381" s="1">
        <v>4.75</v>
      </c>
      <c r="N381" s="1">
        <v>2.0499999999999998</v>
      </c>
      <c r="O381" s="1">
        <v>55.69</v>
      </c>
      <c r="P381" s="1">
        <v>4.7</v>
      </c>
      <c r="Q381" s="1">
        <v>19170</v>
      </c>
      <c r="R381" s="1">
        <v>7965</v>
      </c>
      <c r="S381" s="1">
        <v>2</v>
      </c>
      <c r="T381" s="1">
        <f>(Table1[[#This Row],[Selling_Price_per_Unit]]-Table1[[#This Row],[Manufacturing_Cost_per_Unit]])*Table1[[#This Row],[Units_Sold]]-Table1[[#This Row],[Marketing_Spend]]-Table1[[#This Row],[Discount_%]]</f>
        <v>6832117.9500000002</v>
      </c>
      <c r="U381" s="3">
        <f>Table1[[#This Row],[profit]]/(Table1[[#This Row],[Units_Sold]]*Table1[[#This Row],[Selling_Price_per_Unit]])*100</f>
        <v>74.755677235680821</v>
      </c>
      <c r="V381" s="6">
        <f>Table1[[#This Row],[Units_Sold]]*Table1[[#This Row],[Selling_Price_per_Unit]]</f>
        <v>9139263</v>
      </c>
      <c r="W381" s="7">
        <f>(Table1[[#This Row],[Units_Sold]]/$Z$1)</f>
        <v>0.12192319119238078</v>
      </c>
      <c r="X381" s="8">
        <f>((Table1[[#This Row],[Units_Sold]]*(Table1[[#This Row],[Selling_Price_per_Unit]]-Table1[[#This Row],[Manufacturing_Cost_per_Unit]]))-Table1[[#This Row],[Marketing_Spend]])/Table1[[#This Row],[Marketing_Spend]]</f>
        <v>62.880178181918588</v>
      </c>
    </row>
    <row r="382" spans="1:24" x14ac:dyDescent="0.3">
      <c r="A382" s="1" t="s">
        <v>399</v>
      </c>
      <c r="B382" s="1" t="s">
        <v>1333</v>
      </c>
      <c r="C382" s="1" t="s">
        <v>1632</v>
      </c>
      <c r="D382" s="1" t="s">
        <v>1638</v>
      </c>
      <c r="E382" s="1">
        <v>2024</v>
      </c>
      <c r="F382" s="1" t="s">
        <v>1640</v>
      </c>
      <c r="G382" s="1">
        <v>3722</v>
      </c>
      <c r="H382" s="1">
        <v>8559</v>
      </c>
      <c r="I382" s="1">
        <v>9467</v>
      </c>
      <c r="J382" s="1">
        <v>267144</v>
      </c>
      <c r="K382" s="1">
        <v>3.8</v>
      </c>
      <c r="L382" s="1">
        <v>18</v>
      </c>
      <c r="M382" s="1">
        <v>7.83</v>
      </c>
      <c r="N382" s="1">
        <v>7.46</v>
      </c>
      <c r="O382" s="1">
        <v>10.72</v>
      </c>
      <c r="P382" s="1">
        <v>4.8</v>
      </c>
      <c r="Q382" s="1">
        <v>9803</v>
      </c>
      <c r="R382" s="1">
        <v>273</v>
      </c>
      <c r="S382" s="1">
        <v>5</v>
      </c>
      <c r="T382" s="1">
        <f>(Table1[[#This Row],[Selling_Price_per_Unit]]-Table1[[#This Row],[Manufacturing_Cost_per_Unit]])*Table1[[#This Row],[Units_Sold]]-Table1[[#This Row],[Marketing_Spend]]-Table1[[#This Row],[Discount_%]]</f>
        <v>-3646727.46</v>
      </c>
      <c r="U382" s="3">
        <f>Table1[[#This Row],[profit]]/(Table1[[#This Row],[Units_Sold]]*Table1[[#This Row],[Selling_Price_per_Unit]])*100</f>
        <v>-11.447322341199145</v>
      </c>
      <c r="V382" s="6">
        <f>Table1[[#This Row],[Units_Sold]]*Table1[[#This Row],[Selling_Price_per_Unit]]</f>
        <v>31856598</v>
      </c>
      <c r="W382" s="7">
        <f>(Table1[[#This Row],[Units_Sold]]/$Z$1)</f>
        <v>0.74515290249267851</v>
      </c>
      <c r="X382" s="8">
        <f>((Table1[[#This Row],[Units_Sold]]*(Table1[[#This Row],[Selling_Price_per_Unit]]-Table1[[#This Row],[Manufacturing_Cost_per_Unit]]))-Table1[[#This Row],[Marketing_Spend]])/Table1[[#This Row],[Marketing_Spend]]</f>
        <v>-13.650765130416554</v>
      </c>
    </row>
    <row r="383" spans="1:24" hidden="1" x14ac:dyDescent="0.3">
      <c r="A383" s="1" t="s">
        <v>953</v>
      </c>
      <c r="B383" s="1" t="s">
        <v>1607</v>
      </c>
      <c r="C383" s="1" t="s">
        <v>1634</v>
      </c>
      <c r="D383" s="1" t="s">
        <v>1638</v>
      </c>
      <c r="E383" s="1">
        <v>2023</v>
      </c>
      <c r="F383" s="1" t="s">
        <v>1641</v>
      </c>
      <c r="G383" s="1">
        <v>2724</v>
      </c>
      <c r="H383" s="1">
        <v>14186</v>
      </c>
      <c r="I383" s="1">
        <v>993</v>
      </c>
      <c r="J383" s="1">
        <v>327561</v>
      </c>
      <c r="K383" s="1">
        <v>3.14</v>
      </c>
      <c r="L383" s="1">
        <v>7</v>
      </c>
      <c r="M383" s="1">
        <v>1.89</v>
      </c>
      <c r="N383" s="1">
        <v>23.7</v>
      </c>
      <c r="O383" s="1">
        <v>77.03</v>
      </c>
      <c r="P383" s="1">
        <v>4.9000000000000004</v>
      </c>
      <c r="Q383" s="1">
        <v>20550</v>
      </c>
      <c r="R383" s="1">
        <v>505</v>
      </c>
      <c r="S383" s="1">
        <v>14</v>
      </c>
      <c r="T383" s="1">
        <f>(Table1[[#This Row],[Selling_Price_per_Unit]]-Table1[[#This Row],[Manufacturing_Cost_per_Unit]])*Table1[[#This Row],[Units_Sold]]-Table1[[#This Row],[Marketing_Spend]]-Table1[[#This Row],[Discount_%]]</f>
        <v>35610147.299999997</v>
      </c>
      <c r="U383" s="3">
        <f>Table1[[#This Row],[profit]]/(Table1[[#This Row],[Units_Sold]]*Table1[[#This Row],[Selling_Price_per_Unit]])*100</f>
        <v>92.152412939232136</v>
      </c>
      <c r="V383" s="6">
        <f>Table1[[#This Row],[Units_Sold]]*Table1[[#This Row],[Selling_Price_per_Unit]]</f>
        <v>38642664</v>
      </c>
      <c r="W383" s="7">
        <f>(Table1[[#This Row],[Units_Sold]]/$Z$1)</f>
        <v>0.54535102267330904</v>
      </c>
      <c r="X383" s="8">
        <f>((Table1[[#This Row],[Units_Sold]]*(Table1[[#This Row],[Selling_Price_per_Unit]]-Table1[[#This Row],[Manufacturing_Cost_per_Unit]]))-Table1[[#This Row],[Marketing_Spend]])/Table1[[#This Row],[Marketing_Spend]]</f>
        <v>108.71309771309771</v>
      </c>
    </row>
    <row r="384" spans="1:24" hidden="1" x14ac:dyDescent="0.3">
      <c r="A384" s="1" t="s">
        <v>401</v>
      </c>
      <c r="B384" s="1" t="s">
        <v>1335</v>
      </c>
      <c r="C384" s="1" t="s">
        <v>1633</v>
      </c>
      <c r="D384" s="1" t="s">
        <v>1635</v>
      </c>
      <c r="E384" s="1">
        <v>2024</v>
      </c>
      <c r="F384" s="1" t="s">
        <v>1640</v>
      </c>
      <c r="G384" s="1">
        <v>3393</v>
      </c>
      <c r="H384" s="1">
        <v>14271</v>
      </c>
      <c r="I384" s="1">
        <v>10318</v>
      </c>
      <c r="J384" s="1">
        <v>368766</v>
      </c>
      <c r="K384" s="1">
        <v>10.85</v>
      </c>
      <c r="L384" s="1">
        <v>12</v>
      </c>
      <c r="M384" s="1">
        <v>4.57</v>
      </c>
      <c r="N384" s="1">
        <v>8.2200000000000006</v>
      </c>
      <c r="O384" s="1">
        <v>42.55</v>
      </c>
      <c r="P384" s="1">
        <v>4.0999999999999996</v>
      </c>
      <c r="Q384" s="1">
        <v>14498</v>
      </c>
      <c r="R384" s="1">
        <v>600</v>
      </c>
      <c r="S384" s="1">
        <v>6</v>
      </c>
      <c r="T384" s="1">
        <f>(Table1[[#This Row],[Selling_Price_per_Unit]]-Table1[[#This Row],[Manufacturing_Cost_per_Unit]])*Table1[[#This Row],[Units_Sold]]-Table1[[#This Row],[Marketing_Spend]]-Table1[[#This Row],[Discount_%]]</f>
        <v>13043754.779999999</v>
      </c>
      <c r="U384" s="3">
        <f>Table1[[#This Row],[profit]]/(Table1[[#This Row],[Units_Sold]]*Table1[[#This Row],[Selling_Price_per_Unit]])*100</f>
        <v>26.937938667455242</v>
      </c>
      <c r="V384" s="6">
        <f>Table1[[#This Row],[Units_Sold]]*Table1[[#This Row],[Selling_Price_per_Unit]]</f>
        <v>48421503</v>
      </c>
      <c r="W384" s="7">
        <f>(Table1[[#This Row],[Units_Sold]]/$Z$1)</f>
        <v>0.6792863509289786</v>
      </c>
      <c r="X384" s="8">
        <f>((Table1[[#This Row],[Units_Sold]]*(Table1[[#This Row],[Selling_Price_per_Unit]]-Table1[[#This Row],[Manufacturing_Cost_per_Unit]]))-Table1[[#This Row],[Marketing_Spend]])/Table1[[#This Row],[Marketing_Spend]]</f>
        <v>35.371381851906087</v>
      </c>
    </row>
    <row r="385" spans="1:24" x14ac:dyDescent="0.3">
      <c r="A385" s="1" t="s">
        <v>852</v>
      </c>
      <c r="B385" s="1" t="s">
        <v>1321</v>
      </c>
      <c r="C385" s="1" t="s">
        <v>1632</v>
      </c>
      <c r="D385" s="1" t="s">
        <v>1637</v>
      </c>
      <c r="E385" s="1">
        <v>2024</v>
      </c>
      <c r="F385" s="1" t="s">
        <v>1641</v>
      </c>
      <c r="G385" s="1">
        <v>3794</v>
      </c>
      <c r="H385" s="1">
        <v>17514</v>
      </c>
      <c r="I385" s="1">
        <v>8030</v>
      </c>
      <c r="J385" s="1">
        <v>484532</v>
      </c>
      <c r="K385" s="1">
        <v>2.79</v>
      </c>
      <c r="L385" s="1">
        <v>12</v>
      </c>
      <c r="M385" s="1">
        <v>9.99</v>
      </c>
      <c r="N385" s="1">
        <v>8.15</v>
      </c>
      <c r="O385" s="1">
        <v>21.89</v>
      </c>
      <c r="P385" s="1">
        <v>2.6</v>
      </c>
      <c r="Q385" s="1">
        <v>4017</v>
      </c>
      <c r="R385" s="1">
        <v>5522</v>
      </c>
      <c r="S385" s="1">
        <v>3</v>
      </c>
      <c r="T385" s="1">
        <f>(Table1[[#This Row],[Selling_Price_per_Unit]]-Table1[[#This Row],[Manufacturing_Cost_per_Unit]])*Table1[[#This Row],[Units_Sold]]-Table1[[#This Row],[Marketing_Spend]]-Table1[[#This Row],[Discount_%]]</f>
        <v>35497755.850000001</v>
      </c>
      <c r="U385" s="3">
        <f>Table1[[#This Row],[profit]]/(Table1[[#This Row],[Units_Sold]]*Table1[[#This Row],[Selling_Price_per_Unit]])*100</f>
        <v>53.421764207731634</v>
      </c>
      <c r="V385" s="6">
        <f>Table1[[#This Row],[Units_Sold]]*Table1[[#This Row],[Selling_Price_per_Unit]]</f>
        <v>66448116</v>
      </c>
      <c r="W385" s="7">
        <f>(Table1[[#This Row],[Units_Sold]]/$Z$1)</f>
        <v>0.75956746696862509</v>
      </c>
      <c r="X385" s="8">
        <f>((Table1[[#This Row],[Units_Sold]]*(Table1[[#This Row],[Selling_Price_per_Unit]]-Table1[[#This Row],[Manufacturing_Cost_per_Unit]]))-Table1[[#This Row],[Marketing_Spend]])/Table1[[#This Row],[Marketing_Spend]]</f>
        <v>73.261959994386331</v>
      </c>
    </row>
    <row r="386" spans="1:24" x14ac:dyDescent="0.3">
      <c r="A386" s="1" t="s">
        <v>546</v>
      </c>
      <c r="B386" s="1" t="s">
        <v>1417</v>
      </c>
      <c r="C386" s="1" t="s">
        <v>1632</v>
      </c>
      <c r="D386" s="1" t="s">
        <v>1635</v>
      </c>
      <c r="E386" s="1">
        <v>2023</v>
      </c>
      <c r="F386" s="1" t="s">
        <v>1640</v>
      </c>
      <c r="G386" s="1">
        <v>4362</v>
      </c>
      <c r="H386" s="1">
        <v>16813</v>
      </c>
      <c r="I386" s="1">
        <v>8675</v>
      </c>
      <c r="J386" s="1">
        <v>367247</v>
      </c>
      <c r="K386" s="1">
        <v>9.82</v>
      </c>
      <c r="L386" s="1">
        <v>6</v>
      </c>
      <c r="M386" s="1">
        <v>5.77</v>
      </c>
      <c r="N386" s="1">
        <v>23.9</v>
      </c>
      <c r="O386" s="1">
        <v>53.71</v>
      </c>
      <c r="P386" s="1">
        <v>4.9000000000000004</v>
      </c>
      <c r="Q386" s="1">
        <v>3749</v>
      </c>
      <c r="R386" s="1">
        <v>4397</v>
      </c>
      <c r="S386" s="1">
        <v>8</v>
      </c>
      <c r="T386" s="1">
        <f>(Table1[[#This Row],[Selling_Price_per_Unit]]-Table1[[#This Row],[Manufacturing_Cost_per_Unit]])*Table1[[#This Row],[Units_Sold]]-Table1[[#This Row],[Marketing_Spend]]-Table1[[#This Row],[Discount_%]]</f>
        <v>35130685.100000001</v>
      </c>
      <c r="U386" s="3">
        <f>Table1[[#This Row],[profit]]/(Table1[[#This Row],[Units_Sold]]*Table1[[#This Row],[Selling_Price_per_Unit]])*100</f>
        <v>47.902231475049348</v>
      </c>
      <c r="V386" s="6">
        <f>Table1[[#This Row],[Units_Sold]]*Table1[[#This Row],[Selling_Price_per_Unit]]</f>
        <v>73338306</v>
      </c>
      <c r="W386" s="7">
        <f>(Table1[[#This Row],[Units_Sold]]/$Z$1)</f>
        <v>0.87328236450109187</v>
      </c>
      <c r="X386" s="8">
        <f>((Table1[[#This Row],[Units_Sold]]*(Table1[[#This Row],[Selling_Price_per_Unit]]-Table1[[#This Row],[Manufacturing_Cost_per_Unit]]))-Table1[[#This Row],[Marketing_Spend]])/Table1[[#This Row],[Marketing_Spend]]</f>
        <v>95.659621453681041</v>
      </c>
    </row>
    <row r="387" spans="1:24" hidden="1" x14ac:dyDescent="0.3">
      <c r="A387" s="1" t="s">
        <v>404</v>
      </c>
      <c r="B387" s="1" t="s">
        <v>1260</v>
      </c>
      <c r="C387" s="1" t="s">
        <v>1632</v>
      </c>
      <c r="D387" s="1" t="s">
        <v>1636</v>
      </c>
      <c r="E387" s="1">
        <v>2024</v>
      </c>
      <c r="F387" s="1" t="s">
        <v>1642</v>
      </c>
      <c r="G387" s="1">
        <v>1520</v>
      </c>
      <c r="H387" s="1">
        <v>16027</v>
      </c>
      <c r="I387" s="1">
        <v>6037</v>
      </c>
      <c r="J387" s="1">
        <v>434369</v>
      </c>
      <c r="K387" s="1">
        <v>12.32</v>
      </c>
      <c r="L387" s="1">
        <v>12</v>
      </c>
      <c r="M387" s="1">
        <v>2.5499999999999998</v>
      </c>
      <c r="N387" s="1">
        <v>12.44</v>
      </c>
      <c r="O387" s="1">
        <v>12.64</v>
      </c>
      <c r="P387" s="1">
        <v>2.8</v>
      </c>
      <c r="Q387" s="1">
        <v>8053</v>
      </c>
      <c r="R387" s="1">
        <v>2463</v>
      </c>
      <c r="S387" s="1">
        <v>2</v>
      </c>
      <c r="T387" s="1">
        <f>(Table1[[#This Row],[Selling_Price_per_Unit]]-Table1[[#This Row],[Manufacturing_Cost_per_Unit]])*Table1[[#This Row],[Units_Sold]]-Table1[[#This Row],[Marketing_Spend]]-Table1[[#This Row],[Discount_%]]</f>
        <v>14750418.560000001</v>
      </c>
      <c r="U387" s="3">
        <f>Table1[[#This Row],[profit]]/(Table1[[#This Row],[Units_Sold]]*Table1[[#This Row],[Selling_Price_per_Unit]])*100</f>
        <v>60.54921530443692</v>
      </c>
      <c r="V387" s="6">
        <f>Table1[[#This Row],[Units_Sold]]*Table1[[#This Row],[Selling_Price_per_Unit]]</f>
        <v>24361040</v>
      </c>
      <c r="W387" s="7">
        <f>(Table1[[#This Row],[Units_Sold]]/$Z$1)</f>
        <v>0.30430747226998156</v>
      </c>
      <c r="X387" s="8">
        <f>((Table1[[#This Row],[Units_Sold]]*(Table1[[#This Row],[Selling_Price_per_Unit]]-Table1[[#This Row],[Manufacturing_Cost_per_Unit]]))-Table1[[#This Row],[Marketing_Spend]])/Table1[[#This Row],[Marketing_Spend]]</f>
        <v>33.958295826820056</v>
      </c>
    </row>
    <row r="388" spans="1:24" hidden="1" x14ac:dyDescent="0.3">
      <c r="A388" s="1" t="s">
        <v>405</v>
      </c>
      <c r="B388" s="1" t="s">
        <v>1337</v>
      </c>
      <c r="C388" s="1" t="s">
        <v>1632</v>
      </c>
      <c r="D388" s="1" t="s">
        <v>1636</v>
      </c>
      <c r="E388" s="1">
        <v>2023</v>
      </c>
      <c r="F388" s="1" t="s">
        <v>1640</v>
      </c>
      <c r="G388" s="1">
        <v>630</v>
      </c>
      <c r="H388" s="1">
        <v>18924</v>
      </c>
      <c r="I388" s="1">
        <v>10828</v>
      </c>
      <c r="J388" s="1">
        <v>322647</v>
      </c>
      <c r="K388" s="1">
        <v>12.65</v>
      </c>
      <c r="L388" s="1">
        <v>19</v>
      </c>
      <c r="M388" s="1">
        <v>8.2799999999999994</v>
      </c>
      <c r="N388" s="1">
        <v>6.9</v>
      </c>
      <c r="O388" s="1">
        <v>57.21</v>
      </c>
      <c r="P388" s="1">
        <v>3.1</v>
      </c>
      <c r="Q388" s="1">
        <v>2257</v>
      </c>
      <c r="R388" s="1">
        <v>7640</v>
      </c>
      <c r="S388" s="1">
        <v>6</v>
      </c>
      <c r="T388" s="1">
        <f>(Table1[[#This Row],[Selling_Price_per_Unit]]-Table1[[#This Row],[Manufacturing_Cost_per_Unit]])*Table1[[#This Row],[Units_Sold]]-Table1[[#This Row],[Marketing_Spend]]-Table1[[#This Row],[Discount_%]]</f>
        <v>4777826.0999999996</v>
      </c>
      <c r="U388" s="3">
        <f>Table1[[#This Row],[profit]]/(Table1[[#This Row],[Units_Sold]]*Table1[[#This Row],[Selling_Price_per_Unit]])*100</f>
        <v>40.07530623748125</v>
      </c>
      <c r="V388" s="6">
        <f>Table1[[#This Row],[Units_Sold]]*Table1[[#This Row],[Selling_Price_per_Unit]]</f>
        <v>11922120</v>
      </c>
      <c r="W388" s="7">
        <f>(Table1[[#This Row],[Units_Sold]]/$Z$1)</f>
        <v>0.12612743916453184</v>
      </c>
      <c r="X388" s="8">
        <f>((Table1[[#This Row],[Units_Sold]]*(Table1[[#This Row],[Selling_Price_per_Unit]]-Table1[[#This Row],[Manufacturing_Cost_per_Unit]]))-Table1[[#This Row],[Marketing_Spend]])/Table1[[#This Row],[Marketing_Spend]]</f>
        <v>14.808236245804238</v>
      </c>
    </row>
    <row r="389" spans="1:24" hidden="1" x14ac:dyDescent="0.3">
      <c r="A389" s="1" t="s">
        <v>406</v>
      </c>
      <c r="B389" s="1" t="s">
        <v>1338</v>
      </c>
      <c r="C389" s="1" t="s">
        <v>1632</v>
      </c>
      <c r="D389" s="1" t="s">
        <v>1635</v>
      </c>
      <c r="E389" s="1">
        <v>2023</v>
      </c>
      <c r="F389" s="1" t="s">
        <v>1640</v>
      </c>
      <c r="G389" s="1">
        <v>2344</v>
      </c>
      <c r="H389" s="1">
        <v>16359</v>
      </c>
      <c r="I389" s="1">
        <v>13248</v>
      </c>
      <c r="J389" s="1">
        <v>134761</v>
      </c>
      <c r="K389" s="1">
        <v>7.28</v>
      </c>
      <c r="L389" s="1">
        <v>14</v>
      </c>
      <c r="M389" s="1">
        <v>3.78</v>
      </c>
      <c r="N389" s="1">
        <v>18.28</v>
      </c>
      <c r="O389" s="1">
        <v>51.93</v>
      </c>
      <c r="P389" s="1">
        <v>2.7</v>
      </c>
      <c r="Q389" s="1">
        <v>16366</v>
      </c>
      <c r="R389" s="1">
        <v>1996</v>
      </c>
      <c r="S389" s="1">
        <v>7</v>
      </c>
      <c r="T389" s="1">
        <f>(Table1[[#This Row],[Selling_Price_per_Unit]]-Table1[[#This Row],[Manufacturing_Cost_per_Unit]])*Table1[[#This Row],[Units_Sold]]-Table1[[#This Row],[Marketing_Spend]]-Table1[[#This Row],[Discount_%]]</f>
        <v>7157404.7199999997</v>
      </c>
      <c r="U389" s="3">
        <f>Table1[[#This Row],[profit]]/(Table1[[#This Row],[Units_Sold]]*Table1[[#This Row],[Selling_Price_per_Unit]])*100</f>
        <v>18.665568232576778</v>
      </c>
      <c r="V389" s="6">
        <f>Table1[[#This Row],[Units_Sold]]*Table1[[#This Row],[Selling_Price_per_Unit]]</f>
        <v>38345496</v>
      </c>
      <c r="W389" s="7">
        <f>(Table1[[#This Row],[Units_Sold]]/$Z$1)</f>
        <v>0.46927415460581368</v>
      </c>
      <c r="X389" s="8">
        <f>((Table1[[#This Row],[Units_Sold]]*(Table1[[#This Row],[Selling_Price_per_Unit]]-Table1[[#This Row],[Manufacturing_Cost_per_Unit]]))-Table1[[#This Row],[Marketing_Spend]])/Table1[[#This Row],[Marketing_Spend]]</f>
        <v>53.111976016800114</v>
      </c>
    </row>
    <row r="390" spans="1:24" hidden="1" x14ac:dyDescent="0.3">
      <c r="A390" s="1" t="s">
        <v>407</v>
      </c>
      <c r="B390" s="1" t="s">
        <v>1339</v>
      </c>
      <c r="C390" s="1" t="s">
        <v>1634</v>
      </c>
      <c r="D390" s="1" t="s">
        <v>1638</v>
      </c>
      <c r="E390" s="1">
        <v>2023</v>
      </c>
      <c r="F390" s="1" t="s">
        <v>1642</v>
      </c>
      <c r="G390" s="1">
        <v>3197</v>
      </c>
      <c r="H390" s="1">
        <v>9573</v>
      </c>
      <c r="I390" s="1">
        <v>11440</v>
      </c>
      <c r="J390" s="1">
        <v>480192</v>
      </c>
      <c r="K390" s="1">
        <v>5</v>
      </c>
      <c r="L390" s="1">
        <v>12</v>
      </c>
      <c r="M390" s="1">
        <v>9.81</v>
      </c>
      <c r="N390" s="1">
        <v>1.92</v>
      </c>
      <c r="O390" s="1">
        <v>32.64</v>
      </c>
      <c r="P390" s="1">
        <v>4.4000000000000004</v>
      </c>
      <c r="Q390" s="1">
        <v>13080</v>
      </c>
      <c r="R390" s="1">
        <v>5859</v>
      </c>
      <c r="S390" s="1">
        <v>4</v>
      </c>
      <c r="T390" s="1">
        <f>(Table1[[#This Row],[Selling_Price_per_Unit]]-Table1[[#This Row],[Manufacturing_Cost_per_Unit]])*Table1[[#This Row],[Units_Sold]]-Table1[[#This Row],[Marketing_Spend]]-Table1[[#This Row],[Discount_%]]</f>
        <v>-6448992.9199999999</v>
      </c>
      <c r="U390" s="3">
        <f>Table1[[#This Row],[profit]]/(Table1[[#This Row],[Units_Sold]]*Table1[[#This Row],[Selling_Price_per_Unit]])*100</f>
        <v>-21.071779106084417</v>
      </c>
      <c r="V390" s="6">
        <f>Table1[[#This Row],[Units_Sold]]*Table1[[#This Row],[Selling_Price_per_Unit]]</f>
        <v>30604881</v>
      </c>
      <c r="W390" s="7">
        <f>(Table1[[#This Row],[Units_Sold]]/$Z$1)</f>
        <v>0.640046703188902</v>
      </c>
      <c r="X390" s="8">
        <f>((Table1[[#This Row],[Units_Sold]]*(Table1[[#This Row],[Selling_Price_per_Unit]]-Table1[[#This Row],[Manufacturing_Cost_per_Unit]]))-Table1[[#This Row],[Marketing_Spend]])/Table1[[#This Row],[Marketing_Spend]]</f>
        <v>-13.430025906304145</v>
      </c>
    </row>
    <row r="391" spans="1:24" x14ac:dyDescent="0.3">
      <c r="A391" s="1" t="s">
        <v>408</v>
      </c>
      <c r="B391" s="1" t="s">
        <v>1340</v>
      </c>
      <c r="C391" s="1" t="s">
        <v>1632</v>
      </c>
      <c r="D391" s="1" t="s">
        <v>1638</v>
      </c>
      <c r="E391" s="1">
        <v>2023</v>
      </c>
      <c r="F391" s="1" t="s">
        <v>1641</v>
      </c>
      <c r="G391" s="1">
        <v>4299</v>
      </c>
      <c r="H391" s="1">
        <v>10577</v>
      </c>
      <c r="I391" s="1">
        <v>13285</v>
      </c>
      <c r="J391" s="1">
        <v>438583</v>
      </c>
      <c r="K391" s="1">
        <v>11.87</v>
      </c>
      <c r="L391" s="1">
        <v>10</v>
      </c>
      <c r="M391" s="1">
        <v>4.66</v>
      </c>
      <c r="N391" s="1">
        <v>16.600000000000001</v>
      </c>
      <c r="O391" s="1">
        <v>13.04</v>
      </c>
      <c r="P391" s="1">
        <v>1.9</v>
      </c>
      <c r="Q391" s="1">
        <v>7151</v>
      </c>
      <c r="R391" s="1">
        <v>1878</v>
      </c>
      <c r="S391" s="1">
        <v>13</v>
      </c>
      <c r="T391" s="1">
        <f>(Table1[[#This Row],[Selling_Price_per_Unit]]-Table1[[#This Row],[Manufacturing_Cost_per_Unit]])*Table1[[#This Row],[Units_Sold]]-Table1[[#This Row],[Marketing_Spend]]-Table1[[#This Row],[Discount_%]]</f>
        <v>-12080291.6</v>
      </c>
      <c r="U391" s="3">
        <f>Table1[[#This Row],[profit]]/(Table1[[#This Row],[Units_Sold]]*Table1[[#This Row],[Selling_Price_per_Unit]])*100</f>
        <v>-26.567302953607992</v>
      </c>
      <c r="V391" s="6">
        <f>Table1[[#This Row],[Units_Sold]]*Table1[[#This Row],[Selling_Price_per_Unit]]</f>
        <v>45470523</v>
      </c>
      <c r="W391" s="7">
        <f>(Table1[[#This Row],[Units_Sold]]/$Z$1)</f>
        <v>0.86066962058463869</v>
      </c>
      <c r="X391" s="8">
        <f>((Table1[[#This Row],[Units_Sold]]*(Table1[[#This Row],[Selling_Price_per_Unit]]-Table1[[#This Row],[Manufacturing_Cost_per_Unit]]))-Table1[[#This Row],[Marketing_Spend]])/Table1[[#This Row],[Marketing_Spend]]</f>
        <v>-27.543874249571918</v>
      </c>
    </row>
    <row r="392" spans="1:24" x14ac:dyDescent="0.3">
      <c r="A392" s="1" t="s">
        <v>617</v>
      </c>
      <c r="B392" s="1" t="s">
        <v>1411</v>
      </c>
      <c r="C392" s="1" t="s">
        <v>1633</v>
      </c>
      <c r="D392" s="1" t="s">
        <v>1637</v>
      </c>
      <c r="E392" s="1">
        <v>2024</v>
      </c>
      <c r="F392" s="1" t="s">
        <v>1642</v>
      </c>
      <c r="G392" s="1">
        <v>3825</v>
      </c>
      <c r="H392" s="1">
        <v>15796</v>
      </c>
      <c r="I392" s="1">
        <v>6679</v>
      </c>
      <c r="J392" s="1">
        <v>76654</v>
      </c>
      <c r="K392" s="1">
        <v>0.48</v>
      </c>
      <c r="L392" s="1">
        <v>18</v>
      </c>
      <c r="M392" s="1">
        <v>9.36</v>
      </c>
      <c r="N392" s="1">
        <v>17.55</v>
      </c>
      <c r="O392" s="1">
        <v>37.92</v>
      </c>
      <c r="P392" s="1">
        <v>3.8</v>
      </c>
      <c r="Q392" s="1">
        <v>20432</v>
      </c>
      <c r="R392" s="1">
        <v>8859</v>
      </c>
      <c r="S392" s="1">
        <v>2</v>
      </c>
      <c r="T392" s="1">
        <f>(Table1[[#This Row],[Selling_Price_per_Unit]]-Table1[[#This Row],[Manufacturing_Cost_per_Unit]])*Table1[[#This Row],[Units_Sold]]-Table1[[#This Row],[Marketing_Spend]]-Table1[[#This Row],[Discount_%]]</f>
        <v>34795853.450000003</v>
      </c>
      <c r="U392" s="3">
        <f>Table1[[#This Row],[profit]]/(Table1[[#This Row],[Units_Sold]]*Table1[[#This Row],[Selling_Price_per_Unit]])*100</f>
        <v>57.59024531733855</v>
      </c>
      <c r="V392" s="6">
        <f>Table1[[#This Row],[Units_Sold]]*Table1[[#This Row],[Selling_Price_per_Unit]]</f>
        <v>60419700</v>
      </c>
      <c r="W392" s="7">
        <f>(Table1[[#This Row],[Units_Sold]]/$Z$1)</f>
        <v>0.76577373778465752</v>
      </c>
      <c r="X392" s="8">
        <f>((Table1[[#This Row],[Units_Sold]]*(Table1[[#This Row],[Selling_Price_per_Unit]]-Table1[[#This Row],[Manufacturing_Cost_per_Unit]]))-Table1[[#This Row],[Marketing_Spend]])/Table1[[#This Row],[Marketing_Spend]]</f>
        <v>453.93418477835468</v>
      </c>
    </row>
    <row r="393" spans="1:24" x14ac:dyDescent="0.3">
      <c r="A393" s="1" t="s">
        <v>403</v>
      </c>
      <c r="B393" s="1" t="s">
        <v>1336</v>
      </c>
      <c r="C393" s="1" t="s">
        <v>1632</v>
      </c>
      <c r="D393" s="1" t="s">
        <v>1638</v>
      </c>
      <c r="E393" s="1">
        <v>2023</v>
      </c>
      <c r="F393" s="1" t="s">
        <v>1640</v>
      </c>
      <c r="G393" s="1">
        <v>4849</v>
      </c>
      <c r="H393" s="1">
        <v>8991</v>
      </c>
      <c r="I393" s="1">
        <v>1819</v>
      </c>
      <c r="J393" s="1">
        <v>127842</v>
      </c>
      <c r="K393" s="1">
        <v>12.54</v>
      </c>
      <c r="L393" s="1">
        <v>12</v>
      </c>
      <c r="M393" s="1">
        <v>1.1399999999999999</v>
      </c>
      <c r="N393" s="1">
        <v>4.6100000000000003</v>
      </c>
      <c r="O393" s="1">
        <v>33.81</v>
      </c>
      <c r="P393" s="1">
        <v>4.5999999999999996</v>
      </c>
      <c r="Q393" s="1">
        <v>2447</v>
      </c>
      <c r="R393" s="1">
        <v>6319</v>
      </c>
      <c r="S393" s="1">
        <v>13</v>
      </c>
      <c r="T393" s="1">
        <f>(Table1[[#This Row],[Selling_Price_per_Unit]]-Table1[[#This Row],[Manufacturing_Cost_per_Unit]])*Table1[[#This Row],[Units_Sold]]-Table1[[#This Row],[Marketing_Spend]]-Table1[[#This Row],[Discount_%]]</f>
        <v>34649181.390000001</v>
      </c>
      <c r="U393" s="3">
        <f>Table1[[#This Row],[profit]]/(Table1[[#This Row],[Units_Sold]]*Table1[[#This Row],[Selling_Price_per_Unit]])*100</f>
        <v>79.475413613930144</v>
      </c>
      <c r="V393" s="6">
        <f>Table1[[#This Row],[Units_Sold]]*Table1[[#This Row],[Selling_Price_per_Unit]]</f>
        <v>43597359</v>
      </c>
      <c r="W393" s="7">
        <f>(Table1[[#This Row],[Units_Sold]]/$Z$1)</f>
        <v>0.97078087699811888</v>
      </c>
      <c r="X393" s="8">
        <f>((Table1[[#This Row],[Units_Sold]]*(Table1[[#This Row],[Selling_Price_per_Unit]]-Table1[[#This Row],[Manufacturing_Cost_per_Unit]]))-Table1[[#This Row],[Marketing_Spend]])/Table1[[#This Row],[Marketing_Spend]]</f>
        <v>271.03131991051453</v>
      </c>
    </row>
    <row r="394" spans="1:24" hidden="1" x14ac:dyDescent="0.3">
      <c r="A394" s="1" t="s">
        <v>411</v>
      </c>
      <c r="B394" s="1" t="s">
        <v>1331</v>
      </c>
      <c r="C394" s="1" t="s">
        <v>1632</v>
      </c>
      <c r="D394" s="1" t="s">
        <v>1638</v>
      </c>
      <c r="E394" s="1">
        <v>2023</v>
      </c>
      <c r="F394" s="1" t="s">
        <v>1640</v>
      </c>
      <c r="G394" s="1">
        <v>2794</v>
      </c>
      <c r="H394" s="1">
        <v>3853</v>
      </c>
      <c r="I394" s="1">
        <v>14863</v>
      </c>
      <c r="J394" s="1">
        <v>456082</v>
      </c>
      <c r="K394" s="1">
        <v>12.82</v>
      </c>
      <c r="L394" s="1">
        <v>19</v>
      </c>
      <c r="M394" s="1">
        <v>4.25</v>
      </c>
      <c r="N394" s="1">
        <v>7.15</v>
      </c>
      <c r="O394" s="1">
        <v>70.48</v>
      </c>
      <c r="P394" s="1">
        <v>1.9</v>
      </c>
      <c r="Q394" s="1">
        <v>5035</v>
      </c>
      <c r="R394" s="1">
        <v>7097</v>
      </c>
      <c r="S394" s="1">
        <v>5</v>
      </c>
      <c r="T394" s="1">
        <f>(Table1[[#This Row],[Selling_Price_per_Unit]]-Table1[[#This Row],[Manufacturing_Cost_per_Unit]])*Table1[[#This Row],[Units_Sold]]-Table1[[#This Row],[Marketing_Spend]]-Table1[[#This Row],[Discount_%]]</f>
        <v>-31218029.149999999</v>
      </c>
      <c r="U394" s="3">
        <f>Table1[[#This Row],[profit]]/(Table1[[#This Row],[Units_Sold]]*Table1[[#This Row],[Selling_Price_per_Unit]])*100</f>
        <v>-289.98802957507286</v>
      </c>
      <c r="V394" s="6">
        <f>Table1[[#This Row],[Units_Sold]]*Table1[[#This Row],[Selling_Price_per_Unit]]</f>
        <v>10765282</v>
      </c>
      <c r="W394" s="7">
        <f>(Table1[[#This Row],[Units_Sold]]/$Z$1)</f>
        <v>0.55936518258047929</v>
      </c>
      <c r="X394" s="8">
        <f>((Table1[[#This Row],[Units_Sold]]*(Table1[[#This Row],[Selling_Price_per_Unit]]-Table1[[#This Row],[Manufacturing_Cost_per_Unit]]))-Table1[[#This Row],[Marketing_Spend]])/Table1[[#This Row],[Marketing_Spend]]</f>
        <v>-68.44826588201245</v>
      </c>
    </row>
    <row r="395" spans="1:24" hidden="1" x14ac:dyDescent="0.3">
      <c r="A395" s="1" t="s">
        <v>412</v>
      </c>
      <c r="B395" s="1" t="s">
        <v>1342</v>
      </c>
      <c r="C395" s="1" t="s">
        <v>1632</v>
      </c>
      <c r="D395" s="1" t="s">
        <v>1638</v>
      </c>
      <c r="E395" s="1">
        <v>2024</v>
      </c>
      <c r="F395" s="1" t="s">
        <v>1639</v>
      </c>
      <c r="G395" s="1">
        <v>3406</v>
      </c>
      <c r="H395" s="1">
        <v>6299</v>
      </c>
      <c r="I395" s="1">
        <v>14158</v>
      </c>
      <c r="J395" s="1">
        <v>378768</v>
      </c>
      <c r="K395" s="1">
        <v>13.24</v>
      </c>
      <c r="L395" s="1">
        <v>7</v>
      </c>
      <c r="M395" s="1">
        <v>3.83</v>
      </c>
      <c r="N395" s="1">
        <v>18.07</v>
      </c>
      <c r="O395" s="1">
        <v>46.19</v>
      </c>
      <c r="P395" s="1">
        <v>3.2</v>
      </c>
      <c r="Q395" s="1">
        <v>20177</v>
      </c>
      <c r="R395" s="1">
        <v>4847</v>
      </c>
      <c r="S395" s="1">
        <v>4</v>
      </c>
      <c r="T395" s="1">
        <f>(Table1[[#This Row],[Selling_Price_per_Unit]]-Table1[[#This Row],[Manufacturing_Cost_per_Unit]])*Table1[[#This Row],[Units_Sold]]-Table1[[#This Row],[Marketing_Spend]]-Table1[[#This Row],[Discount_%]]</f>
        <v>-27146540.07</v>
      </c>
      <c r="U395" s="3">
        <f>Table1[[#This Row],[profit]]/(Table1[[#This Row],[Units_Sold]]*Table1[[#This Row],[Selling_Price_per_Unit]])*100</f>
        <v>-126.53137660285347</v>
      </c>
      <c r="V395" s="6">
        <f>Table1[[#This Row],[Units_Sold]]*Table1[[#This Row],[Selling_Price_per_Unit]]</f>
        <v>21454394</v>
      </c>
      <c r="W395" s="7">
        <f>(Table1[[#This Row],[Units_Sold]]/$Z$1)</f>
        <v>0.68188898062602454</v>
      </c>
      <c r="X395" s="8">
        <f>((Table1[[#This Row],[Units_Sold]]*(Table1[[#This Row],[Selling_Price_per_Unit]]-Table1[[#This Row],[Manufacturing_Cost_per_Unit]]))-Table1[[#This Row],[Marketing_Spend]])/Table1[[#This Row],[Marketing_Spend]]</f>
        <v>-71.670579352004395</v>
      </c>
    </row>
    <row r="396" spans="1:24" hidden="1" x14ac:dyDescent="0.3">
      <c r="A396" s="1" t="s">
        <v>515</v>
      </c>
      <c r="B396" s="1" t="s">
        <v>1400</v>
      </c>
      <c r="C396" s="1" t="s">
        <v>1633</v>
      </c>
      <c r="D396" s="1" t="s">
        <v>1637</v>
      </c>
      <c r="E396" s="1">
        <v>2023</v>
      </c>
      <c r="F396" s="1" t="s">
        <v>1642</v>
      </c>
      <c r="G396" s="1">
        <v>3272</v>
      </c>
      <c r="H396" s="1">
        <v>17025</v>
      </c>
      <c r="I396" s="1">
        <v>6391</v>
      </c>
      <c r="J396" s="1">
        <v>252193</v>
      </c>
      <c r="K396" s="1">
        <v>3.65</v>
      </c>
      <c r="L396" s="1">
        <v>6</v>
      </c>
      <c r="M396" s="1">
        <v>2.36</v>
      </c>
      <c r="N396" s="1">
        <v>3.53</v>
      </c>
      <c r="O396" s="1">
        <v>31.04</v>
      </c>
      <c r="P396" s="1">
        <v>4</v>
      </c>
      <c r="Q396" s="1">
        <v>7705</v>
      </c>
      <c r="R396" s="1">
        <v>3299</v>
      </c>
      <c r="S396" s="1">
        <v>11</v>
      </c>
      <c r="T396" s="1">
        <f>(Table1[[#This Row],[Selling_Price_per_Unit]]-Table1[[#This Row],[Manufacturing_Cost_per_Unit]])*Table1[[#This Row],[Units_Sold]]-Table1[[#This Row],[Marketing_Spend]]-Table1[[#This Row],[Discount_%]]</f>
        <v>34542251.469999999</v>
      </c>
      <c r="U396" s="3">
        <f>Table1[[#This Row],[profit]]/(Table1[[#This Row],[Units_Sold]]*Table1[[#This Row],[Selling_Price_per_Unit]])*100</f>
        <v>62.008357244667522</v>
      </c>
      <c r="V396" s="6">
        <f>Table1[[#This Row],[Units_Sold]]*Table1[[#This Row],[Selling_Price_per_Unit]]</f>
        <v>55705800</v>
      </c>
      <c r="W396" s="7">
        <f>(Table1[[#This Row],[Units_Sold]]/$Z$1)</f>
        <v>0.65506187451801301</v>
      </c>
      <c r="X396" s="8">
        <f>((Table1[[#This Row],[Units_Sold]]*(Table1[[#This Row],[Selling_Price_per_Unit]]-Table1[[#This Row],[Manufacturing_Cost_per_Unit]]))-Table1[[#This Row],[Marketing_Spend]])/Table1[[#This Row],[Marketing_Spend]]</f>
        <v>136.96754073269281</v>
      </c>
    </row>
    <row r="397" spans="1:24" hidden="1" x14ac:dyDescent="0.3">
      <c r="A397" s="1" t="s">
        <v>414</v>
      </c>
      <c r="B397" s="1" t="s">
        <v>1344</v>
      </c>
      <c r="C397" s="1" t="s">
        <v>1634</v>
      </c>
      <c r="D397" s="1" t="s">
        <v>1635</v>
      </c>
      <c r="E397" s="1">
        <v>2023</v>
      </c>
      <c r="F397" s="1" t="s">
        <v>1642</v>
      </c>
      <c r="G397" s="1">
        <v>1293</v>
      </c>
      <c r="H397" s="1">
        <v>13439</v>
      </c>
      <c r="I397" s="1">
        <v>9390</v>
      </c>
      <c r="J397" s="1">
        <v>452980</v>
      </c>
      <c r="K397" s="1">
        <v>1.1399999999999999</v>
      </c>
      <c r="L397" s="1">
        <v>15</v>
      </c>
      <c r="M397" s="1">
        <v>5.48</v>
      </c>
      <c r="N397" s="1">
        <v>22.93</v>
      </c>
      <c r="O397" s="1">
        <v>34.770000000000003</v>
      </c>
      <c r="P397" s="1">
        <v>2.2999999999999998</v>
      </c>
      <c r="Q397" s="1">
        <v>10353</v>
      </c>
      <c r="R397" s="1">
        <v>145</v>
      </c>
      <c r="S397" s="1">
        <v>4</v>
      </c>
      <c r="T397" s="1">
        <f>(Table1[[#This Row],[Selling_Price_per_Unit]]-Table1[[#This Row],[Manufacturing_Cost_per_Unit]])*Table1[[#This Row],[Units_Sold]]-Table1[[#This Row],[Marketing_Spend]]-Table1[[#This Row],[Discount_%]]</f>
        <v>4782354.07</v>
      </c>
      <c r="U397" s="3">
        <f>Table1[[#This Row],[profit]]/(Table1[[#This Row],[Units_Sold]]*Table1[[#This Row],[Selling_Price_per_Unit]])*100</f>
        <v>27.521762825432116</v>
      </c>
      <c r="V397" s="6">
        <f>Table1[[#This Row],[Units_Sold]]*Table1[[#This Row],[Selling_Price_per_Unit]]</f>
        <v>17376627</v>
      </c>
      <c r="W397" s="7">
        <f>(Table1[[#This Row],[Units_Sold]]/$Z$1)</f>
        <v>0.25886155371387248</v>
      </c>
      <c r="X397" s="8">
        <f>((Table1[[#This Row],[Units_Sold]]*(Table1[[#This Row],[Selling_Price_per_Unit]]-Table1[[#This Row],[Manufacturing_Cost_per_Unit]]))-Table1[[#This Row],[Marketing_Spend]])/Table1[[#This Row],[Marketing_Spend]]</f>
        <v>10.557589739061328</v>
      </c>
    </row>
    <row r="398" spans="1:24" hidden="1" x14ac:dyDescent="0.3">
      <c r="A398" s="1" t="s">
        <v>415</v>
      </c>
      <c r="B398" s="1" t="s">
        <v>1345</v>
      </c>
      <c r="C398" s="1" t="s">
        <v>1634</v>
      </c>
      <c r="D398" s="1" t="s">
        <v>1635</v>
      </c>
      <c r="E398" s="1">
        <v>2023</v>
      </c>
      <c r="F398" s="1" t="s">
        <v>1642</v>
      </c>
      <c r="G398" s="1">
        <v>3168</v>
      </c>
      <c r="H398" s="1">
        <v>3928</v>
      </c>
      <c r="I398" s="1">
        <v>2533</v>
      </c>
      <c r="J398" s="1">
        <v>306910</v>
      </c>
      <c r="K398" s="1">
        <v>5.82</v>
      </c>
      <c r="L398" s="1">
        <v>18</v>
      </c>
      <c r="M398" s="1">
        <v>9.44</v>
      </c>
      <c r="N398" s="1">
        <v>14.59</v>
      </c>
      <c r="O398" s="1">
        <v>35.61</v>
      </c>
      <c r="P398" s="1">
        <v>4.7</v>
      </c>
      <c r="Q398" s="1">
        <v>2408</v>
      </c>
      <c r="R398" s="1">
        <v>7858</v>
      </c>
      <c r="S398" s="1">
        <v>11</v>
      </c>
      <c r="T398" s="1">
        <f>(Table1[[#This Row],[Selling_Price_per_Unit]]-Table1[[#This Row],[Manufacturing_Cost_per_Unit]])*Table1[[#This Row],[Units_Sold]]-Table1[[#This Row],[Marketing_Spend]]-Table1[[#This Row],[Discount_%]]</f>
        <v>4112435.41</v>
      </c>
      <c r="U398" s="3">
        <f>Table1[[#This Row],[profit]]/(Table1[[#This Row],[Units_Sold]]*Table1[[#This Row],[Selling_Price_per_Unit]])*100</f>
        <v>33.047791191574603</v>
      </c>
      <c r="V398" s="6">
        <f>Table1[[#This Row],[Units_Sold]]*Table1[[#This Row],[Selling_Price_per_Unit]]</f>
        <v>12443904</v>
      </c>
      <c r="W398" s="7">
        <f>(Table1[[#This Row],[Units_Sold]]/$Z$1)</f>
        <v>0.63424083694164579</v>
      </c>
      <c r="X398" s="8">
        <f>((Table1[[#This Row],[Units_Sold]]*(Table1[[#This Row],[Selling_Price_per_Unit]]-Table1[[#This Row],[Manufacturing_Cost_per_Unit]]))-Table1[[#This Row],[Marketing_Spend]])/Table1[[#This Row],[Marketing_Spend]]</f>
        <v>13.399530807076994</v>
      </c>
    </row>
    <row r="399" spans="1:24" hidden="1" x14ac:dyDescent="0.3">
      <c r="A399" s="1" t="s">
        <v>416</v>
      </c>
      <c r="B399" s="1" t="s">
        <v>1346</v>
      </c>
      <c r="C399" s="1" t="s">
        <v>1633</v>
      </c>
      <c r="D399" s="1" t="s">
        <v>1636</v>
      </c>
      <c r="E399" s="1">
        <v>2024</v>
      </c>
      <c r="F399" s="1" t="s">
        <v>1639</v>
      </c>
      <c r="G399" s="1">
        <v>2191</v>
      </c>
      <c r="H399" s="1">
        <v>12796</v>
      </c>
      <c r="I399" s="1">
        <v>14670</v>
      </c>
      <c r="J399" s="1">
        <v>170356</v>
      </c>
      <c r="K399" s="1">
        <v>12.05</v>
      </c>
      <c r="L399" s="1">
        <v>10</v>
      </c>
      <c r="M399" s="1">
        <v>2.5099999999999998</v>
      </c>
      <c r="N399" s="1">
        <v>11.57</v>
      </c>
      <c r="O399" s="1">
        <v>77.069999999999993</v>
      </c>
      <c r="P399" s="1">
        <v>2.6</v>
      </c>
      <c r="Q399" s="1">
        <v>6117</v>
      </c>
      <c r="R399" s="1">
        <v>9737</v>
      </c>
      <c r="S399" s="1">
        <v>10</v>
      </c>
      <c r="T399" s="1">
        <f>(Table1[[#This Row],[Selling_Price_per_Unit]]-Table1[[#This Row],[Manufacturing_Cost_per_Unit]])*Table1[[#This Row],[Units_Sold]]-Table1[[#This Row],[Marketing_Spend]]-Table1[[#This Row],[Discount_%]]</f>
        <v>-4276301.57</v>
      </c>
      <c r="U399" s="3">
        <f>Table1[[#This Row],[profit]]/(Table1[[#This Row],[Units_Sold]]*Table1[[#This Row],[Selling_Price_per_Unit]])*100</f>
        <v>-15.252875156816037</v>
      </c>
      <c r="V399" s="6">
        <f>Table1[[#This Row],[Units_Sold]]*Table1[[#This Row],[Selling_Price_per_Unit]]</f>
        <v>28036036</v>
      </c>
      <c r="W399" s="7">
        <f>(Table1[[#This Row],[Units_Sold]]/$Z$1)</f>
        <v>0.43864320509442739</v>
      </c>
      <c r="X399" s="8">
        <f>((Table1[[#This Row],[Units_Sold]]*(Table1[[#This Row],[Selling_Price_per_Unit]]-Table1[[#This Row],[Manufacturing_Cost_per_Unit]]))-Table1[[#This Row],[Marketing_Spend]])/Table1[[#This Row],[Marketing_Spend]]</f>
        <v>-25.102080349385993</v>
      </c>
    </row>
    <row r="400" spans="1:24" x14ac:dyDescent="0.3">
      <c r="A400" s="1" t="s">
        <v>920</v>
      </c>
      <c r="B400" s="1" t="s">
        <v>1589</v>
      </c>
      <c r="C400" s="1" t="s">
        <v>1633</v>
      </c>
      <c r="D400" s="1" t="s">
        <v>1635</v>
      </c>
      <c r="E400" s="1">
        <v>2024</v>
      </c>
      <c r="F400" s="1" t="s">
        <v>1641</v>
      </c>
      <c r="G400" s="1">
        <v>4068</v>
      </c>
      <c r="H400" s="1">
        <v>10055</v>
      </c>
      <c r="I400" s="1">
        <v>1527</v>
      </c>
      <c r="J400" s="1">
        <v>335960</v>
      </c>
      <c r="K400" s="1">
        <v>1.01</v>
      </c>
      <c r="L400" s="1">
        <v>19</v>
      </c>
      <c r="M400" s="1">
        <v>0.56999999999999995</v>
      </c>
      <c r="N400" s="1">
        <v>13.77</v>
      </c>
      <c r="O400" s="1">
        <v>24.08</v>
      </c>
      <c r="P400" s="1">
        <v>3</v>
      </c>
      <c r="Q400" s="1">
        <v>10952</v>
      </c>
      <c r="R400" s="1">
        <v>9960</v>
      </c>
      <c r="S400" s="1">
        <v>14</v>
      </c>
      <c r="T400" s="1">
        <f>(Table1[[#This Row],[Selling_Price_per_Unit]]-Table1[[#This Row],[Manufacturing_Cost_per_Unit]])*Table1[[#This Row],[Units_Sold]]-Table1[[#This Row],[Marketing_Spend]]-Table1[[#This Row],[Discount_%]]</f>
        <v>34355930.229999997</v>
      </c>
      <c r="U400" s="3">
        <f>Table1[[#This Row],[profit]]/(Table1[[#This Row],[Units_Sold]]*Table1[[#This Row],[Selling_Price_per_Unit]])*100</f>
        <v>83.992148957528073</v>
      </c>
      <c r="V400" s="6">
        <f>Table1[[#This Row],[Units_Sold]]*Table1[[#This Row],[Selling_Price_per_Unit]]</f>
        <v>40903740</v>
      </c>
      <c r="W400" s="7">
        <f>(Table1[[#This Row],[Units_Sold]]/$Z$1)</f>
        <v>0.81442289289097702</v>
      </c>
      <c r="X400" s="8">
        <f>((Table1[[#This Row],[Units_Sold]]*(Table1[[#This Row],[Selling_Price_per_Unit]]-Table1[[#This Row],[Manufacturing_Cost_per_Unit]]))-Table1[[#This Row],[Marketing_Spend]])/Table1[[#This Row],[Marketing_Spend]]</f>
        <v>102.26200738183117</v>
      </c>
    </row>
    <row r="401" spans="1:24" hidden="1" x14ac:dyDescent="0.3">
      <c r="A401" s="1" t="s">
        <v>519</v>
      </c>
      <c r="B401" s="1" t="s">
        <v>1265</v>
      </c>
      <c r="C401" s="1" t="s">
        <v>1634</v>
      </c>
      <c r="D401" s="1" t="s">
        <v>1638</v>
      </c>
      <c r="E401" s="1">
        <v>2023</v>
      </c>
      <c r="F401" s="1" t="s">
        <v>1639</v>
      </c>
      <c r="G401" s="1">
        <v>2206</v>
      </c>
      <c r="H401" s="1">
        <v>17869</v>
      </c>
      <c r="I401" s="1">
        <v>2249</v>
      </c>
      <c r="J401" s="1">
        <v>196721</v>
      </c>
      <c r="K401" s="1">
        <v>4.8499999999999996</v>
      </c>
      <c r="L401" s="1">
        <v>7</v>
      </c>
      <c r="M401" s="1">
        <v>2.0299999999999998</v>
      </c>
      <c r="N401" s="1">
        <v>15.27</v>
      </c>
      <c r="O401" s="1">
        <v>68.739999999999995</v>
      </c>
      <c r="P401" s="1">
        <v>3.7</v>
      </c>
      <c r="Q401" s="1">
        <v>8970</v>
      </c>
      <c r="R401" s="1">
        <v>5986</v>
      </c>
      <c r="S401" s="1">
        <v>11</v>
      </c>
      <c r="T401" s="1">
        <f>(Table1[[#This Row],[Selling_Price_per_Unit]]-Table1[[#This Row],[Manufacturing_Cost_per_Unit]])*Table1[[#This Row],[Units_Sold]]-Table1[[#This Row],[Marketing_Spend]]-Table1[[#This Row],[Discount_%]]</f>
        <v>34260983.729999997</v>
      </c>
      <c r="U401" s="3">
        <f>Table1[[#This Row],[profit]]/(Table1[[#This Row],[Units_Sold]]*Table1[[#This Row],[Selling_Price_per_Unit]])*100</f>
        <v>86.914867353100206</v>
      </c>
      <c r="V401" s="6">
        <f>Table1[[#This Row],[Units_Sold]]*Table1[[#This Row],[Selling_Price_per_Unit]]</f>
        <v>39419014</v>
      </c>
      <c r="W401" s="7">
        <f>(Table1[[#This Row],[Units_Sold]]/$Z$1)</f>
        <v>0.44164623936024955</v>
      </c>
      <c r="X401" s="8">
        <f>((Table1[[#This Row],[Units_Sold]]*(Table1[[#This Row],[Selling_Price_per_Unit]]-Table1[[#This Row],[Manufacturing_Cost_per_Unit]]))-Table1[[#This Row],[Marketing_Spend]])/Table1[[#This Row],[Marketing_Spend]]</f>
        <v>174.16035400389384</v>
      </c>
    </row>
    <row r="402" spans="1:24" hidden="1" x14ac:dyDescent="0.3">
      <c r="A402" s="1" t="s">
        <v>419</v>
      </c>
      <c r="B402" s="1" t="s">
        <v>1347</v>
      </c>
      <c r="C402" s="1" t="s">
        <v>1633</v>
      </c>
      <c r="D402" s="1" t="s">
        <v>1638</v>
      </c>
      <c r="E402" s="1">
        <v>2024</v>
      </c>
      <c r="F402" s="1" t="s">
        <v>1640</v>
      </c>
      <c r="G402" s="1">
        <v>3009</v>
      </c>
      <c r="H402" s="1">
        <v>13301</v>
      </c>
      <c r="I402" s="1">
        <v>9066</v>
      </c>
      <c r="J402" s="1">
        <v>390615</v>
      </c>
      <c r="K402" s="1">
        <v>1</v>
      </c>
      <c r="L402" s="1">
        <v>19</v>
      </c>
      <c r="M402" s="1">
        <v>6.17</v>
      </c>
      <c r="N402" s="1">
        <v>4.59</v>
      </c>
      <c r="O402" s="1">
        <v>87.42</v>
      </c>
      <c r="P402" s="1">
        <v>2</v>
      </c>
      <c r="Q402" s="1">
        <v>17520</v>
      </c>
      <c r="R402" s="1">
        <v>555</v>
      </c>
      <c r="S402" s="1">
        <v>14</v>
      </c>
      <c r="T402" s="1">
        <f>(Table1[[#This Row],[Selling_Price_per_Unit]]-Table1[[#This Row],[Manufacturing_Cost_per_Unit]])*Table1[[#This Row],[Units_Sold]]-Table1[[#This Row],[Marketing_Spend]]-Table1[[#This Row],[Discount_%]]</f>
        <v>12352495.41</v>
      </c>
      <c r="U402" s="3">
        <f>Table1[[#This Row],[profit]]/(Table1[[#This Row],[Units_Sold]]*Table1[[#This Row],[Selling_Price_per_Unit]])*100</f>
        <v>30.86371642159455</v>
      </c>
      <c r="V402" s="6">
        <f>Table1[[#This Row],[Units_Sold]]*Table1[[#This Row],[Selling_Price_per_Unit]]</f>
        <v>40022709</v>
      </c>
      <c r="W402" s="7">
        <f>(Table1[[#This Row],[Units_Sold]]/$Z$1)</f>
        <v>0.60240867372393059</v>
      </c>
      <c r="X402" s="8">
        <f>((Table1[[#This Row],[Units_Sold]]*(Table1[[#This Row],[Selling_Price_per_Unit]]-Table1[[#This Row],[Manufacturing_Cost_per_Unit]]))-Table1[[#This Row],[Marketing_Spend]])/Table1[[#This Row],[Marketing_Spend]]</f>
        <v>31.623209554164585</v>
      </c>
    </row>
    <row r="403" spans="1:24" hidden="1" x14ac:dyDescent="0.3">
      <c r="A403" s="1" t="s">
        <v>420</v>
      </c>
      <c r="B403" s="1" t="s">
        <v>1348</v>
      </c>
      <c r="C403" s="1" t="s">
        <v>1633</v>
      </c>
      <c r="D403" s="1" t="s">
        <v>1638</v>
      </c>
      <c r="E403" s="1">
        <v>2024</v>
      </c>
      <c r="F403" s="1" t="s">
        <v>1642</v>
      </c>
      <c r="G403" s="1">
        <v>2315</v>
      </c>
      <c r="H403" s="1">
        <v>13245</v>
      </c>
      <c r="I403" s="1">
        <v>13689</v>
      </c>
      <c r="J403" s="1">
        <v>58068</v>
      </c>
      <c r="K403" s="1">
        <v>13.16</v>
      </c>
      <c r="L403" s="1">
        <v>18</v>
      </c>
      <c r="M403" s="1">
        <v>8.61</v>
      </c>
      <c r="N403" s="1">
        <v>20.52</v>
      </c>
      <c r="O403" s="1">
        <v>35.72</v>
      </c>
      <c r="P403" s="1">
        <v>4.2</v>
      </c>
      <c r="Q403" s="1">
        <v>18673</v>
      </c>
      <c r="R403" s="1">
        <v>9954</v>
      </c>
      <c r="S403" s="1">
        <v>12</v>
      </c>
      <c r="T403" s="1">
        <f>(Table1[[#This Row],[Selling_Price_per_Unit]]-Table1[[#This Row],[Manufacturing_Cost_per_Unit]])*Table1[[#This Row],[Units_Sold]]-Table1[[#This Row],[Marketing_Spend]]-Table1[[#This Row],[Discount_%]]</f>
        <v>-1085948.52</v>
      </c>
      <c r="U403" s="3">
        <f>Table1[[#This Row],[profit]]/(Table1[[#This Row],[Units_Sold]]*Table1[[#This Row],[Selling_Price_per_Unit]])*100</f>
        <v>-3.5416552152611485</v>
      </c>
      <c r="V403" s="6">
        <f>Table1[[#This Row],[Units_Sold]]*Table1[[#This Row],[Selling_Price_per_Unit]]</f>
        <v>30662175</v>
      </c>
      <c r="W403" s="7">
        <f>(Table1[[#This Row],[Units_Sold]]/$Z$1)</f>
        <v>0.46346828835855747</v>
      </c>
      <c r="X403" s="8">
        <f>((Table1[[#This Row],[Units_Sold]]*(Table1[[#This Row],[Selling_Price_per_Unit]]-Table1[[#This Row],[Manufacturing_Cost_per_Unit]]))-Table1[[#This Row],[Marketing_Spend]])/Table1[[#This Row],[Marketing_Spend]]</f>
        <v>-18.70097127505683</v>
      </c>
    </row>
    <row r="404" spans="1:24" hidden="1" x14ac:dyDescent="0.3">
      <c r="A404" s="1" t="s">
        <v>483</v>
      </c>
      <c r="B404" s="1" t="s">
        <v>1386</v>
      </c>
      <c r="C404" s="1" t="s">
        <v>1634</v>
      </c>
      <c r="D404" s="1" t="s">
        <v>1638</v>
      </c>
      <c r="E404" s="1">
        <v>2024</v>
      </c>
      <c r="F404" s="1" t="s">
        <v>1641</v>
      </c>
      <c r="G404" s="1">
        <v>2836</v>
      </c>
      <c r="H404" s="1">
        <v>18000</v>
      </c>
      <c r="I404" s="1">
        <v>5798</v>
      </c>
      <c r="J404" s="1">
        <v>478812</v>
      </c>
      <c r="K404" s="1">
        <v>2.82</v>
      </c>
      <c r="L404" s="1">
        <v>12</v>
      </c>
      <c r="M404" s="1">
        <v>2.5299999999999998</v>
      </c>
      <c r="N404" s="1">
        <v>22.22</v>
      </c>
      <c r="O404" s="1">
        <v>45.08</v>
      </c>
      <c r="P404" s="1">
        <v>4.8</v>
      </c>
      <c r="Q404" s="1">
        <v>6896</v>
      </c>
      <c r="R404" s="1">
        <v>2392</v>
      </c>
      <c r="S404" s="1">
        <v>5</v>
      </c>
      <c r="T404" s="1">
        <f>(Table1[[#This Row],[Selling_Price_per_Unit]]-Table1[[#This Row],[Manufacturing_Cost_per_Unit]])*Table1[[#This Row],[Units_Sold]]-Table1[[#This Row],[Marketing_Spend]]-Table1[[#This Row],[Discount_%]]</f>
        <v>34126037.780000001</v>
      </c>
      <c r="U404" s="3">
        <f>Table1[[#This Row],[profit]]/(Table1[[#This Row],[Units_Sold]]*Table1[[#This Row],[Selling_Price_per_Unit]])*100</f>
        <v>66.850881092305286</v>
      </c>
      <c r="V404" s="6">
        <f>Table1[[#This Row],[Units_Sold]]*Table1[[#This Row],[Selling_Price_per_Unit]]</f>
        <v>51048000</v>
      </c>
      <c r="W404" s="7">
        <f>(Table1[[#This Row],[Units_Sold]]/$Z$1)</f>
        <v>0.56777367852478144</v>
      </c>
      <c r="X404" s="8">
        <f>((Table1[[#This Row],[Units_Sold]]*(Table1[[#This Row],[Selling_Price_per_Unit]]-Table1[[#This Row],[Manufacturing_Cost_per_Unit]]))-Table1[[#This Row],[Marketing_Spend]])/Table1[[#This Row],[Marketing_Spend]]</f>
        <v>71.272357417942743</v>
      </c>
    </row>
    <row r="405" spans="1:24" x14ac:dyDescent="0.3">
      <c r="A405" s="1" t="s">
        <v>422</v>
      </c>
      <c r="B405" s="1" t="s">
        <v>1350</v>
      </c>
      <c r="C405" s="1" t="s">
        <v>1634</v>
      </c>
      <c r="D405" s="1" t="s">
        <v>1637</v>
      </c>
      <c r="E405" s="1">
        <v>2024</v>
      </c>
      <c r="F405" s="1" t="s">
        <v>1639</v>
      </c>
      <c r="G405" s="1">
        <v>4696</v>
      </c>
      <c r="H405" s="1">
        <v>4856</v>
      </c>
      <c r="I405" s="1">
        <v>9828</v>
      </c>
      <c r="J405" s="1">
        <v>450511</v>
      </c>
      <c r="K405" s="1">
        <v>8.1300000000000008</v>
      </c>
      <c r="L405" s="1">
        <v>6</v>
      </c>
      <c r="M405" s="1">
        <v>6.54</v>
      </c>
      <c r="N405" s="1">
        <v>4.72</v>
      </c>
      <c r="O405" s="1">
        <v>89.69</v>
      </c>
      <c r="P405" s="1">
        <v>2.5</v>
      </c>
      <c r="Q405" s="1">
        <v>15517</v>
      </c>
      <c r="R405" s="1">
        <v>7898</v>
      </c>
      <c r="S405" s="1">
        <v>13</v>
      </c>
      <c r="T405" s="1">
        <f>(Table1[[#This Row],[Selling_Price_per_Unit]]-Table1[[#This Row],[Manufacturing_Cost_per_Unit]])*Table1[[#This Row],[Units_Sold]]-Table1[[#This Row],[Marketing_Spend]]-Table1[[#This Row],[Discount_%]]</f>
        <v>-23799027.719999999</v>
      </c>
      <c r="U405" s="3">
        <f>Table1[[#This Row],[profit]]/(Table1[[#This Row],[Units_Sold]]*Table1[[#This Row],[Selling_Price_per_Unit]])*100</f>
        <v>-104.3644163142104</v>
      </c>
      <c r="V405" s="6">
        <f>Table1[[#This Row],[Units_Sold]]*Table1[[#This Row],[Selling_Price_per_Unit]]</f>
        <v>22803776</v>
      </c>
      <c r="W405" s="7">
        <f>(Table1[[#This Row],[Units_Sold]]/$Z$1)</f>
        <v>0.94014992748673254</v>
      </c>
      <c r="X405" s="8">
        <f>((Table1[[#This Row],[Units_Sold]]*(Table1[[#This Row],[Selling_Price_per_Unit]]-Table1[[#This Row],[Manufacturing_Cost_per_Unit]]))-Table1[[#This Row],[Marketing_Spend]])/Table1[[#This Row],[Marketing_Spend]]</f>
        <v>-52.826730090941176</v>
      </c>
    </row>
    <row r="406" spans="1:24" hidden="1" x14ac:dyDescent="0.3">
      <c r="A406" s="1" t="s">
        <v>423</v>
      </c>
      <c r="B406" s="1" t="s">
        <v>1351</v>
      </c>
      <c r="C406" s="1" t="s">
        <v>1633</v>
      </c>
      <c r="D406" s="1" t="s">
        <v>1636</v>
      </c>
      <c r="E406" s="1">
        <v>2024</v>
      </c>
      <c r="F406" s="1" t="s">
        <v>1642</v>
      </c>
      <c r="G406" s="1">
        <v>1685</v>
      </c>
      <c r="H406" s="1">
        <v>15788</v>
      </c>
      <c r="I406" s="1">
        <v>6424</v>
      </c>
      <c r="J406" s="1">
        <v>484376</v>
      </c>
      <c r="K406" s="1">
        <v>14.52</v>
      </c>
      <c r="L406" s="1">
        <v>18</v>
      </c>
      <c r="M406" s="1">
        <v>3.5</v>
      </c>
      <c r="N406" s="1">
        <v>7.04</v>
      </c>
      <c r="O406" s="1">
        <v>25.3</v>
      </c>
      <c r="P406" s="1">
        <v>4.8</v>
      </c>
      <c r="Q406" s="1">
        <v>18055</v>
      </c>
      <c r="R406" s="1">
        <v>1065</v>
      </c>
      <c r="S406" s="1">
        <v>5</v>
      </c>
      <c r="T406" s="1">
        <f>(Table1[[#This Row],[Selling_Price_per_Unit]]-Table1[[#This Row],[Manufacturing_Cost_per_Unit]])*Table1[[#This Row],[Units_Sold]]-Table1[[#This Row],[Marketing_Spend]]-Table1[[#This Row],[Discount_%]]</f>
        <v>15293956.960000001</v>
      </c>
      <c r="U406" s="3">
        <f>Table1[[#This Row],[profit]]/(Table1[[#This Row],[Units_Sold]]*Table1[[#This Row],[Selling_Price_per_Unit]])*100</f>
        <v>57.490070436247642</v>
      </c>
      <c r="V406" s="6">
        <f>Table1[[#This Row],[Units_Sold]]*Table1[[#This Row],[Selling_Price_per_Unit]]</f>
        <v>26602780</v>
      </c>
      <c r="W406" s="7">
        <f>(Table1[[#This Row],[Units_Sold]]/$Z$1)</f>
        <v>0.33734084919402563</v>
      </c>
      <c r="X406" s="8">
        <f>((Table1[[#This Row],[Units_Sold]]*(Table1[[#This Row],[Selling_Price_per_Unit]]-Table1[[#This Row],[Manufacturing_Cost_per_Unit]]))-Table1[[#This Row],[Marketing_Spend]])/Table1[[#This Row],[Marketing_Spend]]</f>
        <v>31.574570168629329</v>
      </c>
    </row>
    <row r="407" spans="1:24" hidden="1" x14ac:dyDescent="0.3">
      <c r="A407" s="1" t="s">
        <v>424</v>
      </c>
      <c r="B407" s="1" t="s">
        <v>1352</v>
      </c>
      <c r="C407" s="1" t="s">
        <v>1632</v>
      </c>
      <c r="D407" s="1" t="s">
        <v>1638</v>
      </c>
      <c r="E407" s="1">
        <v>2024</v>
      </c>
      <c r="F407" s="1" t="s">
        <v>1642</v>
      </c>
      <c r="G407" s="1">
        <v>1807</v>
      </c>
      <c r="H407" s="1">
        <v>8040</v>
      </c>
      <c r="I407" s="1">
        <v>9491</v>
      </c>
      <c r="J407" s="1">
        <v>61390</v>
      </c>
      <c r="K407" s="1">
        <v>1</v>
      </c>
      <c r="L407" s="1">
        <v>11</v>
      </c>
      <c r="M407" s="1">
        <v>6.17</v>
      </c>
      <c r="N407" s="1">
        <v>6.69</v>
      </c>
      <c r="O407" s="1">
        <v>35.020000000000003</v>
      </c>
      <c r="P407" s="1">
        <v>4.5999999999999996</v>
      </c>
      <c r="Q407" s="1">
        <v>14052</v>
      </c>
      <c r="R407" s="1">
        <v>5064</v>
      </c>
      <c r="S407" s="1">
        <v>5</v>
      </c>
      <c r="T407" s="1">
        <f>(Table1[[#This Row],[Selling_Price_per_Unit]]-Table1[[#This Row],[Manufacturing_Cost_per_Unit]])*Table1[[#This Row],[Units_Sold]]-Table1[[#This Row],[Marketing_Spend]]-Table1[[#This Row],[Discount_%]]</f>
        <v>-2683353.69</v>
      </c>
      <c r="U407" s="3">
        <f>Table1[[#This Row],[profit]]/(Table1[[#This Row],[Units_Sold]]*Table1[[#This Row],[Selling_Price_per_Unit]])*100</f>
        <v>-18.469864911744541</v>
      </c>
      <c r="V407" s="6">
        <f>Table1[[#This Row],[Units_Sold]]*Table1[[#This Row],[Selling_Price_per_Unit]]</f>
        <v>14528280</v>
      </c>
      <c r="W407" s="7">
        <f>(Table1[[#This Row],[Units_Sold]]/$Z$1)</f>
        <v>0.36176552788937938</v>
      </c>
      <c r="X407" s="8">
        <f>((Table1[[#This Row],[Units_Sold]]*(Table1[[#This Row],[Selling_Price_per_Unit]]-Table1[[#This Row],[Manufacturing_Cost_per_Unit]]))-Table1[[#This Row],[Marketing_Spend]])/Table1[[#This Row],[Marketing_Spend]]</f>
        <v>-43.709838735950484</v>
      </c>
    </row>
    <row r="408" spans="1:24" x14ac:dyDescent="0.3">
      <c r="A408" s="1" t="s">
        <v>425</v>
      </c>
      <c r="B408" s="1" t="s">
        <v>1075</v>
      </c>
      <c r="C408" s="1" t="s">
        <v>1632</v>
      </c>
      <c r="D408" s="1" t="s">
        <v>1638</v>
      </c>
      <c r="E408" s="1">
        <v>2024</v>
      </c>
      <c r="F408" s="1" t="s">
        <v>1641</v>
      </c>
      <c r="G408" s="1">
        <v>4502</v>
      </c>
      <c r="H408" s="1">
        <v>17922</v>
      </c>
      <c r="I408" s="1">
        <v>14684</v>
      </c>
      <c r="J408" s="1">
        <v>156752</v>
      </c>
      <c r="K408" s="1">
        <v>9.7200000000000006</v>
      </c>
      <c r="L408" s="1">
        <v>14</v>
      </c>
      <c r="M408" s="1">
        <v>8.85</v>
      </c>
      <c r="N408" s="1">
        <v>12.98</v>
      </c>
      <c r="O408" s="1">
        <v>48.88</v>
      </c>
      <c r="P408" s="1">
        <v>4.8</v>
      </c>
      <c r="Q408" s="1">
        <v>14837</v>
      </c>
      <c r="R408" s="1">
        <v>1628</v>
      </c>
      <c r="S408" s="1">
        <v>3</v>
      </c>
      <c r="T408" s="1">
        <f>(Table1[[#This Row],[Selling_Price_per_Unit]]-Table1[[#This Row],[Manufacturing_Cost_per_Unit]])*Table1[[#This Row],[Units_Sold]]-Table1[[#This Row],[Marketing_Spend]]-Table1[[#This Row],[Discount_%]]</f>
        <v>14420711.02</v>
      </c>
      <c r="U408" s="3">
        <f>Table1[[#This Row],[profit]]/(Table1[[#This Row],[Units_Sold]]*Table1[[#This Row],[Selling_Price_per_Unit]])*100</f>
        <v>17.872887031918903</v>
      </c>
      <c r="V408" s="6">
        <f>Table1[[#This Row],[Units_Sold]]*Table1[[#This Row],[Selling_Price_per_Unit]]</f>
        <v>80684844</v>
      </c>
      <c r="W408" s="7">
        <f>(Table1[[#This Row],[Units_Sold]]/$Z$1)</f>
        <v>0.90131068431543226</v>
      </c>
      <c r="X408" s="8">
        <f>((Table1[[#This Row],[Units_Sold]]*(Table1[[#This Row],[Selling_Price_per_Unit]]-Table1[[#This Row],[Manufacturing_Cost_per_Unit]]))-Table1[[#This Row],[Marketing_Spend]])/Table1[[#This Row],[Marketing_Spend]]</f>
        <v>91.9970654281923</v>
      </c>
    </row>
    <row r="409" spans="1:24" hidden="1" x14ac:dyDescent="0.3">
      <c r="A409" s="1" t="s">
        <v>426</v>
      </c>
      <c r="B409" s="1" t="s">
        <v>1234</v>
      </c>
      <c r="C409" s="1" t="s">
        <v>1632</v>
      </c>
      <c r="D409" s="1" t="s">
        <v>1635</v>
      </c>
      <c r="E409" s="1">
        <v>2024</v>
      </c>
      <c r="F409" s="1" t="s">
        <v>1640</v>
      </c>
      <c r="G409" s="1">
        <v>2120</v>
      </c>
      <c r="H409" s="1">
        <v>4842</v>
      </c>
      <c r="I409" s="1">
        <v>9129</v>
      </c>
      <c r="J409" s="1">
        <v>463347</v>
      </c>
      <c r="K409" s="1">
        <v>1.1100000000000001</v>
      </c>
      <c r="L409" s="1">
        <v>13</v>
      </c>
      <c r="M409" s="1">
        <v>2.31</v>
      </c>
      <c r="N409" s="1">
        <v>5.86</v>
      </c>
      <c r="O409" s="1">
        <v>63.13</v>
      </c>
      <c r="P409" s="1">
        <v>2.7</v>
      </c>
      <c r="Q409" s="1">
        <v>3385</v>
      </c>
      <c r="R409" s="1">
        <v>3076</v>
      </c>
      <c r="S409" s="1">
        <v>11</v>
      </c>
      <c r="T409" s="1">
        <f>(Table1[[#This Row],[Selling_Price_per_Unit]]-Table1[[#This Row],[Manufacturing_Cost_per_Unit]])*Table1[[#This Row],[Units_Sold]]-Table1[[#This Row],[Marketing_Spend]]-Table1[[#This Row],[Discount_%]]</f>
        <v>-9551792.8599999994</v>
      </c>
      <c r="U409" s="3">
        <f>Table1[[#This Row],[profit]]/(Table1[[#This Row],[Units_Sold]]*Table1[[#This Row],[Selling_Price_per_Unit]])*100</f>
        <v>-93.051686695814141</v>
      </c>
      <c r="V409" s="6">
        <f>Table1[[#This Row],[Units_Sold]]*Table1[[#This Row],[Selling_Price_per_Unit]]</f>
        <v>10265040</v>
      </c>
      <c r="W409" s="7">
        <f>(Table1[[#This Row],[Units_Sold]]/$Z$1)</f>
        <v>0.42442884290286903</v>
      </c>
      <c r="X409" s="8">
        <f>((Table1[[#This Row],[Units_Sold]]*(Table1[[#This Row],[Selling_Price_per_Unit]]-Table1[[#This Row],[Manufacturing_Cost_per_Unit]]))-Table1[[#This Row],[Marketing_Spend]])/Table1[[#This Row],[Marketing_Spend]]</f>
        <v>-20.614759564645937</v>
      </c>
    </row>
    <row r="410" spans="1:24" x14ac:dyDescent="0.3">
      <c r="A410" s="1" t="s">
        <v>463</v>
      </c>
      <c r="B410" s="1" t="s">
        <v>1372</v>
      </c>
      <c r="C410" s="1" t="s">
        <v>1633</v>
      </c>
      <c r="D410" s="1" t="s">
        <v>1636</v>
      </c>
      <c r="E410" s="1">
        <v>2024</v>
      </c>
      <c r="F410" s="1" t="s">
        <v>1639</v>
      </c>
      <c r="G410" s="1">
        <v>4235</v>
      </c>
      <c r="H410" s="1">
        <v>18934</v>
      </c>
      <c r="I410" s="1">
        <v>10853</v>
      </c>
      <c r="J410" s="1">
        <v>166185</v>
      </c>
      <c r="K410" s="1">
        <v>13.36</v>
      </c>
      <c r="L410" s="1">
        <v>16</v>
      </c>
      <c r="M410" s="1">
        <v>8.02</v>
      </c>
      <c r="N410" s="1">
        <v>2.95</v>
      </c>
      <c r="O410" s="1">
        <v>13.71</v>
      </c>
      <c r="P410" s="1">
        <v>3.2</v>
      </c>
      <c r="Q410" s="1">
        <v>19175</v>
      </c>
      <c r="R410" s="1">
        <v>5306</v>
      </c>
      <c r="S410" s="1">
        <v>5</v>
      </c>
      <c r="T410" s="1">
        <f>(Table1[[#This Row],[Selling_Price_per_Unit]]-Table1[[#This Row],[Manufacturing_Cost_per_Unit]])*Table1[[#This Row],[Units_Sold]]-Table1[[#This Row],[Marketing_Spend]]-Table1[[#This Row],[Discount_%]]</f>
        <v>34056847.049999997</v>
      </c>
      <c r="U410" s="3">
        <f>Table1[[#This Row],[profit]]/(Table1[[#This Row],[Units_Sold]]*Table1[[#This Row],[Selling_Price_per_Unit]])*100</f>
        <v>42.472580824785126</v>
      </c>
      <c r="V410" s="6">
        <f>Table1[[#This Row],[Units_Sold]]*Table1[[#This Row],[Selling_Price_per_Unit]]</f>
        <v>80185490</v>
      </c>
      <c r="W410" s="7">
        <f>(Table1[[#This Row],[Units_Sold]]/$Z$1)</f>
        <v>0.8478566743837973</v>
      </c>
      <c r="X410" s="8">
        <f>((Table1[[#This Row],[Units_Sold]]*(Table1[[#This Row],[Selling_Price_per_Unit]]-Table1[[#This Row],[Manufacturing_Cost_per_Unit]]))-Table1[[#This Row],[Marketing_Spend]])/Table1[[#This Row],[Marketing_Spend]]</f>
        <v>204.93335740289436</v>
      </c>
    </row>
    <row r="411" spans="1:24" hidden="1" x14ac:dyDescent="0.3">
      <c r="A411" s="1" t="s">
        <v>428</v>
      </c>
      <c r="B411" s="1" t="s">
        <v>1354</v>
      </c>
      <c r="C411" s="1" t="s">
        <v>1634</v>
      </c>
      <c r="D411" s="1" t="s">
        <v>1636</v>
      </c>
      <c r="E411" s="1">
        <v>2023</v>
      </c>
      <c r="F411" s="1" t="s">
        <v>1639</v>
      </c>
      <c r="G411" s="1">
        <v>3301</v>
      </c>
      <c r="H411" s="1">
        <v>4344</v>
      </c>
      <c r="I411" s="1">
        <v>14882</v>
      </c>
      <c r="J411" s="1">
        <v>388113</v>
      </c>
      <c r="K411" s="1">
        <v>12.06</v>
      </c>
      <c r="L411" s="1">
        <v>9</v>
      </c>
      <c r="M411" s="1">
        <v>9.93</v>
      </c>
      <c r="N411" s="1">
        <v>3.09</v>
      </c>
      <c r="O411" s="1">
        <v>87.56</v>
      </c>
      <c r="P411" s="1">
        <v>3.5</v>
      </c>
      <c r="Q411" s="1">
        <v>12003</v>
      </c>
      <c r="R411" s="1">
        <v>4969</v>
      </c>
      <c r="S411" s="1">
        <v>9</v>
      </c>
      <c r="T411" s="1">
        <f>(Table1[[#This Row],[Selling_Price_per_Unit]]-Table1[[#This Row],[Manufacturing_Cost_per_Unit]])*Table1[[#This Row],[Units_Sold]]-Table1[[#This Row],[Marketing_Spend]]-Table1[[#This Row],[Discount_%]]</f>
        <v>-35174054.090000004</v>
      </c>
      <c r="U411" s="3">
        <f>Table1[[#This Row],[profit]]/(Table1[[#This Row],[Units_Sold]]*Table1[[#This Row],[Selling_Price_per_Unit]])*100</f>
        <v>-245.29409087206679</v>
      </c>
      <c r="V411" s="6">
        <f>Table1[[#This Row],[Units_Sold]]*Table1[[#This Row],[Selling_Price_per_Unit]]</f>
        <v>14339544</v>
      </c>
      <c r="W411" s="7">
        <f>(Table1[[#This Row],[Units_Sold]]/$Z$1)</f>
        <v>0.66086774076526922</v>
      </c>
      <c r="X411" s="8">
        <f>((Table1[[#This Row],[Units_Sold]]*(Table1[[#This Row],[Selling_Price_per_Unit]]-Table1[[#This Row],[Manufacturing_Cost_per_Unit]]))-Table1[[#This Row],[Marketing_Spend]])/Table1[[#This Row],[Marketing_Spend]]</f>
        <v>-90.628376271858968</v>
      </c>
    </row>
    <row r="412" spans="1:24" x14ac:dyDescent="0.3">
      <c r="A412" s="1" t="s">
        <v>74</v>
      </c>
      <c r="B412" s="1" t="s">
        <v>1074</v>
      </c>
      <c r="C412" s="1" t="s">
        <v>1632</v>
      </c>
      <c r="D412" s="1" t="s">
        <v>1636</v>
      </c>
      <c r="E412" s="1">
        <v>2023</v>
      </c>
      <c r="F412" s="1" t="s">
        <v>1639</v>
      </c>
      <c r="G412" s="1">
        <v>3993</v>
      </c>
      <c r="H412" s="1">
        <v>10019</v>
      </c>
      <c r="I412" s="1">
        <v>1393</v>
      </c>
      <c r="J412" s="1">
        <v>414256</v>
      </c>
      <c r="K412" s="1">
        <v>1.54</v>
      </c>
      <c r="L412" s="1">
        <v>14</v>
      </c>
      <c r="M412" s="1">
        <v>7.73</v>
      </c>
      <c r="N412" s="1">
        <v>20.43</v>
      </c>
      <c r="O412" s="1">
        <v>87.03</v>
      </c>
      <c r="P412" s="1">
        <v>3.3</v>
      </c>
      <c r="Q412" s="1">
        <v>8266</v>
      </c>
      <c r="R412" s="1">
        <v>9915</v>
      </c>
      <c r="S412" s="1">
        <v>6</v>
      </c>
      <c r="T412" s="1">
        <f>(Table1[[#This Row],[Selling_Price_per_Unit]]-Table1[[#This Row],[Manufacturing_Cost_per_Unit]])*Table1[[#This Row],[Units_Sold]]-Table1[[#This Row],[Marketing_Spend]]-Table1[[#This Row],[Discount_%]]</f>
        <v>34029341.57</v>
      </c>
      <c r="U412" s="3">
        <f>Table1[[#This Row],[profit]]/(Table1[[#This Row],[Units_Sold]]*Table1[[#This Row],[Selling_Price_per_Unit]])*100</f>
        <v>85.060877620774974</v>
      </c>
      <c r="V412" s="6">
        <f>Table1[[#This Row],[Units_Sold]]*Table1[[#This Row],[Selling_Price_per_Unit]]</f>
        <v>40005867</v>
      </c>
      <c r="W412" s="7">
        <f>(Table1[[#This Row],[Units_Sold]]/$Z$1)</f>
        <v>0.79940772156186601</v>
      </c>
      <c r="X412" s="8">
        <f>((Table1[[#This Row],[Units_Sold]]*(Table1[[#This Row],[Selling_Price_per_Unit]]-Table1[[#This Row],[Manufacturing_Cost_per_Unit]]))-Table1[[#This Row],[Marketing_Spend]])/Table1[[#This Row],[Marketing_Spend]]</f>
        <v>82.145731142095713</v>
      </c>
    </row>
    <row r="413" spans="1:24" hidden="1" x14ac:dyDescent="0.3">
      <c r="A413" s="1" t="s">
        <v>430</v>
      </c>
      <c r="B413" s="1" t="s">
        <v>1356</v>
      </c>
      <c r="C413" s="1" t="s">
        <v>1632</v>
      </c>
      <c r="D413" s="1" t="s">
        <v>1637</v>
      </c>
      <c r="E413" s="1">
        <v>2023</v>
      </c>
      <c r="F413" s="1" t="s">
        <v>1639</v>
      </c>
      <c r="G413" s="1">
        <v>2539</v>
      </c>
      <c r="H413" s="1">
        <v>18982</v>
      </c>
      <c r="I413" s="1">
        <v>14730</v>
      </c>
      <c r="J413" s="1">
        <v>495543</v>
      </c>
      <c r="K413" s="1">
        <v>14.96</v>
      </c>
      <c r="L413" s="1">
        <v>5</v>
      </c>
      <c r="M413" s="1">
        <v>5.65</v>
      </c>
      <c r="N413" s="1">
        <v>18.37</v>
      </c>
      <c r="O413" s="1">
        <v>26.96</v>
      </c>
      <c r="P413" s="1">
        <v>1.5</v>
      </c>
      <c r="Q413" s="1">
        <v>2315</v>
      </c>
      <c r="R413" s="1">
        <v>2621</v>
      </c>
      <c r="S413" s="1">
        <v>11</v>
      </c>
      <c r="T413" s="1">
        <f>(Table1[[#This Row],[Selling_Price_per_Unit]]-Table1[[#This Row],[Manufacturing_Cost_per_Unit]])*Table1[[#This Row],[Units_Sold]]-Table1[[#This Row],[Marketing_Spend]]-Table1[[#This Row],[Discount_%]]</f>
        <v>10300266.630000001</v>
      </c>
      <c r="U413" s="3">
        <f>Table1[[#This Row],[profit]]/(Table1[[#This Row],[Units_Sold]]*Table1[[#This Row],[Selling_Price_per_Unit]])*100</f>
        <v>21.371932652019293</v>
      </c>
      <c r="V413" s="6">
        <f>Table1[[#This Row],[Units_Sold]]*Table1[[#This Row],[Selling_Price_per_Unit]]</f>
        <v>48195298</v>
      </c>
      <c r="W413" s="7">
        <f>(Table1[[#This Row],[Units_Sold]]/$Z$1)</f>
        <v>0.50831360006150206</v>
      </c>
      <c r="X413" s="8">
        <f>((Table1[[#This Row],[Units_Sold]]*(Table1[[#This Row],[Selling_Price_per_Unit]]-Table1[[#This Row],[Manufacturing_Cost_per_Unit]]))-Table1[[#This Row],[Marketing_Spend]])/Table1[[#This Row],[Marketing_Spend]]</f>
        <v>20.785855112472582</v>
      </c>
    </row>
    <row r="414" spans="1:24" hidden="1" x14ac:dyDescent="0.3">
      <c r="A414" s="1" t="s">
        <v>431</v>
      </c>
      <c r="B414" s="1" t="s">
        <v>1311</v>
      </c>
      <c r="C414" s="1" t="s">
        <v>1633</v>
      </c>
      <c r="D414" s="1" t="s">
        <v>1636</v>
      </c>
      <c r="E414" s="1">
        <v>2023</v>
      </c>
      <c r="F414" s="1" t="s">
        <v>1640</v>
      </c>
      <c r="G414" s="1">
        <v>1681</v>
      </c>
      <c r="H414" s="1">
        <v>19707</v>
      </c>
      <c r="I414" s="1">
        <v>12688</v>
      </c>
      <c r="J414" s="1">
        <v>274790</v>
      </c>
      <c r="K414" s="1">
        <v>8.39</v>
      </c>
      <c r="L414" s="1">
        <v>1</v>
      </c>
      <c r="M414" s="1">
        <v>5.17</v>
      </c>
      <c r="N414" s="1">
        <v>8.0399999999999991</v>
      </c>
      <c r="O414" s="1">
        <v>18.41</v>
      </c>
      <c r="P414" s="1">
        <v>4.0999999999999996</v>
      </c>
      <c r="Q414" s="1">
        <v>5266</v>
      </c>
      <c r="R414" s="1">
        <v>6625</v>
      </c>
      <c r="S414" s="1">
        <v>3</v>
      </c>
      <c r="T414" s="1">
        <f>(Table1[[#This Row],[Selling_Price_per_Unit]]-Table1[[#This Row],[Manufacturing_Cost_per_Unit]])*Table1[[#This Row],[Units_Sold]]-Table1[[#This Row],[Marketing_Spend]]-Table1[[#This Row],[Discount_%]]</f>
        <v>11524140.960000001</v>
      </c>
      <c r="U414" s="3">
        <f>Table1[[#This Row],[profit]]/(Table1[[#This Row],[Units_Sold]]*Table1[[#This Row],[Selling_Price_per_Unit]])*100</f>
        <v>34.787268703640997</v>
      </c>
      <c r="V414" s="6">
        <f>Table1[[#This Row],[Units_Sold]]*Table1[[#This Row],[Selling_Price_per_Unit]]</f>
        <v>33127467</v>
      </c>
      <c r="W414" s="7">
        <f>(Table1[[#This Row],[Units_Sold]]/$Z$1)</f>
        <v>0.33654004005647303</v>
      </c>
      <c r="X414" s="8">
        <f>((Table1[[#This Row],[Units_Sold]]*(Table1[[#This Row],[Selling_Price_per_Unit]]-Table1[[#This Row],[Manufacturing_Cost_per_Unit]]))-Table1[[#This Row],[Marketing_Spend]])/Table1[[#This Row],[Marketing_Spend]]</f>
        <v>41.938021762072857</v>
      </c>
    </row>
    <row r="415" spans="1:24" hidden="1" x14ac:dyDescent="0.3">
      <c r="A415" s="1" t="s">
        <v>432</v>
      </c>
      <c r="B415" s="1" t="s">
        <v>1357</v>
      </c>
      <c r="C415" s="1" t="s">
        <v>1634</v>
      </c>
      <c r="D415" s="1" t="s">
        <v>1636</v>
      </c>
      <c r="E415" s="1">
        <v>2023</v>
      </c>
      <c r="F415" s="1" t="s">
        <v>1640</v>
      </c>
      <c r="G415" s="1">
        <v>2866</v>
      </c>
      <c r="H415" s="1">
        <v>15498</v>
      </c>
      <c r="I415" s="1">
        <v>10877</v>
      </c>
      <c r="J415" s="1">
        <v>389208</v>
      </c>
      <c r="K415" s="1">
        <v>4.82</v>
      </c>
      <c r="L415" s="1">
        <v>10</v>
      </c>
      <c r="M415" s="1">
        <v>2.85</v>
      </c>
      <c r="N415" s="1">
        <v>0.87</v>
      </c>
      <c r="O415" s="1">
        <v>65.069999999999993</v>
      </c>
      <c r="P415" s="1">
        <v>1.1000000000000001</v>
      </c>
      <c r="Q415" s="1">
        <v>4739</v>
      </c>
      <c r="R415" s="1">
        <v>1226</v>
      </c>
      <c r="S415" s="1">
        <v>10</v>
      </c>
      <c r="T415" s="1">
        <f>(Table1[[#This Row],[Selling_Price_per_Unit]]-Table1[[#This Row],[Manufacturing_Cost_per_Unit]])*Table1[[#This Row],[Units_Sold]]-Table1[[#This Row],[Marketing_Spend]]-Table1[[#This Row],[Discount_%]]</f>
        <v>12854577.130000001</v>
      </c>
      <c r="U415" s="3">
        <f>Table1[[#This Row],[profit]]/(Table1[[#This Row],[Units_Sold]]*Table1[[#This Row],[Selling_Price_per_Unit]])*100</f>
        <v>28.940494786847314</v>
      </c>
      <c r="V415" s="6">
        <f>Table1[[#This Row],[Units_Sold]]*Table1[[#This Row],[Selling_Price_per_Unit]]</f>
        <v>44417268</v>
      </c>
      <c r="W415" s="7">
        <f>(Table1[[#This Row],[Units_Sold]]/$Z$1)</f>
        <v>0.57377974705642576</v>
      </c>
      <c r="X415" s="8">
        <f>((Table1[[#This Row],[Units_Sold]]*(Table1[[#This Row],[Selling_Price_per_Unit]]-Table1[[#This Row],[Manufacturing_Cost_per_Unit]]))-Table1[[#This Row],[Marketing_Spend]])/Table1[[#This Row],[Marketing_Spend]]</f>
        <v>33.027527697272411</v>
      </c>
    </row>
    <row r="416" spans="1:24" hidden="1" x14ac:dyDescent="0.3">
      <c r="A416" s="1" t="s">
        <v>433</v>
      </c>
      <c r="B416" s="1" t="s">
        <v>1098</v>
      </c>
      <c r="C416" s="1" t="s">
        <v>1633</v>
      </c>
      <c r="D416" s="1" t="s">
        <v>1635</v>
      </c>
      <c r="E416" s="1">
        <v>2023</v>
      </c>
      <c r="F416" s="1" t="s">
        <v>1641</v>
      </c>
      <c r="G416" s="1">
        <v>1065</v>
      </c>
      <c r="H416" s="1">
        <v>14761</v>
      </c>
      <c r="I416" s="1">
        <v>7197</v>
      </c>
      <c r="J416" s="1">
        <v>71281</v>
      </c>
      <c r="K416" s="1">
        <v>3.3</v>
      </c>
      <c r="L416" s="1">
        <v>18</v>
      </c>
      <c r="M416" s="1">
        <v>5.17</v>
      </c>
      <c r="N416" s="1">
        <v>3.18</v>
      </c>
      <c r="O416" s="1">
        <v>22.68</v>
      </c>
      <c r="P416" s="1">
        <v>2.9</v>
      </c>
      <c r="Q416" s="1">
        <v>15442</v>
      </c>
      <c r="R416" s="1">
        <v>6732</v>
      </c>
      <c r="S416" s="1">
        <v>2</v>
      </c>
      <c r="T416" s="1">
        <f>(Table1[[#This Row],[Selling_Price_per_Unit]]-Table1[[#This Row],[Manufacturing_Cost_per_Unit]])*Table1[[#This Row],[Units_Sold]]-Table1[[#This Row],[Marketing_Spend]]-Table1[[#This Row],[Discount_%]]</f>
        <v>7984375.8200000003</v>
      </c>
      <c r="U416" s="3">
        <f>Table1[[#This Row],[profit]]/(Table1[[#This Row],[Units_Sold]]*Table1[[#This Row],[Selling_Price_per_Unit]])*100</f>
        <v>50.789692416859175</v>
      </c>
      <c r="V416" s="6">
        <f>Table1[[#This Row],[Units_Sold]]*Table1[[#This Row],[Selling_Price_per_Unit]]</f>
        <v>15720465</v>
      </c>
      <c r="W416" s="7">
        <f>(Table1[[#This Row],[Units_Sold]]/$Z$1)</f>
        <v>0.21321543287337524</v>
      </c>
      <c r="X416" s="8">
        <f>((Table1[[#This Row],[Units_Sold]]*(Table1[[#This Row],[Selling_Price_per_Unit]]-Table1[[#This Row],[Manufacturing_Cost_per_Unit]]))-Table1[[#This Row],[Marketing_Spend]])/Table1[[#This Row],[Marketing_Spend]]</f>
        <v>112.01272428837979</v>
      </c>
    </row>
    <row r="417" spans="1:24" hidden="1" x14ac:dyDescent="0.3">
      <c r="A417" s="1" t="s">
        <v>434</v>
      </c>
      <c r="B417" s="1" t="s">
        <v>1194</v>
      </c>
      <c r="C417" s="1" t="s">
        <v>1633</v>
      </c>
      <c r="D417" s="1" t="s">
        <v>1636</v>
      </c>
      <c r="E417" s="1">
        <v>2023</v>
      </c>
      <c r="F417" s="1" t="s">
        <v>1642</v>
      </c>
      <c r="G417" s="1">
        <v>1398</v>
      </c>
      <c r="H417" s="1">
        <v>4593</v>
      </c>
      <c r="I417" s="1">
        <v>3557</v>
      </c>
      <c r="J417" s="1">
        <v>104189</v>
      </c>
      <c r="K417" s="1">
        <v>5.26</v>
      </c>
      <c r="L417" s="1">
        <v>5</v>
      </c>
      <c r="M417" s="1">
        <v>8.48</v>
      </c>
      <c r="N417" s="1">
        <v>22.87</v>
      </c>
      <c r="O417" s="1">
        <v>73.010000000000005</v>
      </c>
      <c r="P417" s="1">
        <v>2.2999999999999998</v>
      </c>
      <c r="Q417" s="1">
        <v>9772</v>
      </c>
      <c r="R417" s="1">
        <v>5873</v>
      </c>
      <c r="S417" s="1">
        <v>14</v>
      </c>
      <c r="T417" s="1">
        <f>(Table1[[#This Row],[Selling_Price_per_Unit]]-Table1[[#This Row],[Manufacturing_Cost_per_Unit]])*Table1[[#This Row],[Units_Sold]]-Table1[[#This Row],[Marketing_Spend]]-Table1[[#This Row],[Discount_%]]</f>
        <v>1344116.13</v>
      </c>
      <c r="U417" s="3">
        <f>Table1[[#This Row],[profit]]/(Table1[[#This Row],[Units_Sold]]*Table1[[#This Row],[Selling_Price_per_Unit]])*100</f>
        <v>20.933082064608485</v>
      </c>
      <c r="V417" s="6">
        <f>Table1[[#This Row],[Units_Sold]]*Table1[[#This Row],[Selling_Price_per_Unit]]</f>
        <v>6421014</v>
      </c>
      <c r="W417" s="7">
        <f>(Table1[[#This Row],[Units_Sold]]/$Z$1)</f>
        <v>0.27988279357462781</v>
      </c>
      <c r="X417" s="8">
        <f>((Table1[[#This Row],[Units_Sold]]*(Table1[[#This Row],[Selling_Price_per_Unit]]-Table1[[#This Row],[Manufacturing_Cost_per_Unit]]))-Table1[[#This Row],[Marketing_Spend]])/Table1[[#This Row],[Marketing_Spend]]</f>
        <v>12.900968432368101</v>
      </c>
    </row>
    <row r="418" spans="1:24" hidden="1" x14ac:dyDescent="0.3">
      <c r="A418" s="1" t="s">
        <v>587</v>
      </c>
      <c r="B418" s="1" t="s">
        <v>1252</v>
      </c>
      <c r="C418" s="1" t="s">
        <v>1632</v>
      </c>
      <c r="D418" s="1" t="s">
        <v>1638</v>
      </c>
      <c r="E418" s="1">
        <v>2024</v>
      </c>
      <c r="F418" s="1" t="s">
        <v>1642</v>
      </c>
      <c r="G418" s="1">
        <v>2983</v>
      </c>
      <c r="H418" s="1">
        <v>17421</v>
      </c>
      <c r="I418" s="1">
        <v>6213</v>
      </c>
      <c r="J418" s="1">
        <v>161022</v>
      </c>
      <c r="K418" s="1">
        <v>10.46</v>
      </c>
      <c r="L418" s="1">
        <v>1</v>
      </c>
      <c r="M418" s="1">
        <v>8.39</v>
      </c>
      <c r="N418" s="1">
        <v>8.52</v>
      </c>
      <c r="O418" s="1">
        <v>45.84</v>
      </c>
      <c r="P418" s="1">
        <v>2.9</v>
      </c>
      <c r="Q418" s="1">
        <v>2641</v>
      </c>
      <c r="R418" s="1">
        <v>3730</v>
      </c>
      <c r="S418" s="1">
        <v>5</v>
      </c>
      <c r="T418" s="1">
        <f>(Table1[[#This Row],[Selling_Price_per_Unit]]-Table1[[#This Row],[Manufacturing_Cost_per_Unit]])*Table1[[#This Row],[Units_Sold]]-Table1[[#This Row],[Marketing_Spend]]-Table1[[#This Row],[Discount_%]]</f>
        <v>33272433.48</v>
      </c>
      <c r="U418" s="3">
        <f>Table1[[#This Row],[profit]]/(Table1[[#This Row],[Units_Sold]]*Table1[[#This Row],[Selling_Price_per_Unit]])*100</f>
        <v>64.026274368831679</v>
      </c>
      <c r="V418" s="6">
        <f>Table1[[#This Row],[Units_Sold]]*Table1[[#This Row],[Selling_Price_per_Unit]]</f>
        <v>51966843</v>
      </c>
      <c r="W418" s="7">
        <f>(Table1[[#This Row],[Units_Sold]]/$Z$1)</f>
        <v>0.59720341432983881</v>
      </c>
      <c r="X418" s="8">
        <f>((Table1[[#This Row],[Units_Sold]]*(Table1[[#This Row],[Selling_Price_per_Unit]]-Table1[[#This Row],[Manufacturing_Cost_per_Unit]]))-Table1[[#This Row],[Marketing_Spend]])/Table1[[#This Row],[Marketing_Spend]]</f>
        <v>206.63289488392891</v>
      </c>
    </row>
    <row r="419" spans="1:24" hidden="1" x14ac:dyDescent="0.3">
      <c r="A419" s="1" t="s">
        <v>436</v>
      </c>
      <c r="B419" s="1" t="s">
        <v>1093</v>
      </c>
      <c r="C419" s="1" t="s">
        <v>1633</v>
      </c>
      <c r="D419" s="1" t="s">
        <v>1636</v>
      </c>
      <c r="E419" s="1">
        <v>2023</v>
      </c>
      <c r="F419" s="1" t="s">
        <v>1641</v>
      </c>
      <c r="G419" s="1">
        <v>3137</v>
      </c>
      <c r="H419" s="1">
        <v>13145</v>
      </c>
      <c r="I419" s="1">
        <v>8986</v>
      </c>
      <c r="J419" s="1">
        <v>360655</v>
      </c>
      <c r="K419" s="1">
        <v>1.03</v>
      </c>
      <c r="L419" s="1">
        <v>19</v>
      </c>
      <c r="M419" s="1">
        <v>2.9</v>
      </c>
      <c r="N419" s="1">
        <v>11.34</v>
      </c>
      <c r="O419" s="1">
        <v>36.15</v>
      </c>
      <c r="P419" s="1">
        <v>2.2999999999999998</v>
      </c>
      <c r="Q419" s="1">
        <v>2369</v>
      </c>
      <c r="R419" s="1">
        <v>3504</v>
      </c>
      <c r="S419" s="1">
        <v>3</v>
      </c>
      <c r="T419" s="1">
        <f>(Table1[[#This Row],[Selling_Price_per_Unit]]-Table1[[#This Row],[Manufacturing_Cost_per_Unit]])*Table1[[#This Row],[Units_Sold]]-Table1[[#This Row],[Marketing_Spend]]-Table1[[#This Row],[Discount_%]]</f>
        <v>12686116.66</v>
      </c>
      <c r="U419" s="3">
        <f>Table1[[#This Row],[profit]]/(Table1[[#This Row],[Units_Sold]]*Table1[[#This Row],[Selling_Price_per_Unit]])*100</f>
        <v>30.764764265282174</v>
      </c>
      <c r="V419" s="6">
        <f>Table1[[#This Row],[Units_Sold]]*Table1[[#This Row],[Selling_Price_per_Unit]]</f>
        <v>41235865</v>
      </c>
      <c r="W419" s="7">
        <f>(Table1[[#This Row],[Units_Sold]]/$Z$1)</f>
        <v>0.62803456612561326</v>
      </c>
      <c r="X419" s="8">
        <f>((Table1[[#This Row],[Units_Sold]]*(Table1[[#This Row],[Selling_Price_per_Unit]]-Table1[[#This Row],[Manufacturing_Cost_per_Unit]]))-Table1[[#This Row],[Marketing_Spend]])/Table1[[#This Row],[Marketing_Spend]]</f>
        <v>35.175245040273943</v>
      </c>
    </row>
    <row r="420" spans="1:24" hidden="1" x14ac:dyDescent="0.3">
      <c r="A420" s="1" t="s">
        <v>528</v>
      </c>
      <c r="B420" s="1" t="s">
        <v>1409</v>
      </c>
      <c r="C420" s="1" t="s">
        <v>1634</v>
      </c>
      <c r="D420" s="1" t="s">
        <v>1637</v>
      </c>
      <c r="E420" s="1">
        <v>2024</v>
      </c>
      <c r="F420" s="1" t="s">
        <v>1642</v>
      </c>
      <c r="G420" s="1">
        <v>2589</v>
      </c>
      <c r="H420" s="1">
        <v>19940</v>
      </c>
      <c r="I420" s="1">
        <v>6964</v>
      </c>
      <c r="J420" s="1">
        <v>424200</v>
      </c>
      <c r="K420" s="1">
        <v>8.65</v>
      </c>
      <c r="L420" s="1">
        <v>2</v>
      </c>
      <c r="M420" s="1">
        <v>8.51</v>
      </c>
      <c r="N420" s="1">
        <v>19.72</v>
      </c>
      <c r="O420" s="1">
        <v>43.63</v>
      </c>
      <c r="P420" s="1">
        <v>4.5</v>
      </c>
      <c r="Q420" s="1">
        <v>5014</v>
      </c>
      <c r="R420" s="1">
        <v>1984</v>
      </c>
      <c r="S420" s="1">
        <v>10</v>
      </c>
      <c r="T420" s="1">
        <f>(Table1[[#This Row],[Selling_Price_per_Unit]]-Table1[[#This Row],[Manufacturing_Cost_per_Unit]])*Table1[[#This Row],[Units_Sold]]-Table1[[#This Row],[Marketing_Spend]]-Table1[[#This Row],[Discount_%]]</f>
        <v>33170644.280000001</v>
      </c>
      <c r="U420" s="3">
        <f>Table1[[#This Row],[profit]]/(Table1[[#This Row],[Units_Sold]]*Table1[[#This Row],[Selling_Price_per_Unit]])*100</f>
        <v>64.253487151295531</v>
      </c>
      <c r="V420" s="6">
        <f>Table1[[#This Row],[Units_Sold]]*Table1[[#This Row],[Selling_Price_per_Unit]]</f>
        <v>51624660</v>
      </c>
      <c r="W420" s="7">
        <f>(Table1[[#This Row],[Units_Sold]]/$Z$1)</f>
        <v>0.5183237142809094</v>
      </c>
      <c r="X420" s="8">
        <f>((Table1[[#This Row],[Units_Sold]]*(Table1[[#This Row],[Selling_Price_per_Unit]]-Table1[[#This Row],[Manufacturing_Cost_per_Unit]]))-Table1[[#This Row],[Marketing_Spend]])/Table1[[#This Row],[Marketing_Spend]]</f>
        <v>78.195813295615281</v>
      </c>
    </row>
    <row r="421" spans="1:24" hidden="1" x14ac:dyDescent="0.3">
      <c r="A421" s="1" t="s">
        <v>438</v>
      </c>
      <c r="B421" s="1" t="s">
        <v>1359</v>
      </c>
      <c r="C421" s="1" t="s">
        <v>1633</v>
      </c>
      <c r="D421" s="1" t="s">
        <v>1637</v>
      </c>
      <c r="E421" s="1">
        <v>2023</v>
      </c>
      <c r="F421" s="1" t="s">
        <v>1640</v>
      </c>
      <c r="G421" s="1">
        <v>385</v>
      </c>
      <c r="H421" s="1">
        <v>2488</v>
      </c>
      <c r="I421" s="1">
        <v>3410</v>
      </c>
      <c r="J421" s="1">
        <v>58605</v>
      </c>
      <c r="K421" s="1">
        <v>6.96</v>
      </c>
      <c r="L421" s="1">
        <v>16</v>
      </c>
      <c r="M421" s="1">
        <v>2.65</v>
      </c>
      <c r="N421" s="1">
        <v>18.22</v>
      </c>
      <c r="O421" s="1">
        <v>66.08</v>
      </c>
      <c r="P421" s="1">
        <v>3.4</v>
      </c>
      <c r="Q421" s="1">
        <v>9241</v>
      </c>
      <c r="R421" s="1">
        <v>2443</v>
      </c>
      <c r="S421" s="1">
        <v>14</v>
      </c>
      <c r="T421" s="1">
        <f>(Table1[[#This Row],[Selling_Price_per_Unit]]-Table1[[#This Row],[Manufacturing_Cost_per_Unit]])*Table1[[#This Row],[Units_Sold]]-Table1[[#This Row],[Marketing_Spend]]-Table1[[#This Row],[Discount_%]]</f>
        <v>-413593.22</v>
      </c>
      <c r="U421" s="3">
        <f>Table1[[#This Row],[profit]]/(Table1[[#This Row],[Units_Sold]]*Table1[[#This Row],[Selling_Price_per_Unit]])*100</f>
        <v>-43.177978452415751</v>
      </c>
      <c r="V421" s="6">
        <f>Table1[[#This Row],[Units_Sold]]*Table1[[#This Row],[Selling_Price_per_Unit]]</f>
        <v>957880</v>
      </c>
      <c r="W421" s="7">
        <f>(Table1[[#This Row],[Units_Sold]]/$Z$1)</f>
        <v>7.7077879489436119E-2</v>
      </c>
      <c r="X421" s="8">
        <f>((Table1[[#This Row],[Units_Sold]]*(Table1[[#This Row],[Selling_Price_per_Unit]]-Table1[[#This Row],[Manufacturing_Cost_per_Unit]]))-Table1[[#This Row],[Marketing_Spend]])/Table1[[#This Row],[Marketing_Spend]]</f>
        <v>-7.0569917242556093</v>
      </c>
    </row>
    <row r="422" spans="1:24" x14ac:dyDescent="0.3">
      <c r="A422" s="1" t="s">
        <v>439</v>
      </c>
      <c r="B422" s="1" t="s">
        <v>1148</v>
      </c>
      <c r="C422" s="1" t="s">
        <v>1634</v>
      </c>
      <c r="D422" s="1" t="s">
        <v>1635</v>
      </c>
      <c r="E422" s="1">
        <v>2023</v>
      </c>
      <c r="F422" s="1" t="s">
        <v>1640</v>
      </c>
      <c r="G422" s="1">
        <v>4642</v>
      </c>
      <c r="H422" s="1">
        <v>7946</v>
      </c>
      <c r="I422" s="1">
        <v>7700</v>
      </c>
      <c r="J422" s="1">
        <v>412462</v>
      </c>
      <c r="K422" s="1">
        <v>10.84</v>
      </c>
      <c r="L422" s="1">
        <v>9</v>
      </c>
      <c r="M422" s="1">
        <v>1.7</v>
      </c>
      <c r="N422" s="1">
        <v>13.2</v>
      </c>
      <c r="O422" s="1">
        <v>19.059999999999999</v>
      </c>
      <c r="P422" s="1">
        <v>4.2</v>
      </c>
      <c r="Q422" s="1">
        <v>6194</v>
      </c>
      <c r="R422" s="1">
        <v>206</v>
      </c>
      <c r="S422" s="1">
        <v>7</v>
      </c>
      <c r="T422" s="1">
        <f>(Table1[[#This Row],[Selling_Price_per_Unit]]-Table1[[#This Row],[Manufacturing_Cost_per_Unit]])*Table1[[#This Row],[Units_Sold]]-Table1[[#This Row],[Marketing_Spend]]-Table1[[#This Row],[Discount_%]]</f>
        <v>729456.8</v>
      </c>
      <c r="U422" s="3">
        <f>Table1[[#This Row],[profit]]/(Table1[[#This Row],[Units_Sold]]*Table1[[#This Row],[Selling_Price_per_Unit]])*100</f>
        <v>1.977633819318747</v>
      </c>
      <c r="V422" s="6">
        <f>Table1[[#This Row],[Units_Sold]]*Table1[[#This Row],[Selling_Price_per_Unit]]</f>
        <v>36885332</v>
      </c>
      <c r="W422" s="7">
        <f>(Table1[[#This Row],[Units_Sold]]/$Z$1)</f>
        <v>0.92933900412977266</v>
      </c>
      <c r="X422" s="8">
        <f>((Table1[[#This Row],[Units_Sold]]*(Table1[[#This Row],[Selling_Price_per_Unit]]-Table1[[#This Row],[Manufacturing_Cost_per_Unit]]))-Table1[[#This Row],[Marketing_Spend]])/Table1[[#This Row],[Marketing_Spend]]</f>
        <v>1.7685750444889468</v>
      </c>
    </row>
    <row r="423" spans="1:24" hidden="1" x14ac:dyDescent="0.3">
      <c r="A423" s="1" t="s">
        <v>440</v>
      </c>
      <c r="B423" s="1" t="s">
        <v>1360</v>
      </c>
      <c r="C423" s="1" t="s">
        <v>1632</v>
      </c>
      <c r="D423" s="1" t="s">
        <v>1635</v>
      </c>
      <c r="E423" s="1">
        <v>2024</v>
      </c>
      <c r="F423" s="1" t="s">
        <v>1640</v>
      </c>
      <c r="G423" s="1">
        <v>945</v>
      </c>
      <c r="H423" s="1">
        <v>17835</v>
      </c>
      <c r="I423" s="1">
        <v>12978</v>
      </c>
      <c r="J423" s="1">
        <v>444597</v>
      </c>
      <c r="K423" s="1">
        <v>9.85</v>
      </c>
      <c r="L423" s="1">
        <v>0</v>
      </c>
      <c r="M423" s="1">
        <v>0.96</v>
      </c>
      <c r="N423" s="1">
        <v>5.05</v>
      </c>
      <c r="O423" s="1">
        <v>71.83</v>
      </c>
      <c r="P423" s="1">
        <v>5</v>
      </c>
      <c r="Q423" s="1">
        <v>3434</v>
      </c>
      <c r="R423" s="1">
        <v>3254</v>
      </c>
      <c r="S423" s="1">
        <v>8</v>
      </c>
      <c r="T423" s="1">
        <f>(Table1[[#This Row],[Selling_Price_per_Unit]]-Table1[[#This Row],[Manufacturing_Cost_per_Unit]])*Table1[[#This Row],[Units_Sold]]-Table1[[#This Row],[Marketing_Spend]]-Table1[[#This Row],[Discount_%]]</f>
        <v>4145262.95</v>
      </c>
      <c r="U423" s="3">
        <f>Table1[[#This Row],[profit]]/(Table1[[#This Row],[Units_Sold]]*Table1[[#This Row],[Selling_Price_per_Unit]])*100</f>
        <v>24.595019008756044</v>
      </c>
      <c r="V423" s="6">
        <f>Table1[[#This Row],[Units_Sold]]*Table1[[#This Row],[Selling_Price_per_Unit]]</f>
        <v>16854075</v>
      </c>
      <c r="W423" s="7">
        <f>(Table1[[#This Row],[Units_Sold]]/$Z$1)</f>
        <v>0.18919115874679776</v>
      </c>
      <c r="X423" s="8">
        <f>((Table1[[#This Row],[Units_Sold]]*(Table1[[#This Row],[Selling_Price_per_Unit]]-Table1[[#This Row],[Manufacturing_Cost_per_Unit]]))-Table1[[#This Row],[Marketing_Spend]])/Table1[[#This Row],[Marketing_Spend]]</f>
        <v>9.3236526562257502</v>
      </c>
    </row>
    <row r="424" spans="1:24" hidden="1" x14ac:dyDescent="0.3">
      <c r="A424" s="1" t="s">
        <v>683</v>
      </c>
      <c r="B424" s="1" t="s">
        <v>1118</v>
      </c>
      <c r="C424" s="1" t="s">
        <v>1633</v>
      </c>
      <c r="D424" s="1" t="s">
        <v>1635</v>
      </c>
      <c r="E424" s="1">
        <v>2024</v>
      </c>
      <c r="F424" s="1" t="s">
        <v>1639</v>
      </c>
      <c r="G424" s="1">
        <v>2864</v>
      </c>
      <c r="H424" s="1">
        <v>15105</v>
      </c>
      <c r="I424" s="1">
        <v>3391</v>
      </c>
      <c r="J424" s="1">
        <v>414662</v>
      </c>
      <c r="K424" s="1">
        <v>2.16</v>
      </c>
      <c r="L424" s="1">
        <v>15</v>
      </c>
      <c r="M424" s="1">
        <v>2.95</v>
      </c>
      <c r="N424" s="1">
        <v>15.74</v>
      </c>
      <c r="O424" s="1">
        <v>25.56</v>
      </c>
      <c r="P424" s="1">
        <v>3.5</v>
      </c>
      <c r="Q424" s="1">
        <v>14742</v>
      </c>
      <c r="R424" s="1">
        <v>7432</v>
      </c>
      <c r="S424" s="1">
        <v>9</v>
      </c>
      <c r="T424" s="1">
        <f>(Table1[[#This Row],[Selling_Price_per_Unit]]-Table1[[#This Row],[Manufacturing_Cost_per_Unit]])*Table1[[#This Row],[Units_Sold]]-Table1[[#This Row],[Marketing_Spend]]-Table1[[#This Row],[Discount_%]]</f>
        <v>33134218.260000002</v>
      </c>
      <c r="U424" s="3">
        <f>Table1[[#This Row],[profit]]/(Table1[[#This Row],[Units_Sold]]*Table1[[#This Row],[Selling_Price_per_Unit]])*100</f>
        <v>76.591925099720953</v>
      </c>
      <c r="V424" s="6">
        <f>Table1[[#This Row],[Units_Sold]]*Table1[[#This Row],[Selling_Price_per_Unit]]</f>
        <v>43260720</v>
      </c>
      <c r="W424" s="7">
        <f>(Table1[[#This Row],[Units_Sold]]/$Z$1)</f>
        <v>0.57337934248764943</v>
      </c>
      <c r="X424" s="8">
        <f>((Table1[[#This Row],[Units_Sold]]*(Table1[[#This Row],[Selling_Price_per_Unit]]-Table1[[#This Row],[Manufacturing_Cost_per_Unit]]))-Table1[[#This Row],[Marketing_Spend]])/Table1[[#This Row],[Marketing_Spend]]</f>
        <v>79.906608273726548</v>
      </c>
    </row>
    <row r="425" spans="1:24" hidden="1" x14ac:dyDescent="0.3">
      <c r="A425" s="1" t="s">
        <v>442</v>
      </c>
      <c r="B425" s="1" t="s">
        <v>1362</v>
      </c>
      <c r="C425" s="1" t="s">
        <v>1634</v>
      </c>
      <c r="D425" s="1" t="s">
        <v>1635</v>
      </c>
      <c r="E425" s="1">
        <v>2024</v>
      </c>
      <c r="F425" s="1" t="s">
        <v>1639</v>
      </c>
      <c r="G425" s="1">
        <v>901</v>
      </c>
      <c r="H425" s="1">
        <v>3182</v>
      </c>
      <c r="I425" s="1">
        <v>9538</v>
      </c>
      <c r="J425" s="1">
        <v>299415</v>
      </c>
      <c r="K425" s="1">
        <v>0.13</v>
      </c>
      <c r="L425" s="1">
        <v>7</v>
      </c>
      <c r="M425" s="1">
        <v>1.1299999999999999</v>
      </c>
      <c r="N425" s="1">
        <v>9.58</v>
      </c>
      <c r="O425" s="1">
        <v>72.739999999999995</v>
      </c>
      <c r="P425" s="1">
        <v>4.9000000000000004</v>
      </c>
      <c r="Q425" s="1">
        <v>17818</v>
      </c>
      <c r="R425" s="1">
        <v>4901</v>
      </c>
      <c r="S425" s="1">
        <v>4</v>
      </c>
      <c r="T425" s="1">
        <f>(Table1[[#This Row],[Selling_Price_per_Unit]]-Table1[[#This Row],[Manufacturing_Cost_per_Unit]])*Table1[[#This Row],[Units_Sold]]-Table1[[#This Row],[Marketing_Spend]]-Table1[[#This Row],[Discount_%]]</f>
        <v>-6026180.5800000001</v>
      </c>
      <c r="U425" s="3">
        <f>Table1[[#This Row],[profit]]/(Table1[[#This Row],[Units_Sold]]*Table1[[#This Row],[Selling_Price_per_Unit]])*100</f>
        <v>-210.19248045505691</v>
      </c>
      <c r="V425" s="6">
        <f>Table1[[#This Row],[Units_Sold]]*Table1[[#This Row],[Selling_Price_per_Unit]]</f>
        <v>2866982</v>
      </c>
      <c r="W425" s="7">
        <f>(Table1[[#This Row],[Units_Sold]]/$Z$1)</f>
        <v>0.18038225823371934</v>
      </c>
      <c r="X425" s="8">
        <f>((Table1[[#This Row],[Units_Sold]]*(Table1[[#This Row],[Selling_Price_per_Unit]]-Table1[[#This Row],[Manufacturing_Cost_per_Unit]]))-Table1[[#This Row],[Marketing_Spend]])/Table1[[#This Row],[Marketing_Spend]]</f>
        <v>-20.12648330911945</v>
      </c>
    </row>
    <row r="426" spans="1:24" hidden="1" x14ac:dyDescent="0.3">
      <c r="A426" s="1" t="s">
        <v>443</v>
      </c>
      <c r="B426" s="1" t="s">
        <v>1118</v>
      </c>
      <c r="C426" s="1" t="s">
        <v>1633</v>
      </c>
      <c r="D426" s="1" t="s">
        <v>1636</v>
      </c>
      <c r="E426" s="1">
        <v>2023</v>
      </c>
      <c r="F426" s="1" t="s">
        <v>1640</v>
      </c>
      <c r="G426" s="1">
        <v>1737</v>
      </c>
      <c r="H426" s="1">
        <v>7126</v>
      </c>
      <c r="I426" s="1">
        <v>5817</v>
      </c>
      <c r="J426" s="1">
        <v>205394</v>
      </c>
      <c r="K426" s="1">
        <v>3.27</v>
      </c>
      <c r="L426" s="1">
        <v>7</v>
      </c>
      <c r="M426" s="1">
        <v>1.72</v>
      </c>
      <c r="N426" s="1">
        <v>20.93</v>
      </c>
      <c r="O426" s="1">
        <v>56.71</v>
      </c>
      <c r="P426" s="1">
        <v>1.1000000000000001</v>
      </c>
      <c r="Q426" s="1">
        <v>20407</v>
      </c>
      <c r="R426" s="1">
        <v>6239</v>
      </c>
      <c r="S426" s="1">
        <v>12</v>
      </c>
      <c r="T426" s="1">
        <f>(Table1[[#This Row],[Selling_Price_per_Unit]]-Table1[[#This Row],[Manufacturing_Cost_per_Unit]])*Table1[[#This Row],[Units_Sold]]-Table1[[#This Row],[Marketing_Spend]]-Table1[[#This Row],[Discount_%]]</f>
        <v>2068318.07</v>
      </c>
      <c r="U426" s="3">
        <f>Table1[[#This Row],[profit]]/(Table1[[#This Row],[Units_Sold]]*Table1[[#This Row],[Selling_Price_per_Unit]])*100</f>
        <v>16.70981684882252</v>
      </c>
      <c r="V426" s="6">
        <f>Table1[[#This Row],[Units_Sold]]*Table1[[#This Row],[Selling_Price_per_Unit]]</f>
        <v>12377862</v>
      </c>
      <c r="W426" s="7">
        <f>(Table1[[#This Row],[Units_Sold]]/$Z$1)</f>
        <v>0.34775136798220918</v>
      </c>
      <c r="X426" s="8">
        <f>((Table1[[#This Row],[Units_Sold]]*(Table1[[#This Row],[Selling_Price_per_Unit]]-Table1[[#This Row],[Manufacturing_Cost_per_Unit]]))-Table1[[#This Row],[Marketing_Spend]])/Table1[[#This Row],[Marketing_Spend]]</f>
        <v>10.070104287369642</v>
      </c>
    </row>
    <row r="427" spans="1:24" hidden="1" x14ac:dyDescent="0.3">
      <c r="A427" s="1" t="s">
        <v>444</v>
      </c>
      <c r="B427" s="1" t="s">
        <v>1363</v>
      </c>
      <c r="C427" s="1" t="s">
        <v>1634</v>
      </c>
      <c r="D427" s="1" t="s">
        <v>1637</v>
      </c>
      <c r="E427" s="1">
        <v>2024</v>
      </c>
      <c r="F427" s="1" t="s">
        <v>1642</v>
      </c>
      <c r="G427" s="1">
        <v>1981</v>
      </c>
      <c r="H427" s="1">
        <v>8924</v>
      </c>
      <c r="I427" s="1">
        <v>13668</v>
      </c>
      <c r="J427" s="1">
        <v>91869</v>
      </c>
      <c r="K427" s="1">
        <v>9.93</v>
      </c>
      <c r="L427" s="1">
        <v>19</v>
      </c>
      <c r="M427" s="1">
        <v>5.47</v>
      </c>
      <c r="N427" s="1">
        <v>21.63</v>
      </c>
      <c r="O427" s="1">
        <v>16.59</v>
      </c>
      <c r="P427" s="1">
        <v>2.4</v>
      </c>
      <c r="Q427" s="1">
        <v>20523</v>
      </c>
      <c r="R427" s="1">
        <v>5680</v>
      </c>
      <c r="S427" s="1">
        <v>10</v>
      </c>
      <c r="T427" s="1">
        <f>(Table1[[#This Row],[Selling_Price_per_Unit]]-Table1[[#This Row],[Manufacturing_Cost_per_Unit]])*Table1[[#This Row],[Units_Sold]]-Table1[[#This Row],[Marketing_Spend]]-Table1[[#This Row],[Discount_%]]</f>
        <v>-9489754.6300000008</v>
      </c>
      <c r="U427" s="3">
        <f>Table1[[#This Row],[profit]]/(Table1[[#This Row],[Units_Sold]]*Table1[[#This Row],[Selling_Price_per_Unit]])*100</f>
        <v>-53.679807057679966</v>
      </c>
      <c r="V427" s="6">
        <f>Table1[[#This Row],[Units_Sold]]*Table1[[#This Row],[Selling_Price_per_Unit]]</f>
        <v>17678444</v>
      </c>
      <c r="W427" s="7">
        <f>(Table1[[#This Row],[Units_Sold]]/$Z$1)</f>
        <v>0.3966007253729168</v>
      </c>
      <c r="X427" s="8">
        <f>((Table1[[#This Row],[Units_Sold]]*(Table1[[#This Row],[Selling_Price_per_Unit]]-Table1[[#This Row],[Manufacturing_Cost_per_Unit]]))-Table1[[#This Row],[Marketing_Spend]])/Table1[[#This Row],[Marketing_Spend]]</f>
        <v>-103.29635676887742</v>
      </c>
    </row>
    <row r="428" spans="1:24" x14ac:dyDescent="0.3">
      <c r="A428" s="1" t="s">
        <v>445</v>
      </c>
      <c r="B428" s="1" t="s">
        <v>1090</v>
      </c>
      <c r="C428" s="1" t="s">
        <v>1633</v>
      </c>
      <c r="D428" s="1" t="s">
        <v>1638</v>
      </c>
      <c r="E428" s="1">
        <v>2023</v>
      </c>
      <c r="F428" s="1" t="s">
        <v>1640</v>
      </c>
      <c r="G428" s="1">
        <v>3796</v>
      </c>
      <c r="H428" s="1">
        <v>14357</v>
      </c>
      <c r="I428" s="1">
        <v>14460</v>
      </c>
      <c r="J428" s="1">
        <v>82955</v>
      </c>
      <c r="K428" s="1">
        <v>7.26</v>
      </c>
      <c r="L428" s="1">
        <v>14</v>
      </c>
      <c r="M428" s="1">
        <v>1.65</v>
      </c>
      <c r="N428" s="1">
        <v>15.07</v>
      </c>
      <c r="O428" s="1">
        <v>71.25</v>
      </c>
      <c r="P428" s="1">
        <v>1.4</v>
      </c>
      <c r="Q428" s="1">
        <v>7659</v>
      </c>
      <c r="R428" s="1">
        <v>314</v>
      </c>
      <c r="S428" s="1">
        <v>6</v>
      </c>
      <c r="T428" s="1">
        <f>(Table1[[#This Row],[Selling_Price_per_Unit]]-Table1[[#This Row],[Manufacturing_Cost_per_Unit]])*Table1[[#This Row],[Units_Sold]]-Table1[[#This Row],[Marketing_Spend]]-Table1[[#This Row],[Discount_%]]</f>
        <v>-473958.07</v>
      </c>
      <c r="U428" s="3">
        <f>Table1[[#This Row],[profit]]/(Table1[[#This Row],[Units_Sold]]*Table1[[#This Row],[Selling_Price_per_Unit]])*100</f>
        <v>-0.86966104732747129</v>
      </c>
      <c r="V428" s="6">
        <f>Table1[[#This Row],[Units_Sold]]*Table1[[#This Row],[Selling_Price_per_Unit]]</f>
        <v>54499172</v>
      </c>
      <c r="W428" s="7">
        <f>(Table1[[#This Row],[Units_Sold]]/$Z$1)</f>
        <v>0.75996787153740131</v>
      </c>
      <c r="X428" s="8">
        <f>((Table1[[#This Row],[Units_Sold]]*(Table1[[#This Row],[Selling_Price_per_Unit]]-Table1[[#This Row],[Manufacturing_Cost_per_Unit]]))-Table1[[#This Row],[Marketing_Spend]])/Table1[[#This Row],[Marketing_Spend]]</f>
        <v>-5.713254173949732</v>
      </c>
    </row>
    <row r="429" spans="1:24" hidden="1" x14ac:dyDescent="0.3">
      <c r="A429" s="1" t="s">
        <v>446</v>
      </c>
      <c r="B429" s="1" t="s">
        <v>1213</v>
      </c>
      <c r="C429" s="1" t="s">
        <v>1633</v>
      </c>
      <c r="D429" s="1" t="s">
        <v>1638</v>
      </c>
      <c r="E429" s="1">
        <v>2024</v>
      </c>
      <c r="F429" s="1" t="s">
        <v>1639</v>
      </c>
      <c r="G429" s="1">
        <v>2477</v>
      </c>
      <c r="H429" s="1">
        <v>13655</v>
      </c>
      <c r="I429" s="1">
        <v>8799</v>
      </c>
      <c r="J429" s="1">
        <v>111388</v>
      </c>
      <c r="K429" s="1">
        <v>0.08</v>
      </c>
      <c r="L429" s="1">
        <v>6</v>
      </c>
      <c r="M429" s="1">
        <v>0.64</v>
      </c>
      <c r="N429" s="1">
        <v>18.190000000000001</v>
      </c>
      <c r="O429" s="1">
        <v>15.58</v>
      </c>
      <c r="P429" s="1">
        <v>2</v>
      </c>
      <c r="Q429" s="1">
        <v>17219</v>
      </c>
      <c r="R429" s="1">
        <v>5500</v>
      </c>
      <c r="S429" s="1">
        <v>6</v>
      </c>
      <c r="T429" s="1">
        <f>(Table1[[#This Row],[Selling_Price_per_Unit]]-Table1[[#This Row],[Manufacturing_Cost_per_Unit]])*Table1[[#This Row],[Units_Sold]]-Table1[[#This Row],[Marketing_Spend]]-Table1[[#This Row],[Discount_%]]</f>
        <v>11916905.810000001</v>
      </c>
      <c r="U429" s="3">
        <f>Table1[[#This Row],[profit]]/(Table1[[#This Row],[Units_Sold]]*Table1[[#This Row],[Selling_Price_per_Unit]])*100</f>
        <v>35.23268943559399</v>
      </c>
      <c r="V429" s="6">
        <f>Table1[[#This Row],[Units_Sold]]*Table1[[#This Row],[Selling_Price_per_Unit]]</f>
        <v>33823435</v>
      </c>
      <c r="W429" s="7">
        <f>(Table1[[#This Row],[Units_Sold]]/$Z$1)</f>
        <v>0.49590105842943705</v>
      </c>
      <c r="X429" s="8">
        <f>((Table1[[#This Row],[Units_Sold]]*(Table1[[#This Row],[Selling_Price_per_Unit]]-Table1[[#This Row],[Manufacturing_Cost_per_Unit]]))-Table1[[#This Row],[Marketing_Spend]])/Table1[[#This Row],[Marketing_Spend]]</f>
        <v>106.98570761661938</v>
      </c>
    </row>
    <row r="430" spans="1:24" x14ac:dyDescent="0.3">
      <c r="A430" s="1" t="s">
        <v>1001</v>
      </c>
      <c r="B430" s="1" t="s">
        <v>1626</v>
      </c>
      <c r="C430" s="1" t="s">
        <v>1632</v>
      </c>
      <c r="D430" s="1" t="s">
        <v>1637</v>
      </c>
      <c r="E430" s="1">
        <v>2024</v>
      </c>
      <c r="F430" s="1" t="s">
        <v>1640</v>
      </c>
      <c r="G430" s="1">
        <v>4071</v>
      </c>
      <c r="H430" s="1">
        <v>13668</v>
      </c>
      <c r="I430" s="1">
        <v>5497</v>
      </c>
      <c r="J430" s="1">
        <v>223423</v>
      </c>
      <c r="K430" s="1">
        <v>2.35</v>
      </c>
      <c r="L430" s="1">
        <v>12</v>
      </c>
      <c r="M430" s="1">
        <v>0.48</v>
      </c>
      <c r="N430" s="1">
        <v>18.809999999999999</v>
      </c>
      <c r="O430" s="1">
        <v>56.37</v>
      </c>
      <c r="P430" s="1">
        <v>4.9000000000000004</v>
      </c>
      <c r="Q430" s="1">
        <v>9766</v>
      </c>
      <c r="R430" s="1">
        <v>7281</v>
      </c>
      <c r="S430" s="1">
        <v>5</v>
      </c>
      <c r="T430" s="1">
        <f>(Table1[[#This Row],[Selling_Price_per_Unit]]-Table1[[#This Row],[Manufacturing_Cost_per_Unit]])*Table1[[#This Row],[Units_Sold]]-Table1[[#This Row],[Marketing_Spend]]-Table1[[#This Row],[Discount_%]]</f>
        <v>33040699.190000001</v>
      </c>
      <c r="U430" s="3">
        <f>Table1[[#This Row],[profit]]/(Table1[[#This Row],[Units_Sold]]*Table1[[#This Row],[Selling_Price_per_Unit]])*100</f>
        <v>59.380405164921989</v>
      </c>
      <c r="V430" s="6">
        <f>Table1[[#This Row],[Units_Sold]]*Table1[[#This Row],[Selling_Price_per_Unit]]</f>
        <v>55642428</v>
      </c>
      <c r="W430" s="7">
        <f>(Table1[[#This Row],[Units_Sold]]/$Z$1)</f>
        <v>0.81502349974414146</v>
      </c>
      <c r="X430" s="8">
        <f>((Table1[[#This Row],[Units_Sold]]*(Table1[[#This Row],[Selling_Price_per_Unit]]-Table1[[#This Row],[Manufacturing_Cost_per_Unit]]))-Table1[[#This Row],[Marketing_Spend]])/Table1[[#This Row],[Marketing_Spend]]</f>
        <v>147.88413905461837</v>
      </c>
    </row>
    <row r="431" spans="1:24" x14ac:dyDescent="0.3">
      <c r="A431" s="1" t="s">
        <v>448</v>
      </c>
      <c r="B431" s="1" t="s">
        <v>1347</v>
      </c>
      <c r="C431" s="1" t="s">
        <v>1633</v>
      </c>
      <c r="D431" s="1" t="s">
        <v>1638</v>
      </c>
      <c r="E431" s="1">
        <v>2023</v>
      </c>
      <c r="F431" s="1" t="s">
        <v>1641</v>
      </c>
      <c r="G431" s="1">
        <v>4050</v>
      </c>
      <c r="H431" s="1">
        <v>12925</v>
      </c>
      <c r="I431" s="1">
        <v>10995</v>
      </c>
      <c r="J431" s="1">
        <v>60207</v>
      </c>
      <c r="K431" s="1">
        <v>11.59</v>
      </c>
      <c r="L431" s="1">
        <v>6</v>
      </c>
      <c r="M431" s="1">
        <v>2.2000000000000002</v>
      </c>
      <c r="N431" s="1">
        <v>14.7</v>
      </c>
      <c r="O431" s="1">
        <v>23.79</v>
      </c>
      <c r="P431" s="1">
        <v>1.1000000000000001</v>
      </c>
      <c r="Q431" s="1">
        <v>15313</v>
      </c>
      <c r="R431" s="1">
        <v>4389</v>
      </c>
      <c r="S431" s="1">
        <v>13</v>
      </c>
      <c r="T431" s="1">
        <f>(Table1[[#This Row],[Selling_Price_per_Unit]]-Table1[[#This Row],[Manufacturing_Cost_per_Unit]])*Table1[[#This Row],[Units_Sold]]-Table1[[#This Row],[Marketing_Spend]]-Table1[[#This Row],[Discount_%]]</f>
        <v>7756278.2999999998</v>
      </c>
      <c r="U431" s="3">
        <f>Table1[[#This Row],[profit]]/(Table1[[#This Row],[Units_Sold]]*Table1[[#This Row],[Selling_Price_per_Unit]])*100</f>
        <v>14.817256823554695</v>
      </c>
      <c r="V431" s="6">
        <f>Table1[[#This Row],[Units_Sold]]*Table1[[#This Row],[Selling_Price_per_Unit]]</f>
        <v>52346250</v>
      </c>
      <c r="W431" s="7">
        <f>(Table1[[#This Row],[Units_Sold]]/$Z$1)</f>
        <v>0.81081925177199032</v>
      </c>
      <c r="X431" s="8">
        <f>((Table1[[#This Row],[Units_Sold]]*(Table1[[#This Row],[Selling_Price_per_Unit]]-Table1[[#This Row],[Manufacturing_Cost_per_Unit]]))-Table1[[#This Row],[Marketing_Spend]])/Table1[[#This Row],[Marketing_Spend]]</f>
        <v>128.82709651701629</v>
      </c>
    </row>
    <row r="432" spans="1:24" hidden="1" x14ac:dyDescent="0.3">
      <c r="A432" s="1" t="s">
        <v>449</v>
      </c>
      <c r="B432" s="1" t="s">
        <v>1147</v>
      </c>
      <c r="C432" s="1" t="s">
        <v>1634</v>
      </c>
      <c r="D432" s="1" t="s">
        <v>1638</v>
      </c>
      <c r="E432" s="1">
        <v>2024</v>
      </c>
      <c r="F432" s="1" t="s">
        <v>1642</v>
      </c>
      <c r="G432" s="1">
        <v>2788</v>
      </c>
      <c r="H432" s="1">
        <v>3480</v>
      </c>
      <c r="I432" s="1">
        <v>2896</v>
      </c>
      <c r="J432" s="1">
        <v>268401</v>
      </c>
      <c r="K432" s="1">
        <v>8.23</v>
      </c>
      <c r="L432" s="1">
        <v>3</v>
      </c>
      <c r="M432" s="1">
        <v>5.15</v>
      </c>
      <c r="N432" s="1">
        <v>16.670000000000002</v>
      </c>
      <c r="O432" s="1">
        <v>70.19</v>
      </c>
      <c r="P432" s="1">
        <v>3.1</v>
      </c>
      <c r="Q432" s="1">
        <v>2664</v>
      </c>
      <c r="R432" s="1">
        <v>4353</v>
      </c>
      <c r="S432" s="1">
        <v>5</v>
      </c>
      <c r="T432" s="1">
        <f>(Table1[[#This Row],[Selling_Price_per_Unit]]-Table1[[#This Row],[Manufacturing_Cost_per_Unit]])*Table1[[#This Row],[Units_Sold]]-Table1[[#This Row],[Marketing_Spend]]-Table1[[#This Row],[Discount_%]]</f>
        <v>1359774.33</v>
      </c>
      <c r="U432" s="3">
        <f>Table1[[#This Row],[profit]]/(Table1[[#This Row],[Units_Sold]]*Table1[[#This Row],[Selling_Price_per_Unit]])*100</f>
        <v>14.015055595408896</v>
      </c>
      <c r="V432" s="6">
        <f>Table1[[#This Row],[Units_Sold]]*Table1[[#This Row],[Selling_Price_per_Unit]]</f>
        <v>9702240</v>
      </c>
      <c r="W432" s="7">
        <f>(Table1[[#This Row],[Units_Sold]]/$Z$1)</f>
        <v>0.55816396887415043</v>
      </c>
      <c r="X432" s="8">
        <f>((Table1[[#This Row],[Units_Sold]]*(Table1[[#This Row],[Selling_Price_per_Unit]]-Table1[[#This Row],[Manufacturing_Cost_per_Unit]]))-Table1[[#This Row],[Marketing_Spend]])/Table1[[#This Row],[Marketing_Spend]]</f>
        <v>5.0662665191262324</v>
      </c>
    </row>
    <row r="433" spans="1:24" hidden="1" x14ac:dyDescent="0.3">
      <c r="A433" s="1" t="s">
        <v>324</v>
      </c>
      <c r="B433" s="1" t="s">
        <v>1283</v>
      </c>
      <c r="C433" s="1" t="s">
        <v>1633</v>
      </c>
      <c r="D433" s="1" t="s">
        <v>1636</v>
      </c>
      <c r="E433" s="1">
        <v>2024</v>
      </c>
      <c r="F433" s="1" t="s">
        <v>1642</v>
      </c>
      <c r="G433" s="1">
        <v>1945</v>
      </c>
      <c r="H433" s="1">
        <v>19524</v>
      </c>
      <c r="I433" s="1">
        <v>2578</v>
      </c>
      <c r="J433" s="1">
        <v>241083</v>
      </c>
      <c r="K433" s="1">
        <v>7.58</v>
      </c>
      <c r="L433" s="1">
        <v>6</v>
      </c>
      <c r="M433" s="1">
        <v>8.51</v>
      </c>
      <c r="N433" s="1">
        <v>2.09</v>
      </c>
      <c r="O433" s="1">
        <v>40.97</v>
      </c>
      <c r="P433" s="1">
        <v>2.6</v>
      </c>
      <c r="Q433" s="1">
        <v>5035</v>
      </c>
      <c r="R433" s="1">
        <v>6671</v>
      </c>
      <c r="S433" s="1">
        <v>6</v>
      </c>
      <c r="T433" s="1">
        <f>(Table1[[#This Row],[Selling_Price_per_Unit]]-Table1[[#This Row],[Manufacturing_Cost_per_Unit]])*Table1[[#This Row],[Units_Sold]]-Table1[[#This Row],[Marketing_Spend]]-Table1[[#This Row],[Discount_%]]</f>
        <v>32718884.91</v>
      </c>
      <c r="U433" s="3">
        <f>Table1[[#This Row],[profit]]/(Table1[[#This Row],[Units_Sold]]*Table1[[#This Row],[Selling_Price_per_Unit]])*100</f>
        <v>86.160872756172751</v>
      </c>
      <c r="V433" s="6">
        <f>Table1[[#This Row],[Units_Sold]]*Table1[[#This Row],[Selling_Price_per_Unit]]</f>
        <v>37974180</v>
      </c>
      <c r="W433" s="7">
        <f>(Table1[[#This Row],[Units_Sold]]/$Z$1)</f>
        <v>0.38939344313494351</v>
      </c>
      <c r="X433" s="8">
        <f>((Table1[[#This Row],[Units_Sold]]*(Table1[[#This Row],[Selling_Price_per_Unit]]-Table1[[#This Row],[Manufacturing_Cost_per_Unit]]))-Table1[[#This Row],[Marketing_Spend]])/Table1[[#This Row],[Marketing_Spend]]</f>
        <v>135.71627613726392</v>
      </c>
    </row>
    <row r="434" spans="1:24" x14ac:dyDescent="0.3">
      <c r="A434" s="1" t="s">
        <v>451</v>
      </c>
      <c r="B434" s="1" t="s">
        <v>1365</v>
      </c>
      <c r="C434" s="1" t="s">
        <v>1633</v>
      </c>
      <c r="D434" s="1" t="s">
        <v>1636</v>
      </c>
      <c r="E434" s="1">
        <v>2024</v>
      </c>
      <c r="F434" s="1" t="s">
        <v>1639</v>
      </c>
      <c r="G434" s="1">
        <v>3963</v>
      </c>
      <c r="H434" s="1">
        <v>10484</v>
      </c>
      <c r="I434" s="1">
        <v>7204</v>
      </c>
      <c r="J434" s="1">
        <v>255157</v>
      </c>
      <c r="K434" s="1">
        <v>11.5</v>
      </c>
      <c r="L434" s="1">
        <v>5</v>
      </c>
      <c r="M434" s="1">
        <v>7.52</v>
      </c>
      <c r="N434" s="1">
        <v>22</v>
      </c>
      <c r="O434" s="1">
        <v>54.33</v>
      </c>
      <c r="P434" s="1">
        <v>3.2</v>
      </c>
      <c r="Q434" s="1">
        <v>9482</v>
      </c>
      <c r="R434" s="1">
        <v>6347</v>
      </c>
      <c r="S434" s="1">
        <v>9</v>
      </c>
      <c r="T434" s="1">
        <f>(Table1[[#This Row],[Selling_Price_per_Unit]]-Table1[[#This Row],[Manufacturing_Cost_per_Unit]])*Table1[[#This Row],[Units_Sold]]-Table1[[#This Row],[Marketing_Spend]]-Table1[[#This Row],[Discount_%]]</f>
        <v>12743461</v>
      </c>
      <c r="U434" s="3">
        <f>Table1[[#This Row],[profit]]/(Table1[[#This Row],[Units_Sold]]*Table1[[#This Row],[Selling_Price_per_Unit]])*100</f>
        <v>30.671591369346153</v>
      </c>
      <c r="V434" s="6">
        <f>Table1[[#This Row],[Units_Sold]]*Table1[[#This Row],[Selling_Price_per_Unit]]</f>
        <v>41548092</v>
      </c>
      <c r="W434" s="7">
        <f>(Table1[[#This Row],[Units_Sold]]/$Z$1)</f>
        <v>0.7934016530302217</v>
      </c>
      <c r="X434" s="8">
        <f>((Table1[[#This Row],[Units_Sold]]*(Table1[[#This Row],[Selling_Price_per_Unit]]-Table1[[#This Row],[Manufacturing_Cost_per_Unit]]))-Table1[[#This Row],[Marketing_Spend]])/Table1[[#This Row],[Marketing_Spend]]</f>
        <v>49.94369349067437</v>
      </c>
    </row>
    <row r="435" spans="1:24" hidden="1" x14ac:dyDescent="0.3">
      <c r="A435" s="1" t="s">
        <v>452</v>
      </c>
      <c r="B435" s="1" t="s">
        <v>1366</v>
      </c>
      <c r="C435" s="1" t="s">
        <v>1632</v>
      </c>
      <c r="D435" s="1" t="s">
        <v>1635</v>
      </c>
      <c r="E435" s="1">
        <v>2023</v>
      </c>
      <c r="F435" s="1" t="s">
        <v>1641</v>
      </c>
      <c r="G435" s="1">
        <v>1116</v>
      </c>
      <c r="H435" s="1">
        <v>18675</v>
      </c>
      <c r="I435" s="1">
        <v>11395</v>
      </c>
      <c r="J435" s="1">
        <v>72031</v>
      </c>
      <c r="K435" s="1">
        <v>8.76</v>
      </c>
      <c r="L435" s="1">
        <v>13</v>
      </c>
      <c r="M435" s="1">
        <v>9.06</v>
      </c>
      <c r="N435" s="1">
        <v>4.87</v>
      </c>
      <c r="O435" s="1">
        <v>52.17</v>
      </c>
      <c r="P435" s="1">
        <v>2.9</v>
      </c>
      <c r="Q435" s="1">
        <v>4566</v>
      </c>
      <c r="R435" s="1">
        <v>6277</v>
      </c>
      <c r="S435" s="1">
        <v>13</v>
      </c>
      <c r="T435" s="1">
        <f>(Table1[[#This Row],[Selling_Price_per_Unit]]-Table1[[#This Row],[Manufacturing_Cost_per_Unit]])*Table1[[#This Row],[Units_Sold]]-Table1[[#This Row],[Marketing_Spend]]-Table1[[#This Row],[Discount_%]]</f>
        <v>8052444.1299999999</v>
      </c>
      <c r="U435" s="3">
        <f>Table1[[#This Row],[profit]]/(Table1[[#This Row],[Units_Sold]]*Table1[[#This Row],[Selling_Price_per_Unit]])*100</f>
        <v>38.636957051623462</v>
      </c>
      <c r="V435" s="6">
        <f>Table1[[#This Row],[Units_Sold]]*Table1[[#This Row],[Selling_Price_per_Unit]]</f>
        <v>20841300</v>
      </c>
      <c r="W435" s="7">
        <f>(Table1[[#This Row],[Units_Sold]]/$Z$1)</f>
        <v>0.22342574937717069</v>
      </c>
      <c r="X435" s="8">
        <f>((Table1[[#This Row],[Units_Sold]]*(Table1[[#This Row],[Selling_Price_per_Unit]]-Table1[[#This Row],[Manufacturing_Cost_per_Unit]]))-Table1[[#This Row],[Marketing_Spend]])/Table1[[#This Row],[Marketing_Spend]]</f>
        <v>111.79143702017187</v>
      </c>
    </row>
    <row r="436" spans="1:24" hidden="1" x14ac:dyDescent="0.3">
      <c r="A436" s="1" t="s">
        <v>507</v>
      </c>
      <c r="B436" s="1" t="s">
        <v>1396</v>
      </c>
      <c r="C436" s="1" t="s">
        <v>1634</v>
      </c>
      <c r="D436" s="1" t="s">
        <v>1638</v>
      </c>
      <c r="E436" s="1">
        <v>2024</v>
      </c>
      <c r="F436" s="1" t="s">
        <v>1641</v>
      </c>
      <c r="G436" s="1">
        <v>2832</v>
      </c>
      <c r="H436" s="1">
        <v>17885</v>
      </c>
      <c r="I436" s="1">
        <v>6360</v>
      </c>
      <c r="J436" s="1">
        <v>96101</v>
      </c>
      <c r="K436" s="1">
        <v>1.33</v>
      </c>
      <c r="L436" s="1">
        <v>11</v>
      </c>
      <c r="M436" s="1">
        <v>0.99</v>
      </c>
      <c r="N436" s="1">
        <v>2.25</v>
      </c>
      <c r="O436" s="1">
        <v>21.59</v>
      </c>
      <c r="P436" s="1">
        <v>2.2999999999999998</v>
      </c>
      <c r="Q436" s="1">
        <v>1746</v>
      </c>
      <c r="R436" s="1">
        <v>326</v>
      </c>
      <c r="S436" s="1">
        <v>11</v>
      </c>
      <c r="T436" s="1">
        <f>(Table1[[#This Row],[Selling_Price_per_Unit]]-Table1[[#This Row],[Manufacturing_Cost_per_Unit]])*Table1[[#This Row],[Units_Sold]]-Table1[[#This Row],[Marketing_Spend]]-Table1[[#This Row],[Discount_%]]</f>
        <v>32542696.75</v>
      </c>
      <c r="U436" s="3">
        <f>Table1[[#This Row],[profit]]/(Table1[[#This Row],[Units_Sold]]*Table1[[#This Row],[Selling_Price_per_Unit]])*100</f>
        <v>64.249735737108864</v>
      </c>
      <c r="V436" s="6">
        <f>Table1[[#This Row],[Units_Sold]]*Table1[[#This Row],[Selling_Price_per_Unit]]</f>
        <v>50650320</v>
      </c>
      <c r="W436" s="7">
        <f>(Table1[[#This Row],[Units_Sold]]/$Z$1)</f>
        <v>0.5669728693872288</v>
      </c>
      <c r="X436" s="8">
        <f>((Table1[[#This Row],[Units_Sold]]*(Table1[[#This Row],[Selling_Price_per_Unit]]-Table1[[#This Row],[Manufacturing_Cost_per_Unit]]))-Table1[[#This Row],[Marketing_Spend]])/Table1[[#This Row],[Marketing_Spend]]</f>
        <v>338.63018074733873</v>
      </c>
    </row>
    <row r="437" spans="1:24" hidden="1" x14ac:dyDescent="0.3">
      <c r="A437" s="1" t="s">
        <v>454</v>
      </c>
      <c r="B437" s="1" t="s">
        <v>1368</v>
      </c>
      <c r="C437" s="1" t="s">
        <v>1634</v>
      </c>
      <c r="D437" s="1" t="s">
        <v>1636</v>
      </c>
      <c r="E437" s="1">
        <v>2024</v>
      </c>
      <c r="F437" s="1" t="s">
        <v>1642</v>
      </c>
      <c r="G437" s="1">
        <v>2494</v>
      </c>
      <c r="H437" s="1">
        <v>6890</v>
      </c>
      <c r="I437" s="1">
        <v>4131</v>
      </c>
      <c r="J437" s="1">
        <v>121312</v>
      </c>
      <c r="K437" s="1">
        <v>11.28</v>
      </c>
      <c r="L437" s="1">
        <v>10</v>
      </c>
      <c r="M437" s="1">
        <v>5.33</v>
      </c>
      <c r="N437" s="1">
        <v>15.51</v>
      </c>
      <c r="O437" s="1">
        <v>10.41</v>
      </c>
      <c r="P437" s="1">
        <v>1.5</v>
      </c>
      <c r="Q437" s="1">
        <v>3837</v>
      </c>
      <c r="R437" s="1">
        <v>2472</v>
      </c>
      <c r="S437" s="1">
        <v>5</v>
      </c>
      <c r="T437" s="1">
        <f>(Table1[[#This Row],[Selling_Price_per_Unit]]-Table1[[#This Row],[Manufacturing_Cost_per_Unit]])*Table1[[#This Row],[Units_Sold]]-Table1[[#This Row],[Marketing_Spend]]-Table1[[#This Row],[Discount_%]]</f>
        <v>6759618.4900000002</v>
      </c>
      <c r="U437" s="3">
        <f>Table1[[#This Row],[profit]]/(Table1[[#This Row],[Units_Sold]]*Table1[[#This Row],[Selling_Price_per_Unit]])*100</f>
        <v>39.337478104198993</v>
      </c>
      <c r="V437" s="6">
        <f>Table1[[#This Row],[Units_Sold]]*Table1[[#This Row],[Selling_Price_per_Unit]]</f>
        <v>17183660</v>
      </c>
      <c r="W437" s="7">
        <f>(Table1[[#This Row],[Units_Sold]]/$Z$1)</f>
        <v>0.49930449726403553</v>
      </c>
      <c r="X437" s="8">
        <f>((Table1[[#This Row],[Units_Sold]]*(Table1[[#This Row],[Selling_Price_per_Unit]]-Table1[[#This Row],[Manufacturing_Cost_per_Unit]]))-Table1[[#This Row],[Marketing_Spend]])/Table1[[#This Row],[Marketing_Spend]]</f>
        <v>55.72106634133474</v>
      </c>
    </row>
    <row r="438" spans="1:24" x14ac:dyDescent="0.3">
      <c r="A438" s="1" t="s">
        <v>455</v>
      </c>
      <c r="B438" s="1" t="s">
        <v>1052</v>
      </c>
      <c r="C438" s="1" t="s">
        <v>1632</v>
      </c>
      <c r="D438" s="1" t="s">
        <v>1636</v>
      </c>
      <c r="E438" s="1">
        <v>2023</v>
      </c>
      <c r="F438" s="1" t="s">
        <v>1641</v>
      </c>
      <c r="G438" s="1">
        <v>4157</v>
      </c>
      <c r="H438" s="1">
        <v>3107</v>
      </c>
      <c r="I438" s="1">
        <v>13725</v>
      </c>
      <c r="J438" s="1">
        <v>109766</v>
      </c>
      <c r="K438" s="1">
        <v>12.05</v>
      </c>
      <c r="L438" s="1">
        <v>18</v>
      </c>
      <c r="M438" s="1">
        <v>8.61</v>
      </c>
      <c r="N438" s="1">
        <v>15.96</v>
      </c>
      <c r="O438" s="1">
        <v>83.42</v>
      </c>
      <c r="P438" s="1">
        <v>2.2000000000000002</v>
      </c>
      <c r="Q438" s="1">
        <v>7094</v>
      </c>
      <c r="R438" s="1">
        <v>6934</v>
      </c>
      <c r="S438" s="1">
        <v>3</v>
      </c>
      <c r="T438" s="1">
        <f>(Table1[[#This Row],[Selling_Price_per_Unit]]-Table1[[#This Row],[Manufacturing_Cost_per_Unit]])*Table1[[#This Row],[Units_Sold]]-Table1[[#This Row],[Marketing_Spend]]-Table1[[#This Row],[Discount_%]]</f>
        <v>-44248807.960000001</v>
      </c>
      <c r="U438" s="3">
        <f>Table1[[#This Row],[profit]]/(Table1[[#This Row],[Units_Sold]]*Table1[[#This Row],[Selling_Price_per_Unit]])*100</f>
        <v>-342.59442996906347</v>
      </c>
      <c r="V438" s="6">
        <f>Table1[[#This Row],[Units_Sold]]*Table1[[#This Row],[Selling_Price_per_Unit]]</f>
        <v>12915799</v>
      </c>
      <c r="W438" s="7">
        <f>(Table1[[#This Row],[Units_Sold]]/$Z$1)</f>
        <v>0.83224089620152197</v>
      </c>
      <c r="X438" s="8">
        <f>((Table1[[#This Row],[Units_Sold]]*(Table1[[#This Row],[Selling_Price_per_Unit]]-Table1[[#This Row],[Manufacturing_Cost_per_Unit]]))-Table1[[#This Row],[Marketing_Spend]])/Table1[[#This Row],[Marketing_Spend]]</f>
        <v>-403.1192901262686</v>
      </c>
    </row>
    <row r="439" spans="1:24" hidden="1" x14ac:dyDescent="0.3">
      <c r="A439" s="1" t="s">
        <v>456</v>
      </c>
      <c r="B439" s="1" t="s">
        <v>1369</v>
      </c>
      <c r="C439" s="1" t="s">
        <v>1633</v>
      </c>
      <c r="D439" s="1" t="s">
        <v>1635</v>
      </c>
      <c r="E439" s="1">
        <v>2024</v>
      </c>
      <c r="F439" s="1" t="s">
        <v>1642</v>
      </c>
      <c r="G439" s="1">
        <v>3423</v>
      </c>
      <c r="H439" s="1">
        <v>8073</v>
      </c>
      <c r="I439" s="1">
        <v>8262</v>
      </c>
      <c r="J439" s="1">
        <v>193521</v>
      </c>
      <c r="K439" s="1">
        <v>7.77</v>
      </c>
      <c r="L439" s="1">
        <v>4</v>
      </c>
      <c r="M439" s="1">
        <v>6.95</v>
      </c>
      <c r="N439" s="1">
        <v>17.48</v>
      </c>
      <c r="O439" s="1">
        <v>25.8</v>
      </c>
      <c r="P439" s="1">
        <v>3.5</v>
      </c>
      <c r="Q439" s="1">
        <v>3960</v>
      </c>
      <c r="R439" s="1">
        <v>8883</v>
      </c>
      <c r="S439" s="1">
        <v>10</v>
      </c>
      <c r="T439" s="1">
        <f>(Table1[[#This Row],[Selling_Price_per_Unit]]-Table1[[#This Row],[Manufacturing_Cost_per_Unit]])*Table1[[#This Row],[Units_Sold]]-Table1[[#This Row],[Marketing_Spend]]-Table1[[#This Row],[Discount_%]]</f>
        <v>-840485.48</v>
      </c>
      <c r="U439" s="3">
        <f>Table1[[#This Row],[profit]]/(Table1[[#This Row],[Units_Sold]]*Table1[[#This Row],[Selling_Price_per_Unit]])*100</f>
        <v>-3.0415038004617445</v>
      </c>
      <c r="V439" s="6">
        <f>Table1[[#This Row],[Units_Sold]]*Table1[[#This Row],[Selling_Price_per_Unit]]</f>
        <v>27633879</v>
      </c>
      <c r="W439" s="7">
        <f>(Table1[[#This Row],[Units_Sold]]/$Z$1)</f>
        <v>0.68529241946062291</v>
      </c>
      <c r="X439" s="8">
        <f>((Table1[[#This Row],[Units_Sold]]*(Table1[[#This Row],[Selling_Price_per_Unit]]-Table1[[#This Row],[Manufacturing_Cost_per_Unit]]))-Table1[[#This Row],[Marketing_Spend]])/Table1[[#This Row],[Marketing_Spend]]</f>
        <v>-4.343032539104283</v>
      </c>
    </row>
    <row r="440" spans="1:24" hidden="1" x14ac:dyDescent="0.3">
      <c r="A440" s="1" t="s">
        <v>182</v>
      </c>
      <c r="B440" s="1" t="s">
        <v>1168</v>
      </c>
      <c r="C440" s="1" t="s">
        <v>1633</v>
      </c>
      <c r="D440" s="1" t="s">
        <v>1635</v>
      </c>
      <c r="E440" s="1">
        <v>2024</v>
      </c>
      <c r="F440" s="1" t="s">
        <v>1642</v>
      </c>
      <c r="G440" s="1">
        <v>3202</v>
      </c>
      <c r="H440" s="1">
        <v>19523</v>
      </c>
      <c r="I440" s="1">
        <v>9361</v>
      </c>
      <c r="J440" s="1">
        <v>451983</v>
      </c>
      <c r="K440" s="1">
        <v>4.3099999999999996</v>
      </c>
      <c r="L440" s="1">
        <v>5</v>
      </c>
      <c r="M440" s="1">
        <v>8.1999999999999993</v>
      </c>
      <c r="N440" s="1">
        <v>18.760000000000002</v>
      </c>
      <c r="O440" s="1">
        <v>75.17</v>
      </c>
      <c r="P440" s="1">
        <v>3.3</v>
      </c>
      <c r="Q440" s="1">
        <v>11024</v>
      </c>
      <c r="R440" s="1">
        <v>5290</v>
      </c>
      <c r="S440" s="1">
        <v>10</v>
      </c>
      <c r="T440" s="1">
        <f>(Table1[[#This Row],[Selling_Price_per_Unit]]-Table1[[#This Row],[Manufacturing_Cost_per_Unit]])*Table1[[#This Row],[Units_Sold]]-Table1[[#This Row],[Marketing_Spend]]-Table1[[#This Row],[Discount_%]]</f>
        <v>32086722.239999998</v>
      </c>
      <c r="U440" s="3">
        <f>Table1[[#This Row],[profit]]/(Table1[[#This Row],[Units_Sold]]*Table1[[#This Row],[Selling_Price_per_Unit]])*100</f>
        <v>51.328370006926271</v>
      </c>
      <c r="V440" s="6">
        <f>Table1[[#This Row],[Units_Sold]]*Table1[[#This Row],[Selling_Price_per_Unit]]</f>
        <v>62512646</v>
      </c>
      <c r="W440" s="7">
        <f>(Table1[[#This Row],[Units_Sold]]/$Z$1)</f>
        <v>0.64104771461084276</v>
      </c>
      <c r="X440" s="8">
        <f>((Table1[[#This Row],[Units_Sold]]*(Table1[[#This Row],[Selling_Price_per_Unit]]-Table1[[#This Row],[Manufacturing_Cost_per_Unit]]))-Table1[[#This Row],[Marketing_Spend]])/Table1[[#This Row],[Marketing_Spend]]</f>
        <v>70.991035061053182</v>
      </c>
    </row>
    <row r="441" spans="1:24" hidden="1" x14ac:dyDescent="0.3">
      <c r="A441" s="1" t="s">
        <v>458</v>
      </c>
      <c r="B441" s="1" t="s">
        <v>1293</v>
      </c>
      <c r="C441" s="1" t="s">
        <v>1633</v>
      </c>
      <c r="D441" s="1" t="s">
        <v>1635</v>
      </c>
      <c r="E441" s="1">
        <v>2024</v>
      </c>
      <c r="F441" s="1" t="s">
        <v>1639</v>
      </c>
      <c r="G441" s="1">
        <v>2596</v>
      </c>
      <c r="H441" s="1">
        <v>7276</v>
      </c>
      <c r="I441" s="1">
        <v>3778</v>
      </c>
      <c r="J441" s="1">
        <v>237771</v>
      </c>
      <c r="K441" s="1">
        <v>10.07</v>
      </c>
      <c r="L441" s="1">
        <v>15</v>
      </c>
      <c r="M441" s="1">
        <v>3.94</v>
      </c>
      <c r="N441" s="1">
        <v>21.24</v>
      </c>
      <c r="O441" s="1">
        <v>68.900000000000006</v>
      </c>
      <c r="P441" s="1">
        <v>2.6</v>
      </c>
      <c r="Q441" s="1">
        <v>4942</v>
      </c>
      <c r="R441" s="1">
        <v>5250</v>
      </c>
      <c r="S441" s="1">
        <v>5</v>
      </c>
      <c r="T441" s="1">
        <f>(Table1[[#This Row],[Selling_Price_per_Unit]]-Table1[[#This Row],[Manufacturing_Cost_per_Unit]])*Table1[[#This Row],[Units_Sold]]-Table1[[#This Row],[Marketing_Spend]]-Table1[[#This Row],[Discount_%]]</f>
        <v>8843015.7599999998</v>
      </c>
      <c r="U441" s="3">
        <f>Table1[[#This Row],[profit]]/(Table1[[#This Row],[Units_Sold]]*Table1[[#This Row],[Selling_Price_per_Unit]])*100</f>
        <v>46.81693958057857</v>
      </c>
      <c r="V441" s="6">
        <f>Table1[[#This Row],[Units_Sold]]*Table1[[#This Row],[Selling_Price_per_Unit]]</f>
        <v>18888496</v>
      </c>
      <c r="W441" s="7">
        <f>(Table1[[#This Row],[Units_Sold]]/$Z$1)</f>
        <v>0.51972513027162637</v>
      </c>
      <c r="X441" s="8">
        <f>((Table1[[#This Row],[Units_Sold]]*(Table1[[#This Row],[Selling_Price_per_Unit]]-Table1[[#This Row],[Manufacturing_Cost_per_Unit]]))-Table1[[#This Row],[Marketing_Spend]])/Table1[[#This Row],[Marketing_Spend]]</f>
        <v>37.191402652131671</v>
      </c>
    </row>
    <row r="442" spans="1:24" hidden="1" x14ac:dyDescent="0.3">
      <c r="A442" s="1" t="s">
        <v>459</v>
      </c>
      <c r="B442" s="1" t="s">
        <v>1305</v>
      </c>
      <c r="C442" s="1" t="s">
        <v>1632</v>
      </c>
      <c r="D442" s="1" t="s">
        <v>1635</v>
      </c>
      <c r="E442" s="1">
        <v>2023</v>
      </c>
      <c r="F442" s="1" t="s">
        <v>1640</v>
      </c>
      <c r="G442" s="1">
        <v>803</v>
      </c>
      <c r="H442" s="1">
        <v>5176</v>
      </c>
      <c r="I442" s="1">
        <v>13728</v>
      </c>
      <c r="J442" s="1">
        <v>287199</v>
      </c>
      <c r="K442" s="1">
        <v>9.31</v>
      </c>
      <c r="L442" s="1">
        <v>12</v>
      </c>
      <c r="M442" s="1">
        <v>8.51</v>
      </c>
      <c r="N442" s="1">
        <v>13.32</v>
      </c>
      <c r="O442" s="1">
        <v>71.94</v>
      </c>
      <c r="P442" s="1">
        <v>4.5</v>
      </c>
      <c r="Q442" s="1">
        <v>17691</v>
      </c>
      <c r="R442" s="1">
        <v>9175</v>
      </c>
      <c r="S442" s="1">
        <v>8</v>
      </c>
      <c r="T442" s="1">
        <f>(Table1[[#This Row],[Selling_Price_per_Unit]]-Table1[[#This Row],[Manufacturing_Cost_per_Unit]])*Table1[[#This Row],[Units_Sold]]-Table1[[#This Row],[Marketing_Spend]]-Table1[[#This Row],[Discount_%]]</f>
        <v>-7154468.3200000003</v>
      </c>
      <c r="U442" s="3">
        <f>Table1[[#This Row],[profit]]/(Table1[[#This Row],[Units_Sold]]*Table1[[#This Row],[Selling_Price_per_Unit]])*100</f>
        <v>-172.13435320792777</v>
      </c>
      <c r="V442" s="6">
        <f>Table1[[#This Row],[Units_Sold]]*Table1[[#This Row],[Selling_Price_per_Unit]]</f>
        <v>4156328</v>
      </c>
      <c r="W442" s="7">
        <f>(Table1[[#This Row],[Units_Sold]]/$Z$1)</f>
        <v>0.16076243436368104</v>
      </c>
      <c r="X442" s="8">
        <f>((Table1[[#This Row],[Units_Sold]]*(Table1[[#This Row],[Selling_Price_per_Unit]]-Table1[[#This Row],[Manufacturing_Cost_per_Unit]]))-Table1[[#This Row],[Marketing_Spend]])/Table1[[#This Row],[Marketing_Spend]]</f>
        <v>-24.911141751886323</v>
      </c>
    </row>
    <row r="443" spans="1:24" hidden="1" x14ac:dyDescent="0.3">
      <c r="A443" s="1" t="s">
        <v>460</v>
      </c>
      <c r="B443" s="1" t="s">
        <v>1370</v>
      </c>
      <c r="C443" s="1" t="s">
        <v>1632</v>
      </c>
      <c r="D443" s="1" t="s">
        <v>1637</v>
      </c>
      <c r="E443" s="1">
        <v>2023</v>
      </c>
      <c r="F443" s="1" t="s">
        <v>1639</v>
      </c>
      <c r="G443" s="1">
        <v>2132</v>
      </c>
      <c r="H443" s="1">
        <v>4880</v>
      </c>
      <c r="I443" s="1">
        <v>3639</v>
      </c>
      <c r="J443" s="1">
        <v>286731</v>
      </c>
      <c r="K443" s="1">
        <v>11.13</v>
      </c>
      <c r="L443" s="1">
        <v>19</v>
      </c>
      <c r="M443" s="1">
        <v>3.46</v>
      </c>
      <c r="N443" s="1">
        <v>11.78</v>
      </c>
      <c r="O443" s="1">
        <v>62.5</v>
      </c>
      <c r="P443" s="1">
        <v>2.7</v>
      </c>
      <c r="Q443" s="1">
        <v>20595</v>
      </c>
      <c r="R443" s="1">
        <v>8202</v>
      </c>
      <c r="S443" s="1">
        <v>11</v>
      </c>
      <c r="T443" s="1">
        <f>(Table1[[#This Row],[Selling_Price_per_Unit]]-Table1[[#This Row],[Manufacturing_Cost_per_Unit]])*Table1[[#This Row],[Units_Sold]]-Table1[[#This Row],[Marketing_Spend]]-Table1[[#This Row],[Discount_%]]</f>
        <v>2359069.2200000002</v>
      </c>
      <c r="U443" s="3">
        <f>Table1[[#This Row],[profit]]/(Table1[[#This Row],[Units_Sold]]*Table1[[#This Row],[Selling_Price_per_Unit]])*100</f>
        <v>22.674288169347648</v>
      </c>
      <c r="V443" s="6">
        <f>Table1[[#This Row],[Units_Sold]]*Table1[[#This Row],[Selling_Price_per_Unit]]</f>
        <v>10404160</v>
      </c>
      <c r="W443" s="7">
        <f>(Table1[[#This Row],[Units_Sold]]/$Z$1)</f>
        <v>0.42683127031552676</v>
      </c>
      <c r="X443" s="8">
        <f>((Table1[[#This Row],[Units_Sold]]*(Table1[[#This Row],[Selling_Price_per_Unit]]-Table1[[#This Row],[Manufacturing_Cost_per_Unit]]))-Table1[[#This Row],[Marketing_Spend]])/Table1[[#This Row],[Marketing_Spend]]</f>
        <v>8.2275059201830292</v>
      </c>
    </row>
    <row r="444" spans="1:24" hidden="1" x14ac:dyDescent="0.3">
      <c r="A444" s="1" t="s">
        <v>461</v>
      </c>
      <c r="B444" s="1" t="s">
        <v>1371</v>
      </c>
      <c r="C444" s="1" t="s">
        <v>1634</v>
      </c>
      <c r="D444" s="1" t="s">
        <v>1637</v>
      </c>
      <c r="E444" s="1">
        <v>2024</v>
      </c>
      <c r="F444" s="1" t="s">
        <v>1641</v>
      </c>
      <c r="G444" s="1">
        <v>2824</v>
      </c>
      <c r="H444" s="1">
        <v>10211</v>
      </c>
      <c r="I444" s="1">
        <v>4184</v>
      </c>
      <c r="J444" s="1">
        <v>285841</v>
      </c>
      <c r="K444" s="1">
        <v>2.5499999999999998</v>
      </c>
      <c r="L444" s="1">
        <v>3</v>
      </c>
      <c r="M444" s="1">
        <v>0.35</v>
      </c>
      <c r="N444" s="1">
        <v>24.53</v>
      </c>
      <c r="O444" s="1">
        <v>47.73</v>
      </c>
      <c r="P444" s="1">
        <v>2.6</v>
      </c>
      <c r="Q444" s="1">
        <v>17826</v>
      </c>
      <c r="R444" s="1">
        <v>4258</v>
      </c>
      <c r="S444" s="1">
        <v>9</v>
      </c>
      <c r="T444" s="1">
        <f>(Table1[[#This Row],[Selling_Price_per_Unit]]-Table1[[#This Row],[Manufacturing_Cost_per_Unit]])*Table1[[#This Row],[Units_Sold]]-Table1[[#This Row],[Marketing_Spend]]-Table1[[#This Row],[Discount_%]]</f>
        <v>16734382.470000001</v>
      </c>
      <c r="U444" s="3">
        <f>Table1[[#This Row],[profit]]/(Table1[[#This Row],[Units_Sold]]*Table1[[#This Row],[Selling_Price_per_Unit]])*100</f>
        <v>58.033227199295986</v>
      </c>
      <c r="V444" s="6">
        <f>Table1[[#This Row],[Units_Sold]]*Table1[[#This Row],[Selling_Price_per_Unit]]</f>
        <v>28835864</v>
      </c>
      <c r="W444" s="7">
        <f>(Table1[[#This Row],[Units_Sold]]/$Z$1)</f>
        <v>0.56537125111212361</v>
      </c>
      <c r="X444" s="8">
        <f>((Table1[[#This Row],[Units_Sold]]*(Table1[[#This Row],[Selling_Price_per_Unit]]-Table1[[#This Row],[Manufacturing_Cost_per_Unit]]))-Table1[[#This Row],[Marketing_Spend]])/Table1[[#This Row],[Marketing_Spend]]</f>
        <v>58.544460031975817</v>
      </c>
    </row>
    <row r="445" spans="1:24" hidden="1" x14ac:dyDescent="0.3">
      <c r="A445" s="1" t="s">
        <v>462</v>
      </c>
      <c r="B445" s="1" t="s">
        <v>1308</v>
      </c>
      <c r="C445" s="1" t="s">
        <v>1634</v>
      </c>
      <c r="D445" s="1" t="s">
        <v>1637</v>
      </c>
      <c r="E445" s="1">
        <v>2023</v>
      </c>
      <c r="F445" s="1" t="s">
        <v>1641</v>
      </c>
      <c r="G445" s="1">
        <v>2946</v>
      </c>
      <c r="H445" s="1">
        <v>10282</v>
      </c>
      <c r="I445" s="1">
        <v>11651</v>
      </c>
      <c r="J445" s="1">
        <v>161041</v>
      </c>
      <c r="K445" s="1">
        <v>2.92</v>
      </c>
      <c r="L445" s="1">
        <v>10</v>
      </c>
      <c r="M445" s="1">
        <v>7.46</v>
      </c>
      <c r="N445" s="1">
        <v>18.510000000000002</v>
      </c>
      <c r="O445" s="1">
        <v>55.73</v>
      </c>
      <c r="P445" s="1">
        <v>1.1000000000000001</v>
      </c>
      <c r="Q445" s="1">
        <v>12029</v>
      </c>
      <c r="R445" s="1">
        <v>7827</v>
      </c>
      <c r="S445" s="1">
        <v>9</v>
      </c>
      <c r="T445" s="1">
        <f>(Table1[[#This Row],[Selling_Price_per_Unit]]-Table1[[#This Row],[Manufacturing_Cost_per_Unit]])*Table1[[#This Row],[Units_Sold]]-Table1[[#This Row],[Marketing_Spend]]-Table1[[#This Row],[Discount_%]]</f>
        <v>-4194133.51</v>
      </c>
      <c r="U445" s="3">
        <f>Table1[[#This Row],[profit]]/(Table1[[#This Row],[Units_Sold]]*Table1[[#This Row],[Selling_Price_per_Unit]])*100</f>
        <v>-13.846241720085576</v>
      </c>
      <c r="V445" s="6">
        <f>Table1[[#This Row],[Units_Sold]]*Table1[[#This Row],[Selling_Price_per_Unit]]</f>
        <v>30290772</v>
      </c>
      <c r="W445" s="7">
        <f>(Table1[[#This Row],[Units_Sold]]/$Z$1)</f>
        <v>0.58979592980747741</v>
      </c>
      <c r="X445" s="8">
        <f>((Table1[[#This Row],[Units_Sold]]*(Table1[[#This Row],[Selling_Price_per_Unit]]-Table1[[#This Row],[Manufacturing_Cost_per_Unit]]))-Table1[[#This Row],[Marketing_Spend]])/Table1[[#This Row],[Marketing_Spend]]</f>
        <v>-26.043771461925846</v>
      </c>
    </row>
    <row r="446" spans="1:24" x14ac:dyDescent="0.3">
      <c r="A446" s="1" t="s">
        <v>702</v>
      </c>
      <c r="B446" s="1" t="s">
        <v>1071</v>
      </c>
      <c r="C446" s="1" t="s">
        <v>1633</v>
      </c>
      <c r="D446" s="1" t="s">
        <v>1636</v>
      </c>
      <c r="E446" s="1">
        <v>2024</v>
      </c>
      <c r="F446" s="1" t="s">
        <v>1639</v>
      </c>
      <c r="G446" s="1">
        <v>4687</v>
      </c>
      <c r="H446" s="1">
        <v>16146</v>
      </c>
      <c r="I446" s="1">
        <v>9238</v>
      </c>
      <c r="J446" s="1">
        <v>393173</v>
      </c>
      <c r="K446" s="1">
        <v>14.84</v>
      </c>
      <c r="L446" s="1">
        <v>10</v>
      </c>
      <c r="M446" s="1">
        <v>1.44</v>
      </c>
      <c r="N446" s="1">
        <v>16.14</v>
      </c>
      <c r="O446" s="1">
        <v>77.31</v>
      </c>
      <c r="P446" s="1">
        <v>1.3</v>
      </c>
      <c r="Q446" s="1">
        <v>9515</v>
      </c>
      <c r="R446" s="1">
        <v>8150</v>
      </c>
      <c r="S446" s="1">
        <v>7</v>
      </c>
      <c r="T446" s="1">
        <f>(Table1[[#This Row],[Selling_Price_per_Unit]]-Table1[[#This Row],[Manufacturing_Cost_per_Unit]])*Table1[[#This Row],[Units_Sold]]-Table1[[#This Row],[Marketing_Spend]]-Table1[[#This Row],[Discount_%]]</f>
        <v>31984606.859999999</v>
      </c>
      <c r="U446" s="3">
        <f>Table1[[#This Row],[profit]]/(Table1[[#This Row],[Units_Sold]]*Table1[[#This Row],[Selling_Price_per_Unit]])*100</f>
        <v>42.265023547265827</v>
      </c>
      <c r="V446" s="6">
        <f>Table1[[#This Row],[Units_Sold]]*Table1[[#This Row],[Selling_Price_per_Unit]]</f>
        <v>75676302</v>
      </c>
      <c r="W446" s="7">
        <f>(Table1[[#This Row],[Units_Sold]]/$Z$1)</f>
        <v>0.93834810692723924</v>
      </c>
      <c r="X446" s="8">
        <f>((Table1[[#This Row],[Units_Sold]]*(Table1[[#This Row],[Selling_Price_per_Unit]]-Table1[[#This Row],[Manufacturing_Cost_per_Unit]]))-Table1[[#This Row],[Marketing_Spend]])/Table1[[#This Row],[Marketing_Spend]]</f>
        <v>81.349998601124696</v>
      </c>
    </row>
    <row r="447" spans="1:24" hidden="1" x14ac:dyDescent="0.3">
      <c r="A447" s="1" t="s">
        <v>464</v>
      </c>
      <c r="B447" s="1" t="s">
        <v>1373</v>
      </c>
      <c r="C447" s="1" t="s">
        <v>1634</v>
      </c>
      <c r="D447" s="1" t="s">
        <v>1638</v>
      </c>
      <c r="E447" s="1">
        <v>2023</v>
      </c>
      <c r="F447" s="1" t="s">
        <v>1642</v>
      </c>
      <c r="G447" s="1">
        <v>825</v>
      </c>
      <c r="H447" s="1">
        <v>15497</v>
      </c>
      <c r="I447" s="1">
        <v>11848</v>
      </c>
      <c r="J447" s="1">
        <v>227164</v>
      </c>
      <c r="K447" s="1">
        <v>11.25</v>
      </c>
      <c r="L447" s="1">
        <v>6</v>
      </c>
      <c r="M447" s="1">
        <v>1.61</v>
      </c>
      <c r="N447" s="1">
        <v>18.91</v>
      </c>
      <c r="O447" s="1">
        <v>59.92</v>
      </c>
      <c r="P447" s="1">
        <v>3.8</v>
      </c>
      <c r="Q447" s="1">
        <v>11890</v>
      </c>
      <c r="R447" s="1">
        <v>403</v>
      </c>
      <c r="S447" s="1">
        <v>8</v>
      </c>
      <c r="T447" s="1">
        <f>(Table1[[#This Row],[Selling_Price_per_Unit]]-Table1[[#This Row],[Manufacturing_Cost_per_Unit]])*Table1[[#This Row],[Units_Sold]]-Table1[[#This Row],[Marketing_Spend]]-Table1[[#This Row],[Discount_%]]</f>
        <v>2783242.09</v>
      </c>
      <c r="U447" s="3">
        <f>Table1[[#This Row],[profit]]/(Table1[[#This Row],[Units_Sold]]*Table1[[#This Row],[Selling_Price_per_Unit]])*100</f>
        <v>21.769547497951706</v>
      </c>
      <c r="V447" s="6">
        <f>Table1[[#This Row],[Units_Sold]]*Table1[[#This Row],[Selling_Price_per_Unit]]</f>
        <v>12785025</v>
      </c>
      <c r="W447" s="7">
        <f>(Table1[[#This Row],[Units_Sold]]/$Z$1)</f>
        <v>0.16516688462022025</v>
      </c>
      <c r="X447" s="8">
        <f>((Table1[[#This Row],[Units_Sold]]*(Table1[[#This Row],[Selling_Price_per_Unit]]-Table1[[#This Row],[Manufacturing_Cost_per_Unit]]))-Table1[[#This Row],[Marketing_Spend]])/Table1[[#This Row],[Marketing_Spend]]</f>
        <v>12.252209857195682</v>
      </c>
    </row>
    <row r="448" spans="1:24" hidden="1" x14ac:dyDescent="0.3">
      <c r="A448" s="1" t="s">
        <v>465</v>
      </c>
      <c r="B448" s="1" t="s">
        <v>1312</v>
      </c>
      <c r="C448" s="1" t="s">
        <v>1632</v>
      </c>
      <c r="D448" s="1" t="s">
        <v>1638</v>
      </c>
      <c r="E448" s="1">
        <v>2024</v>
      </c>
      <c r="F448" s="1" t="s">
        <v>1642</v>
      </c>
      <c r="G448" s="1">
        <v>1675</v>
      </c>
      <c r="H448" s="1">
        <v>7842</v>
      </c>
      <c r="I448" s="1">
        <v>14293</v>
      </c>
      <c r="J448" s="1">
        <v>60350</v>
      </c>
      <c r="K448" s="1">
        <v>13.62</v>
      </c>
      <c r="L448" s="1">
        <v>13</v>
      </c>
      <c r="M448" s="1">
        <v>5.37</v>
      </c>
      <c r="N448" s="1">
        <v>2.38</v>
      </c>
      <c r="O448" s="1">
        <v>60.09</v>
      </c>
      <c r="P448" s="1">
        <v>1.5</v>
      </c>
      <c r="Q448" s="1">
        <v>15530</v>
      </c>
      <c r="R448" s="1">
        <v>433</v>
      </c>
      <c r="S448" s="1">
        <v>11</v>
      </c>
      <c r="T448" s="1">
        <f>(Table1[[#This Row],[Selling_Price_per_Unit]]-Table1[[#This Row],[Manufacturing_Cost_per_Unit]])*Table1[[#This Row],[Units_Sold]]-Table1[[#This Row],[Marketing_Spend]]-Table1[[#This Row],[Discount_%]]</f>
        <v>-10865777.380000001</v>
      </c>
      <c r="U448" s="3">
        <f>Table1[[#This Row],[profit]]/(Table1[[#This Row],[Units_Sold]]*Table1[[#This Row],[Selling_Price_per_Unit]])*100</f>
        <v>-82.721643351718839</v>
      </c>
      <c r="V448" s="6">
        <f>Table1[[#This Row],[Units_Sold]]*Table1[[#This Row],[Selling_Price_per_Unit]]</f>
        <v>13135350</v>
      </c>
      <c r="W448" s="7">
        <f>(Table1[[#This Row],[Units_Sold]]/$Z$1)</f>
        <v>0.33533882635014417</v>
      </c>
      <c r="X448" s="8">
        <f>((Table1[[#This Row],[Units_Sold]]*(Table1[[#This Row],[Selling_Price_per_Unit]]-Table1[[#This Row],[Manufacturing_Cost_per_Unit]]))-Table1[[#This Row],[Marketing_Spend]])/Table1[[#This Row],[Marketing_Spend]]</f>
        <v>-180.0459817729909</v>
      </c>
    </row>
    <row r="449" spans="1:24" x14ac:dyDescent="0.3">
      <c r="A449" s="1" t="s">
        <v>108</v>
      </c>
      <c r="B449" s="1" t="s">
        <v>1103</v>
      </c>
      <c r="C449" s="1" t="s">
        <v>1633</v>
      </c>
      <c r="D449" s="1" t="s">
        <v>1635</v>
      </c>
      <c r="E449" s="1">
        <v>2024</v>
      </c>
      <c r="F449" s="1" t="s">
        <v>1641</v>
      </c>
      <c r="G449" s="1">
        <v>4564</v>
      </c>
      <c r="H449" s="1">
        <v>14721</v>
      </c>
      <c r="I449" s="1">
        <v>7669</v>
      </c>
      <c r="J449" s="1">
        <v>299768</v>
      </c>
      <c r="K449" s="1">
        <v>14.55</v>
      </c>
      <c r="L449" s="1">
        <v>2</v>
      </c>
      <c r="M449" s="1">
        <v>7.37</v>
      </c>
      <c r="N449" s="1">
        <v>20.14</v>
      </c>
      <c r="O449" s="1">
        <v>55.14</v>
      </c>
      <c r="P449" s="1">
        <v>3.7</v>
      </c>
      <c r="Q449" s="1">
        <v>18288</v>
      </c>
      <c r="R449" s="1">
        <v>8353</v>
      </c>
      <c r="S449" s="1">
        <v>12</v>
      </c>
      <c r="T449" s="1">
        <f>(Table1[[#This Row],[Selling_Price_per_Unit]]-Table1[[#This Row],[Manufacturing_Cost_per_Unit]])*Table1[[#This Row],[Units_Sold]]-Table1[[#This Row],[Marketing_Spend]]-Table1[[#This Row],[Discount_%]]</f>
        <v>31885539.859999999</v>
      </c>
      <c r="U449" s="3">
        <f>Table1[[#This Row],[profit]]/(Table1[[#This Row],[Units_Sold]]*Table1[[#This Row],[Selling_Price_per_Unit]])*100</f>
        <v>47.458152337538991</v>
      </c>
      <c r="V449" s="6">
        <f>Table1[[#This Row],[Units_Sold]]*Table1[[#This Row],[Selling_Price_per_Unit]]</f>
        <v>67186644</v>
      </c>
      <c r="W449" s="7">
        <f>(Table1[[#This Row],[Units_Sold]]/$Z$1)</f>
        <v>0.91372322594749733</v>
      </c>
      <c r="X449" s="8">
        <f>((Table1[[#This Row],[Units_Sold]]*(Table1[[#This Row],[Selling_Price_per_Unit]]-Table1[[#This Row],[Manufacturing_Cost_per_Unit]]))-Table1[[#This Row],[Marketing_Spend]])/Table1[[#This Row],[Marketing_Spend]]</f>
        <v>106.36745750046703</v>
      </c>
    </row>
    <row r="450" spans="1:24" hidden="1" x14ac:dyDescent="0.3">
      <c r="A450" s="1" t="s">
        <v>467</v>
      </c>
      <c r="B450" s="1" t="s">
        <v>1374</v>
      </c>
      <c r="C450" s="1" t="s">
        <v>1633</v>
      </c>
      <c r="D450" s="1" t="s">
        <v>1638</v>
      </c>
      <c r="E450" s="1">
        <v>2023</v>
      </c>
      <c r="F450" s="1" t="s">
        <v>1642</v>
      </c>
      <c r="G450" s="1">
        <v>467</v>
      </c>
      <c r="H450" s="1">
        <v>7559</v>
      </c>
      <c r="I450" s="1">
        <v>14939</v>
      </c>
      <c r="J450" s="1">
        <v>413003</v>
      </c>
      <c r="K450" s="1">
        <v>8.9600000000000009</v>
      </c>
      <c r="L450" s="1">
        <v>8</v>
      </c>
      <c r="M450" s="1">
        <v>7.19</v>
      </c>
      <c r="N450" s="1">
        <v>10.09</v>
      </c>
      <c r="O450" s="1">
        <v>50.45</v>
      </c>
      <c r="P450" s="1">
        <v>4.0999999999999996</v>
      </c>
      <c r="Q450" s="1">
        <v>14642</v>
      </c>
      <c r="R450" s="1">
        <v>2431</v>
      </c>
      <c r="S450" s="1">
        <v>7</v>
      </c>
      <c r="T450" s="1">
        <f>(Table1[[#This Row],[Selling_Price_per_Unit]]-Table1[[#This Row],[Manufacturing_Cost_per_Unit]])*Table1[[#This Row],[Units_Sold]]-Table1[[#This Row],[Marketing_Spend]]-Table1[[#This Row],[Discount_%]]</f>
        <v>-3859473.09</v>
      </c>
      <c r="U450" s="3">
        <f>Table1[[#This Row],[profit]]/(Table1[[#This Row],[Units_Sold]]*Table1[[#This Row],[Selling_Price_per_Unit]])*100</f>
        <v>-109.33187377073375</v>
      </c>
      <c r="V450" s="6">
        <f>Table1[[#This Row],[Units_Sold]]*Table1[[#This Row],[Selling_Price_per_Unit]]</f>
        <v>3530053</v>
      </c>
      <c r="W450" s="7">
        <f>(Table1[[#This Row],[Units_Sold]]/$Z$1)</f>
        <v>9.3494466809264071E-2</v>
      </c>
      <c r="X450" s="8">
        <f>((Table1[[#This Row],[Units_Sold]]*(Table1[[#This Row],[Selling_Price_per_Unit]]-Table1[[#This Row],[Manufacturing_Cost_per_Unit]]))-Table1[[#This Row],[Marketing_Spend]])/Table1[[#This Row],[Marketing_Spend]]</f>
        <v>-9.3448788507589526</v>
      </c>
    </row>
    <row r="451" spans="1:24" hidden="1" x14ac:dyDescent="0.3">
      <c r="A451" s="1" t="s">
        <v>468</v>
      </c>
      <c r="B451" s="1" t="s">
        <v>1375</v>
      </c>
      <c r="C451" s="1" t="s">
        <v>1632</v>
      </c>
      <c r="D451" s="1" t="s">
        <v>1635</v>
      </c>
      <c r="E451" s="1">
        <v>2024</v>
      </c>
      <c r="F451" s="1" t="s">
        <v>1641</v>
      </c>
      <c r="G451" s="1">
        <v>164</v>
      </c>
      <c r="H451" s="1">
        <v>10384</v>
      </c>
      <c r="I451" s="1">
        <v>8331</v>
      </c>
      <c r="J451" s="1">
        <v>311570</v>
      </c>
      <c r="K451" s="1">
        <v>9.81</v>
      </c>
      <c r="L451" s="1">
        <v>12</v>
      </c>
      <c r="M451" s="1">
        <v>2.72</v>
      </c>
      <c r="N451" s="1">
        <v>24.84</v>
      </c>
      <c r="O451" s="1">
        <v>16.170000000000002</v>
      </c>
      <c r="P451" s="1">
        <v>2.5</v>
      </c>
      <c r="Q451" s="1">
        <v>20539</v>
      </c>
      <c r="R451" s="1">
        <v>4661</v>
      </c>
      <c r="S451" s="1">
        <v>7</v>
      </c>
      <c r="T451" s="1">
        <f>(Table1[[#This Row],[Selling_Price_per_Unit]]-Table1[[#This Row],[Manufacturing_Cost_per_Unit]])*Table1[[#This Row],[Units_Sold]]-Table1[[#This Row],[Marketing_Spend]]-Table1[[#This Row],[Discount_%]]</f>
        <v>25097.16</v>
      </c>
      <c r="U451" s="3">
        <f>Table1[[#This Row],[profit]]/(Table1[[#This Row],[Units_Sold]]*Table1[[#This Row],[Selling_Price_per_Unit]])*100</f>
        <v>1.4737236461347665</v>
      </c>
      <c r="V451" s="6">
        <f>Table1[[#This Row],[Units_Sold]]*Table1[[#This Row],[Selling_Price_per_Unit]]</f>
        <v>1702976</v>
      </c>
      <c r="W451" s="7">
        <f>(Table1[[#This Row],[Units_Sold]]/$Z$1)</f>
        <v>3.2833174639655904E-2</v>
      </c>
      <c r="X451" s="8">
        <f>((Table1[[#This Row],[Units_Sold]]*(Table1[[#This Row],[Selling_Price_per_Unit]]-Table1[[#This Row],[Manufacturing_Cost_per_Unit]]))-Table1[[#This Row],[Marketing_Spend]])/Table1[[#This Row],[Marketing_Spend]]</f>
        <v>8.0630355939275283E-2</v>
      </c>
    </row>
    <row r="452" spans="1:24" hidden="1" x14ac:dyDescent="0.3">
      <c r="A452" s="1" t="s">
        <v>469</v>
      </c>
      <c r="B452" s="1" t="s">
        <v>1376</v>
      </c>
      <c r="C452" s="1" t="s">
        <v>1632</v>
      </c>
      <c r="D452" s="1" t="s">
        <v>1635</v>
      </c>
      <c r="E452" s="1">
        <v>2024</v>
      </c>
      <c r="F452" s="1" t="s">
        <v>1641</v>
      </c>
      <c r="G452" s="1">
        <v>666</v>
      </c>
      <c r="H452" s="1">
        <v>7155</v>
      </c>
      <c r="I452" s="1">
        <v>5083</v>
      </c>
      <c r="J452" s="1">
        <v>118487</v>
      </c>
      <c r="K452" s="1">
        <v>13.34</v>
      </c>
      <c r="L452" s="1">
        <v>17</v>
      </c>
      <c r="M452" s="1">
        <v>3.16</v>
      </c>
      <c r="N452" s="1">
        <v>4.37</v>
      </c>
      <c r="O452" s="1">
        <v>34.5</v>
      </c>
      <c r="P452" s="1">
        <v>2</v>
      </c>
      <c r="Q452" s="1">
        <v>13704</v>
      </c>
      <c r="R452" s="1">
        <v>179</v>
      </c>
      <c r="S452" s="1">
        <v>7</v>
      </c>
      <c r="T452" s="1">
        <f>(Table1[[#This Row],[Selling_Price_per_Unit]]-Table1[[#This Row],[Manufacturing_Cost_per_Unit]])*Table1[[#This Row],[Units_Sold]]-Table1[[#This Row],[Marketing_Spend]]-Table1[[#This Row],[Discount_%]]</f>
        <v>1261460.6299999999</v>
      </c>
      <c r="U452" s="3">
        <f>Table1[[#This Row],[profit]]/(Table1[[#This Row],[Units_Sold]]*Table1[[#This Row],[Selling_Price_per_Unit]])*100</f>
        <v>26.47218770132816</v>
      </c>
      <c r="V452" s="6">
        <f>Table1[[#This Row],[Units_Sold]]*Table1[[#This Row],[Selling_Price_per_Unit]]</f>
        <v>4765230</v>
      </c>
      <c r="W452" s="7">
        <f>(Table1[[#This Row],[Units_Sold]]/$Z$1)</f>
        <v>0.13333472140250507</v>
      </c>
      <c r="X452" s="8">
        <f>((Table1[[#This Row],[Units_Sold]]*(Table1[[#This Row],[Selling_Price_per_Unit]]-Table1[[#This Row],[Manufacturing_Cost_per_Unit]]))-Table1[[#This Row],[Marketing_Spend]])/Table1[[#This Row],[Marketing_Spend]]</f>
        <v>10.646442225729405</v>
      </c>
    </row>
    <row r="453" spans="1:24" x14ac:dyDescent="0.3">
      <c r="A453" s="1" t="s">
        <v>365</v>
      </c>
      <c r="B453" s="1" t="s">
        <v>1311</v>
      </c>
      <c r="C453" s="1" t="s">
        <v>1633</v>
      </c>
      <c r="D453" s="1" t="s">
        <v>1638</v>
      </c>
      <c r="E453" s="1">
        <v>2024</v>
      </c>
      <c r="F453" s="1" t="s">
        <v>1640</v>
      </c>
      <c r="G453" s="1">
        <v>4827</v>
      </c>
      <c r="H453" s="1">
        <v>18440</v>
      </c>
      <c r="I453" s="1">
        <v>11805</v>
      </c>
      <c r="J453" s="1">
        <v>152239</v>
      </c>
      <c r="K453" s="1">
        <v>3.29</v>
      </c>
      <c r="L453" s="1">
        <v>19</v>
      </c>
      <c r="M453" s="1">
        <v>2.4900000000000002</v>
      </c>
      <c r="N453" s="1">
        <v>21.33</v>
      </c>
      <c r="O453" s="1">
        <v>65.06</v>
      </c>
      <c r="P453" s="1">
        <v>4.2</v>
      </c>
      <c r="Q453" s="1">
        <v>10988</v>
      </c>
      <c r="R453" s="1">
        <v>5290</v>
      </c>
      <c r="S453" s="1">
        <v>9</v>
      </c>
      <c r="T453" s="1">
        <f>(Table1[[#This Row],[Selling_Price_per_Unit]]-Table1[[#This Row],[Manufacturing_Cost_per_Unit]])*Table1[[#This Row],[Units_Sold]]-Table1[[#This Row],[Marketing_Spend]]-Table1[[#This Row],[Discount_%]]</f>
        <v>31874884.670000002</v>
      </c>
      <c r="U453" s="3">
        <f>Table1[[#This Row],[profit]]/(Table1[[#This Row],[Units_Sold]]*Table1[[#This Row],[Selling_Price_per_Unit]])*100</f>
        <v>35.810501789239581</v>
      </c>
      <c r="V453" s="6">
        <f>Table1[[#This Row],[Units_Sold]]*Table1[[#This Row],[Selling_Price_per_Unit]]</f>
        <v>89009880</v>
      </c>
      <c r="W453" s="7">
        <f>(Table1[[#This Row],[Units_Sold]]/$Z$1)</f>
        <v>0.96637642674157964</v>
      </c>
      <c r="X453" s="8">
        <f>((Table1[[#This Row],[Units_Sold]]*(Table1[[#This Row],[Selling_Price_per_Unit]]-Table1[[#This Row],[Manufacturing_Cost_per_Unit]]))-Table1[[#This Row],[Marketing_Spend]])/Table1[[#This Row],[Marketing_Spend]]</f>
        <v>209.37411569965647</v>
      </c>
    </row>
    <row r="454" spans="1:24" x14ac:dyDescent="0.3">
      <c r="A454" s="1" t="s">
        <v>696</v>
      </c>
      <c r="B454" s="1" t="s">
        <v>1197</v>
      </c>
      <c r="C454" s="1" t="s">
        <v>1634</v>
      </c>
      <c r="D454" s="1" t="s">
        <v>1637</v>
      </c>
      <c r="E454" s="1">
        <v>2024</v>
      </c>
      <c r="F454" s="1" t="s">
        <v>1642</v>
      </c>
      <c r="G454" s="1">
        <v>4592</v>
      </c>
      <c r="H454" s="1">
        <v>9019</v>
      </c>
      <c r="I454" s="1">
        <v>2083</v>
      </c>
      <c r="J454" s="1">
        <v>121354</v>
      </c>
      <c r="K454" s="1">
        <v>10.01</v>
      </c>
      <c r="L454" s="1">
        <v>14</v>
      </c>
      <c r="M454" s="1">
        <v>7.97</v>
      </c>
      <c r="N454" s="1">
        <v>14.54</v>
      </c>
      <c r="O454" s="1">
        <v>39.020000000000003</v>
      </c>
      <c r="P454" s="1">
        <v>2.1</v>
      </c>
      <c r="Q454" s="1">
        <v>3679</v>
      </c>
      <c r="R454" s="1">
        <v>3507</v>
      </c>
      <c r="S454" s="1">
        <v>10</v>
      </c>
      <c r="T454" s="1">
        <f>(Table1[[#This Row],[Selling_Price_per_Unit]]-Table1[[#This Row],[Manufacturing_Cost_per_Unit]])*Table1[[#This Row],[Units_Sold]]-Table1[[#This Row],[Marketing_Spend]]-Table1[[#This Row],[Discount_%]]</f>
        <v>31728743.460000001</v>
      </c>
      <c r="U454" s="3">
        <f>Table1[[#This Row],[profit]]/(Table1[[#This Row],[Units_Sold]]*Table1[[#This Row],[Selling_Price_per_Unit]])*100</f>
        <v>76.611260326148482</v>
      </c>
      <c r="V454" s="6">
        <f>Table1[[#This Row],[Units_Sold]]*Table1[[#This Row],[Selling_Price_per_Unit]]</f>
        <v>41415248</v>
      </c>
      <c r="W454" s="7">
        <f>(Table1[[#This Row],[Units_Sold]]/$Z$1)</f>
        <v>0.91932888991036532</v>
      </c>
      <c r="X454" s="8">
        <f>((Table1[[#This Row],[Units_Sold]]*(Table1[[#This Row],[Selling_Price_per_Unit]]-Table1[[#This Row],[Manufacturing_Cost_per_Unit]]))-Table1[[#This Row],[Marketing_Spend]])/Table1[[#This Row],[Marketing_Spend]]</f>
        <v>261.45621899566555</v>
      </c>
    </row>
    <row r="455" spans="1:24" hidden="1" x14ac:dyDescent="0.3">
      <c r="A455" s="1" t="s">
        <v>472</v>
      </c>
      <c r="B455" s="1" t="s">
        <v>1378</v>
      </c>
      <c r="C455" s="1" t="s">
        <v>1634</v>
      </c>
      <c r="D455" s="1" t="s">
        <v>1635</v>
      </c>
      <c r="E455" s="1">
        <v>2023</v>
      </c>
      <c r="F455" s="1" t="s">
        <v>1639</v>
      </c>
      <c r="G455" s="1">
        <v>875</v>
      </c>
      <c r="H455" s="1">
        <v>2026</v>
      </c>
      <c r="I455" s="1">
        <v>2419</v>
      </c>
      <c r="J455" s="1">
        <v>365261</v>
      </c>
      <c r="K455" s="1">
        <v>2.35</v>
      </c>
      <c r="L455" s="1">
        <v>18</v>
      </c>
      <c r="M455" s="1">
        <v>6.7</v>
      </c>
      <c r="N455" s="1">
        <v>18.12</v>
      </c>
      <c r="O455" s="1">
        <v>32.44</v>
      </c>
      <c r="P455" s="1">
        <v>4.5999999999999996</v>
      </c>
      <c r="Q455" s="1">
        <v>2325</v>
      </c>
      <c r="R455" s="1">
        <v>832</v>
      </c>
      <c r="S455" s="1">
        <v>9</v>
      </c>
      <c r="T455" s="1">
        <f>(Table1[[#This Row],[Selling_Price_per_Unit]]-Table1[[#This Row],[Manufacturing_Cost_per_Unit]])*Table1[[#This Row],[Units_Sold]]-Table1[[#This Row],[Marketing_Spend]]-Table1[[#This Row],[Discount_%]]</f>
        <v>-709154.12</v>
      </c>
      <c r="U455" s="3">
        <f>Table1[[#This Row],[profit]]/(Table1[[#This Row],[Units_Sold]]*Table1[[#This Row],[Selling_Price_per_Unit]])*100</f>
        <v>-40.003052883937386</v>
      </c>
      <c r="V455" s="6">
        <f>Table1[[#This Row],[Units_Sold]]*Table1[[#This Row],[Selling_Price_per_Unit]]</f>
        <v>1772750</v>
      </c>
      <c r="W455" s="7">
        <f>(Table1[[#This Row],[Units_Sold]]/$Z$1)</f>
        <v>0.17517699883962753</v>
      </c>
      <c r="X455" s="8">
        <f>((Table1[[#This Row],[Units_Sold]]*(Table1[[#This Row],[Selling_Price_per_Unit]]-Table1[[#This Row],[Manufacturing_Cost_per_Unit]]))-Table1[[#This Row],[Marketing_Spend]])/Table1[[#This Row],[Marketing_Spend]]</f>
        <v>-1.9414500863765909</v>
      </c>
    </row>
    <row r="456" spans="1:24" hidden="1" x14ac:dyDescent="0.3">
      <c r="A456" s="1" t="s">
        <v>473</v>
      </c>
      <c r="B456" s="1" t="s">
        <v>1379</v>
      </c>
      <c r="C456" s="1" t="s">
        <v>1634</v>
      </c>
      <c r="D456" s="1" t="s">
        <v>1638</v>
      </c>
      <c r="E456" s="1">
        <v>2024</v>
      </c>
      <c r="F456" s="1" t="s">
        <v>1640</v>
      </c>
      <c r="G456" s="1">
        <v>1566</v>
      </c>
      <c r="H456" s="1">
        <v>4724</v>
      </c>
      <c r="I456" s="1">
        <v>14775</v>
      </c>
      <c r="J456" s="1">
        <v>285062</v>
      </c>
      <c r="K456" s="1">
        <v>7.11</v>
      </c>
      <c r="L456" s="1">
        <v>0</v>
      </c>
      <c r="M456" s="1">
        <v>4.0199999999999996</v>
      </c>
      <c r="N456" s="1">
        <v>12.63</v>
      </c>
      <c r="O456" s="1">
        <v>75.64</v>
      </c>
      <c r="P456" s="1">
        <v>1.4</v>
      </c>
      <c r="Q456" s="1">
        <v>10696</v>
      </c>
      <c r="R456" s="1">
        <v>4076</v>
      </c>
      <c r="S456" s="1">
        <v>6</v>
      </c>
      <c r="T456" s="1">
        <f>(Table1[[#This Row],[Selling_Price_per_Unit]]-Table1[[#This Row],[Manufacturing_Cost_per_Unit]])*Table1[[#This Row],[Units_Sold]]-Table1[[#This Row],[Marketing_Spend]]-Table1[[#This Row],[Discount_%]]</f>
        <v>-16024940.630000001</v>
      </c>
      <c r="U456" s="3">
        <f>Table1[[#This Row],[profit]]/(Table1[[#This Row],[Units_Sold]]*Table1[[#This Row],[Selling_Price_per_Unit]])*100</f>
        <v>-216.61812010191159</v>
      </c>
      <c r="V456" s="6">
        <f>Table1[[#This Row],[Units_Sold]]*Table1[[#This Row],[Selling_Price_per_Unit]]</f>
        <v>7397784</v>
      </c>
      <c r="W456" s="7">
        <f>(Table1[[#This Row],[Units_Sold]]/$Z$1)</f>
        <v>0.31351677735183625</v>
      </c>
      <c r="X456" s="8">
        <f>((Table1[[#This Row],[Units_Sold]]*(Table1[[#This Row],[Selling_Price_per_Unit]]-Table1[[#This Row],[Manufacturing_Cost_per_Unit]]))-Table1[[#This Row],[Marketing_Spend]])/Table1[[#This Row],[Marketing_Spend]]</f>
        <v>-56.215588187832822</v>
      </c>
    </row>
    <row r="457" spans="1:24" hidden="1" x14ac:dyDescent="0.3">
      <c r="A457" s="1" t="s">
        <v>474</v>
      </c>
      <c r="B457" s="1" t="s">
        <v>1256</v>
      </c>
      <c r="C457" s="1" t="s">
        <v>1633</v>
      </c>
      <c r="D457" s="1" t="s">
        <v>1635</v>
      </c>
      <c r="E457" s="1">
        <v>2024</v>
      </c>
      <c r="F457" s="1" t="s">
        <v>1639</v>
      </c>
      <c r="G457" s="1">
        <v>3196</v>
      </c>
      <c r="H457" s="1">
        <v>16569</v>
      </c>
      <c r="I457" s="1">
        <v>14072</v>
      </c>
      <c r="J457" s="1">
        <v>283077</v>
      </c>
      <c r="K457" s="1">
        <v>10.75</v>
      </c>
      <c r="L457" s="1">
        <v>3</v>
      </c>
      <c r="M457" s="1">
        <v>2.98</v>
      </c>
      <c r="N457" s="1">
        <v>17</v>
      </c>
      <c r="O457" s="1">
        <v>56.75</v>
      </c>
      <c r="P457" s="1">
        <v>3.8</v>
      </c>
      <c r="Q457" s="1">
        <v>13152</v>
      </c>
      <c r="R457" s="1">
        <v>5759</v>
      </c>
      <c r="S457" s="1">
        <v>6</v>
      </c>
      <c r="T457" s="1">
        <f>(Table1[[#This Row],[Selling_Price_per_Unit]]-Table1[[#This Row],[Manufacturing_Cost_per_Unit]])*Table1[[#This Row],[Units_Sold]]-Table1[[#This Row],[Marketing_Spend]]-Table1[[#This Row],[Discount_%]]</f>
        <v>7697318</v>
      </c>
      <c r="U457" s="3">
        <f>Table1[[#This Row],[profit]]/(Table1[[#This Row],[Units_Sold]]*Table1[[#This Row],[Selling_Price_per_Unit]])*100</f>
        <v>14.535713700306324</v>
      </c>
      <c r="V457" s="6">
        <f>Table1[[#This Row],[Units_Sold]]*Table1[[#This Row],[Selling_Price_per_Unit]]</f>
        <v>52954524</v>
      </c>
      <c r="W457" s="7">
        <f>(Table1[[#This Row],[Units_Sold]]/$Z$1)</f>
        <v>0.63984650090451389</v>
      </c>
      <c r="X457" s="8">
        <f>((Table1[[#This Row],[Units_Sold]]*(Table1[[#This Row],[Selling_Price_per_Unit]]-Table1[[#This Row],[Manufacturing_Cost_per_Unit]]))-Table1[[#This Row],[Marketing_Spend]])/Table1[[#This Row],[Marketing_Spend]]</f>
        <v>27.191665165308379</v>
      </c>
    </row>
    <row r="458" spans="1:24" hidden="1" x14ac:dyDescent="0.3">
      <c r="A458" s="1" t="s">
        <v>475</v>
      </c>
      <c r="B458" s="1" t="s">
        <v>1190</v>
      </c>
      <c r="C458" s="1" t="s">
        <v>1632</v>
      </c>
      <c r="D458" s="1" t="s">
        <v>1638</v>
      </c>
      <c r="E458" s="1">
        <v>2023</v>
      </c>
      <c r="F458" s="1" t="s">
        <v>1641</v>
      </c>
      <c r="G458" s="1">
        <v>462</v>
      </c>
      <c r="H458" s="1">
        <v>13036</v>
      </c>
      <c r="I458" s="1">
        <v>13635</v>
      </c>
      <c r="J458" s="1">
        <v>413228</v>
      </c>
      <c r="K458" s="1">
        <v>4.0599999999999996</v>
      </c>
      <c r="L458" s="1">
        <v>13</v>
      </c>
      <c r="M458" s="1">
        <v>6.25</v>
      </c>
      <c r="N458" s="1">
        <v>5.07</v>
      </c>
      <c r="O458" s="1">
        <v>50.68</v>
      </c>
      <c r="P458" s="1">
        <v>3</v>
      </c>
      <c r="Q458" s="1">
        <v>18260</v>
      </c>
      <c r="R458" s="1">
        <v>1484</v>
      </c>
      <c r="S458" s="1">
        <v>3</v>
      </c>
      <c r="T458" s="1">
        <f>(Table1[[#This Row],[Selling_Price_per_Unit]]-Table1[[#This Row],[Manufacturing_Cost_per_Unit]])*Table1[[#This Row],[Units_Sold]]-Table1[[#This Row],[Marketing_Spend]]-Table1[[#This Row],[Discount_%]]</f>
        <v>-689971.07</v>
      </c>
      <c r="U458" s="3">
        <f>Table1[[#This Row],[profit]]/(Table1[[#This Row],[Units_Sold]]*Table1[[#This Row],[Selling_Price_per_Unit]])*100</f>
        <v>-11.45630465218529</v>
      </c>
      <c r="V458" s="6">
        <f>Table1[[#This Row],[Units_Sold]]*Table1[[#This Row],[Selling_Price_per_Unit]]</f>
        <v>6022632</v>
      </c>
      <c r="W458" s="7">
        <f>(Table1[[#This Row],[Units_Sold]]/$Z$1)</f>
        <v>9.2493455387323342E-2</v>
      </c>
      <c r="X458" s="8">
        <f>((Table1[[#This Row],[Units_Sold]]*(Table1[[#This Row],[Selling_Price_per_Unit]]-Table1[[#This Row],[Manufacturing_Cost_per_Unit]]))-Table1[[#This Row],[Marketing_Spend]])/Table1[[#This Row],[Marketing_Spend]]</f>
        <v>-1.669698084350528</v>
      </c>
    </row>
    <row r="459" spans="1:24" hidden="1" x14ac:dyDescent="0.3">
      <c r="A459" s="1" t="s">
        <v>476</v>
      </c>
      <c r="B459" s="1" t="s">
        <v>1380</v>
      </c>
      <c r="C459" s="1" t="s">
        <v>1633</v>
      </c>
      <c r="D459" s="1" t="s">
        <v>1635</v>
      </c>
      <c r="E459" s="1">
        <v>2024</v>
      </c>
      <c r="F459" s="1" t="s">
        <v>1639</v>
      </c>
      <c r="G459" s="1">
        <v>778</v>
      </c>
      <c r="H459" s="1">
        <v>15047</v>
      </c>
      <c r="I459" s="1">
        <v>7668</v>
      </c>
      <c r="J459" s="1">
        <v>73782</v>
      </c>
      <c r="K459" s="1">
        <v>3.03</v>
      </c>
      <c r="L459" s="1">
        <v>13</v>
      </c>
      <c r="M459" s="1">
        <v>1.55</v>
      </c>
      <c r="N459" s="1">
        <v>18.64</v>
      </c>
      <c r="O459" s="1">
        <v>35.479999999999997</v>
      </c>
      <c r="P459" s="1">
        <v>4.5</v>
      </c>
      <c r="Q459" s="1">
        <v>2472</v>
      </c>
      <c r="R459" s="1">
        <v>2224</v>
      </c>
      <c r="S459" s="1">
        <v>5</v>
      </c>
      <c r="T459" s="1">
        <f>(Table1[[#This Row],[Selling_Price_per_Unit]]-Table1[[#This Row],[Manufacturing_Cost_per_Unit]])*Table1[[#This Row],[Units_Sold]]-Table1[[#This Row],[Marketing_Spend]]-Table1[[#This Row],[Discount_%]]</f>
        <v>5667061.3600000003</v>
      </c>
      <c r="U459" s="3">
        <f>Table1[[#This Row],[profit]]/(Table1[[#This Row],[Units_Sold]]*Table1[[#This Row],[Selling_Price_per_Unit]])*100</f>
        <v>48.409254772065523</v>
      </c>
      <c r="V459" s="6">
        <f>Table1[[#This Row],[Units_Sold]]*Table1[[#This Row],[Selling_Price_per_Unit]]</f>
        <v>11706566</v>
      </c>
      <c r="W459" s="7">
        <f>(Table1[[#This Row],[Units_Sold]]/$Z$1)</f>
        <v>0.1557573772539774</v>
      </c>
      <c r="X459" s="8">
        <f>((Table1[[#This Row],[Units_Sold]]*(Table1[[#This Row],[Selling_Price_per_Unit]]-Table1[[#This Row],[Manufacturing_Cost_per_Unit]]))-Table1[[#This Row],[Marketing_Spend]])/Table1[[#This Row],[Marketing_Spend]]</f>
        <v>76.808435661814528</v>
      </c>
    </row>
    <row r="460" spans="1:24" x14ac:dyDescent="0.3">
      <c r="A460" s="1" t="s">
        <v>508</v>
      </c>
      <c r="B460" s="1" t="s">
        <v>1299</v>
      </c>
      <c r="C460" s="1" t="s">
        <v>1634</v>
      </c>
      <c r="D460" s="1" t="s">
        <v>1637</v>
      </c>
      <c r="E460" s="1">
        <v>2024</v>
      </c>
      <c r="F460" s="1" t="s">
        <v>1640</v>
      </c>
      <c r="G460" s="1">
        <v>4996</v>
      </c>
      <c r="H460" s="1">
        <v>7868</v>
      </c>
      <c r="I460" s="1">
        <v>1489</v>
      </c>
      <c r="J460" s="1">
        <v>292717</v>
      </c>
      <c r="K460" s="1">
        <v>10.48</v>
      </c>
      <c r="L460" s="1">
        <v>1</v>
      </c>
      <c r="M460" s="1">
        <v>4.29</v>
      </c>
      <c r="N460" s="1">
        <v>6.42</v>
      </c>
      <c r="O460" s="1">
        <v>30.38</v>
      </c>
      <c r="P460" s="1">
        <v>2.2999999999999998</v>
      </c>
      <c r="Q460" s="1">
        <v>6712</v>
      </c>
      <c r="R460" s="1">
        <v>2501</v>
      </c>
      <c r="S460" s="1">
        <v>10</v>
      </c>
      <c r="T460" s="1">
        <f>(Table1[[#This Row],[Selling_Price_per_Unit]]-Table1[[#This Row],[Manufacturing_Cost_per_Unit]])*Table1[[#This Row],[Units_Sold]]-Table1[[#This Row],[Marketing_Spend]]-Table1[[#This Row],[Discount_%]]</f>
        <v>31576760.579999998</v>
      </c>
      <c r="U460" s="3">
        <f>Table1[[#This Row],[profit]]/(Table1[[#This Row],[Units_Sold]]*Table1[[#This Row],[Selling_Price_per_Unit]])*100</f>
        <v>80.330559770643148</v>
      </c>
      <c r="V460" s="6">
        <f>Table1[[#This Row],[Units_Sold]]*Table1[[#This Row],[Selling_Price_per_Unit]]</f>
        <v>39308528</v>
      </c>
      <c r="W460" s="7">
        <f>(Table1[[#This Row],[Units_Sold]]/$Z$1)</f>
        <v>1.0002106128031762</v>
      </c>
      <c r="X460" s="8">
        <f>((Table1[[#This Row],[Units_Sold]]*(Table1[[#This Row],[Selling_Price_per_Unit]]-Table1[[#This Row],[Manufacturing_Cost_per_Unit]]))-Table1[[#This Row],[Marketing_Spend]])/Table1[[#This Row],[Marketing_Spend]]</f>
        <v>107.87472883365162</v>
      </c>
    </row>
    <row r="461" spans="1:24" hidden="1" x14ac:dyDescent="0.3">
      <c r="A461" s="1" t="s">
        <v>478</v>
      </c>
      <c r="B461" s="1" t="s">
        <v>1381</v>
      </c>
      <c r="C461" s="1" t="s">
        <v>1634</v>
      </c>
      <c r="D461" s="1" t="s">
        <v>1638</v>
      </c>
      <c r="E461" s="1">
        <v>2023</v>
      </c>
      <c r="F461" s="1" t="s">
        <v>1640</v>
      </c>
      <c r="G461" s="1">
        <v>2858</v>
      </c>
      <c r="H461" s="1">
        <v>3263</v>
      </c>
      <c r="I461" s="1">
        <v>9867</v>
      </c>
      <c r="J461" s="1">
        <v>380048</v>
      </c>
      <c r="K461" s="1">
        <v>3.62</v>
      </c>
      <c r="L461" s="1">
        <v>16</v>
      </c>
      <c r="M461" s="1">
        <v>2.09</v>
      </c>
      <c r="N461" s="1">
        <v>16.64</v>
      </c>
      <c r="O461" s="1">
        <v>33.020000000000003</v>
      </c>
      <c r="P461" s="1">
        <v>3.7</v>
      </c>
      <c r="Q461" s="1">
        <v>1943</v>
      </c>
      <c r="R461" s="1">
        <v>5383</v>
      </c>
      <c r="S461" s="1">
        <v>10</v>
      </c>
      <c r="T461" s="1">
        <f>(Table1[[#This Row],[Selling_Price_per_Unit]]-Table1[[#This Row],[Manufacturing_Cost_per_Unit]])*Table1[[#This Row],[Units_Sold]]-Table1[[#This Row],[Marketing_Spend]]-Table1[[#This Row],[Discount_%]]</f>
        <v>-19254296.640000001</v>
      </c>
      <c r="U461" s="3">
        <f>Table1[[#This Row],[profit]]/(Table1[[#This Row],[Units_Sold]]*Table1[[#This Row],[Selling_Price_per_Unit]])*100</f>
        <v>-206.46591263197197</v>
      </c>
      <c r="V461" s="6">
        <f>Table1[[#This Row],[Units_Sold]]*Table1[[#This Row],[Selling_Price_per_Unit]]</f>
        <v>9325654</v>
      </c>
      <c r="W461" s="7">
        <f>(Table1[[#This Row],[Units_Sold]]/$Z$1)</f>
        <v>0.57217812878132057</v>
      </c>
      <c r="X461" s="8">
        <f>((Table1[[#This Row],[Units_Sold]]*(Table1[[#This Row],[Selling_Price_per_Unit]]-Table1[[#This Row],[Manufacturing_Cost_per_Unit]]))-Table1[[#This Row],[Marketing_Spend]])/Table1[[#This Row],[Marketing_Spend]]</f>
        <v>-50.662758388414098</v>
      </c>
    </row>
    <row r="462" spans="1:24" hidden="1" x14ac:dyDescent="0.3">
      <c r="A462" s="1" t="s">
        <v>479</v>
      </c>
      <c r="B462" s="1" t="s">
        <v>1382</v>
      </c>
      <c r="C462" s="1" t="s">
        <v>1634</v>
      </c>
      <c r="D462" s="1" t="s">
        <v>1636</v>
      </c>
      <c r="E462" s="1">
        <v>2023</v>
      </c>
      <c r="F462" s="1" t="s">
        <v>1641</v>
      </c>
      <c r="G462" s="1">
        <v>725</v>
      </c>
      <c r="H462" s="1">
        <v>10212</v>
      </c>
      <c r="I462" s="1">
        <v>5513</v>
      </c>
      <c r="J462" s="1">
        <v>179936</v>
      </c>
      <c r="K462" s="1">
        <v>3.22</v>
      </c>
      <c r="L462" s="1">
        <v>2</v>
      </c>
      <c r="M462" s="1">
        <v>6.96</v>
      </c>
      <c r="N462" s="1">
        <v>12.34</v>
      </c>
      <c r="O462" s="1">
        <v>68.97</v>
      </c>
      <c r="P462" s="1">
        <v>3.3</v>
      </c>
      <c r="Q462" s="1">
        <v>2254</v>
      </c>
      <c r="R462" s="1">
        <v>7276</v>
      </c>
      <c r="S462" s="1">
        <v>10</v>
      </c>
      <c r="T462" s="1">
        <f>(Table1[[#This Row],[Selling_Price_per_Unit]]-Table1[[#This Row],[Manufacturing_Cost_per_Unit]])*Table1[[#This Row],[Units_Sold]]-Table1[[#This Row],[Marketing_Spend]]-Table1[[#This Row],[Discount_%]]</f>
        <v>3226826.66</v>
      </c>
      <c r="U462" s="3">
        <f>Table1[[#This Row],[profit]]/(Table1[[#This Row],[Units_Sold]]*Table1[[#This Row],[Selling_Price_per_Unit]])*100</f>
        <v>43.583973688831264</v>
      </c>
      <c r="V462" s="6">
        <f>Table1[[#This Row],[Units_Sold]]*Table1[[#This Row],[Selling_Price_per_Unit]]</f>
        <v>7403700</v>
      </c>
      <c r="W462" s="7">
        <f>(Table1[[#This Row],[Units_Sold]]/$Z$1)</f>
        <v>0.14514665618140568</v>
      </c>
      <c r="X462" s="8">
        <f>((Table1[[#This Row],[Units_Sold]]*(Table1[[#This Row],[Selling_Price_per_Unit]]-Table1[[#This Row],[Manufacturing_Cost_per_Unit]]))-Table1[[#This Row],[Marketing_Spend]])/Table1[[#This Row],[Marketing_Spend]]</f>
        <v>17.933259603414548</v>
      </c>
    </row>
    <row r="463" spans="1:24" hidden="1" x14ac:dyDescent="0.3">
      <c r="A463" s="1" t="s">
        <v>480</v>
      </c>
      <c r="B463" s="1" t="s">
        <v>1383</v>
      </c>
      <c r="C463" s="1" t="s">
        <v>1632</v>
      </c>
      <c r="D463" s="1" t="s">
        <v>1635</v>
      </c>
      <c r="E463" s="1">
        <v>2023</v>
      </c>
      <c r="F463" s="1" t="s">
        <v>1642</v>
      </c>
      <c r="G463" s="1">
        <v>3515</v>
      </c>
      <c r="H463" s="1">
        <v>7297</v>
      </c>
      <c r="I463" s="1">
        <v>11453</v>
      </c>
      <c r="J463" s="1">
        <v>458808</v>
      </c>
      <c r="K463" s="1">
        <v>6.37</v>
      </c>
      <c r="L463" s="1">
        <v>15</v>
      </c>
      <c r="M463" s="1">
        <v>9.44</v>
      </c>
      <c r="N463" s="1">
        <v>23.08</v>
      </c>
      <c r="O463" s="1">
        <v>15.61</v>
      </c>
      <c r="P463" s="1">
        <v>2.9</v>
      </c>
      <c r="Q463" s="1">
        <v>17523</v>
      </c>
      <c r="R463" s="1">
        <v>9490</v>
      </c>
      <c r="S463" s="1">
        <v>7</v>
      </c>
      <c r="T463" s="1">
        <f>(Table1[[#This Row],[Selling_Price_per_Unit]]-Table1[[#This Row],[Manufacturing_Cost_per_Unit]])*Table1[[#This Row],[Units_Sold]]-Table1[[#This Row],[Marketing_Spend]]-Table1[[#This Row],[Discount_%]]</f>
        <v>-15067171.08</v>
      </c>
      <c r="U463" s="3">
        <f>Table1[[#This Row],[profit]]/(Table1[[#This Row],[Units_Sold]]*Table1[[#This Row],[Selling_Price_per_Unit]])*100</f>
        <v>-58.743800985264315</v>
      </c>
      <c r="V463" s="6">
        <f>Table1[[#This Row],[Units_Sold]]*Table1[[#This Row],[Selling_Price_per_Unit]]</f>
        <v>25648955</v>
      </c>
      <c r="W463" s="7">
        <f>(Table1[[#This Row],[Units_Sold]]/$Z$1)</f>
        <v>0.70371102962433241</v>
      </c>
      <c r="X463" s="8">
        <f>((Table1[[#This Row],[Units_Sold]]*(Table1[[#This Row],[Selling_Price_per_Unit]]-Table1[[#This Row],[Manufacturing_Cost_per_Unit]]))-Table1[[#This Row],[Marketing_Spend]])/Table1[[#This Row],[Marketing_Spend]]</f>
        <v>-32.8397673972555</v>
      </c>
    </row>
    <row r="464" spans="1:24" hidden="1" x14ac:dyDescent="0.3">
      <c r="A464" s="1" t="s">
        <v>481</v>
      </c>
      <c r="B464" s="1" t="s">
        <v>1384</v>
      </c>
      <c r="C464" s="1" t="s">
        <v>1632</v>
      </c>
      <c r="D464" s="1" t="s">
        <v>1637</v>
      </c>
      <c r="E464" s="1">
        <v>2024</v>
      </c>
      <c r="F464" s="1" t="s">
        <v>1641</v>
      </c>
      <c r="G464" s="1">
        <v>2554</v>
      </c>
      <c r="H464" s="1">
        <v>10708</v>
      </c>
      <c r="I464" s="1">
        <v>10357</v>
      </c>
      <c r="J464" s="1">
        <v>203245</v>
      </c>
      <c r="K464" s="1">
        <v>13.62</v>
      </c>
      <c r="L464" s="1">
        <v>13</v>
      </c>
      <c r="M464" s="1">
        <v>9.9600000000000009</v>
      </c>
      <c r="N464" s="1">
        <v>0.4</v>
      </c>
      <c r="O464" s="1">
        <v>79.16</v>
      </c>
      <c r="P464" s="1">
        <v>3</v>
      </c>
      <c r="Q464" s="1">
        <v>11863</v>
      </c>
      <c r="R464" s="1">
        <v>6705</v>
      </c>
      <c r="S464" s="1">
        <v>12</v>
      </c>
      <c r="T464" s="1">
        <f>(Table1[[#This Row],[Selling_Price_per_Unit]]-Table1[[#This Row],[Manufacturing_Cost_per_Unit]])*Table1[[#This Row],[Units_Sold]]-Table1[[#This Row],[Marketing_Spend]]-Table1[[#This Row],[Discount_%]]</f>
        <v>693208.6</v>
      </c>
      <c r="U464" s="3">
        <f>Table1[[#This Row],[profit]]/(Table1[[#This Row],[Units_Sold]]*Table1[[#This Row],[Selling_Price_per_Unit]])*100</f>
        <v>2.5347474015870568</v>
      </c>
      <c r="V464" s="6">
        <f>Table1[[#This Row],[Units_Sold]]*Table1[[#This Row],[Selling_Price_per_Unit]]</f>
        <v>27348232</v>
      </c>
      <c r="W464" s="7">
        <f>(Table1[[#This Row],[Units_Sold]]/$Z$1)</f>
        <v>0.51131663432732433</v>
      </c>
      <c r="X464" s="8">
        <f>((Table1[[#This Row],[Units_Sold]]*(Table1[[#This Row],[Selling_Price_per_Unit]]-Table1[[#This Row],[Manufacturing_Cost_per_Unit]]))-Table1[[#This Row],[Marketing_Spend]])/Table1[[#This Row],[Marketing_Spend]]</f>
        <v>3.4107062904376493</v>
      </c>
    </row>
    <row r="465" spans="1:24" hidden="1" x14ac:dyDescent="0.3">
      <c r="A465" s="1" t="s">
        <v>482</v>
      </c>
      <c r="B465" s="1" t="s">
        <v>1385</v>
      </c>
      <c r="C465" s="1" t="s">
        <v>1633</v>
      </c>
      <c r="D465" s="1" t="s">
        <v>1636</v>
      </c>
      <c r="E465" s="1">
        <v>2024</v>
      </c>
      <c r="F465" s="1" t="s">
        <v>1640</v>
      </c>
      <c r="G465" s="1">
        <v>3017</v>
      </c>
      <c r="H465" s="1">
        <v>6609</v>
      </c>
      <c r="I465" s="1">
        <v>10235</v>
      </c>
      <c r="J465" s="1">
        <v>476420</v>
      </c>
      <c r="K465" s="1">
        <v>7.61</v>
      </c>
      <c r="L465" s="1">
        <v>19</v>
      </c>
      <c r="M465" s="1">
        <v>4.5</v>
      </c>
      <c r="N465" s="1">
        <v>18.25</v>
      </c>
      <c r="O465" s="1">
        <v>49.97</v>
      </c>
      <c r="P465" s="1">
        <v>3.9</v>
      </c>
      <c r="Q465" s="1">
        <v>12397</v>
      </c>
      <c r="R465" s="1">
        <v>5807</v>
      </c>
      <c r="S465" s="1">
        <v>10</v>
      </c>
      <c r="T465" s="1">
        <f>(Table1[[#This Row],[Selling_Price_per_Unit]]-Table1[[#This Row],[Manufacturing_Cost_per_Unit]])*Table1[[#This Row],[Units_Sold]]-Table1[[#This Row],[Marketing_Spend]]-Table1[[#This Row],[Discount_%]]</f>
        <v>-11416080.25</v>
      </c>
      <c r="U465" s="3">
        <f>Table1[[#This Row],[profit]]/(Table1[[#This Row],[Units_Sold]]*Table1[[#This Row],[Selling_Price_per_Unit]])*100</f>
        <v>-57.254015463791632</v>
      </c>
      <c r="V465" s="6">
        <f>Table1[[#This Row],[Units_Sold]]*Table1[[#This Row],[Selling_Price_per_Unit]]</f>
        <v>19939353</v>
      </c>
      <c r="W465" s="7">
        <f>(Table1[[#This Row],[Units_Sold]]/$Z$1)</f>
        <v>0.60401029199903578</v>
      </c>
      <c r="X465" s="8">
        <f>((Table1[[#This Row],[Units_Sold]]*(Table1[[#This Row],[Selling_Price_per_Unit]]-Table1[[#This Row],[Manufacturing_Cost_per_Unit]]))-Table1[[#This Row],[Marketing_Spend]])/Table1[[#This Row],[Marketing_Spend]]</f>
        <v>-23.962180429033207</v>
      </c>
    </row>
    <row r="466" spans="1:24" hidden="1" x14ac:dyDescent="0.3">
      <c r="A466" s="1" t="s">
        <v>572</v>
      </c>
      <c r="B466" s="1" t="s">
        <v>1427</v>
      </c>
      <c r="C466" s="1" t="s">
        <v>1632</v>
      </c>
      <c r="D466" s="1" t="s">
        <v>1636</v>
      </c>
      <c r="E466" s="1">
        <v>2023</v>
      </c>
      <c r="F466" s="1" t="s">
        <v>1642</v>
      </c>
      <c r="G466" s="1">
        <v>2046</v>
      </c>
      <c r="H466" s="1">
        <v>17809</v>
      </c>
      <c r="I466" s="1">
        <v>2337</v>
      </c>
      <c r="J466" s="1">
        <v>142122</v>
      </c>
      <c r="K466" s="1">
        <v>14.93</v>
      </c>
      <c r="L466" s="1">
        <v>17</v>
      </c>
      <c r="M466" s="1">
        <v>6.89</v>
      </c>
      <c r="N466" s="1">
        <v>8.19</v>
      </c>
      <c r="O466" s="1">
        <v>84.35</v>
      </c>
      <c r="P466" s="1">
        <v>1.8</v>
      </c>
      <c r="Q466" s="1">
        <v>8183</v>
      </c>
      <c r="R466" s="1">
        <v>3129</v>
      </c>
      <c r="S466" s="1">
        <v>7</v>
      </c>
      <c r="T466" s="1">
        <f>(Table1[[#This Row],[Selling_Price_per_Unit]]-Table1[[#This Row],[Manufacturing_Cost_per_Unit]])*Table1[[#This Row],[Units_Sold]]-Table1[[#This Row],[Marketing_Spend]]-Table1[[#This Row],[Discount_%]]</f>
        <v>31513581.809999999</v>
      </c>
      <c r="U466" s="3">
        <f>Table1[[#This Row],[profit]]/(Table1[[#This Row],[Units_Sold]]*Table1[[#This Row],[Selling_Price_per_Unit]])*100</f>
        <v>86.48735276522514</v>
      </c>
      <c r="V466" s="6">
        <f>Table1[[#This Row],[Units_Sold]]*Table1[[#This Row],[Selling_Price_per_Unit]]</f>
        <v>36437214</v>
      </c>
      <c r="W466" s="7">
        <f>(Table1[[#This Row],[Units_Sold]]/$Z$1)</f>
        <v>0.40961387385814624</v>
      </c>
      <c r="X466" s="8">
        <f>((Table1[[#This Row],[Units_Sold]]*(Table1[[#This Row],[Selling_Price_per_Unit]]-Table1[[#This Row],[Manufacturing_Cost_per_Unit]]))-Table1[[#This Row],[Marketing_Spend]])/Table1[[#This Row],[Marketing_Spend]]</f>
        <v>221.73618440494786</v>
      </c>
    </row>
    <row r="467" spans="1:24" hidden="1" x14ac:dyDescent="0.3">
      <c r="A467" s="1" t="s">
        <v>484</v>
      </c>
      <c r="B467" s="1" t="s">
        <v>1269</v>
      </c>
      <c r="C467" s="1" t="s">
        <v>1634</v>
      </c>
      <c r="D467" s="1" t="s">
        <v>1636</v>
      </c>
      <c r="E467" s="1">
        <v>2023</v>
      </c>
      <c r="F467" s="1" t="s">
        <v>1639</v>
      </c>
      <c r="G467" s="1">
        <v>1172</v>
      </c>
      <c r="H467" s="1">
        <v>3933</v>
      </c>
      <c r="I467" s="1">
        <v>962</v>
      </c>
      <c r="J467" s="1">
        <v>477540</v>
      </c>
      <c r="K467" s="1">
        <v>1.1499999999999999</v>
      </c>
      <c r="L467" s="1">
        <v>14</v>
      </c>
      <c r="M467" s="1">
        <v>4.43</v>
      </c>
      <c r="N467" s="1">
        <v>1.54</v>
      </c>
      <c r="O467" s="1">
        <v>58.88</v>
      </c>
      <c r="P467" s="1">
        <v>1.4</v>
      </c>
      <c r="Q467" s="1">
        <v>4965</v>
      </c>
      <c r="R467" s="1">
        <v>8476</v>
      </c>
      <c r="S467" s="1">
        <v>12</v>
      </c>
      <c r="T467" s="1">
        <f>(Table1[[#This Row],[Selling_Price_per_Unit]]-Table1[[#This Row],[Manufacturing_Cost_per_Unit]])*Table1[[#This Row],[Units_Sold]]-Table1[[#This Row],[Marketing_Spend]]-Table1[[#This Row],[Discount_%]]</f>
        <v>3004470.46</v>
      </c>
      <c r="U467" s="3">
        <f>Table1[[#This Row],[profit]]/(Table1[[#This Row],[Units_Sold]]*Table1[[#This Row],[Selling_Price_per_Unit]])*100</f>
        <v>65.180303791580656</v>
      </c>
      <c r="V467" s="6">
        <f>Table1[[#This Row],[Units_Sold]]*Table1[[#This Row],[Selling_Price_per_Unit]]</f>
        <v>4609476</v>
      </c>
      <c r="W467" s="7">
        <f>(Table1[[#This Row],[Units_Sold]]/$Z$1)</f>
        <v>0.23463707730290684</v>
      </c>
      <c r="X467" s="8">
        <f>((Table1[[#This Row],[Units_Sold]]*(Table1[[#This Row],[Selling_Price_per_Unit]]-Table1[[#This Row],[Manufacturing_Cost_per_Unit]]))-Table1[[#This Row],[Marketing_Spend]])/Table1[[#This Row],[Marketing_Spend]]</f>
        <v>6.2915609163630268</v>
      </c>
    </row>
    <row r="468" spans="1:24" hidden="1" x14ac:dyDescent="0.3">
      <c r="A468" s="1" t="s">
        <v>220</v>
      </c>
      <c r="B468" s="1" t="s">
        <v>1198</v>
      </c>
      <c r="C468" s="1" t="s">
        <v>1633</v>
      </c>
      <c r="D468" s="1" t="s">
        <v>1637</v>
      </c>
      <c r="E468" s="1">
        <v>2023</v>
      </c>
      <c r="F468" s="1" t="s">
        <v>1642</v>
      </c>
      <c r="G468" s="1">
        <v>1893</v>
      </c>
      <c r="H468" s="1">
        <v>19405</v>
      </c>
      <c r="I468" s="1">
        <v>2960</v>
      </c>
      <c r="J468" s="1">
        <v>203124</v>
      </c>
      <c r="K468" s="1">
        <v>14.36</v>
      </c>
      <c r="L468" s="1">
        <v>10</v>
      </c>
      <c r="M468" s="1">
        <v>3.97</v>
      </c>
      <c r="N468" s="1">
        <v>15.93</v>
      </c>
      <c r="O468" s="1">
        <v>64.45</v>
      </c>
      <c r="P468" s="1">
        <v>2.2999999999999998</v>
      </c>
      <c r="Q468" s="1">
        <v>9114</v>
      </c>
      <c r="R468" s="1">
        <v>2157</v>
      </c>
      <c r="S468" s="1">
        <v>10</v>
      </c>
      <c r="T468" s="1">
        <f>(Table1[[#This Row],[Selling_Price_per_Unit]]-Table1[[#This Row],[Manufacturing_Cost_per_Unit]])*Table1[[#This Row],[Units_Sold]]-Table1[[#This Row],[Marketing_Spend]]-Table1[[#This Row],[Discount_%]]</f>
        <v>30927245.07</v>
      </c>
      <c r="U468" s="3">
        <f>Table1[[#This Row],[profit]]/(Table1[[#This Row],[Units_Sold]]*Table1[[#This Row],[Selling_Price_per_Unit]])*100</f>
        <v>84.19319191265015</v>
      </c>
      <c r="V468" s="6">
        <f>Table1[[#This Row],[Units_Sold]]*Table1[[#This Row],[Selling_Price_per_Unit]]</f>
        <v>36733665</v>
      </c>
      <c r="W468" s="7">
        <f>(Table1[[#This Row],[Units_Sold]]/$Z$1)</f>
        <v>0.37898292434675995</v>
      </c>
      <c r="X468" s="8">
        <f>((Table1[[#This Row],[Units_Sold]]*(Table1[[#This Row],[Selling_Price_per_Unit]]-Table1[[#This Row],[Manufacturing_Cost_per_Unit]]))-Table1[[#This Row],[Marketing_Spend]])/Table1[[#This Row],[Marketing_Spend]]</f>
        <v>152.25803450109294</v>
      </c>
    </row>
    <row r="469" spans="1:24" hidden="1" x14ac:dyDescent="0.3">
      <c r="A469" s="1" t="s">
        <v>486</v>
      </c>
      <c r="B469" s="1" t="s">
        <v>1322</v>
      </c>
      <c r="C469" s="1" t="s">
        <v>1633</v>
      </c>
      <c r="D469" s="1" t="s">
        <v>1635</v>
      </c>
      <c r="E469" s="1">
        <v>2024</v>
      </c>
      <c r="F469" s="1" t="s">
        <v>1640</v>
      </c>
      <c r="G469" s="1">
        <v>1621</v>
      </c>
      <c r="H469" s="1">
        <v>5667</v>
      </c>
      <c r="I469" s="1">
        <v>4091</v>
      </c>
      <c r="J469" s="1">
        <v>161668</v>
      </c>
      <c r="K469" s="1">
        <v>5.74</v>
      </c>
      <c r="L469" s="1">
        <v>18</v>
      </c>
      <c r="M469" s="1">
        <v>2.06</v>
      </c>
      <c r="N469" s="1">
        <v>5.12</v>
      </c>
      <c r="O469" s="1">
        <v>20.56</v>
      </c>
      <c r="P469" s="1">
        <v>4.2</v>
      </c>
      <c r="Q469" s="1">
        <v>20291</v>
      </c>
      <c r="R469" s="1">
        <v>4764</v>
      </c>
      <c r="S469" s="1">
        <v>3</v>
      </c>
      <c r="T469" s="1">
        <f>(Table1[[#This Row],[Selling_Price_per_Unit]]-Table1[[#This Row],[Manufacturing_Cost_per_Unit]])*Table1[[#This Row],[Units_Sold]]-Table1[[#This Row],[Marketing_Spend]]-Table1[[#This Row],[Discount_%]]</f>
        <v>2393022.88</v>
      </c>
      <c r="U469" s="3">
        <f>Table1[[#This Row],[profit]]/(Table1[[#This Row],[Units_Sold]]*Table1[[#This Row],[Selling_Price_per_Unit]])*100</f>
        <v>26.050173700636179</v>
      </c>
      <c r="V469" s="6">
        <f>Table1[[#This Row],[Units_Sold]]*Table1[[#This Row],[Selling_Price_per_Unit]]</f>
        <v>9186207</v>
      </c>
      <c r="W469" s="7">
        <f>(Table1[[#This Row],[Units_Sold]]/$Z$1)</f>
        <v>0.32452790299318429</v>
      </c>
      <c r="X469" s="8">
        <f>((Table1[[#This Row],[Units_Sold]]*(Table1[[#This Row],[Selling_Price_per_Unit]]-Table1[[#This Row],[Manufacturing_Cost_per_Unit]]))-Table1[[#This Row],[Marketing_Spend]])/Table1[[#This Row],[Marketing_Spend]]</f>
        <v>14.802112972264146</v>
      </c>
    </row>
    <row r="470" spans="1:24" x14ac:dyDescent="0.3">
      <c r="A470" s="1" t="s">
        <v>663</v>
      </c>
      <c r="B470" s="1" t="s">
        <v>1467</v>
      </c>
      <c r="C470" s="1" t="s">
        <v>1634</v>
      </c>
      <c r="D470" s="1" t="s">
        <v>1636</v>
      </c>
      <c r="E470" s="1">
        <v>2023</v>
      </c>
      <c r="F470" s="1" t="s">
        <v>1640</v>
      </c>
      <c r="G470" s="1">
        <v>4633</v>
      </c>
      <c r="H470" s="1">
        <v>7762</v>
      </c>
      <c r="I470" s="1">
        <v>1082</v>
      </c>
      <c r="J470" s="1">
        <v>86609</v>
      </c>
      <c r="K470" s="1">
        <v>3.49</v>
      </c>
      <c r="L470" s="1">
        <v>10</v>
      </c>
      <c r="M470" s="1">
        <v>6.1</v>
      </c>
      <c r="N470" s="1">
        <v>20.14</v>
      </c>
      <c r="O470" s="1">
        <v>43.99</v>
      </c>
      <c r="P470" s="1">
        <v>1</v>
      </c>
      <c r="Q470" s="1">
        <v>17353</v>
      </c>
      <c r="R470" s="1">
        <v>7431</v>
      </c>
      <c r="S470" s="1">
        <v>13</v>
      </c>
      <c r="T470" s="1">
        <f>(Table1[[#This Row],[Selling_Price_per_Unit]]-Table1[[#This Row],[Manufacturing_Cost_per_Unit]])*Table1[[#This Row],[Units_Sold]]-Table1[[#This Row],[Marketing_Spend]]-Table1[[#This Row],[Discount_%]]</f>
        <v>30861810.859999999</v>
      </c>
      <c r="U470" s="3">
        <f>Table1[[#This Row],[profit]]/(Table1[[#This Row],[Units_Sold]]*Table1[[#This Row],[Selling_Price_per_Unit]])*100</f>
        <v>85.819398584246542</v>
      </c>
      <c r="V470" s="6">
        <f>Table1[[#This Row],[Units_Sold]]*Table1[[#This Row],[Selling_Price_per_Unit]]</f>
        <v>35961346</v>
      </c>
      <c r="W470" s="7">
        <f>(Table1[[#This Row],[Units_Sold]]/$Z$1)</f>
        <v>0.92753718357027937</v>
      </c>
      <c r="X470" s="8">
        <f>((Table1[[#This Row],[Units_Sold]]*(Table1[[#This Row],[Selling_Price_per_Unit]]-Table1[[#This Row],[Manufacturing_Cost_per_Unit]]))-Table1[[#This Row],[Marketing_Spend]])/Table1[[#This Row],[Marketing_Spend]]</f>
        <v>356.33514992668199</v>
      </c>
    </row>
    <row r="471" spans="1:24" hidden="1" x14ac:dyDescent="0.3">
      <c r="A471" s="1" t="s">
        <v>488</v>
      </c>
      <c r="B471" s="1" t="s">
        <v>1387</v>
      </c>
      <c r="C471" s="1" t="s">
        <v>1634</v>
      </c>
      <c r="D471" s="1" t="s">
        <v>1636</v>
      </c>
      <c r="E471" s="1">
        <v>2024</v>
      </c>
      <c r="F471" s="1" t="s">
        <v>1641</v>
      </c>
      <c r="G471" s="1">
        <v>1737</v>
      </c>
      <c r="H471" s="1">
        <v>9857</v>
      </c>
      <c r="I471" s="1">
        <v>1431</v>
      </c>
      <c r="J471" s="1">
        <v>473966</v>
      </c>
      <c r="K471" s="1">
        <v>9.89</v>
      </c>
      <c r="L471" s="1">
        <v>9</v>
      </c>
      <c r="M471" s="1">
        <v>3.42</v>
      </c>
      <c r="N471" s="1">
        <v>16.239999999999998</v>
      </c>
      <c r="O471" s="1">
        <v>32.07</v>
      </c>
      <c r="P471" s="1">
        <v>4.9000000000000004</v>
      </c>
      <c r="Q471" s="1">
        <v>19607</v>
      </c>
      <c r="R471" s="1">
        <v>5591</v>
      </c>
      <c r="S471" s="1">
        <v>2</v>
      </c>
      <c r="T471" s="1">
        <f>(Table1[[#This Row],[Selling_Price_per_Unit]]-Table1[[#This Row],[Manufacturing_Cost_per_Unit]])*Table1[[#This Row],[Units_Sold]]-Table1[[#This Row],[Marketing_Spend]]-Table1[[#This Row],[Discount_%]]</f>
        <v>14161979.76</v>
      </c>
      <c r="U471" s="3">
        <f>Table1[[#This Row],[profit]]/(Table1[[#This Row],[Units_Sold]]*Table1[[#This Row],[Selling_Price_per_Unit]])*100</f>
        <v>82.714070622685057</v>
      </c>
      <c r="V471" s="6">
        <f>Table1[[#This Row],[Units_Sold]]*Table1[[#This Row],[Selling_Price_per_Unit]]</f>
        <v>17121609</v>
      </c>
      <c r="W471" s="7">
        <f>(Table1[[#This Row],[Units_Sold]]/$Z$1)</f>
        <v>0.34775136798220918</v>
      </c>
      <c r="X471" s="8">
        <f>((Table1[[#This Row],[Units_Sold]]*(Table1[[#This Row],[Selling_Price_per_Unit]]-Table1[[#This Row],[Manufacturing_Cost_per_Unit]]))-Table1[[#This Row],[Marketing_Spend]])/Table1[[#This Row],[Marketing_Spend]]</f>
        <v>29.879771966765549</v>
      </c>
    </row>
    <row r="472" spans="1:24" hidden="1" x14ac:dyDescent="0.3">
      <c r="A472" s="1" t="s">
        <v>821</v>
      </c>
      <c r="B472" s="1" t="s">
        <v>1552</v>
      </c>
      <c r="C472" s="1" t="s">
        <v>1634</v>
      </c>
      <c r="D472" s="1" t="s">
        <v>1637</v>
      </c>
      <c r="E472" s="1">
        <v>2023</v>
      </c>
      <c r="F472" s="1" t="s">
        <v>1642</v>
      </c>
      <c r="G472" s="1">
        <v>2640</v>
      </c>
      <c r="H472" s="1">
        <v>12630</v>
      </c>
      <c r="I472" s="1">
        <v>941</v>
      </c>
      <c r="J472" s="1">
        <v>408402</v>
      </c>
      <c r="K472" s="1">
        <v>11.63</v>
      </c>
      <c r="L472" s="1">
        <v>15</v>
      </c>
      <c r="M472" s="1">
        <v>0.27</v>
      </c>
      <c r="N472" s="1">
        <v>24.58</v>
      </c>
      <c r="O472" s="1">
        <v>87.72</v>
      </c>
      <c r="P472" s="1">
        <v>3.4</v>
      </c>
      <c r="Q472" s="1">
        <v>18714</v>
      </c>
      <c r="R472" s="1">
        <v>2194</v>
      </c>
      <c r="S472" s="1">
        <v>3</v>
      </c>
      <c r="T472" s="1">
        <f>(Table1[[#This Row],[Selling_Price_per_Unit]]-Table1[[#This Row],[Manufacturing_Cost_per_Unit]])*Table1[[#This Row],[Units_Sold]]-Table1[[#This Row],[Marketing_Spend]]-Table1[[#This Row],[Discount_%]]</f>
        <v>30450533.420000002</v>
      </c>
      <c r="U472" s="3">
        <f>Table1[[#This Row],[profit]]/(Table1[[#This Row],[Units_Sold]]*Table1[[#This Row],[Selling_Price_per_Unit]])*100</f>
        <v>91.324568187816411</v>
      </c>
      <c r="V472" s="6">
        <f>Table1[[#This Row],[Units_Sold]]*Table1[[#This Row],[Selling_Price_per_Unit]]</f>
        <v>33343200</v>
      </c>
      <c r="W472" s="7">
        <f>(Table1[[#This Row],[Units_Sold]]/$Z$1)</f>
        <v>0.52853403078470484</v>
      </c>
      <c r="X472" s="8">
        <f>((Table1[[#This Row],[Units_Sold]]*(Table1[[#This Row],[Selling_Price_per_Unit]]-Table1[[#This Row],[Manufacturing_Cost_per_Unit]]))-Table1[[#This Row],[Marketing_Spend]])/Table1[[#This Row],[Marketing_Spend]]</f>
        <v>74.560256805794296</v>
      </c>
    </row>
    <row r="473" spans="1:24" x14ac:dyDescent="0.3">
      <c r="A473" s="1" t="s">
        <v>490</v>
      </c>
      <c r="B473" s="1" t="s">
        <v>1165</v>
      </c>
      <c r="C473" s="1" t="s">
        <v>1634</v>
      </c>
      <c r="D473" s="1" t="s">
        <v>1637</v>
      </c>
      <c r="E473" s="1">
        <v>2024</v>
      </c>
      <c r="F473" s="1" t="s">
        <v>1639</v>
      </c>
      <c r="G473" s="1">
        <v>3901</v>
      </c>
      <c r="H473" s="1">
        <v>10420</v>
      </c>
      <c r="I473" s="1">
        <v>12463</v>
      </c>
      <c r="J473" s="1">
        <v>188262</v>
      </c>
      <c r="K473" s="1">
        <v>4.08</v>
      </c>
      <c r="L473" s="1">
        <v>19</v>
      </c>
      <c r="M473" s="1">
        <v>8.39</v>
      </c>
      <c r="N473" s="1">
        <v>11.5</v>
      </c>
      <c r="O473" s="1">
        <v>75.430000000000007</v>
      </c>
      <c r="P473" s="1">
        <v>3.6</v>
      </c>
      <c r="Q473" s="1">
        <v>18802</v>
      </c>
      <c r="R473" s="1">
        <v>5815</v>
      </c>
      <c r="S473" s="1">
        <v>10</v>
      </c>
      <c r="T473" s="1">
        <f>(Table1[[#This Row],[Selling_Price_per_Unit]]-Table1[[#This Row],[Manufacturing_Cost_per_Unit]])*Table1[[#This Row],[Units_Sold]]-Table1[[#This Row],[Marketing_Spend]]-Table1[[#This Row],[Discount_%]]</f>
        <v>-8158016.5</v>
      </c>
      <c r="U473" s="3">
        <f>Table1[[#This Row],[profit]]/(Table1[[#This Row],[Units_Sold]]*Table1[[#This Row],[Selling_Price_per_Unit]])*100</f>
        <v>-20.069701356165872</v>
      </c>
      <c r="V473" s="6">
        <f>Table1[[#This Row],[Units_Sold]]*Table1[[#This Row],[Selling_Price_per_Unit]]</f>
        <v>40648420</v>
      </c>
      <c r="W473" s="7">
        <f>(Table1[[#This Row],[Units_Sold]]/$Z$1)</f>
        <v>0.78098911139815663</v>
      </c>
      <c r="X473" s="8">
        <f>((Table1[[#This Row],[Units_Sold]]*(Table1[[#This Row],[Selling_Price_per_Unit]]-Table1[[#This Row],[Manufacturing_Cost_per_Unit]]))-Table1[[#This Row],[Marketing_Spend]])/Table1[[#This Row],[Marketing_Spend]]</f>
        <v>-43.333253657137391</v>
      </c>
    </row>
    <row r="474" spans="1:24" hidden="1" x14ac:dyDescent="0.3">
      <c r="A474" s="1" t="s">
        <v>844</v>
      </c>
      <c r="B474" s="1" t="s">
        <v>1154</v>
      </c>
      <c r="C474" s="1" t="s">
        <v>1634</v>
      </c>
      <c r="D474" s="1" t="s">
        <v>1638</v>
      </c>
      <c r="E474" s="1">
        <v>2023</v>
      </c>
      <c r="F474" s="1" t="s">
        <v>1642</v>
      </c>
      <c r="G474" s="1">
        <v>2098</v>
      </c>
      <c r="H474" s="1">
        <v>18366</v>
      </c>
      <c r="I474" s="1">
        <v>3746</v>
      </c>
      <c r="J474" s="1">
        <v>298503</v>
      </c>
      <c r="K474" s="1">
        <v>4.68</v>
      </c>
      <c r="L474" s="1">
        <v>19</v>
      </c>
      <c r="M474" s="1">
        <v>2.52</v>
      </c>
      <c r="N474" s="1">
        <v>22.69</v>
      </c>
      <c r="O474" s="1">
        <v>73.150000000000006</v>
      </c>
      <c r="P474" s="1">
        <v>3</v>
      </c>
      <c r="Q474" s="1">
        <v>2611</v>
      </c>
      <c r="R474" s="1">
        <v>2731</v>
      </c>
      <c r="S474" s="1">
        <v>11</v>
      </c>
      <c r="T474" s="1">
        <f>(Table1[[#This Row],[Selling_Price_per_Unit]]-Table1[[#This Row],[Manufacturing_Cost_per_Unit]])*Table1[[#This Row],[Units_Sold]]-Table1[[#This Row],[Marketing_Spend]]-Table1[[#This Row],[Discount_%]]</f>
        <v>30374234.309999999</v>
      </c>
      <c r="U474" s="3">
        <f>Table1[[#This Row],[profit]]/(Table1[[#This Row],[Units_Sold]]*Table1[[#This Row],[Selling_Price_per_Unit]])*100</f>
        <v>78.828865265499189</v>
      </c>
      <c r="V474" s="6">
        <f>Table1[[#This Row],[Units_Sold]]*Table1[[#This Row],[Selling_Price_per_Unit]]</f>
        <v>38531868</v>
      </c>
      <c r="W474" s="7">
        <f>(Table1[[#This Row],[Units_Sold]]/$Z$1)</f>
        <v>0.42002439264632985</v>
      </c>
      <c r="X474" s="8">
        <f>((Table1[[#This Row],[Units_Sold]]*(Table1[[#This Row],[Selling_Price_per_Unit]]-Table1[[#This Row],[Manufacturing_Cost_per_Unit]]))-Table1[[#This Row],[Marketing_Spend]])/Table1[[#This Row],[Marketing_Spend]]</f>
        <v>101.75528219146877</v>
      </c>
    </row>
    <row r="475" spans="1:24" x14ac:dyDescent="0.3">
      <c r="A475" s="1" t="s">
        <v>69</v>
      </c>
      <c r="B475" s="1" t="s">
        <v>1069</v>
      </c>
      <c r="C475" s="1" t="s">
        <v>1633</v>
      </c>
      <c r="D475" s="1" t="s">
        <v>1636</v>
      </c>
      <c r="E475" s="1">
        <v>2023</v>
      </c>
      <c r="F475" s="1" t="s">
        <v>1639</v>
      </c>
      <c r="G475" s="1">
        <v>4064</v>
      </c>
      <c r="H475" s="1">
        <v>14100</v>
      </c>
      <c r="I475" s="1">
        <v>6627</v>
      </c>
      <c r="J475" s="1">
        <v>84542</v>
      </c>
      <c r="K475" s="1">
        <v>3.98</v>
      </c>
      <c r="L475" s="1">
        <v>16</v>
      </c>
      <c r="M475" s="1">
        <v>4.5199999999999996</v>
      </c>
      <c r="N475" s="1">
        <v>3.3</v>
      </c>
      <c r="O475" s="1">
        <v>67.989999999999995</v>
      </c>
      <c r="P475" s="1">
        <v>1.5</v>
      </c>
      <c r="Q475" s="1">
        <v>10532</v>
      </c>
      <c r="R475" s="1">
        <v>270</v>
      </c>
      <c r="S475" s="1">
        <v>7</v>
      </c>
      <c r="T475" s="1">
        <f>(Table1[[#This Row],[Selling_Price_per_Unit]]-Table1[[#This Row],[Manufacturing_Cost_per_Unit]])*Table1[[#This Row],[Units_Sold]]-Table1[[#This Row],[Marketing_Spend]]-Table1[[#This Row],[Discount_%]]</f>
        <v>30285726.699999999</v>
      </c>
      <c r="U475" s="3">
        <f>Table1[[#This Row],[profit]]/(Table1[[#This Row],[Units_Sold]]*Table1[[#This Row],[Selling_Price_per_Unit]])*100</f>
        <v>52.852457663204333</v>
      </c>
      <c r="V475" s="6">
        <f>Table1[[#This Row],[Units_Sold]]*Table1[[#This Row],[Selling_Price_per_Unit]]</f>
        <v>57302400</v>
      </c>
      <c r="W475" s="7">
        <f>(Table1[[#This Row],[Units_Sold]]/$Z$1)</f>
        <v>0.81362208375342437</v>
      </c>
      <c r="X475" s="8">
        <f>((Table1[[#This Row],[Units_Sold]]*(Table1[[#This Row],[Selling_Price_per_Unit]]-Table1[[#This Row],[Manufacturing_Cost_per_Unit]]))-Table1[[#This Row],[Marketing_Spend]])/Table1[[#This Row],[Marketing_Spend]]</f>
        <v>358.23294930330485</v>
      </c>
    </row>
    <row r="476" spans="1:24" hidden="1" x14ac:dyDescent="0.3">
      <c r="A476" s="1" t="s">
        <v>493</v>
      </c>
      <c r="B476" s="1" t="s">
        <v>1390</v>
      </c>
      <c r="C476" s="1" t="s">
        <v>1632</v>
      </c>
      <c r="D476" s="1" t="s">
        <v>1638</v>
      </c>
      <c r="E476" s="1">
        <v>2023</v>
      </c>
      <c r="F476" s="1" t="s">
        <v>1641</v>
      </c>
      <c r="G476" s="1">
        <v>2376</v>
      </c>
      <c r="H476" s="1">
        <v>1713</v>
      </c>
      <c r="I476" s="1">
        <v>10633</v>
      </c>
      <c r="J476" s="1">
        <v>261977</v>
      </c>
      <c r="K476" s="1">
        <v>14.09</v>
      </c>
      <c r="L476" s="1">
        <v>6</v>
      </c>
      <c r="M476" s="1">
        <v>0.09</v>
      </c>
      <c r="N476" s="1">
        <v>3.99</v>
      </c>
      <c r="O476" s="1">
        <v>38.51</v>
      </c>
      <c r="P476" s="1">
        <v>3.6</v>
      </c>
      <c r="Q476" s="1">
        <v>15735</v>
      </c>
      <c r="R476" s="1">
        <v>6921</v>
      </c>
      <c r="S476" s="1">
        <v>7</v>
      </c>
      <c r="T476" s="1">
        <f>(Table1[[#This Row],[Selling_Price_per_Unit]]-Table1[[#This Row],[Manufacturing_Cost_per_Unit]])*Table1[[#This Row],[Units_Sold]]-Table1[[#This Row],[Marketing_Spend]]-Table1[[#This Row],[Discount_%]]</f>
        <v>-21455900.989999998</v>
      </c>
      <c r="U476" s="3">
        <f>Table1[[#This Row],[profit]]/(Table1[[#This Row],[Units_Sold]]*Table1[[#This Row],[Selling_Price_per_Unit]])*100</f>
        <v>-527.16061642893214</v>
      </c>
      <c r="V476" s="6">
        <f>Table1[[#This Row],[Units_Sold]]*Table1[[#This Row],[Selling_Price_per_Unit]]</f>
        <v>4070088</v>
      </c>
      <c r="W476" s="7">
        <f>(Table1[[#This Row],[Units_Sold]]/$Z$1)</f>
        <v>0.47568062770623437</v>
      </c>
      <c r="X476" s="8">
        <f>((Table1[[#This Row],[Units_Sold]]*(Table1[[#This Row],[Selling_Price_per_Unit]]-Table1[[#This Row],[Manufacturing_Cost_per_Unit]]))-Table1[[#This Row],[Marketing_Spend]])/Table1[[#This Row],[Marketing_Spend]]</f>
        <v>-81.89992632941059</v>
      </c>
    </row>
    <row r="477" spans="1:24" hidden="1" x14ac:dyDescent="0.3">
      <c r="A477" s="1" t="s">
        <v>494</v>
      </c>
      <c r="B477" s="1" t="s">
        <v>1095</v>
      </c>
      <c r="C477" s="1" t="s">
        <v>1632</v>
      </c>
      <c r="D477" s="1" t="s">
        <v>1636</v>
      </c>
      <c r="E477" s="1">
        <v>2023</v>
      </c>
      <c r="F477" s="1" t="s">
        <v>1642</v>
      </c>
      <c r="G477" s="1">
        <v>2964</v>
      </c>
      <c r="H477" s="1">
        <v>5262</v>
      </c>
      <c r="I477" s="1">
        <v>8696</v>
      </c>
      <c r="J477" s="1">
        <v>139571</v>
      </c>
      <c r="K477" s="1">
        <v>9.5500000000000007</v>
      </c>
      <c r="L477" s="1">
        <v>16</v>
      </c>
      <c r="M477" s="1">
        <v>3.82</v>
      </c>
      <c r="N477" s="1">
        <v>22.14</v>
      </c>
      <c r="O477" s="1">
        <v>18.079999999999998</v>
      </c>
      <c r="P477" s="1">
        <v>4.5999999999999996</v>
      </c>
      <c r="Q477" s="1">
        <v>17210</v>
      </c>
      <c r="R477" s="1">
        <v>3627</v>
      </c>
      <c r="S477" s="1">
        <v>3</v>
      </c>
      <c r="T477" s="1">
        <f>(Table1[[#This Row],[Selling_Price_per_Unit]]-Table1[[#This Row],[Manufacturing_Cost_per_Unit]])*Table1[[#This Row],[Units_Sold]]-Table1[[#This Row],[Marketing_Spend]]-Table1[[#This Row],[Discount_%]]</f>
        <v>-10317969.140000001</v>
      </c>
      <c r="U477" s="3">
        <f>Table1[[#This Row],[profit]]/(Table1[[#This Row],[Units_Sold]]*Table1[[#This Row],[Selling_Price_per_Unit]])*100</f>
        <v>-66.155382004553829</v>
      </c>
      <c r="V477" s="6">
        <f>Table1[[#This Row],[Units_Sold]]*Table1[[#This Row],[Selling_Price_per_Unit]]</f>
        <v>15596568</v>
      </c>
      <c r="W477" s="7">
        <f>(Table1[[#This Row],[Units_Sold]]/$Z$1)</f>
        <v>0.59339957092646411</v>
      </c>
      <c r="X477" s="8">
        <f>((Table1[[#This Row],[Units_Sold]]*(Table1[[#This Row],[Selling_Price_per_Unit]]-Table1[[#This Row],[Manufacturing_Cost_per_Unit]]))-Table1[[#This Row],[Marketing_Spend]])/Table1[[#This Row],[Marketing_Spend]]</f>
        <v>-73.926152280917961</v>
      </c>
    </row>
    <row r="478" spans="1:24" hidden="1" x14ac:dyDescent="0.3">
      <c r="A478" s="1" t="s">
        <v>550</v>
      </c>
      <c r="B478" s="1" t="s">
        <v>1413</v>
      </c>
      <c r="C478" s="1" t="s">
        <v>1632</v>
      </c>
      <c r="D478" s="1" t="s">
        <v>1637</v>
      </c>
      <c r="E478" s="1">
        <v>2023</v>
      </c>
      <c r="F478" s="1" t="s">
        <v>1640</v>
      </c>
      <c r="G478" s="1">
        <v>3191</v>
      </c>
      <c r="H478" s="1">
        <v>13287</v>
      </c>
      <c r="I478" s="1">
        <v>3862</v>
      </c>
      <c r="J478" s="1">
        <v>69008</v>
      </c>
      <c r="K478" s="1">
        <v>9.36</v>
      </c>
      <c r="L478" s="1">
        <v>5</v>
      </c>
      <c r="M478" s="1">
        <v>7.96</v>
      </c>
      <c r="N478" s="1">
        <v>12.33</v>
      </c>
      <c r="O478" s="1">
        <v>15.85</v>
      </c>
      <c r="P478" s="1">
        <v>2.2999999999999998</v>
      </c>
      <c r="Q478" s="1">
        <v>3917</v>
      </c>
      <c r="R478" s="1">
        <v>7990</v>
      </c>
      <c r="S478" s="1">
        <v>13</v>
      </c>
      <c r="T478" s="1">
        <f>(Table1[[#This Row],[Selling_Price_per_Unit]]-Table1[[#This Row],[Manufacturing_Cost_per_Unit]])*Table1[[#This Row],[Units_Sold]]-Table1[[#This Row],[Marketing_Spend]]-Table1[[#This Row],[Discount_%]]</f>
        <v>30006154.670000002</v>
      </c>
      <c r="U478" s="3">
        <f>Table1[[#This Row],[profit]]/(Table1[[#This Row],[Units_Sold]]*Table1[[#This Row],[Selling_Price_per_Unit]])*100</f>
        <v>70.771207295712983</v>
      </c>
      <c r="V478" s="6">
        <f>Table1[[#This Row],[Units_Sold]]*Table1[[#This Row],[Selling_Price_per_Unit]]</f>
        <v>42398817</v>
      </c>
      <c r="W478" s="7">
        <f>(Table1[[#This Row],[Units_Sold]]/$Z$1)</f>
        <v>0.63884548948257314</v>
      </c>
      <c r="X478" s="8">
        <f>((Table1[[#This Row],[Units_Sold]]*(Table1[[#This Row],[Selling_Price_per_Unit]]-Table1[[#This Row],[Manufacturing_Cost_per_Unit]]))-Table1[[#This Row],[Marketing_Spend]])/Table1[[#This Row],[Marketing_Spend]]</f>
        <v>434.8215714120102</v>
      </c>
    </row>
    <row r="479" spans="1:24" hidden="1" x14ac:dyDescent="0.3">
      <c r="A479" s="1" t="s">
        <v>496</v>
      </c>
      <c r="B479" s="1" t="s">
        <v>1391</v>
      </c>
      <c r="C479" s="1" t="s">
        <v>1632</v>
      </c>
      <c r="D479" s="1" t="s">
        <v>1635</v>
      </c>
      <c r="E479" s="1">
        <v>2024</v>
      </c>
      <c r="F479" s="1" t="s">
        <v>1639</v>
      </c>
      <c r="G479" s="1">
        <v>645</v>
      </c>
      <c r="H479" s="1">
        <v>11268</v>
      </c>
      <c r="I479" s="1">
        <v>1381</v>
      </c>
      <c r="J479" s="1">
        <v>444805</v>
      </c>
      <c r="K479" s="1">
        <v>4.04</v>
      </c>
      <c r="L479" s="1">
        <v>16</v>
      </c>
      <c r="M479" s="1">
        <v>0.37</v>
      </c>
      <c r="N479" s="1">
        <v>22.06</v>
      </c>
      <c r="O479" s="1">
        <v>62.21</v>
      </c>
      <c r="P479" s="1">
        <v>1.8</v>
      </c>
      <c r="Q479" s="1">
        <v>14978</v>
      </c>
      <c r="R479" s="1">
        <v>2845</v>
      </c>
      <c r="S479" s="1">
        <v>10</v>
      </c>
      <c r="T479" s="1">
        <f>(Table1[[#This Row],[Selling_Price_per_Unit]]-Table1[[#This Row],[Manufacturing_Cost_per_Unit]])*Table1[[#This Row],[Units_Sold]]-Table1[[#This Row],[Marketing_Spend]]-Table1[[#This Row],[Discount_%]]</f>
        <v>5932287.9400000004</v>
      </c>
      <c r="U479" s="3">
        <f>Table1[[#This Row],[profit]]/(Table1[[#This Row],[Units_Sold]]*Table1[[#This Row],[Selling_Price_per_Unit]])*100</f>
        <v>81.623585759769739</v>
      </c>
      <c r="V479" s="6">
        <f>Table1[[#This Row],[Units_Sold]]*Table1[[#This Row],[Selling_Price_per_Unit]]</f>
        <v>7267860</v>
      </c>
      <c r="W479" s="7">
        <f>(Table1[[#This Row],[Units_Sold]]/$Z$1)</f>
        <v>0.12913047343035403</v>
      </c>
      <c r="X479" s="8">
        <f>((Table1[[#This Row],[Units_Sold]]*(Table1[[#This Row],[Selling_Price_per_Unit]]-Table1[[#This Row],[Manufacturing_Cost_per_Unit]]))-Table1[[#This Row],[Marketing_Spend]])/Table1[[#This Row],[Marketing_Spend]]</f>
        <v>13.336877957756769</v>
      </c>
    </row>
    <row r="480" spans="1:24" hidden="1" x14ac:dyDescent="0.3">
      <c r="A480" s="1" t="s">
        <v>497</v>
      </c>
      <c r="B480" s="1" t="s">
        <v>1236</v>
      </c>
      <c r="C480" s="1" t="s">
        <v>1634</v>
      </c>
      <c r="D480" s="1" t="s">
        <v>1635</v>
      </c>
      <c r="E480" s="1">
        <v>2024</v>
      </c>
      <c r="F480" s="1" t="s">
        <v>1641</v>
      </c>
      <c r="G480" s="1">
        <v>778</v>
      </c>
      <c r="H480" s="1">
        <v>12140</v>
      </c>
      <c r="I480" s="1">
        <v>6475</v>
      </c>
      <c r="J480" s="1">
        <v>75235</v>
      </c>
      <c r="K480" s="1">
        <v>2.86</v>
      </c>
      <c r="L480" s="1">
        <v>8</v>
      </c>
      <c r="M480" s="1">
        <v>5.05</v>
      </c>
      <c r="N480" s="1">
        <v>14.29</v>
      </c>
      <c r="O480" s="1">
        <v>46.49</v>
      </c>
      <c r="P480" s="1">
        <v>1.5</v>
      </c>
      <c r="Q480" s="1">
        <v>5381</v>
      </c>
      <c r="R480" s="1">
        <v>4190</v>
      </c>
      <c r="S480" s="1">
        <v>13</v>
      </c>
      <c r="T480" s="1">
        <f>(Table1[[#This Row],[Selling_Price_per_Unit]]-Table1[[#This Row],[Manufacturing_Cost_per_Unit]])*Table1[[#This Row],[Units_Sold]]-Table1[[#This Row],[Marketing_Spend]]-Table1[[#This Row],[Discount_%]]</f>
        <v>4332120.71</v>
      </c>
      <c r="U480" s="3">
        <f>Table1[[#This Row],[profit]]/(Table1[[#This Row],[Units_Sold]]*Table1[[#This Row],[Selling_Price_per_Unit]])*100</f>
        <v>45.867203851382541</v>
      </c>
      <c r="V480" s="6">
        <f>Table1[[#This Row],[Units_Sold]]*Table1[[#This Row],[Selling_Price_per_Unit]]</f>
        <v>9444920</v>
      </c>
      <c r="W480" s="7">
        <f>(Table1[[#This Row],[Units_Sold]]/$Z$1)</f>
        <v>0.1557573772539774</v>
      </c>
      <c r="X480" s="8">
        <f>((Table1[[#This Row],[Units_Sold]]*(Table1[[#This Row],[Selling_Price_per_Unit]]-Table1[[#This Row],[Manufacturing_Cost_per_Unit]]))-Table1[[#This Row],[Marketing_Spend]])/Table1[[#This Row],[Marketing_Spend]]</f>
        <v>57.581378347843426</v>
      </c>
    </row>
    <row r="481" spans="1:24" hidden="1" x14ac:dyDescent="0.3">
      <c r="A481" s="1" t="s">
        <v>498</v>
      </c>
      <c r="B481" s="1" t="s">
        <v>1392</v>
      </c>
      <c r="C481" s="1" t="s">
        <v>1634</v>
      </c>
      <c r="D481" s="1" t="s">
        <v>1638</v>
      </c>
      <c r="E481" s="1">
        <v>2023</v>
      </c>
      <c r="F481" s="1" t="s">
        <v>1640</v>
      </c>
      <c r="G481" s="1">
        <v>1415</v>
      </c>
      <c r="H481" s="1">
        <v>8231</v>
      </c>
      <c r="I481" s="1">
        <v>9832</v>
      </c>
      <c r="J481" s="1">
        <v>50159</v>
      </c>
      <c r="K481" s="1">
        <v>10.42</v>
      </c>
      <c r="L481" s="1">
        <v>9</v>
      </c>
      <c r="M481" s="1">
        <v>4.03</v>
      </c>
      <c r="N481" s="1">
        <v>8.2899999999999991</v>
      </c>
      <c r="O481" s="1">
        <v>41.82</v>
      </c>
      <c r="P481" s="1">
        <v>1.2</v>
      </c>
      <c r="Q481" s="1">
        <v>3499</v>
      </c>
      <c r="R481" s="1">
        <v>6258</v>
      </c>
      <c r="S481" s="1">
        <v>4</v>
      </c>
      <c r="T481" s="1">
        <f>(Table1[[#This Row],[Selling_Price_per_Unit]]-Table1[[#This Row],[Manufacturing_Cost_per_Unit]])*Table1[[#This Row],[Units_Sold]]-Table1[[#This Row],[Marketing_Spend]]-Table1[[#This Row],[Discount_%]]</f>
        <v>-2315582.29</v>
      </c>
      <c r="U481" s="3">
        <f>Table1[[#This Row],[profit]]/(Table1[[#This Row],[Units_Sold]]*Table1[[#This Row],[Selling_Price_per_Unit]])*100</f>
        <v>-19.881592943680555</v>
      </c>
      <c r="V481" s="6">
        <f>Table1[[#This Row],[Units_Sold]]*Table1[[#This Row],[Selling_Price_per_Unit]]</f>
        <v>11646865</v>
      </c>
      <c r="W481" s="7">
        <f>(Table1[[#This Row],[Units_Sold]]/$Z$1)</f>
        <v>0.28328623240922629</v>
      </c>
      <c r="X481" s="8">
        <f>((Table1[[#This Row],[Units_Sold]]*(Table1[[#This Row],[Selling_Price_per_Unit]]-Table1[[#This Row],[Manufacturing_Cost_per_Unit]]))-Table1[[#This Row],[Marketing_Spend]])/Table1[[#This Row],[Marketing_Spend]]</f>
        <v>-46.164676329272915</v>
      </c>
    </row>
    <row r="482" spans="1:24" x14ac:dyDescent="0.3">
      <c r="A482" s="1" t="s">
        <v>499</v>
      </c>
      <c r="B482" s="1" t="s">
        <v>1388</v>
      </c>
      <c r="C482" s="1" t="s">
        <v>1633</v>
      </c>
      <c r="D482" s="1" t="s">
        <v>1635</v>
      </c>
      <c r="E482" s="1">
        <v>2023</v>
      </c>
      <c r="F482" s="1" t="s">
        <v>1640</v>
      </c>
      <c r="G482" s="1">
        <v>4542</v>
      </c>
      <c r="H482" s="1">
        <v>7291</v>
      </c>
      <c r="I482" s="1">
        <v>14924</v>
      </c>
      <c r="J482" s="1">
        <v>193217</v>
      </c>
      <c r="K482" s="1">
        <v>3.28</v>
      </c>
      <c r="L482" s="1">
        <v>9</v>
      </c>
      <c r="M482" s="1">
        <v>6.35</v>
      </c>
      <c r="N482" s="1">
        <v>18.079999999999998</v>
      </c>
      <c r="O482" s="1">
        <v>35.979999999999997</v>
      </c>
      <c r="P482" s="1">
        <v>4.5</v>
      </c>
      <c r="Q482" s="1">
        <v>16349</v>
      </c>
      <c r="R482" s="1">
        <v>8661</v>
      </c>
      <c r="S482" s="1">
        <v>10</v>
      </c>
      <c r="T482" s="1">
        <f>(Table1[[#This Row],[Selling_Price_per_Unit]]-Table1[[#This Row],[Manufacturing_Cost_per_Unit]])*Table1[[#This Row],[Units_Sold]]-Table1[[#This Row],[Marketing_Spend]]-Table1[[#This Row],[Discount_%]]</f>
        <v>-34862321.079999998</v>
      </c>
      <c r="U482" s="3">
        <f>Table1[[#This Row],[profit]]/(Table1[[#This Row],[Units_Sold]]*Table1[[#This Row],[Selling_Price_per_Unit]])*100</f>
        <v>-105.27422920146509</v>
      </c>
      <c r="V482" s="6">
        <f>Table1[[#This Row],[Units_Sold]]*Table1[[#This Row],[Selling_Price_per_Unit]]</f>
        <v>33115722</v>
      </c>
      <c r="W482" s="7">
        <f>(Table1[[#This Row],[Units_Sold]]/$Z$1)</f>
        <v>0.90931877569095809</v>
      </c>
      <c r="X482" s="8">
        <f>((Table1[[#This Row],[Units_Sold]]*(Table1[[#This Row],[Selling_Price_per_Unit]]-Table1[[#This Row],[Manufacturing_Cost_per_Unit]]))-Table1[[#This Row],[Marketing_Spend]])/Table1[[#This Row],[Marketing_Spend]]</f>
        <v>-180.43082648007163</v>
      </c>
    </row>
    <row r="483" spans="1:24" hidden="1" x14ac:dyDescent="0.3">
      <c r="A483" s="1" t="s">
        <v>500</v>
      </c>
      <c r="B483" s="1" t="s">
        <v>1393</v>
      </c>
      <c r="C483" s="1" t="s">
        <v>1632</v>
      </c>
      <c r="D483" s="1" t="s">
        <v>1636</v>
      </c>
      <c r="E483" s="1">
        <v>2023</v>
      </c>
      <c r="F483" s="1" t="s">
        <v>1641</v>
      </c>
      <c r="G483" s="1">
        <v>748</v>
      </c>
      <c r="H483" s="1">
        <v>17322</v>
      </c>
      <c r="I483" s="1">
        <v>6147</v>
      </c>
      <c r="J483" s="1">
        <v>212993</v>
      </c>
      <c r="K483" s="1">
        <v>8.93</v>
      </c>
      <c r="L483" s="1">
        <v>6</v>
      </c>
      <c r="M483" s="1">
        <v>6.21</v>
      </c>
      <c r="N483" s="1">
        <v>12.69</v>
      </c>
      <c r="O483" s="1">
        <v>88.52</v>
      </c>
      <c r="P483" s="1">
        <v>2.2000000000000002</v>
      </c>
      <c r="Q483" s="1">
        <v>12403</v>
      </c>
      <c r="R483" s="1">
        <v>7571</v>
      </c>
      <c r="S483" s="1">
        <v>3</v>
      </c>
      <c r="T483" s="1">
        <f>(Table1[[#This Row],[Selling_Price_per_Unit]]-Table1[[#This Row],[Manufacturing_Cost_per_Unit]])*Table1[[#This Row],[Units_Sold]]-Table1[[#This Row],[Marketing_Spend]]-Table1[[#This Row],[Discount_%]]</f>
        <v>8145894.3099999996</v>
      </c>
      <c r="U483" s="3">
        <f>Table1[[#This Row],[profit]]/(Table1[[#This Row],[Units_Sold]]*Table1[[#This Row],[Selling_Price_per_Unit]])*100</f>
        <v>62.869374406877711</v>
      </c>
      <c r="V483" s="6">
        <f>Table1[[#This Row],[Units_Sold]]*Table1[[#This Row],[Selling_Price_per_Unit]]</f>
        <v>12956856</v>
      </c>
      <c r="W483" s="7">
        <f>(Table1[[#This Row],[Units_Sold]]/$Z$1)</f>
        <v>0.14975130872233303</v>
      </c>
      <c r="X483" s="8">
        <f>((Table1[[#This Row],[Units_Sold]]*(Table1[[#This Row],[Selling_Price_per_Unit]]-Table1[[#This Row],[Manufacturing_Cost_per_Unit]]))-Table1[[#This Row],[Marketing_Spend]])/Table1[[#This Row],[Marketing_Spend]]</f>
        <v>38.244951712028097</v>
      </c>
    </row>
    <row r="484" spans="1:24" hidden="1" x14ac:dyDescent="0.3">
      <c r="A484" s="1" t="s">
        <v>501</v>
      </c>
      <c r="B484" s="1" t="s">
        <v>1021</v>
      </c>
      <c r="C484" s="1" t="s">
        <v>1633</v>
      </c>
      <c r="D484" s="1" t="s">
        <v>1638</v>
      </c>
      <c r="E484" s="1">
        <v>2023</v>
      </c>
      <c r="F484" s="1" t="s">
        <v>1639</v>
      </c>
      <c r="G484" s="1">
        <v>445</v>
      </c>
      <c r="H484" s="1">
        <v>10283</v>
      </c>
      <c r="I484" s="1">
        <v>10711</v>
      </c>
      <c r="J484" s="1">
        <v>417003</v>
      </c>
      <c r="K484" s="1">
        <v>3.97</v>
      </c>
      <c r="L484" s="1">
        <v>15</v>
      </c>
      <c r="M484" s="1">
        <v>1.21</v>
      </c>
      <c r="N484" s="1">
        <v>12.48</v>
      </c>
      <c r="O484" s="1">
        <v>20.78</v>
      </c>
      <c r="P484" s="1">
        <v>1</v>
      </c>
      <c r="Q484" s="1">
        <v>18284</v>
      </c>
      <c r="R484" s="1">
        <v>3843</v>
      </c>
      <c r="S484" s="1">
        <v>12</v>
      </c>
      <c r="T484" s="1">
        <f>(Table1[[#This Row],[Selling_Price_per_Unit]]-Table1[[#This Row],[Manufacturing_Cost_per_Unit]])*Table1[[#This Row],[Units_Sold]]-Table1[[#This Row],[Marketing_Spend]]-Table1[[#This Row],[Discount_%]]</f>
        <v>-607475.48</v>
      </c>
      <c r="U484" s="3">
        <f>Table1[[#This Row],[profit]]/(Table1[[#This Row],[Units_Sold]]*Table1[[#This Row],[Selling_Price_per_Unit]])*100</f>
        <v>-13.275439445708908</v>
      </c>
      <c r="V484" s="6">
        <f>Table1[[#This Row],[Units_Sold]]*Table1[[#This Row],[Selling_Price_per_Unit]]</f>
        <v>4575935</v>
      </c>
      <c r="W484" s="7">
        <f>(Table1[[#This Row],[Units_Sold]]/$Z$1)</f>
        <v>8.9090016552724874E-2</v>
      </c>
      <c r="X484" s="8">
        <f>((Table1[[#This Row],[Units_Sold]]*(Table1[[#This Row],[Selling_Price_per_Unit]]-Table1[[#This Row],[Manufacturing_Cost_per_Unit]]))-Table1[[#This Row],[Marketing_Spend]])/Table1[[#This Row],[Marketing_Spend]]</f>
        <v>-1.456735323247075</v>
      </c>
    </row>
    <row r="485" spans="1:24" x14ac:dyDescent="0.3">
      <c r="A485" s="1" t="s">
        <v>502</v>
      </c>
      <c r="B485" s="1" t="s">
        <v>1394</v>
      </c>
      <c r="C485" s="1" t="s">
        <v>1633</v>
      </c>
      <c r="D485" s="1" t="s">
        <v>1636</v>
      </c>
      <c r="E485" s="1">
        <v>2023</v>
      </c>
      <c r="F485" s="1" t="s">
        <v>1642</v>
      </c>
      <c r="G485" s="1">
        <v>4221</v>
      </c>
      <c r="H485" s="1">
        <v>15121</v>
      </c>
      <c r="I485" s="1">
        <v>14730</v>
      </c>
      <c r="J485" s="1">
        <v>197309</v>
      </c>
      <c r="K485" s="1">
        <v>9.93</v>
      </c>
      <c r="L485" s="1">
        <v>17</v>
      </c>
      <c r="M485" s="1">
        <v>9.77</v>
      </c>
      <c r="N485" s="1">
        <v>2.75</v>
      </c>
      <c r="O485" s="1">
        <v>35.18</v>
      </c>
      <c r="P485" s="1">
        <v>1.9</v>
      </c>
      <c r="Q485" s="1">
        <v>16200</v>
      </c>
      <c r="R485" s="1">
        <v>9995</v>
      </c>
      <c r="S485" s="1">
        <v>6</v>
      </c>
      <c r="T485" s="1">
        <f>(Table1[[#This Row],[Selling_Price_per_Unit]]-Table1[[#This Row],[Manufacturing_Cost_per_Unit]])*Table1[[#This Row],[Units_Sold]]-Table1[[#This Row],[Marketing_Spend]]-Table1[[#This Row],[Discount_%]]</f>
        <v>1453099.25</v>
      </c>
      <c r="U485" s="3">
        <f>Table1[[#This Row],[profit]]/(Table1[[#This Row],[Units_Sold]]*Table1[[#This Row],[Selling_Price_per_Unit]])*100</f>
        <v>2.2766664784980719</v>
      </c>
      <c r="V485" s="6">
        <f>Table1[[#This Row],[Units_Sold]]*Table1[[#This Row],[Selling_Price_per_Unit]]</f>
        <v>63825741</v>
      </c>
      <c r="W485" s="7">
        <f>(Table1[[#This Row],[Units_Sold]]/$Z$1)</f>
        <v>0.84505384240236325</v>
      </c>
      <c r="X485" s="8">
        <f>((Table1[[#This Row],[Units_Sold]]*(Table1[[#This Row],[Selling_Price_per_Unit]]-Table1[[#This Row],[Manufacturing_Cost_per_Unit]]))-Table1[[#This Row],[Marketing_Spend]])/Table1[[#This Row],[Marketing_Spend]]</f>
        <v>7.3646007024514848</v>
      </c>
    </row>
    <row r="486" spans="1:24" x14ac:dyDescent="0.3">
      <c r="A486" s="1" t="s">
        <v>732</v>
      </c>
      <c r="B486" s="1" t="s">
        <v>1444</v>
      </c>
      <c r="C486" s="1" t="s">
        <v>1634</v>
      </c>
      <c r="D486" s="1" t="s">
        <v>1637</v>
      </c>
      <c r="E486" s="1">
        <v>2024</v>
      </c>
      <c r="F486" s="1" t="s">
        <v>1642</v>
      </c>
      <c r="G486" s="1">
        <v>4238</v>
      </c>
      <c r="H486" s="1">
        <v>17240</v>
      </c>
      <c r="I486" s="1">
        <v>10146</v>
      </c>
      <c r="J486" s="1">
        <v>290853</v>
      </c>
      <c r="K486" s="1">
        <v>4.18</v>
      </c>
      <c r="L486" s="1">
        <v>12</v>
      </c>
      <c r="M486" s="1">
        <v>2.2999999999999998</v>
      </c>
      <c r="N486" s="1">
        <v>4.74</v>
      </c>
      <c r="O486" s="1">
        <v>51.29</v>
      </c>
      <c r="P486" s="1">
        <v>4.0999999999999996</v>
      </c>
      <c r="Q486" s="1">
        <v>13147</v>
      </c>
      <c r="R486" s="1">
        <v>3830</v>
      </c>
      <c r="S486" s="1">
        <v>6</v>
      </c>
      <c r="T486" s="1">
        <f>(Table1[[#This Row],[Selling_Price_per_Unit]]-Table1[[#This Row],[Manufacturing_Cost_per_Unit]])*Table1[[#This Row],[Units_Sold]]-Table1[[#This Row],[Marketing_Spend]]-Table1[[#This Row],[Discount_%]]</f>
        <v>29773514.260000002</v>
      </c>
      <c r="U486" s="3">
        <f>Table1[[#This Row],[profit]]/(Table1[[#This Row],[Units_Sold]]*Table1[[#This Row],[Selling_Price_per_Unit]])*100</f>
        <v>40.750400831500215</v>
      </c>
      <c r="V486" s="6">
        <f>Table1[[#This Row],[Units_Sold]]*Table1[[#This Row],[Selling_Price_per_Unit]]</f>
        <v>73063120</v>
      </c>
      <c r="W486" s="7">
        <f>(Table1[[#This Row],[Units_Sold]]/$Z$1)</f>
        <v>0.84845728123696174</v>
      </c>
      <c r="X486" s="8">
        <f>((Table1[[#This Row],[Units_Sold]]*(Table1[[#This Row],[Selling_Price_per_Unit]]-Table1[[#This Row],[Manufacturing_Cost_per_Unit]]))-Table1[[#This Row],[Marketing_Spend]])/Table1[[#This Row],[Marketing_Spend]]</f>
        <v>102.36620904718191</v>
      </c>
    </row>
    <row r="487" spans="1:24" hidden="1" x14ac:dyDescent="0.3">
      <c r="A487" s="1" t="s">
        <v>504</v>
      </c>
      <c r="B487" s="1" t="s">
        <v>1206</v>
      </c>
      <c r="C487" s="1" t="s">
        <v>1634</v>
      </c>
      <c r="D487" s="1" t="s">
        <v>1638</v>
      </c>
      <c r="E487" s="1">
        <v>2023</v>
      </c>
      <c r="F487" s="1" t="s">
        <v>1640</v>
      </c>
      <c r="G487" s="1">
        <v>2552</v>
      </c>
      <c r="H487" s="1">
        <v>4220</v>
      </c>
      <c r="I487" s="1">
        <v>8817</v>
      </c>
      <c r="J487" s="1">
        <v>451460</v>
      </c>
      <c r="K487" s="1">
        <v>11.67</v>
      </c>
      <c r="L487" s="1">
        <v>19</v>
      </c>
      <c r="M487" s="1">
        <v>4.45</v>
      </c>
      <c r="N487" s="1">
        <v>6.03</v>
      </c>
      <c r="O487" s="1">
        <v>48.24</v>
      </c>
      <c r="P487" s="1">
        <v>5</v>
      </c>
      <c r="Q487" s="1">
        <v>4128</v>
      </c>
      <c r="R487" s="1">
        <v>3424</v>
      </c>
      <c r="S487" s="1">
        <v>3</v>
      </c>
      <c r="T487" s="1">
        <f>(Table1[[#This Row],[Selling_Price_per_Unit]]-Table1[[#This Row],[Manufacturing_Cost_per_Unit]])*Table1[[#This Row],[Units_Sold]]-Table1[[#This Row],[Marketing_Spend]]-Table1[[#This Row],[Discount_%]]</f>
        <v>-12183010.029999999</v>
      </c>
      <c r="U487" s="3">
        <f>Table1[[#This Row],[profit]]/(Table1[[#This Row],[Units_Sold]]*Table1[[#This Row],[Selling_Price_per_Unit]])*100</f>
        <v>-113.12575240681038</v>
      </c>
      <c r="V487" s="6">
        <f>Table1[[#This Row],[Units_Sold]]*Table1[[#This Row],[Selling_Price_per_Unit]]</f>
        <v>10769440</v>
      </c>
      <c r="W487" s="7">
        <f>(Table1[[#This Row],[Units_Sold]]/$Z$1)</f>
        <v>0.510916229758548</v>
      </c>
      <c r="X487" s="8">
        <f>((Table1[[#This Row],[Units_Sold]]*(Table1[[#This Row],[Selling_Price_per_Unit]]-Table1[[#This Row],[Manufacturing_Cost_per_Unit]]))-Table1[[#This Row],[Marketing_Spend]])/Table1[[#This Row],[Marketing_Spend]]</f>
        <v>-26.985788331192133</v>
      </c>
    </row>
    <row r="488" spans="1:24" hidden="1" x14ac:dyDescent="0.3">
      <c r="A488" s="1" t="s">
        <v>505</v>
      </c>
      <c r="B488" s="1" t="s">
        <v>1395</v>
      </c>
      <c r="C488" s="1" t="s">
        <v>1632</v>
      </c>
      <c r="D488" s="1" t="s">
        <v>1636</v>
      </c>
      <c r="E488" s="1">
        <v>2023</v>
      </c>
      <c r="F488" s="1" t="s">
        <v>1642</v>
      </c>
      <c r="G488" s="1">
        <v>1869</v>
      </c>
      <c r="H488" s="1">
        <v>10405</v>
      </c>
      <c r="I488" s="1">
        <v>3097</v>
      </c>
      <c r="J488" s="1">
        <v>64743</v>
      </c>
      <c r="K488" s="1">
        <v>11.41</v>
      </c>
      <c r="L488" s="1">
        <v>0</v>
      </c>
      <c r="M488" s="1">
        <v>4.88</v>
      </c>
      <c r="N488" s="1">
        <v>0.39</v>
      </c>
      <c r="O488" s="1">
        <v>47.71</v>
      </c>
      <c r="P488" s="1">
        <v>3.1</v>
      </c>
      <c r="Q488" s="1">
        <v>19540</v>
      </c>
      <c r="R488" s="1">
        <v>8732</v>
      </c>
      <c r="S488" s="1">
        <v>8</v>
      </c>
      <c r="T488" s="1">
        <f>(Table1[[#This Row],[Selling_Price_per_Unit]]-Table1[[#This Row],[Manufacturing_Cost_per_Unit]])*Table1[[#This Row],[Units_Sold]]-Table1[[#This Row],[Marketing_Spend]]-Table1[[#This Row],[Discount_%]]</f>
        <v>13593908.609999999</v>
      </c>
      <c r="U488" s="3">
        <f>Table1[[#This Row],[profit]]/(Table1[[#This Row],[Units_Sold]]*Table1[[#This Row],[Selling_Price_per_Unit]])*100</f>
        <v>69.902540527573862</v>
      </c>
      <c r="V488" s="6">
        <f>Table1[[#This Row],[Units_Sold]]*Table1[[#This Row],[Selling_Price_per_Unit]]</f>
        <v>19446945</v>
      </c>
      <c r="W488" s="7">
        <f>(Table1[[#This Row],[Units_Sold]]/$Z$1)</f>
        <v>0.37417806952144445</v>
      </c>
      <c r="X488" s="8">
        <f>((Table1[[#This Row],[Units_Sold]]*(Table1[[#This Row],[Selling_Price_per_Unit]]-Table1[[#This Row],[Manufacturing_Cost_per_Unit]]))-Table1[[#This Row],[Marketing_Spend]])/Table1[[#This Row],[Marketing_Spend]]</f>
        <v>209.96723970158936</v>
      </c>
    </row>
    <row r="489" spans="1:24" hidden="1" x14ac:dyDescent="0.3">
      <c r="A489" s="1" t="s">
        <v>506</v>
      </c>
      <c r="B489" s="1" t="s">
        <v>1034</v>
      </c>
      <c r="C489" s="1" t="s">
        <v>1633</v>
      </c>
      <c r="D489" s="1" t="s">
        <v>1635</v>
      </c>
      <c r="E489" s="1">
        <v>2024</v>
      </c>
      <c r="F489" s="1" t="s">
        <v>1641</v>
      </c>
      <c r="G489" s="1">
        <v>767</v>
      </c>
      <c r="H489" s="1">
        <v>10627</v>
      </c>
      <c r="I489" s="1">
        <v>1674</v>
      </c>
      <c r="J489" s="1">
        <v>278174</v>
      </c>
      <c r="K489" s="1">
        <v>2.82</v>
      </c>
      <c r="L489" s="1">
        <v>0</v>
      </c>
      <c r="M489" s="1">
        <v>8.1300000000000008</v>
      </c>
      <c r="N489" s="1">
        <v>9</v>
      </c>
      <c r="O489" s="1">
        <v>24.06</v>
      </c>
      <c r="P489" s="1">
        <v>1.8</v>
      </c>
      <c r="Q489" s="1">
        <v>18504</v>
      </c>
      <c r="R489" s="1">
        <v>3357</v>
      </c>
      <c r="S489" s="1">
        <v>12</v>
      </c>
      <c r="T489" s="1">
        <f>(Table1[[#This Row],[Selling_Price_per_Unit]]-Table1[[#This Row],[Manufacturing_Cost_per_Unit]])*Table1[[#This Row],[Units_Sold]]-Table1[[#This Row],[Marketing_Spend]]-Table1[[#This Row],[Discount_%]]</f>
        <v>6588768</v>
      </c>
      <c r="U489" s="3">
        <f>Table1[[#This Row],[profit]]/(Table1[[#This Row],[Units_Sold]]*Table1[[#This Row],[Selling_Price_per_Unit]])*100</f>
        <v>80.834763337438815</v>
      </c>
      <c r="V489" s="6">
        <f>Table1[[#This Row],[Units_Sold]]*Table1[[#This Row],[Selling_Price_per_Unit]]</f>
        <v>8150909</v>
      </c>
      <c r="W489" s="7">
        <f>(Table1[[#This Row],[Units_Sold]]/$Z$1)</f>
        <v>0.15355515212570781</v>
      </c>
      <c r="X489" s="8">
        <f>((Table1[[#This Row],[Units_Sold]]*(Table1[[#This Row],[Selling_Price_per_Unit]]-Table1[[#This Row],[Manufacturing_Cost_per_Unit]]))-Table1[[#This Row],[Marketing_Spend]])/Table1[[#This Row],[Marketing_Spend]]</f>
        <v>23.685811758108233</v>
      </c>
    </row>
    <row r="490" spans="1:24" hidden="1" x14ac:dyDescent="0.3">
      <c r="A490" s="1" t="s">
        <v>511</v>
      </c>
      <c r="B490" s="1" t="s">
        <v>1083</v>
      </c>
      <c r="C490" s="1" t="s">
        <v>1634</v>
      </c>
      <c r="D490" s="1" t="s">
        <v>1636</v>
      </c>
      <c r="E490" s="1">
        <v>2024</v>
      </c>
      <c r="F490" s="1" t="s">
        <v>1639</v>
      </c>
      <c r="G490" s="1">
        <v>3190</v>
      </c>
      <c r="H490" s="1">
        <v>19833</v>
      </c>
      <c r="I490" s="1">
        <v>10414</v>
      </c>
      <c r="J490" s="1">
        <v>280604</v>
      </c>
      <c r="K490" s="1">
        <v>0.47</v>
      </c>
      <c r="L490" s="1">
        <v>3</v>
      </c>
      <c r="M490" s="1">
        <v>6.27</v>
      </c>
      <c r="N490" s="1">
        <v>4.9800000000000004</v>
      </c>
      <c r="O490" s="1">
        <v>70.59</v>
      </c>
      <c r="P490" s="1">
        <v>3.8</v>
      </c>
      <c r="Q490" s="1">
        <v>3868</v>
      </c>
      <c r="R490" s="1">
        <v>5772</v>
      </c>
      <c r="S490" s="1">
        <v>6</v>
      </c>
      <c r="T490" s="1">
        <f>(Table1[[#This Row],[Selling_Price_per_Unit]]-Table1[[#This Row],[Manufacturing_Cost_per_Unit]])*Table1[[#This Row],[Units_Sold]]-Table1[[#This Row],[Marketing_Spend]]-Table1[[#This Row],[Discount_%]]</f>
        <v>29766001.02</v>
      </c>
      <c r="U490" s="3">
        <f>Table1[[#This Row],[profit]]/(Table1[[#This Row],[Units_Sold]]*Table1[[#This Row],[Selling_Price_per_Unit]])*100</f>
        <v>47.048025021468447</v>
      </c>
      <c r="V490" s="6">
        <f>Table1[[#This Row],[Units_Sold]]*Table1[[#This Row],[Selling_Price_per_Unit]]</f>
        <v>63267270</v>
      </c>
      <c r="W490" s="7">
        <f>(Table1[[#This Row],[Units_Sold]]/$Z$1)</f>
        <v>0.63864528719818503</v>
      </c>
      <c r="X490" s="8">
        <f>((Table1[[#This Row],[Units_Sold]]*(Table1[[#This Row],[Selling_Price_per_Unit]]-Table1[[#This Row],[Manufacturing_Cost_per_Unit]]))-Table1[[#This Row],[Marketing_Spend]])/Table1[[#This Row],[Marketing_Spend]]</f>
        <v>106.07833815626292</v>
      </c>
    </row>
    <row r="491" spans="1:24" hidden="1" x14ac:dyDescent="0.3">
      <c r="A491" s="1" t="s">
        <v>513</v>
      </c>
      <c r="B491" s="1" t="s">
        <v>1158</v>
      </c>
      <c r="C491" s="1" t="s">
        <v>1634</v>
      </c>
      <c r="D491" s="1" t="s">
        <v>1635</v>
      </c>
      <c r="E491" s="1">
        <v>2024</v>
      </c>
      <c r="F491" s="1" t="s">
        <v>1641</v>
      </c>
      <c r="G491" s="1">
        <v>2988</v>
      </c>
      <c r="H491" s="1">
        <v>18801</v>
      </c>
      <c r="I491" s="1">
        <v>8727</v>
      </c>
      <c r="J491" s="1">
        <v>383270</v>
      </c>
      <c r="K491" s="1">
        <v>0.51</v>
      </c>
      <c r="L491" s="1">
        <v>3</v>
      </c>
      <c r="M491" s="1">
        <v>9.98</v>
      </c>
      <c r="N491" s="1">
        <v>0.05</v>
      </c>
      <c r="O491" s="1">
        <v>74.78</v>
      </c>
      <c r="P491" s="1">
        <v>1.9</v>
      </c>
      <c r="Q491" s="1">
        <v>3339</v>
      </c>
      <c r="R491" s="1">
        <v>5380</v>
      </c>
      <c r="S491" s="1">
        <v>13</v>
      </c>
      <c r="T491" s="1">
        <f>(Table1[[#This Row],[Selling_Price_per_Unit]]-Table1[[#This Row],[Manufacturing_Cost_per_Unit]])*Table1[[#This Row],[Units_Sold]]-Table1[[#This Row],[Marketing_Spend]]-Table1[[#This Row],[Discount_%]]</f>
        <v>29717841.949999999</v>
      </c>
      <c r="U491" s="3">
        <f>Table1[[#This Row],[profit]]/(Table1[[#This Row],[Units_Sold]]*Table1[[#This Row],[Selling_Price_per_Unit]])*100</f>
        <v>52.900006582719726</v>
      </c>
      <c r="V491" s="6">
        <f>Table1[[#This Row],[Units_Sold]]*Table1[[#This Row],[Selling_Price_per_Unit]]</f>
        <v>56177388</v>
      </c>
      <c r="W491" s="7">
        <f>(Table1[[#This Row],[Units_Sold]]/$Z$1)</f>
        <v>0.59820442575177957</v>
      </c>
      <c r="X491" s="8">
        <f>((Table1[[#This Row],[Units_Sold]]*(Table1[[#This Row],[Selling_Price_per_Unit]]-Table1[[#This Row],[Manufacturing_Cost_per_Unit]]))-Table1[[#This Row],[Marketing_Spend]])/Table1[[#This Row],[Marketing_Spend]]</f>
        <v>77.537615779998433</v>
      </c>
    </row>
    <row r="492" spans="1:24" hidden="1" x14ac:dyDescent="0.3">
      <c r="A492" s="1" t="s">
        <v>900</v>
      </c>
      <c r="B492" s="1" t="s">
        <v>1349</v>
      </c>
      <c r="C492" s="1" t="s">
        <v>1633</v>
      </c>
      <c r="D492" s="1" t="s">
        <v>1635</v>
      </c>
      <c r="E492" s="1">
        <v>2023</v>
      </c>
      <c r="F492" s="1" t="s">
        <v>1640</v>
      </c>
      <c r="G492" s="1">
        <v>2499</v>
      </c>
      <c r="H492" s="1">
        <v>13575</v>
      </c>
      <c r="I492" s="1">
        <v>1578</v>
      </c>
      <c r="J492" s="1">
        <v>331854</v>
      </c>
      <c r="K492" s="1">
        <v>13.54</v>
      </c>
      <c r="L492" s="1">
        <v>8</v>
      </c>
      <c r="M492" s="1">
        <v>2.13</v>
      </c>
      <c r="N492" s="1">
        <v>16.55</v>
      </c>
      <c r="O492" s="1">
        <v>39.69</v>
      </c>
      <c r="P492" s="1">
        <v>1.6</v>
      </c>
      <c r="Q492" s="1">
        <v>14902</v>
      </c>
      <c r="R492" s="1">
        <v>9050</v>
      </c>
      <c r="S492" s="1">
        <v>4</v>
      </c>
      <c r="T492" s="1">
        <f>(Table1[[#This Row],[Selling_Price_per_Unit]]-Table1[[#This Row],[Manufacturing_Cost_per_Unit]])*Table1[[#This Row],[Units_Sold]]-Table1[[#This Row],[Marketing_Spend]]-Table1[[#This Row],[Discount_%]]</f>
        <v>29648632.449999999</v>
      </c>
      <c r="U492" s="3">
        <f>Table1[[#This Row],[profit]]/(Table1[[#This Row],[Units_Sold]]*Table1[[#This Row],[Selling_Price_per_Unit]])*100</f>
        <v>87.397411856086819</v>
      </c>
      <c r="V492" s="6">
        <f>Table1[[#This Row],[Units_Sold]]*Table1[[#This Row],[Selling_Price_per_Unit]]</f>
        <v>33923925</v>
      </c>
      <c r="W492" s="7">
        <f>(Table1[[#This Row],[Units_Sold]]/$Z$1)</f>
        <v>0.50030550868597623</v>
      </c>
      <c r="X492" s="8">
        <f>((Table1[[#This Row],[Units_Sold]]*(Table1[[#This Row],[Selling_Price_per_Unit]]-Table1[[#This Row],[Manufacturing_Cost_per_Unit]]))-Table1[[#This Row],[Marketing_Spend]])/Table1[[#This Row],[Marketing_Spend]]</f>
        <v>89.342448787719903</v>
      </c>
    </row>
    <row r="493" spans="1:24" hidden="1" x14ac:dyDescent="0.3">
      <c r="A493" s="1" t="s">
        <v>510</v>
      </c>
      <c r="B493" s="1" t="s">
        <v>1398</v>
      </c>
      <c r="C493" s="1" t="s">
        <v>1634</v>
      </c>
      <c r="D493" s="1" t="s">
        <v>1636</v>
      </c>
      <c r="E493" s="1">
        <v>2024</v>
      </c>
      <c r="F493" s="1" t="s">
        <v>1641</v>
      </c>
      <c r="G493" s="1">
        <v>193</v>
      </c>
      <c r="H493" s="1">
        <v>13736</v>
      </c>
      <c r="I493" s="1">
        <v>12133</v>
      </c>
      <c r="J493" s="1">
        <v>396371</v>
      </c>
      <c r="K493" s="1">
        <v>6.49</v>
      </c>
      <c r="L493" s="1">
        <v>16</v>
      </c>
      <c r="M493" s="1">
        <v>2.15</v>
      </c>
      <c r="N493" s="1">
        <v>2.52</v>
      </c>
      <c r="O493" s="1">
        <v>19.04</v>
      </c>
      <c r="P493" s="1">
        <v>1.5</v>
      </c>
      <c r="Q493" s="1">
        <v>20894</v>
      </c>
      <c r="R493" s="1">
        <v>1124</v>
      </c>
      <c r="S493" s="1">
        <v>13</v>
      </c>
      <c r="T493" s="1">
        <f>(Table1[[#This Row],[Selling_Price_per_Unit]]-Table1[[#This Row],[Manufacturing_Cost_per_Unit]])*Table1[[#This Row],[Units_Sold]]-Table1[[#This Row],[Marketing_Spend]]-Table1[[#This Row],[Discount_%]]</f>
        <v>-86994.52</v>
      </c>
      <c r="U493" s="3">
        <f>Table1[[#This Row],[profit]]/(Table1[[#This Row],[Units_Sold]]*Table1[[#This Row],[Selling_Price_per_Unit]])*100</f>
        <v>-3.2815143294274569</v>
      </c>
      <c r="V493" s="6">
        <f>Table1[[#This Row],[Units_Sold]]*Table1[[#This Row],[Selling_Price_per_Unit]]</f>
        <v>2651048</v>
      </c>
      <c r="W493" s="7">
        <f>(Table1[[#This Row],[Units_Sold]]/$Z$1)</f>
        <v>3.8639040886912134E-2</v>
      </c>
      <c r="X493" s="8">
        <f>((Table1[[#This Row],[Units_Sold]]*(Table1[[#This Row],[Selling_Price_per_Unit]]-Table1[[#This Row],[Manufacturing_Cost_per_Unit]]))-Table1[[#This Row],[Marketing_Spend]])/Table1[[#This Row],[Marketing_Spend]]</f>
        <v>-0.21947115202676282</v>
      </c>
    </row>
    <row r="494" spans="1:24" hidden="1" x14ac:dyDescent="0.3">
      <c r="A494" s="1" t="s">
        <v>64</v>
      </c>
      <c r="B494" s="1" t="s">
        <v>1064</v>
      </c>
      <c r="C494" s="1" t="s">
        <v>1634</v>
      </c>
      <c r="D494" s="1" t="s">
        <v>1638</v>
      </c>
      <c r="E494" s="1">
        <v>2023</v>
      </c>
      <c r="F494" s="1" t="s">
        <v>1640</v>
      </c>
      <c r="G494" s="1">
        <v>2662</v>
      </c>
      <c r="H494" s="1">
        <v>17938</v>
      </c>
      <c r="I494" s="1">
        <v>6687</v>
      </c>
      <c r="J494" s="1">
        <v>315888</v>
      </c>
      <c r="K494" s="1">
        <v>2.5099999999999998</v>
      </c>
      <c r="L494" s="1">
        <v>8</v>
      </c>
      <c r="M494" s="1">
        <v>2.33</v>
      </c>
      <c r="N494" s="1">
        <v>4.59</v>
      </c>
      <c r="O494" s="1">
        <v>68.989999999999995</v>
      </c>
      <c r="P494" s="1">
        <v>2.5</v>
      </c>
      <c r="Q494" s="1">
        <v>5795</v>
      </c>
      <c r="R494" s="1">
        <v>2333</v>
      </c>
      <c r="S494" s="1">
        <v>13</v>
      </c>
      <c r="T494" s="1">
        <f>(Table1[[#This Row],[Selling_Price_per_Unit]]-Table1[[#This Row],[Manufacturing_Cost_per_Unit]])*Table1[[#This Row],[Units_Sold]]-Table1[[#This Row],[Marketing_Spend]]-Table1[[#This Row],[Discount_%]]</f>
        <v>29634269.41</v>
      </c>
      <c r="U494" s="3">
        <f>Table1[[#This Row],[profit]]/(Table1[[#This Row],[Units_Sold]]*Table1[[#This Row],[Selling_Price_per_Unit]])*100</f>
        <v>62.060054692936404</v>
      </c>
      <c r="V494" s="6">
        <f>Table1[[#This Row],[Units_Sold]]*Table1[[#This Row],[Selling_Price_per_Unit]]</f>
        <v>47750956</v>
      </c>
      <c r="W494" s="7">
        <f>(Table1[[#This Row],[Units_Sold]]/$Z$1)</f>
        <v>0.53293848104124408</v>
      </c>
      <c r="X494" s="8">
        <f>((Table1[[#This Row],[Units_Sold]]*(Table1[[#This Row],[Selling_Price_per_Unit]]-Table1[[#This Row],[Manufacturing_Cost_per_Unit]]))-Table1[[#This Row],[Marketing_Spend]])/Table1[[#This Row],[Marketing_Spend]]</f>
        <v>93.812598136048223</v>
      </c>
    </row>
    <row r="495" spans="1:24" x14ac:dyDescent="0.3">
      <c r="A495" s="1" t="s">
        <v>453</v>
      </c>
      <c r="B495" s="1" t="s">
        <v>1367</v>
      </c>
      <c r="C495" s="1" t="s">
        <v>1632</v>
      </c>
      <c r="D495" s="1" t="s">
        <v>1638</v>
      </c>
      <c r="E495" s="1">
        <v>2024</v>
      </c>
      <c r="F495" s="1" t="s">
        <v>1642</v>
      </c>
      <c r="G495" s="1">
        <v>4430</v>
      </c>
      <c r="H495" s="1">
        <v>17383</v>
      </c>
      <c r="I495" s="1">
        <v>10617</v>
      </c>
      <c r="J495" s="1">
        <v>392951</v>
      </c>
      <c r="K495" s="1">
        <v>11.73</v>
      </c>
      <c r="L495" s="1">
        <v>11</v>
      </c>
      <c r="M495" s="1">
        <v>7.43</v>
      </c>
      <c r="N495" s="1">
        <v>7.84</v>
      </c>
      <c r="O495" s="1">
        <v>71.12</v>
      </c>
      <c r="P495" s="1">
        <v>4.2</v>
      </c>
      <c r="Q495" s="1">
        <v>10138</v>
      </c>
      <c r="R495" s="1">
        <v>7369</v>
      </c>
      <c r="S495" s="1">
        <v>5</v>
      </c>
      <c r="T495" s="1">
        <f>(Table1[[#This Row],[Selling_Price_per_Unit]]-Table1[[#This Row],[Manufacturing_Cost_per_Unit]])*Table1[[#This Row],[Units_Sold]]-Table1[[#This Row],[Marketing_Spend]]-Table1[[#This Row],[Discount_%]]</f>
        <v>29580421.16</v>
      </c>
      <c r="U495" s="3">
        <f>Table1[[#This Row],[profit]]/(Table1[[#This Row],[Units_Sold]]*Table1[[#This Row],[Selling_Price_per_Unit]])*100</f>
        <v>38.41279395335652</v>
      </c>
      <c r="V495" s="6">
        <f>Table1[[#This Row],[Units_Sold]]*Table1[[#This Row],[Selling_Price_per_Unit]]</f>
        <v>77006690</v>
      </c>
      <c r="W495" s="7">
        <f>(Table1[[#This Row],[Units_Sold]]/$Z$1)</f>
        <v>0.8868961198394858</v>
      </c>
      <c r="X495" s="8">
        <f>((Table1[[#This Row],[Units_Sold]]*(Table1[[#This Row],[Selling_Price_per_Unit]]-Table1[[#This Row],[Manufacturing_Cost_per_Unit]]))-Table1[[#This Row],[Marketing_Spend]])/Table1[[#This Row],[Marketing_Spend]]</f>
        <v>75.277652938916049</v>
      </c>
    </row>
    <row r="496" spans="1:24" hidden="1" x14ac:dyDescent="0.3">
      <c r="A496" s="1" t="s">
        <v>310</v>
      </c>
      <c r="B496" s="1" t="s">
        <v>1147</v>
      </c>
      <c r="C496" s="1" t="s">
        <v>1633</v>
      </c>
      <c r="D496" s="1" t="s">
        <v>1635</v>
      </c>
      <c r="E496" s="1">
        <v>2023</v>
      </c>
      <c r="F496" s="1" t="s">
        <v>1641</v>
      </c>
      <c r="G496" s="1">
        <v>3220</v>
      </c>
      <c r="H496" s="1">
        <v>12862</v>
      </c>
      <c r="I496" s="1">
        <v>3779</v>
      </c>
      <c r="J496" s="1">
        <v>76086</v>
      </c>
      <c r="K496" s="1">
        <v>4.34</v>
      </c>
      <c r="L496" s="1">
        <v>0</v>
      </c>
      <c r="M496" s="1">
        <v>4.18</v>
      </c>
      <c r="N496" s="1">
        <v>23.83</v>
      </c>
      <c r="O496" s="1">
        <v>74.180000000000007</v>
      </c>
      <c r="P496" s="1">
        <v>3.7</v>
      </c>
      <c r="Q496" s="1">
        <v>19087</v>
      </c>
      <c r="R496" s="1">
        <v>2437</v>
      </c>
      <c r="S496" s="1">
        <v>13</v>
      </c>
      <c r="T496" s="1">
        <f>(Table1[[#This Row],[Selling_Price_per_Unit]]-Table1[[#This Row],[Manufacturing_Cost_per_Unit]])*Table1[[#This Row],[Units_Sold]]-Table1[[#This Row],[Marketing_Spend]]-Table1[[#This Row],[Discount_%]]</f>
        <v>29171150.170000002</v>
      </c>
      <c r="U496" s="3">
        <f>Table1[[#This Row],[profit]]/(Table1[[#This Row],[Units_Sold]]*Table1[[#This Row],[Selling_Price_per_Unit]])*100</f>
        <v>70.435106568436467</v>
      </c>
      <c r="V496" s="6">
        <f>Table1[[#This Row],[Units_Sold]]*Table1[[#This Row],[Selling_Price_per_Unit]]</f>
        <v>41415640</v>
      </c>
      <c r="W496" s="7">
        <f>(Table1[[#This Row],[Units_Sold]]/$Z$1)</f>
        <v>0.64465135572982935</v>
      </c>
      <c r="X496" s="8">
        <f>((Table1[[#This Row],[Units_Sold]]*(Table1[[#This Row],[Selling_Price_per_Unit]]-Table1[[#This Row],[Manufacturing_Cost_per_Unit]]))-Table1[[#This Row],[Marketing_Spend]])/Table1[[#This Row],[Marketing_Spend]]</f>
        <v>383.3973924243619</v>
      </c>
    </row>
    <row r="497" spans="1:24" hidden="1" x14ac:dyDescent="0.3">
      <c r="A497" s="1" t="s">
        <v>948</v>
      </c>
      <c r="B497" s="1" t="s">
        <v>1605</v>
      </c>
      <c r="C497" s="1" t="s">
        <v>1633</v>
      </c>
      <c r="D497" s="1" t="s">
        <v>1637</v>
      </c>
      <c r="E497" s="1">
        <v>2023</v>
      </c>
      <c r="F497" s="1" t="s">
        <v>1640</v>
      </c>
      <c r="G497" s="1">
        <v>2421</v>
      </c>
      <c r="H497" s="1">
        <v>13765</v>
      </c>
      <c r="I497" s="1">
        <v>1571</v>
      </c>
      <c r="J497" s="1">
        <v>378785</v>
      </c>
      <c r="K497" s="1">
        <v>7.16</v>
      </c>
      <c r="L497" s="1">
        <v>15</v>
      </c>
      <c r="M497" s="1">
        <v>5.83</v>
      </c>
      <c r="N497" s="1">
        <v>18.579999999999998</v>
      </c>
      <c r="O497" s="1">
        <v>19.010000000000002</v>
      </c>
      <c r="P497" s="1">
        <v>2.7</v>
      </c>
      <c r="Q497" s="1">
        <v>15841</v>
      </c>
      <c r="R497" s="1">
        <v>7878</v>
      </c>
      <c r="S497" s="1">
        <v>2</v>
      </c>
      <c r="T497" s="1">
        <f>(Table1[[#This Row],[Selling_Price_per_Unit]]-Table1[[#This Row],[Manufacturing_Cost_per_Unit]])*Table1[[#This Row],[Units_Sold]]-Table1[[#This Row],[Marketing_Spend]]-Table1[[#This Row],[Discount_%]]</f>
        <v>29142870.420000002</v>
      </c>
      <c r="U497" s="3">
        <f>Table1[[#This Row],[profit]]/(Table1[[#This Row],[Units_Sold]]*Table1[[#This Row],[Selling_Price_per_Unit]])*100</f>
        <v>87.450303307735481</v>
      </c>
      <c r="V497" s="6">
        <f>Table1[[#This Row],[Units_Sold]]*Table1[[#This Row],[Selling_Price_per_Unit]]</f>
        <v>33325065</v>
      </c>
      <c r="W497" s="7">
        <f>(Table1[[#This Row],[Units_Sold]]/$Z$1)</f>
        <v>0.4846897305037009</v>
      </c>
      <c r="X497" s="8">
        <f>((Table1[[#This Row],[Units_Sold]]*(Table1[[#This Row],[Selling_Price_per_Unit]]-Table1[[#This Row],[Manufacturing_Cost_per_Unit]]))-Table1[[#This Row],[Marketing_Spend]])/Table1[[#This Row],[Marketing_Spend]]</f>
        <v>76.937811687368821</v>
      </c>
    </row>
    <row r="498" spans="1:24" x14ac:dyDescent="0.3">
      <c r="A498" s="1" t="s">
        <v>278</v>
      </c>
      <c r="B498" s="1" t="s">
        <v>1248</v>
      </c>
      <c r="C498" s="1" t="s">
        <v>1634</v>
      </c>
      <c r="D498" s="1" t="s">
        <v>1637</v>
      </c>
      <c r="E498" s="1">
        <v>2023</v>
      </c>
      <c r="F498" s="1" t="s">
        <v>1641</v>
      </c>
      <c r="G498" s="1">
        <v>4605</v>
      </c>
      <c r="H498" s="1">
        <v>16652</v>
      </c>
      <c r="I498" s="1">
        <v>10296</v>
      </c>
      <c r="J498" s="1">
        <v>244994</v>
      </c>
      <c r="K498" s="1">
        <v>6.82</v>
      </c>
      <c r="L498" s="1">
        <v>9</v>
      </c>
      <c r="M498" s="1">
        <v>6.62</v>
      </c>
      <c r="N498" s="1">
        <v>3.35</v>
      </c>
      <c r="O498" s="1">
        <v>40.01</v>
      </c>
      <c r="P498" s="1">
        <v>2</v>
      </c>
      <c r="Q498" s="1">
        <v>10244</v>
      </c>
      <c r="R498" s="1">
        <v>741</v>
      </c>
      <c r="S498" s="1">
        <v>10</v>
      </c>
      <c r="T498" s="1">
        <f>(Table1[[#This Row],[Selling_Price_per_Unit]]-Table1[[#This Row],[Manufacturing_Cost_per_Unit]])*Table1[[#This Row],[Units_Sold]]-Table1[[#This Row],[Marketing_Spend]]-Table1[[#This Row],[Discount_%]]</f>
        <v>29024382.649999999</v>
      </c>
      <c r="U498" s="3">
        <f>Table1[[#This Row],[profit]]/(Table1[[#This Row],[Units_Sold]]*Table1[[#This Row],[Selling_Price_per_Unit]])*100</f>
        <v>37.850093293824948</v>
      </c>
      <c r="V498" s="6">
        <f>Table1[[#This Row],[Units_Sold]]*Table1[[#This Row],[Selling_Price_per_Unit]]</f>
        <v>76682460</v>
      </c>
      <c r="W498" s="7">
        <f>(Table1[[#This Row],[Units_Sold]]/$Z$1)</f>
        <v>0.92193151960741127</v>
      </c>
      <c r="X498" s="8">
        <f>((Table1[[#This Row],[Units_Sold]]*(Table1[[#This Row],[Selling_Price_per_Unit]]-Table1[[#This Row],[Manufacturing_Cost_per_Unit]]))-Table1[[#This Row],[Marketing_Spend]])/Table1[[#This Row],[Marketing_Spend]]</f>
        <v>118.4697829334596</v>
      </c>
    </row>
    <row r="499" spans="1:24" hidden="1" x14ac:dyDescent="0.3">
      <c r="A499" s="1" t="s">
        <v>516</v>
      </c>
      <c r="B499" s="1" t="s">
        <v>1401</v>
      </c>
      <c r="C499" s="1" t="s">
        <v>1633</v>
      </c>
      <c r="D499" s="1" t="s">
        <v>1635</v>
      </c>
      <c r="E499" s="1">
        <v>2023</v>
      </c>
      <c r="F499" s="1" t="s">
        <v>1642</v>
      </c>
      <c r="G499" s="1">
        <v>1217</v>
      </c>
      <c r="H499" s="1">
        <v>1589</v>
      </c>
      <c r="I499" s="1">
        <v>12718</v>
      </c>
      <c r="J499" s="1">
        <v>386907</v>
      </c>
      <c r="K499" s="1">
        <v>8.36</v>
      </c>
      <c r="L499" s="1">
        <v>17</v>
      </c>
      <c r="M499" s="1">
        <v>3.1</v>
      </c>
      <c r="N499" s="1">
        <v>23.02</v>
      </c>
      <c r="O499" s="1">
        <v>27.96</v>
      </c>
      <c r="P499" s="1">
        <v>3.3</v>
      </c>
      <c r="Q499" s="1">
        <v>5895</v>
      </c>
      <c r="R499" s="1">
        <v>1845</v>
      </c>
      <c r="S499" s="1">
        <v>9</v>
      </c>
      <c r="T499" s="1">
        <f>(Table1[[#This Row],[Selling_Price_per_Unit]]-Table1[[#This Row],[Manufacturing_Cost_per_Unit]])*Table1[[#This Row],[Units_Sold]]-Table1[[#This Row],[Marketing_Spend]]-Table1[[#This Row],[Discount_%]]</f>
        <v>-13930923.02</v>
      </c>
      <c r="U499" s="3">
        <f>Table1[[#This Row],[profit]]/(Table1[[#This Row],[Units_Sold]]*Table1[[#This Row],[Selling_Price_per_Unit]])*100</f>
        <v>-720.38625347952461</v>
      </c>
      <c r="V499" s="6">
        <f>Table1[[#This Row],[Units_Sold]]*Table1[[#This Row],[Selling_Price_per_Unit]]</f>
        <v>1933813</v>
      </c>
      <c r="W499" s="7">
        <f>(Table1[[#This Row],[Units_Sold]]/$Z$1)</f>
        <v>0.24364618010037339</v>
      </c>
      <c r="X499" s="8">
        <f>((Table1[[#This Row],[Units_Sold]]*(Table1[[#This Row],[Selling_Price_per_Unit]]-Table1[[#This Row],[Manufacturing_Cost_per_Unit]]))-Table1[[#This Row],[Marketing_Spend]])/Table1[[#This Row],[Marketing_Spend]]</f>
        <v>-36.005810181774947</v>
      </c>
    </row>
    <row r="500" spans="1:24" hidden="1" x14ac:dyDescent="0.3">
      <c r="A500" s="1" t="s">
        <v>658</v>
      </c>
      <c r="B500" s="1" t="s">
        <v>1475</v>
      </c>
      <c r="C500" s="1" t="s">
        <v>1633</v>
      </c>
      <c r="D500" s="1" t="s">
        <v>1638</v>
      </c>
      <c r="E500" s="1">
        <v>2023</v>
      </c>
      <c r="F500" s="1" t="s">
        <v>1641</v>
      </c>
      <c r="G500" s="1">
        <v>2098</v>
      </c>
      <c r="H500" s="1">
        <v>17501</v>
      </c>
      <c r="I500" s="1">
        <v>3622</v>
      </c>
      <c r="J500" s="1">
        <v>243069</v>
      </c>
      <c r="K500" s="1">
        <v>6.6</v>
      </c>
      <c r="L500" s="1">
        <v>3</v>
      </c>
      <c r="M500" s="1">
        <v>7.94</v>
      </c>
      <c r="N500" s="1">
        <v>22.51</v>
      </c>
      <c r="O500" s="1">
        <v>86.85</v>
      </c>
      <c r="P500" s="1">
        <v>3.4</v>
      </c>
      <c r="Q500" s="1">
        <v>3560</v>
      </c>
      <c r="R500" s="1">
        <v>6422</v>
      </c>
      <c r="S500" s="1">
        <v>14</v>
      </c>
      <c r="T500" s="1">
        <f>(Table1[[#This Row],[Selling_Price_per_Unit]]-Table1[[#This Row],[Manufacturing_Cost_per_Unit]])*Table1[[#This Row],[Units_Sold]]-Table1[[#This Row],[Marketing_Spend]]-Table1[[#This Row],[Discount_%]]</f>
        <v>28875050.489999998</v>
      </c>
      <c r="U500" s="3">
        <f>Table1[[#This Row],[profit]]/(Table1[[#This Row],[Units_Sold]]*Table1[[#This Row],[Selling_Price_per_Unit]])*100</f>
        <v>78.641973529607384</v>
      </c>
      <c r="V500" s="6">
        <f>Table1[[#This Row],[Units_Sold]]*Table1[[#This Row],[Selling_Price_per_Unit]]</f>
        <v>36717098</v>
      </c>
      <c r="W500" s="7">
        <f>(Table1[[#This Row],[Units_Sold]]/$Z$1)</f>
        <v>0.42002439264632985</v>
      </c>
      <c r="X500" s="8">
        <f>((Table1[[#This Row],[Units_Sold]]*(Table1[[#This Row],[Selling_Price_per_Unit]]-Table1[[#This Row],[Manufacturing_Cost_per_Unit]]))-Table1[[#This Row],[Marketing_Spend]])/Table1[[#This Row],[Marketing_Spend]]</f>
        <v>118.79372935257067</v>
      </c>
    </row>
    <row r="501" spans="1:24" hidden="1" x14ac:dyDescent="0.3">
      <c r="A501" s="1" t="s">
        <v>518</v>
      </c>
      <c r="B501" s="1" t="s">
        <v>1402</v>
      </c>
      <c r="C501" s="1" t="s">
        <v>1633</v>
      </c>
      <c r="D501" s="1" t="s">
        <v>1636</v>
      </c>
      <c r="E501" s="1">
        <v>2024</v>
      </c>
      <c r="F501" s="1" t="s">
        <v>1640</v>
      </c>
      <c r="G501" s="1">
        <v>1112</v>
      </c>
      <c r="H501" s="1">
        <v>11861</v>
      </c>
      <c r="I501" s="1">
        <v>7142</v>
      </c>
      <c r="J501" s="1">
        <v>455453</v>
      </c>
      <c r="K501" s="1">
        <v>10</v>
      </c>
      <c r="L501" s="1">
        <v>2</v>
      </c>
      <c r="M501" s="1">
        <v>2.42</v>
      </c>
      <c r="N501" s="1">
        <v>23.88</v>
      </c>
      <c r="O501" s="1">
        <v>31.21</v>
      </c>
      <c r="P501" s="1">
        <v>3.3</v>
      </c>
      <c r="Q501" s="1">
        <v>5191</v>
      </c>
      <c r="R501" s="1">
        <v>8735</v>
      </c>
      <c r="S501" s="1">
        <v>14</v>
      </c>
      <c r="T501" s="1">
        <f>(Table1[[#This Row],[Selling_Price_per_Unit]]-Table1[[#This Row],[Manufacturing_Cost_per_Unit]])*Table1[[#This Row],[Units_Sold]]-Table1[[#This Row],[Marketing_Spend]]-Table1[[#This Row],[Discount_%]]</f>
        <v>4792051.12</v>
      </c>
      <c r="U501" s="3">
        <f>Table1[[#This Row],[profit]]/(Table1[[#This Row],[Units_Sold]]*Table1[[#This Row],[Selling_Price_per_Unit]])*100</f>
        <v>36.332505599937889</v>
      </c>
      <c r="V501" s="6">
        <f>Table1[[#This Row],[Units_Sold]]*Table1[[#This Row],[Selling_Price_per_Unit]]</f>
        <v>13189432</v>
      </c>
      <c r="W501" s="7">
        <f>(Table1[[#This Row],[Units_Sold]]/$Z$1)</f>
        <v>0.2226249402396181</v>
      </c>
      <c r="X501" s="8">
        <f>((Table1[[#This Row],[Units_Sold]]*(Table1[[#This Row],[Selling_Price_per_Unit]]-Table1[[#This Row],[Manufacturing_Cost_per_Unit]]))-Table1[[#This Row],[Marketing_Spend]])/Table1[[#This Row],[Marketing_Spend]]</f>
        <v>10.521557657980077</v>
      </c>
    </row>
    <row r="502" spans="1:24" hidden="1" x14ac:dyDescent="0.3">
      <c r="A502" s="1" t="s">
        <v>913</v>
      </c>
      <c r="B502" s="1" t="s">
        <v>1590</v>
      </c>
      <c r="C502" s="1" t="s">
        <v>1633</v>
      </c>
      <c r="D502" s="1" t="s">
        <v>1636</v>
      </c>
      <c r="E502" s="1">
        <v>2024</v>
      </c>
      <c r="F502" s="1" t="s">
        <v>1640</v>
      </c>
      <c r="G502" s="1">
        <v>3104</v>
      </c>
      <c r="H502" s="1">
        <v>12254</v>
      </c>
      <c r="I502" s="1">
        <v>2844</v>
      </c>
      <c r="J502" s="1">
        <v>393194</v>
      </c>
      <c r="K502" s="1">
        <v>12.01</v>
      </c>
      <c r="L502" s="1">
        <v>15</v>
      </c>
      <c r="M502" s="1">
        <v>9.14</v>
      </c>
      <c r="N502" s="1">
        <v>12.07</v>
      </c>
      <c r="O502" s="1">
        <v>89.81</v>
      </c>
      <c r="P502" s="1">
        <v>3.6</v>
      </c>
      <c r="Q502" s="1">
        <v>14943</v>
      </c>
      <c r="R502" s="1">
        <v>9789</v>
      </c>
      <c r="S502" s="1">
        <v>6</v>
      </c>
      <c r="T502" s="1">
        <f>(Table1[[#This Row],[Selling_Price_per_Unit]]-Table1[[#This Row],[Manufacturing_Cost_per_Unit]])*Table1[[#This Row],[Units_Sold]]-Table1[[#This Row],[Marketing_Spend]]-Table1[[#This Row],[Discount_%]]</f>
        <v>28815433.93</v>
      </c>
      <c r="U502" s="3">
        <f>Table1[[#This Row],[profit]]/(Table1[[#This Row],[Units_Sold]]*Table1[[#This Row],[Selling_Price_per_Unit]])*100</f>
        <v>75.757489690931976</v>
      </c>
      <c r="V502" s="6">
        <f>Table1[[#This Row],[Units_Sold]]*Table1[[#This Row],[Selling_Price_per_Unit]]</f>
        <v>38036416</v>
      </c>
      <c r="W502" s="7">
        <f>(Table1[[#This Row],[Units_Sold]]/$Z$1)</f>
        <v>0.62142789074080451</v>
      </c>
      <c r="X502" s="8">
        <f>((Table1[[#This Row],[Units_Sold]]*(Table1[[#This Row],[Selling_Price_per_Unit]]-Table1[[#This Row],[Manufacturing_Cost_per_Unit]]))-Table1[[#This Row],[Marketing_Spend]])/Table1[[#This Row],[Marketing_Spend]]</f>
        <v>73.285568955782637</v>
      </c>
    </row>
    <row r="503" spans="1:24" hidden="1" x14ac:dyDescent="0.3">
      <c r="A503" s="1" t="s">
        <v>520</v>
      </c>
      <c r="B503" s="1" t="s">
        <v>1403</v>
      </c>
      <c r="C503" s="1" t="s">
        <v>1634</v>
      </c>
      <c r="D503" s="1" t="s">
        <v>1635</v>
      </c>
      <c r="E503" s="1">
        <v>2024</v>
      </c>
      <c r="F503" s="1" t="s">
        <v>1642</v>
      </c>
      <c r="G503" s="1">
        <v>3032</v>
      </c>
      <c r="H503" s="1">
        <v>4541</v>
      </c>
      <c r="I503" s="1">
        <v>12729</v>
      </c>
      <c r="J503" s="1">
        <v>218785</v>
      </c>
      <c r="K503" s="1">
        <v>13.47</v>
      </c>
      <c r="L503" s="1">
        <v>18</v>
      </c>
      <c r="M503" s="1">
        <v>9.5500000000000007</v>
      </c>
      <c r="N503" s="1">
        <v>0.03</v>
      </c>
      <c r="O503" s="1">
        <v>60.88</v>
      </c>
      <c r="P503" s="1">
        <v>1</v>
      </c>
      <c r="Q503" s="1">
        <v>5341</v>
      </c>
      <c r="R503" s="1">
        <v>5690</v>
      </c>
      <c r="S503" s="1">
        <v>11</v>
      </c>
      <c r="T503" s="1">
        <f>(Table1[[#This Row],[Selling_Price_per_Unit]]-Table1[[#This Row],[Manufacturing_Cost_per_Unit]])*Table1[[#This Row],[Units_Sold]]-Table1[[#This Row],[Marketing_Spend]]-Table1[[#This Row],[Discount_%]]</f>
        <v>-25044801.030000001</v>
      </c>
      <c r="U503" s="3">
        <f>Table1[[#This Row],[profit]]/(Table1[[#This Row],[Units_Sold]]*Table1[[#This Row],[Selling_Price_per_Unit]])*100</f>
        <v>-181.90175404218033</v>
      </c>
      <c r="V503" s="6">
        <f>Table1[[#This Row],[Units_Sold]]*Table1[[#This Row],[Selling_Price_per_Unit]]</f>
        <v>13768312</v>
      </c>
      <c r="W503" s="7">
        <f>(Table1[[#This Row],[Units_Sold]]/$Z$1)</f>
        <v>0.60701332626485793</v>
      </c>
      <c r="X503" s="8">
        <f>((Table1[[#This Row],[Units_Sold]]*(Table1[[#This Row],[Selling_Price_per_Unit]]-Table1[[#This Row],[Manufacturing_Cost_per_Unit]]))-Table1[[#This Row],[Marketing_Spend]])/Table1[[#This Row],[Marketing_Spend]]</f>
        <v>-114.47220330461411</v>
      </c>
    </row>
    <row r="504" spans="1:24" hidden="1" x14ac:dyDescent="0.3">
      <c r="A504" s="1" t="s">
        <v>521</v>
      </c>
      <c r="B504" s="1" t="s">
        <v>1404</v>
      </c>
      <c r="C504" s="1" t="s">
        <v>1633</v>
      </c>
      <c r="D504" s="1" t="s">
        <v>1635</v>
      </c>
      <c r="E504" s="1">
        <v>2024</v>
      </c>
      <c r="F504" s="1" t="s">
        <v>1642</v>
      </c>
      <c r="G504" s="1">
        <v>3344</v>
      </c>
      <c r="H504" s="1">
        <v>1605</v>
      </c>
      <c r="I504" s="1">
        <v>3339</v>
      </c>
      <c r="J504" s="1">
        <v>254535</v>
      </c>
      <c r="K504" s="1">
        <v>13.32</v>
      </c>
      <c r="L504" s="1">
        <v>3</v>
      </c>
      <c r="M504" s="1">
        <v>9.19</v>
      </c>
      <c r="N504" s="1">
        <v>22.35</v>
      </c>
      <c r="O504" s="1">
        <v>80</v>
      </c>
      <c r="P504" s="1">
        <v>4.7</v>
      </c>
      <c r="Q504" s="1">
        <v>5848</v>
      </c>
      <c r="R504" s="1">
        <v>7997</v>
      </c>
      <c r="S504" s="1">
        <v>11</v>
      </c>
      <c r="T504" s="1">
        <f>(Table1[[#This Row],[Selling_Price_per_Unit]]-Table1[[#This Row],[Manufacturing_Cost_per_Unit]])*Table1[[#This Row],[Units_Sold]]-Table1[[#This Row],[Marketing_Spend]]-Table1[[#This Row],[Discount_%]]</f>
        <v>-6053053.3499999996</v>
      </c>
      <c r="U504" s="3">
        <f>Table1[[#This Row],[profit]]/(Table1[[#This Row],[Units_Sold]]*Table1[[#This Row],[Selling_Price_per_Unit]])*100</f>
        <v>-112.78028719313151</v>
      </c>
      <c r="V504" s="6">
        <f>Table1[[#This Row],[Units_Sold]]*Table1[[#This Row],[Selling_Price_per_Unit]]</f>
        <v>5367120</v>
      </c>
      <c r="W504" s="7">
        <f>(Table1[[#This Row],[Units_Sold]]/$Z$1)</f>
        <v>0.66947643899395948</v>
      </c>
      <c r="X504" s="8">
        <f>((Table1[[#This Row],[Units_Sold]]*(Table1[[#This Row],[Selling_Price_per_Unit]]-Table1[[#This Row],[Manufacturing_Cost_per_Unit]]))-Table1[[#This Row],[Marketing_Spend]])/Table1[[#This Row],[Marketing_Spend]]</f>
        <v>-23.780741351876951</v>
      </c>
    </row>
    <row r="505" spans="1:24" hidden="1" x14ac:dyDescent="0.3">
      <c r="A505" s="1" t="s">
        <v>976</v>
      </c>
      <c r="B505" s="1" t="s">
        <v>1577</v>
      </c>
      <c r="C505" s="1" t="s">
        <v>1633</v>
      </c>
      <c r="D505" s="1" t="s">
        <v>1638</v>
      </c>
      <c r="E505" s="1">
        <v>2023</v>
      </c>
      <c r="F505" s="1" t="s">
        <v>1640</v>
      </c>
      <c r="G505" s="1">
        <v>2780</v>
      </c>
      <c r="H505" s="1">
        <v>18847</v>
      </c>
      <c r="I505" s="1">
        <v>8416</v>
      </c>
      <c r="J505" s="1">
        <v>465842</v>
      </c>
      <c r="K505" s="1">
        <v>8.43</v>
      </c>
      <c r="L505" s="1">
        <v>4</v>
      </c>
      <c r="M505" s="1">
        <v>7.59</v>
      </c>
      <c r="N505" s="1">
        <v>3.74</v>
      </c>
      <c r="O505" s="1">
        <v>18.809999999999999</v>
      </c>
      <c r="P505" s="1">
        <v>4.5999999999999996</v>
      </c>
      <c r="Q505" s="1">
        <v>6589</v>
      </c>
      <c r="R505" s="1">
        <v>2713</v>
      </c>
      <c r="S505" s="1">
        <v>2</v>
      </c>
      <c r="T505" s="1">
        <f>(Table1[[#This Row],[Selling_Price_per_Unit]]-Table1[[#This Row],[Manufacturing_Cost_per_Unit]])*Table1[[#This Row],[Units_Sold]]-Table1[[#This Row],[Marketing_Spend]]-Table1[[#This Row],[Discount_%]]</f>
        <v>28532334.260000002</v>
      </c>
      <c r="U505" s="3">
        <f>Table1[[#This Row],[profit]]/(Table1[[#This Row],[Units_Sold]]*Table1[[#This Row],[Selling_Price_per_Unit]])*100</f>
        <v>54.456569161819168</v>
      </c>
      <c r="V505" s="6">
        <f>Table1[[#This Row],[Units_Sold]]*Table1[[#This Row],[Selling_Price_per_Unit]]</f>
        <v>52394660</v>
      </c>
      <c r="W505" s="7">
        <f>(Table1[[#This Row],[Units_Sold]]/$Z$1)</f>
        <v>0.55656235059904524</v>
      </c>
      <c r="X505" s="8">
        <f>((Table1[[#This Row],[Units_Sold]]*(Table1[[#This Row],[Selling_Price_per_Unit]]-Table1[[#This Row],[Manufacturing_Cost_per_Unit]]))-Table1[[#This Row],[Marketing_Spend]])/Table1[[#This Row],[Marketing_Spend]]</f>
        <v>61.248959947793459</v>
      </c>
    </row>
    <row r="506" spans="1:24" hidden="1" x14ac:dyDescent="0.3">
      <c r="A506" s="1" t="s">
        <v>523</v>
      </c>
      <c r="B506" s="1" t="s">
        <v>1105</v>
      </c>
      <c r="C506" s="1" t="s">
        <v>1633</v>
      </c>
      <c r="D506" s="1" t="s">
        <v>1638</v>
      </c>
      <c r="E506" s="1">
        <v>2024</v>
      </c>
      <c r="F506" s="1" t="s">
        <v>1640</v>
      </c>
      <c r="G506" s="1">
        <v>1206</v>
      </c>
      <c r="H506" s="1">
        <v>19779</v>
      </c>
      <c r="I506" s="1">
        <v>13983</v>
      </c>
      <c r="J506" s="1">
        <v>229838</v>
      </c>
      <c r="K506" s="1">
        <v>13.51</v>
      </c>
      <c r="L506" s="1">
        <v>19</v>
      </c>
      <c r="M506" s="1">
        <v>3.39</v>
      </c>
      <c r="N506" s="1">
        <v>6.57</v>
      </c>
      <c r="O506" s="1">
        <v>83.21</v>
      </c>
      <c r="P506" s="1">
        <v>2.6</v>
      </c>
      <c r="Q506" s="1">
        <v>7560</v>
      </c>
      <c r="R506" s="1">
        <v>8371</v>
      </c>
      <c r="S506" s="1">
        <v>2</v>
      </c>
      <c r="T506" s="1">
        <f>(Table1[[#This Row],[Selling_Price_per_Unit]]-Table1[[#This Row],[Manufacturing_Cost_per_Unit]])*Table1[[#This Row],[Units_Sold]]-Table1[[#This Row],[Marketing_Spend]]-Table1[[#This Row],[Discount_%]]</f>
        <v>6760131.4299999997</v>
      </c>
      <c r="U506" s="3">
        <f>Table1[[#This Row],[profit]]/(Table1[[#This Row],[Units_Sold]]*Table1[[#This Row],[Selling_Price_per_Unit]])*100</f>
        <v>28.34023853297008</v>
      </c>
      <c r="V506" s="6">
        <f>Table1[[#This Row],[Units_Sold]]*Table1[[#This Row],[Selling_Price_per_Unit]]</f>
        <v>23853474</v>
      </c>
      <c r="W506" s="7">
        <f>(Table1[[#This Row],[Units_Sold]]/$Z$1)</f>
        <v>0.2414439549721038</v>
      </c>
      <c r="X506" s="8">
        <f>((Table1[[#This Row],[Units_Sold]]*(Table1[[#This Row],[Selling_Price_per_Unit]]-Table1[[#This Row],[Manufacturing_Cost_per_Unit]]))-Table1[[#This Row],[Marketing_Spend]])/Table1[[#This Row],[Marketing_Spend]]</f>
        <v>29.412621063531706</v>
      </c>
    </row>
    <row r="507" spans="1:24" hidden="1" x14ac:dyDescent="0.3">
      <c r="A507" s="1" t="s">
        <v>524</v>
      </c>
      <c r="B507" s="1" t="s">
        <v>1406</v>
      </c>
      <c r="C507" s="1" t="s">
        <v>1634</v>
      </c>
      <c r="D507" s="1" t="s">
        <v>1637</v>
      </c>
      <c r="E507" s="1">
        <v>2024</v>
      </c>
      <c r="F507" s="1" t="s">
        <v>1642</v>
      </c>
      <c r="G507" s="1">
        <v>782</v>
      </c>
      <c r="H507" s="1">
        <v>7590</v>
      </c>
      <c r="I507" s="1">
        <v>7085</v>
      </c>
      <c r="J507" s="1">
        <v>96154</v>
      </c>
      <c r="K507" s="1">
        <v>14.94</v>
      </c>
      <c r="L507" s="1">
        <v>10</v>
      </c>
      <c r="M507" s="1">
        <v>4.05</v>
      </c>
      <c r="N507" s="1">
        <v>19.18</v>
      </c>
      <c r="O507" s="1">
        <v>33.47</v>
      </c>
      <c r="P507" s="1">
        <v>4.0999999999999996</v>
      </c>
      <c r="Q507" s="1">
        <v>17025</v>
      </c>
      <c r="R507" s="1">
        <v>5258</v>
      </c>
      <c r="S507" s="1">
        <v>6</v>
      </c>
      <c r="T507" s="1">
        <f>(Table1[[#This Row],[Selling_Price_per_Unit]]-Table1[[#This Row],[Manufacturing_Cost_per_Unit]])*Table1[[#This Row],[Units_Sold]]-Table1[[#This Row],[Marketing_Spend]]-Table1[[#This Row],[Discount_%]]</f>
        <v>298736.82</v>
      </c>
      <c r="U507" s="3">
        <f>Table1[[#This Row],[profit]]/(Table1[[#This Row],[Units_Sold]]*Table1[[#This Row],[Selling_Price_per_Unit]])*100</f>
        <v>5.0331540693266481</v>
      </c>
      <c r="V507" s="6">
        <f>Table1[[#This Row],[Units_Sold]]*Table1[[#This Row],[Selling_Price_per_Unit]]</f>
        <v>5935380</v>
      </c>
      <c r="W507" s="7">
        <f>(Table1[[#This Row],[Units_Sold]]/$Z$1)</f>
        <v>0.15655818639152999</v>
      </c>
      <c r="X507" s="8">
        <f>((Table1[[#This Row],[Units_Sold]]*(Table1[[#This Row],[Selling_Price_per_Unit]]-Table1[[#This Row],[Manufacturing_Cost_per_Unit]]))-Table1[[#This Row],[Marketing_Spend]])/Table1[[#This Row],[Marketing_Spend]]</f>
        <v>3.1070574287081141</v>
      </c>
    </row>
    <row r="508" spans="1:24" x14ac:dyDescent="0.3">
      <c r="A508" s="1" t="s">
        <v>525</v>
      </c>
      <c r="B508" s="1" t="s">
        <v>1407</v>
      </c>
      <c r="C508" s="1" t="s">
        <v>1634</v>
      </c>
      <c r="D508" s="1" t="s">
        <v>1635</v>
      </c>
      <c r="E508" s="1">
        <v>2024</v>
      </c>
      <c r="F508" s="1" t="s">
        <v>1641</v>
      </c>
      <c r="G508" s="1">
        <v>4380</v>
      </c>
      <c r="H508" s="1">
        <v>7582</v>
      </c>
      <c r="I508" s="1">
        <v>6232</v>
      </c>
      <c r="J508" s="1">
        <v>319160</v>
      </c>
      <c r="K508" s="1">
        <v>12.38</v>
      </c>
      <c r="L508" s="1">
        <v>13</v>
      </c>
      <c r="M508" s="1">
        <v>2.39</v>
      </c>
      <c r="N508" s="1">
        <v>23.17</v>
      </c>
      <c r="O508" s="1">
        <v>49.26</v>
      </c>
      <c r="P508" s="1">
        <v>2.7</v>
      </c>
      <c r="Q508" s="1">
        <v>5800</v>
      </c>
      <c r="R508" s="1">
        <v>8531</v>
      </c>
      <c r="S508" s="1">
        <v>3</v>
      </c>
      <c r="T508" s="1">
        <f>(Table1[[#This Row],[Selling_Price_per_Unit]]-Table1[[#This Row],[Manufacturing_Cost_per_Unit]])*Table1[[#This Row],[Units_Sold]]-Table1[[#This Row],[Marketing_Spend]]-Table1[[#This Row],[Discount_%]]</f>
        <v>5593816.8300000001</v>
      </c>
      <c r="U508" s="3">
        <f>Table1[[#This Row],[profit]]/(Table1[[#This Row],[Units_Sold]]*Table1[[#This Row],[Selling_Price_per_Unit]])*100</f>
        <v>16.844198498245667</v>
      </c>
      <c r="V508" s="6">
        <f>Table1[[#This Row],[Units_Sold]]*Table1[[#This Row],[Selling_Price_per_Unit]]</f>
        <v>33209160</v>
      </c>
      <c r="W508" s="7">
        <f>(Table1[[#This Row],[Units_Sold]]/$Z$1)</f>
        <v>0.87688600562007846</v>
      </c>
      <c r="X508" s="8">
        <f>((Table1[[#This Row],[Units_Sold]]*(Table1[[#This Row],[Selling_Price_per_Unit]]-Table1[[#This Row],[Manufacturing_Cost_per_Unit]]))-Table1[[#This Row],[Marketing_Spend]])/Table1[[#This Row],[Marketing_Spend]]</f>
        <v>17.526757739065047</v>
      </c>
    </row>
    <row r="509" spans="1:24" x14ac:dyDescent="0.3">
      <c r="A509" s="1" t="s">
        <v>776</v>
      </c>
      <c r="B509" s="1" t="s">
        <v>1533</v>
      </c>
      <c r="C509" s="1" t="s">
        <v>1632</v>
      </c>
      <c r="D509" s="1" t="s">
        <v>1635</v>
      </c>
      <c r="E509" s="1">
        <v>2024</v>
      </c>
      <c r="F509" s="1" t="s">
        <v>1641</v>
      </c>
      <c r="G509" s="1">
        <v>4630</v>
      </c>
      <c r="H509" s="1">
        <v>17673</v>
      </c>
      <c r="I509" s="1">
        <v>11493</v>
      </c>
      <c r="J509" s="1">
        <v>259987</v>
      </c>
      <c r="K509" s="1">
        <v>6.45</v>
      </c>
      <c r="L509" s="1">
        <v>5</v>
      </c>
      <c r="M509" s="1">
        <v>1.39</v>
      </c>
      <c r="N509" s="1">
        <v>18.03</v>
      </c>
      <c r="O509" s="1">
        <v>88.7</v>
      </c>
      <c r="P509" s="1">
        <v>1.8</v>
      </c>
      <c r="Q509" s="1">
        <v>5813</v>
      </c>
      <c r="R509" s="1">
        <v>2686</v>
      </c>
      <c r="S509" s="1">
        <v>5</v>
      </c>
      <c r="T509" s="1">
        <f>(Table1[[#This Row],[Selling_Price_per_Unit]]-Table1[[#This Row],[Manufacturing_Cost_per_Unit]])*Table1[[#This Row],[Units_Sold]]-Table1[[#This Row],[Marketing_Spend]]-Table1[[#This Row],[Discount_%]]</f>
        <v>28353394.969999999</v>
      </c>
      <c r="U509" s="3">
        <f>Table1[[#This Row],[profit]]/(Table1[[#This Row],[Units_Sold]]*Table1[[#This Row],[Selling_Price_per_Unit]])*100</f>
        <v>34.650842562369242</v>
      </c>
      <c r="V509" s="6">
        <f>Table1[[#This Row],[Units_Sold]]*Table1[[#This Row],[Selling_Price_per_Unit]]</f>
        <v>81825990</v>
      </c>
      <c r="W509" s="7">
        <f>(Table1[[#This Row],[Units_Sold]]/$Z$1)</f>
        <v>0.92693657671711494</v>
      </c>
      <c r="X509" s="8">
        <f>((Table1[[#This Row],[Units_Sold]]*(Table1[[#This Row],[Selling_Price_per_Unit]]-Table1[[#This Row],[Manufacturing_Cost_per_Unit]]))-Table1[[#This Row],[Marketing_Spend]])/Table1[[#This Row],[Marketing_Spend]]</f>
        <v>109.05704131360415</v>
      </c>
    </row>
    <row r="510" spans="1:24" hidden="1" x14ac:dyDescent="0.3">
      <c r="A510" s="1" t="s">
        <v>527</v>
      </c>
      <c r="B510" s="1" t="s">
        <v>1362</v>
      </c>
      <c r="C510" s="1" t="s">
        <v>1632</v>
      </c>
      <c r="D510" s="1" t="s">
        <v>1636</v>
      </c>
      <c r="E510" s="1">
        <v>2023</v>
      </c>
      <c r="F510" s="1" t="s">
        <v>1640</v>
      </c>
      <c r="G510" s="1">
        <v>1003</v>
      </c>
      <c r="H510" s="1">
        <v>3425</v>
      </c>
      <c r="I510" s="1">
        <v>3161</v>
      </c>
      <c r="J510" s="1">
        <v>401822</v>
      </c>
      <c r="K510" s="1">
        <v>3.74</v>
      </c>
      <c r="L510" s="1">
        <v>15</v>
      </c>
      <c r="M510" s="1">
        <v>6.4</v>
      </c>
      <c r="N510" s="1">
        <v>7.89</v>
      </c>
      <c r="O510" s="1">
        <v>70.819999999999993</v>
      </c>
      <c r="P510" s="1">
        <v>2.9</v>
      </c>
      <c r="Q510" s="1">
        <v>6987</v>
      </c>
      <c r="R510" s="1">
        <v>9652</v>
      </c>
      <c r="S510" s="1">
        <v>12</v>
      </c>
      <c r="T510" s="1">
        <f>(Table1[[#This Row],[Selling_Price_per_Unit]]-Table1[[#This Row],[Manufacturing_Cost_per_Unit]])*Table1[[#This Row],[Units_Sold]]-Table1[[#This Row],[Marketing_Spend]]-Table1[[#This Row],[Discount_%]]</f>
        <v>-137037.89000000001</v>
      </c>
      <c r="U510" s="3">
        <f>Table1[[#This Row],[profit]]/(Table1[[#This Row],[Units_Sold]]*Table1[[#This Row],[Selling_Price_per_Unit]])*100</f>
        <v>-3.9891388607898932</v>
      </c>
      <c r="V510" s="6">
        <f>Table1[[#This Row],[Units_Sold]]*Table1[[#This Row],[Selling_Price_per_Unit]]</f>
        <v>3435275</v>
      </c>
      <c r="W510" s="7">
        <f>(Table1[[#This Row],[Units_Sold]]/$Z$1)</f>
        <v>0.20080289124131021</v>
      </c>
      <c r="X510" s="8">
        <f>((Table1[[#This Row],[Units_Sold]]*(Table1[[#This Row],[Selling_Price_per_Unit]]-Table1[[#This Row],[Manufacturing_Cost_per_Unit]]))-Table1[[#This Row],[Marketing_Spend]])/Table1[[#This Row],[Marketing_Spend]]</f>
        <v>-0.34102164640064508</v>
      </c>
    </row>
    <row r="511" spans="1:24" hidden="1" x14ac:dyDescent="0.3">
      <c r="A511" s="1" t="s">
        <v>389</v>
      </c>
      <c r="B511" s="1" t="s">
        <v>1276</v>
      </c>
      <c r="C511" s="1" t="s">
        <v>1633</v>
      </c>
      <c r="D511" s="1" t="s">
        <v>1635</v>
      </c>
      <c r="E511" s="1">
        <v>2024</v>
      </c>
      <c r="F511" s="1" t="s">
        <v>1642</v>
      </c>
      <c r="G511" s="1">
        <v>2888</v>
      </c>
      <c r="H511" s="1">
        <v>16249</v>
      </c>
      <c r="I511" s="1">
        <v>6269</v>
      </c>
      <c r="J511" s="1">
        <v>470159</v>
      </c>
      <c r="K511" s="1">
        <v>3.06</v>
      </c>
      <c r="L511" s="1">
        <v>4</v>
      </c>
      <c r="M511" s="1">
        <v>0.5</v>
      </c>
      <c r="N511" s="1">
        <v>19.329999999999998</v>
      </c>
      <c r="O511" s="1">
        <v>51.74</v>
      </c>
      <c r="P511" s="1">
        <v>2</v>
      </c>
      <c r="Q511" s="1">
        <v>10341</v>
      </c>
      <c r="R511" s="1">
        <v>711</v>
      </c>
      <c r="S511" s="1">
        <v>13</v>
      </c>
      <c r="T511" s="1">
        <f>(Table1[[#This Row],[Selling_Price_per_Unit]]-Table1[[#This Row],[Manufacturing_Cost_per_Unit]])*Table1[[#This Row],[Units_Sold]]-Table1[[#This Row],[Marketing_Spend]]-Table1[[#This Row],[Discount_%]]</f>
        <v>28352061.670000002</v>
      </c>
      <c r="U511" s="3">
        <f>Table1[[#This Row],[profit]]/(Table1[[#This Row],[Units_Sold]]*Table1[[#This Row],[Selling_Price_per_Unit]])*100</f>
        <v>60.41723102414656</v>
      </c>
      <c r="V511" s="6">
        <f>Table1[[#This Row],[Units_Sold]]*Table1[[#This Row],[Selling_Price_per_Unit]]</f>
        <v>46927112</v>
      </c>
      <c r="W511" s="7">
        <f>(Table1[[#This Row],[Units_Sold]]/$Z$1)</f>
        <v>0.578184197312965</v>
      </c>
      <c r="X511" s="8">
        <f>((Table1[[#This Row],[Units_Sold]]*(Table1[[#This Row],[Selling_Price_per_Unit]]-Table1[[#This Row],[Manufacturing_Cost_per_Unit]]))-Table1[[#This Row],[Marketing_Spend]])/Table1[[#This Row],[Marketing_Spend]]</f>
        <v>60.303176159554532</v>
      </c>
    </row>
    <row r="512" spans="1:24" hidden="1" x14ac:dyDescent="0.3">
      <c r="A512" s="1" t="s">
        <v>529</v>
      </c>
      <c r="B512" s="1" t="s">
        <v>1153</v>
      </c>
      <c r="C512" s="1" t="s">
        <v>1632</v>
      </c>
      <c r="D512" s="1" t="s">
        <v>1637</v>
      </c>
      <c r="E512" s="1">
        <v>2023</v>
      </c>
      <c r="F512" s="1" t="s">
        <v>1642</v>
      </c>
      <c r="G512" s="1">
        <v>3374</v>
      </c>
      <c r="H512" s="1">
        <v>8417</v>
      </c>
      <c r="I512" s="1">
        <v>14193</v>
      </c>
      <c r="J512" s="1">
        <v>104238</v>
      </c>
      <c r="K512" s="1">
        <v>1.01</v>
      </c>
      <c r="L512" s="1">
        <v>14</v>
      </c>
      <c r="M512" s="1">
        <v>7.41</v>
      </c>
      <c r="N512" s="1">
        <v>17.04</v>
      </c>
      <c r="O512" s="1">
        <v>85.48</v>
      </c>
      <c r="P512" s="1">
        <v>4.2</v>
      </c>
      <c r="Q512" s="1">
        <v>18643</v>
      </c>
      <c r="R512" s="1">
        <v>5499</v>
      </c>
      <c r="S512" s="1">
        <v>8</v>
      </c>
      <c r="T512" s="1">
        <f>(Table1[[#This Row],[Selling_Price_per_Unit]]-Table1[[#This Row],[Manufacturing_Cost_per_Unit]])*Table1[[#This Row],[Units_Sold]]-Table1[[#This Row],[Marketing_Spend]]-Table1[[#This Row],[Discount_%]]</f>
        <v>-19592479.039999999</v>
      </c>
      <c r="U512" s="3">
        <f>Table1[[#This Row],[profit]]/(Table1[[#This Row],[Units_Sold]]*Table1[[#This Row],[Selling_Price_per_Unit]])*100</f>
        <v>-68.990133511236579</v>
      </c>
      <c r="V512" s="6">
        <f>Table1[[#This Row],[Units_Sold]]*Table1[[#This Row],[Selling_Price_per_Unit]]</f>
        <v>28398958</v>
      </c>
      <c r="W512" s="7">
        <f>(Table1[[#This Row],[Units_Sold]]/$Z$1)</f>
        <v>0.67548250752560379</v>
      </c>
      <c r="X512" s="8">
        <f>((Table1[[#This Row],[Units_Sold]]*(Table1[[#This Row],[Selling_Price_per_Unit]]-Table1[[#This Row],[Manufacturing_Cost_per_Unit]]))-Table1[[#This Row],[Marketing_Spend]])/Table1[[#This Row],[Marketing_Spend]]</f>
        <v>-187.95892093094648</v>
      </c>
    </row>
    <row r="513" spans="1:24" hidden="1" x14ac:dyDescent="0.3">
      <c r="A513" s="1" t="s">
        <v>530</v>
      </c>
      <c r="B513" s="1" t="s">
        <v>1410</v>
      </c>
      <c r="C513" s="1" t="s">
        <v>1633</v>
      </c>
      <c r="D513" s="1" t="s">
        <v>1635</v>
      </c>
      <c r="E513" s="1">
        <v>2023</v>
      </c>
      <c r="F513" s="1" t="s">
        <v>1640</v>
      </c>
      <c r="G513" s="1">
        <v>3351</v>
      </c>
      <c r="H513" s="1">
        <v>2052</v>
      </c>
      <c r="I513" s="1">
        <v>12644</v>
      </c>
      <c r="J513" s="1">
        <v>370752</v>
      </c>
      <c r="K513" s="1">
        <v>1.42</v>
      </c>
      <c r="L513" s="1">
        <v>3</v>
      </c>
      <c r="M513" s="1">
        <v>5.43</v>
      </c>
      <c r="N513" s="1">
        <v>22.22</v>
      </c>
      <c r="O513" s="1">
        <v>82.2</v>
      </c>
      <c r="P513" s="1">
        <v>4.9000000000000004</v>
      </c>
      <c r="Q513" s="1">
        <v>12780</v>
      </c>
      <c r="R513" s="1">
        <v>8603</v>
      </c>
      <c r="S513" s="1">
        <v>11</v>
      </c>
      <c r="T513" s="1">
        <f>(Table1[[#This Row],[Selling_Price_per_Unit]]-Table1[[#This Row],[Manufacturing_Cost_per_Unit]])*Table1[[#This Row],[Units_Sold]]-Table1[[#This Row],[Marketing_Spend]]-Table1[[#This Row],[Discount_%]]</f>
        <v>-35864566.219999999</v>
      </c>
      <c r="U513" s="3">
        <f>Table1[[#This Row],[profit]]/(Table1[[#This Row],[Units_Sold]]*Table1[[#This Row],[Selling_Price_per_Unit]])*100</f>
        <v>-521.57143484561072</v>
      </c>
      <c r="V513" s="6">
        <f>Table1[[#This Row],[Units_Sold]]*Table1[[#This Row],[Selling_Price_per_Unit]]</f>
        <v>6876252</v>
      </c>
      <c r="W513" s="7">
        <f>(Table1[[#This Row],[Units_Sold]]/$Z$1)</f>
        <v>0.67087785498467645</v>
      </c>
      <c r="X513" s="8">
        <f>((Table1[[#This Row],[Units_Sold]]*(Table1[[#This Row],[Selling_Price_per_Unit]]-Table1[[#This Row],[Manufacturing_Cost_per_Unit]]))-Table1[[#This Row],[Marketing_Spend]])/Table1[[#This Row],[Marketing_Spend]]</f>
        <v>-96.734593474883482</v>
      </c>
    </row>
    <row r="514" spans="1:24" hidden="1" x14ac:dyDescent="0.3">
      <c r="A514" s="1" t="s">
        <v>531</v>
      </c>
      <c r="B514" s="1" t="s">
        <v>1319</v>
      </c>
      <c r="C514" s="1" t="s">
        <v>1634</v>
      </c>
      <c r="D514" s="1" t="s">
        <v>1638</v>
      </c>
      <c r="E514" s="1">
        <v>2024</v>
      </c>
      <c r="F514" s="1" t="s">
        <v>1639</v>
      </c>
      <c r="G514" s="1">
        <v>1592</v>
      </c>
      <c r="H514" s="1">
        <v>5411</v>
      </c>
      <c r="I514" s="1">
        <v>4470</v>
      </c>
      <c r="J514" s="1">
        <v>139081</v>
      </c>
      <c r="K514" s="1">
        <v>14.98</v>
      </c>
      <c r="L514" s="1">
        <v>4</v>
      </c>
      <c r="M514" s="1">
        <v>6.54</v>
      </c>
      <c r="N514" s="1">
        <v>17.309999999999999</v>
      </c>
      <c r="O514" s="1">
        <v>79.77</v>
      </c>
      <c r="P514" s="1">
        <v>4.7</v>
      </c>
      <c r="Q514" s="1">
        <v>11807</v>
      </c>
      <c r="R514" s="1">
        <v>1176</v>
      </c>
      <c r="S514" s="1">
        <v>9</v>
      </c>
      <c r="T514" s="1">
        <f>(Table1[[#This Row],[Selling_Price_per_Unit]]-Table1[[#This Row],[Manufacturing_Cost_per_Unit]])*Table1[[#This Row],[Units_Sold]]-Table1[[#This Row],[Marketing_Spend]]-Table1[[#This Row],[Discount_%]]</f>
        <v>1358973.69</v>
      </c>
      <c r="U514" s="3">
        <f>Table1[[#This Row],[profit]]/(Table1[[#This Row],[Units_Sold]]*Table1[[#This Row],[Selling_Price_per_Unit]])*100</f>
        <v>15.775765841775872</v>
      </c>
      <c r="V514" s="6">
        <f>Table1[[#This Row],[Units_Sold]]*Table1[[#This Row],[Selling_Price_per_Unit]]</f>
        <v>8614312</v>
      </c>
      <c r="W514" s="7">
        <f>(Table1[[#This Row],[Units_Sold]]/$Z$1)</f>
        <v>0.31872203674592808</v>
      </c>
      <c r="X514" s="8">
        <f>((Table1[[#This Row],[Units_Sold]]*(Table1[[#This Row],[Selling_Price_per_Unit]]-Table1[[#This Row],[Manufacturing_Cost_per_Unit]]))-Table1[[#This Row],[Marketing_Spend]])/Table1[[#This Row],[Marketing_Spend]]</f>
        <v>9.7712196489815284</v>
      </c>
    </row>
    <row r="515" spans="1:24" hidden="1" x14ac:dyDescent="0.3">
      <c r="A515" s="1" t="s">
        <v>532</v>
      </c>
      <c r="B515" s="1" t="s">
        <v>1411</v>
      </c>
      <c r="C515" s="1" t="s">
        <v>1634</v>
      </c>
      <c r="D515" s="1" t="s">
        <v>1637</v>
      </c>
      <c r="E515" s="1">
        <v>2024</v>
      </c>
      <c r="F515" s="1" t="s">
        <v>1639</v>
      </c>
      <c r="G515" s="1">
        <v>1241</v>
      </c>
      <c r="H515" s="1">
        <v>4889</v>
      </c>
      <c r="I515" s="1">
        <v>2553</v>
      </c>
      <c r="J515" s="1">
        <v>297644</v>
      </c>
      <c r="K515" s="1">
        <v>4.9000000000000004</v>
      </c>
      <c r="L515" s="1">
        <v>16</v>
      </c>
      <c r="M515" s="1">
        <v>2.74</v>
      </c>
      <c r="N515" s="1">
        <v>6.09</v>
      </c>
      <c r="O515" s="1">
        <v>15.7</v>
      </c>
      <c r="P515" s="1">
        <v>4.5999999999999996</v>
      </c>
      <c r="Q515" s="1">
        <v>11415</v>
      </c>
      <c r="R515" s="1">
        <v>7335</v>
      </c>
      <c r="S515" s="1">
        <v>7</v>
      </c>
      <c r="T515" s="1">
        <f>(Table1[[#This Row],[Selling_Price_per_Unit]]-Table1[[#This Row],[Manufacturing_Cost_per_Unit]])*Table1[[#This Row],[Units_Sold]]-Table1[[#This Row],[Marketing_Spend]]-Table1[[#This Row],[Discount_%]]</f>
        <v>2601325.91</v>
      </c>
      <c r="U515" s="3">
        <f>Table1[[#This Row],[profit]]/(Table1[[#This Row],[Units_Sold]]*Table1[[#This Row],[Selling_Price_per_Unit]])*100</f>
        <v>42.874882998868188</v>
      </c>
      <c r="V515" s="6">
        <f>Table1[[#This Row],[Units_Sold]]*Table1[[#This Row],[Selling_Price_per_Unit]]</f>
        <v>6067249</v>
      </c>
      <c r="W515" s="7">
        <f>(Table1[[#This Row],[Units_Sold]]/$Z$1)</f>
        <v>0.2484510349256889</v>
      </c>
      <c r="X515" s="8">
        <f>((Table1[[#This Row],[Units_Sold]]*(Table1[[#This Row],[Selling_Price_per_Unit]]-Table1[[#This Row],[Manufacturing_Cost_per_Unit]]))-Table1[[#This Row],[Marketing_Spend]])/Table1[[#This Row],[Marketing_Spend]]</f>
        <v>8.7397427799653276</v>
      </c>
    </row>
    <row r="516" spans="1:24" hidden="1" x14ac:dyDescent="0.3">
      <c r="A516" s="1" t="s">
        <v>189</v>
      </c>
      <c r="B516" s="1" t="s">
        <v>1174</v>
      </c>
      <c r="C516" s="1" t="s">
        <v>1632</v>
      </c>
      <c r="D516" s="1" t="s">
        <v>1638</v>
      </c>
      <c r="E516" s="1">
        <v>2023</v>
      </c>
      <c r="F516" s="1" t="s">
        <v>1641</v>
      </c>
      <c r="G516" s="1">
        <v>1757</v>
      </c>
      <c r="H516" s="1">
        <v>17814</v>
      </c>
      <c r="I516" s="1">
        <v>1569</v>
      </c>
      <c r="J516" s="1">
        <v>198510</v>
      </c>
      <c r="K516" s="1">
        <v>4.46</v>
      </c>
      <c r="L516" s="1">
        <v>17</v>
      </c>
      <c r="M516" s="1">
        <v>5.52</v>
      </c>
      <c r="N516" s="1">
        <v>4.45</v>
      </c>
      <c r="O516" s="1">
        <v>31.12</v>
      </c>
      <c r="P516" s="1">
        <v>3.4</v>
      </c>
      <c r="Q516" s="1">
        <v>12104</v>
      </c>
      <c r="R516" s="1">
        <v>9183</v>
      </c>
      <c r="S516" s="1">
        <v>14</v>
      </c>
      <c r="T516" s="1">
        <f>(Table1[[#This Row],[Selling_Price_per_Unit]]-Table1[[#This Row],[Manufacturing_Cost_per_Unit]])*Table1[[#This Row],[Units_Sold]]-Table1[[#This Row],[Marketing_Spend]]-Table1[[#This Row],[Discount_%]]</f>
        <v>28343950.550000001</v>
      </c>
      <c r="U516" s="3">
        <f>Table1[[#This Row],[profit]]/(Table1[[#This Row],[Units_Sold]]*Table1[[#This Row],[Selling_Price_per_Unit]])*100</f>
        <v>90.558072925702447</v>
      </c>
      <c r="V516" s="6">
        <f>Table1[[#This Row],[Units_Sold]]*Table1[[#This Row],[Selling_Price_per_Unit]]</f>
        <v>31299198</v>
      </c>
      <c r="W516" s="7">
        <f>(Table1[[#This Row],[Units_Sold]]/$Z$1)</f>
        <v>0.35175541366997209</v>
      </c>
      <c r="X516" s="8">
        <f>((Table1[[#This Row],[Units_Sold]]*(Table1[[#This Row],[Selling_Price_per_Unit]]-Table1[[#This Row],[Manufacturing_Cost_per_Unit]]))-Table1[[#This Row],[Marketing_Spend]])/Table1[[#This Row],[Marketing_Spend]]</f>
        <v>142.78351216563397</v>
      </c>
    </row>
    <row r="517" spans="1:24" hidden="1" x14ac:dyDescent="0.3">
      <c r="A517" s="1" t="s">
        <v>534</v>
      </c>
      <c r="B517" s="1" t="s">
        <v>1155</v>
      </c>
      <c r="C517" s="1" t="s">
        <v>1632</v>
      </c>
      <c r="D517" s="1" t="s">
        <v>1638</v>
      </c>
      <c r="E517" s="1">
        <v>2024</v>
      </c>
      <c r="F517" s="1" t="s">
        <v>1640</v>
      </c>
      <c r="G517" s="1">
        <v>2731</v>
      </c>
      <c r="H517" s="1">
        <v>3930</v>
      </c>
      <c r="I517" s="1">
        <v>11344</v>
      </c>
      <c r="J517" s="1">
        <v>363105</v>
      </c>
      <c r="K517" s="1">
        <v>12.1</v>
      </c>
      <c r="L517" s="1">
        <v>15</v>
      </c>
      <c r="M517" s="1">
        <v>4.8899999999999997</v>
      </c>
      <c r="N517" s="1">
        <v>2.62</v>
      </c>
      <c r="O517" s="1">
        <v>72.53</v>
      </c>
      <c r="P517" s="1">
        <v>2.5</v>
      </c>
      <c r="Q517" s="1">
        <v>10121</v>
      </c>
      <c r="R517" s="1">
        <v>133</v>
      </c>
      <c r="S517" s="1">
        <v>7</v>
      </c>
      <c r="T517" s="1">
        <f>(Table1[[#This Row],[Selling_Price_per_Unit]]-Table1[[#This Row],[Manufacturing_Cost_per_Unit]])*Table1[[#This Row],[Units_Sold]]-Table1[[#This Row],[Marketing_Spend]]-Table1[[#This Row],[Discount_%]]</f>
        <v>-20610741.620000001</v>
      </c>
      <c r="U517" s="3">
        <f>Table1[[#This Row],[profit]]/(Table1[[#This Row],[Units_Sold]]*Table1[[#This Row],[Selling_Price_per_Unit]])*100</f>
        <v>-192.03454839031272</v>
      </c>
      <c r="V517" s="6">
        <f>Table1[[#This Row],[Units_Sold]]*Table1[[#This Row],[Selling_Price_per_Unit]]</f>
        <v>10732830</v>
      </c>
      <c r="W517" s="7">
        <f>(Table1[[#This Row],[Units_Sold]]/$Z$1)</f>
        <v>0.54675243866402612</v>
      </c>
      <c r="X517" s="8">
        <f>((Table1[[#This Row],[Units_Sold]]*(Table1[[#This Row],[Selling_Price_per_Unit]]-Table1[[#This Row],[Manufacturing_Cost_per_Unit]]))-Table1[[#This Row],[Marketing_Spend]])/Table1[[#This Row],[Marketing_Spend]]</f>
        <v>-56.762476418666779</v>
      </c>
    </row>
    <row r="518" spans="1:24" hidden="1" x14ac:dyDescent="0.3">
      <c r="A518" s="1" t="s">
        <v>535</v>
      </c>
      <c r="B518" s="1" t="s">
        <v>1413</v>
      </c>
      <c r="C518" s="1" t="s">
        <v>1633</v>
      </c>
      <c r="D518" s="1" t="s">
        <v>1635</v>
      </c>
      <c r="E518" s="1">
        <v>2024</v>
      </c>
      <c r="F518" s="1" t="s">
        <v>1642</v>
      </c>
      <c r="G518" s="1">
        <v>1267</v>
      </c>
      <c r="H518" s="1">
        <v>1958</v>
      </c>
      <c r="I518" s="1">
        <v>2738</v>
      </c>
      <c r="J518" s="1">
        <v>249775</v>
      </c>
      <c r="K518" s="1">
        <v>12.87</v>
      </c>
      <c r="L518" s="1">
        <v>13</v>
      </c>
      <c r="M518" s="1">
        <v>1.33</v>
      </c>
      <c r="N518" s="1">
        <v>6.7</v>
      </c>
      <c r="O518" s="1">
        <v>18.28</v>
      </c>
      <c r="P518" s="1">
        <v>1.4</v>
      </c>
      <c r="Q518" s="1">
        <v>12047</v>
      </c>
      <c r="R518" s="1">
        <v>1941</v>
      </c>
      <c r="S518" s="1">
        <v>8</v>
      </c>
      <c r="T518" s="1">
        <f>(Table1[[#This Row],[Selling_Price_per_Unit]]-Table1[[#This Row],[Manufacturing_Cost_per_Unit]])*Table1[[#This Row],[Units_Sold]]-Table1[[#This Row],[Marketing_Spend]]-Table1[[#This Row],[Discount_%]]</f>
        <v>-1238041.7</v>
      </c>
      <c r="U518" s="3">
        <f>Table1[[#This Row],[profit]]/(Table1[[#This Row],[Units_Sold]]*Table1[[#This Row],[Selling_Price_per_Unit]])*100</f>
        <v>-49.905219555415101</v>
      </c>
      <c r="V518" s="6">
        <f>Table1[[#This Row],[Units_Sold]]*Table1[[#This Row],[Selling_Price_per_Unit]]</f>
        <v>2480786</v>
      </c>
      <c r="W518" s="7">
        <f>(Table1[[#This Row],[Units_Sold]]/$Z$1)</f>
        <v>0.25365629431978071</v>
      </c>
      <c r="X518" s="8">
        <f>((Table1[[#This Row],[Units_Sold]]*(Table1[[#This Row],[Selling_Price_per_Unit]]-Table1[[#This Row],[Manufacturing_Cost_per_Unit]]))-Table1[[#This Row],[Marketing_Spend]])/Table1[[#This Row],[Marketing_Spend]]</f>
        <v>-4.9566009408467622</v>
      </c>
    </row>
    <row r="519" spans="1:24" hidden="1" x14ac:dyDescent="0.3">
      <c r="A519" s="1" t="s">
        <v>536</v>
      </c>
      <c r="B519" s="1" t="s">
        <v>1343</v>
      </c>
      <c r="C519" s="1" t="s">
        <v>1633</v>
      </c>
      <c r="D519" s="1" t="s">
        <v>1635</v>
      </c>
      <c r="E519" s="1">
        <v>2024</v>
      </c>
      <c r="F519" s="1" t="s">
        <v>1640</v>
      </c>
      <c r="G519" s="1">
        <v>1590</v>
      </c>
      <c r="H519" s="1">
        <v>14895</v>
      </c>
      <c r="I519" s="1">
        <v>9362</v>
      </c>
      <c r="J519" s="1">
        <v>487973</v>
      </c>
      <c r="K519" s="1">
        <v>14.96</v>
      </c>
      <c r="L519" s="1">
        <v>15</v>
      </c>
      <c r="M519" s="1">
        <v>2.4300000000000002</v>
      </c>
      <c r="N519" s="1">
        <v>13</v>
      </c>
      <c r="O519" s="1">
        <v>18.59</v>
      </c>
      <c r="P519" s="1">
        <v>3.8</v>
      </c>
      <c r="Q519" s="1">
        <v>14985</v>
      </c>
      <c r="R519" s="1">
        <v>4581</v>
      </c>
      <c r="S519" s="1">
        <v>8</v>
      </c>
      <c r="T519" s="1">
        <f>(Table1[[#This Row],[Selling_Price_per_Unit]]-Table1[[#This Row],[Manufacturing_Cost_per_Unit]])*Table1[[#This Row],[Units_Sold]]-Table1[[#This Row],[Marketing_Spend]]-Table1[[#This Row],[Discount_%]]</f>
        <v>8309484</v>
      </c>
      <c r="U519" s="3">
        <f>Table1[[#This Row],[profit]]/(Table1[[#This Row],[Units_Sold]]*Table1[[#This Row],[Selling_Price_per_Unit]])*100</f>
        <v>35.086207224153981</v>
      </c>
      <c r="V519" s="6">
        <f>Table1[[#This Row],[Units_Sold]]*Table1[[#This Row],[Selling_Price_per_Unit]]</f>
        <v>23683050</v>
      </c>
      <c r="W519" s="7">
        <f>(Table1[[#This Row],[Units_Sold]]/$Z$1)</f>
        <v>0.31832163217715176</v>
      </c>
      <c r="X519" s="8">
        <f>((Table1[[#This Row],[Units_Sold]]*(Table1[[#This Row],[Selling_Price_per_Unit]]-Table1[[#This Row],[Manufacturing_Cost_per_Unit]]))-Table1[[#This Row],[Marketing_Spend]])/Table1[[#This Row],[Marketing_Spend]]</f>
        <v>17.028599943029636</v>
      </c>
    </row>
    <row r="520" spans="1:24" hidden="1" x14ac:dyDescent="0.3">
      <c r="A520" s="1" t="s">
        <v>537</v>
      </c>
      <c r="B520" s="1" t="s">
        <v>1103</v>
      </c>
      <c r="C520" s="1" t="s">
        <v>1632</v>
      </c>
      <c r="D520" s="1" t="s">
        <v>1635</v>
      </c>
      <c r="E520" s="1">
        <v>2024</v>
      </c>
      <c r="F520" s="1" t="s">
        <v>1642</v>
      </c>
      <c r="G520" s="1">
        <v>3286</v>
      </c>
      <c r="H520" s="1">
        <v>1707</v>
      </c>
      <c r="I520" s="1">
        <v>6776</v>
      </c>
      <c r="J520" s="1">
        <v>339061</v>
      </c>
      <c r="K520" s="1">
        <v>3.62</v>
      </c>
      <c r="L520" s="1">
        <v>6</v>
      </c>
      <c r="M520" s="1">
        <v>2.92</v>
      </c>
      <c r="N520" s="1">
        <v>14.14</v>
      </c>
      <c r="O520" s="1">
        <v>18.09</v>
      </c>
      <c r="P520" s="1">
        <v>4.9000000000000004</v>
      </c>
      <c r="Q520" s="1">
        <v>3959</v>
      </c>
      <c r="R520" s="1">
        <v>8540</v>
      </c>
      <c r="S520" s="1">
        <v>10</v>
      </c>
      <c r="T520" s="1">
        <f>(Table1[[#This Row],[Selling_Price_per_Unit]]-Table1[[#This Row],[Manufacturing_Cost_per_Unit]])*Table1[[#This Row],[Units_Sold]]-Table1[[#This Row],[Marketing_Spend]]-Table1[[#This Row],[Discount_%]]</f>
        <v>-16995809.140000001</v>
      </c>
      <c r="U520" s="3">
        <f>Table1[[#This Row],[profit]]/(Table1[[#This Row],[Units_Sold]]*Table1[[#This Row],[Selling_Price_per_Unit]])*100</f>
        <v>-302.99869999333237</v>
      </c>
      <c r="V520" s="6">
        <f>Table1[[#This Row],[Units_Sold]]*Table1[[#This Row],[Selling_Price_per_Unit]]</f>
        <v>5609202</v>
      </c>
      <c r="W520" s="7">
        <f>(Table1[[#This Row],[Units_Sold]]/$Z$1)</f>
        <v>0.65786470649944695</v>
      </c>
      <c r="X520" s="8">
        <f>((Table1[[#This Row],[Units_Sold]]*(Table1[[#This Row],[Selling_Price_per_Unit]]-Table1[[#This Row],[Manufacturing_Cost_per_Unit]]))-Table1[[#This Row],[Marketing_Spend]])/Table1[[#This Row],[Marketing_Spend]]</f>
        <v>-50.126068760488529</v>
      </c>
    </row>
    <row r="521" spans="1:24" hidden="1" x14ac:dyDescent="0.3">
      <c r="A521" s="1" t="s">
        <v>538</v>
      </c>
      <c r="B521" s="1" t="s">
        <v>1414</v>
      </c>
      <c r="C521" s="1" t="s">
        <v>1632</v>
      </c>
      <c r="D521" s="1" t="s">
        <v>1637</v>
      </c>
      <c r="E521" s="1">
        <v>2024</v>
      </c>
      <c r="F521" s="1" t="s">
        <v>1642</v>
      </c>
      <c r="G521" s="1">
        <v>2436</v>
      </c>
      <c r="H521" s="1">
        <v>2399</v>
      </c>
      <c r="I521" s="1">
        <v>13940</v>
      </c>
      <c r="J521" s="1">
        <v>465952</v>
      </c>
      <c r="K521" s="1">
        <v>0.61</v>
      </c>
      <c r="L521" s="1">
        <v>8</v>
      </c>
      <c r="M521" s="1">
        <v>9.24</v>
      </c>
      <c r="N521" s="1">
        <v>0.38</v>
      </c>
      <c r="O521" s="1">
        <v>10.91</v>
      </c>
      <c r="P521" s="1">
        <v>3.9</v>
      </c>
      <c r="Q521" s="1">
        <v>6773</v>
      </c>
      <c r="R521" s="1">
        <v>1234</v>
      </c>
      <c r="S521" s="1">
        <v>12</v>
      </c>
      <c r="T521" s="1">
        <f>(Table1[[#This Row],[Selling_Price_per_Unit]]-Table1[[#This Row],[Manufacturing_Cost_per_Unit]])*Table1[[#This Row],[Units_Sold]]-Table1[[#This Row],[Marketing_Spend]]-Table1[[#This Row],[Discount_%]]</f>
        <v>-28579828.379999999</v>
      </c>
      <c r="U521" s="3">
        <f>Table1[[#This Row],[profit]]/(Table1[[#This Row],[Units_Sold]]*Table1[[#This Row],[Selling_Price_per_Unit]])*100</f>
        <v>-489.04867278443191</v>
      </c>
      <c r="V521" s="6">
        <f>Table1[[#This Row],[Units_Sold]]*Table1[[#This Row],[Selling_Price_per_Unit]]</f>
        <v>5843964</v>
      </c>
      <c r="W521" s="7">
        <f>(Table1[[#This Row],[Units_Sold]]/$Z$1)</f>
        <v>0.48769276476952311</v>
      </c>
      <c r="X521" s="8">
        <f>((Table1[[#This Row],[Units_Sold]]*(Table1[[#This Row],[Selling_Price_per_Unit]]-Table1[[#This Row],[Manufacturing_Cost_per_Unit]]))-Table1[[#This Row],[Marketing_Spend]])/Table1[[#This Row],[Marketing_Spend]]</f>
        <v>-61.336420918892934</v>
      </c>
    </row>
    <row r="522" spans="1:24" x14ac:dyDescent="0.3">
      <c r="A522" s="1" t="s">
        <v>539</v>
      </c>
      <c r="B522" s="1" t="s">
        <v>1415</v>
      </c>
      <c r="C522" s="1" t="s">
        <v>1634</v>
      </c>
      <c r="D522" s="1" t="s">
        <v>1638</v>
      </c>
      <c r="E522" s="1">
        <v>2024</v>
      </c>
      <c r="F522" s="1" t="s">
        <v>1642</v>
      </c>
      <c r="G522" s="1">
        <v>3769</v>
      </c>
      <c r="H522" s="1">
        <v>13153</v>
      </c>
      <c r="I522" s="1">
        <v>13471</v>
      </c>
      <c r="J522" s="1">
        <v>340134</v>
      </c>
      <c r="K522" s="1">
        <v>6.17</v>
      </c>
      <c r="L522" s="1">
        <v>3</v>
      </c>
      <c r="M522" s="1">
        <v>2.2999999999999998</v>
      </c>
      <c r="N522" s="1">
        <v>19.510000000000002</v>
      </c>
      <c r="O522" s="1">
        <v>53.89</v>
      </c>
      <c r="P522" s="1">
        <v>4.7</v>
      </c>
      <c r="Q522" s="1">
        <v>19602</v>
      </c>
      <c r="R522" s="1">
        <v>7361</v>
      </c>
      <c r="S522" s="1">
        <v>9</v>
      </c>
      <c r="T522" s="1">
        <f>(Table1[[#This Row],[Selling_Price_per_Unit]]-Table1[[#This Row],[Manufacturing_Cost_per_Unit]])*Table1[[#This Row],[Units_Sold]]-Table1[[#This Row],[Marketing_Spend]]-Table1[[#This Row],[Discount_%]]</f>
        <v>-1538695.51</v>
      </c>
      <c r="U522" s="3">
        <f>Table1[[#This Row],[profit]]/(Table1[[#This Row],[Units_Sold]]*Table1[[#This Row],[Selling_Price_per_Unit]])*100</f>
        <v>-3.1038571755963051</v>
      </c>
      <c r="V522" s="6">
        <f>Table1[[#This Row],[Units_Sold]]*Table1[[#This Row],[Selling_Price_per_Unit]]</f>
        <v>49573657</v>
      </c>
      <c r="W522" s="7">
        <f>(Table1[[#This Row],[Units_Sold]]/$Z$1)</f>
        <v>0.75456240985892142</v>
      </c>
      <c r="X522" s="8">
        <f>((Table1[[#This Row],[Units_Sold]]*(Table1[[#This Row],[Selling_Price_per_Unit]]-Table1[[#This Row],[Manufacturing_Cost_per_Unit]]))-Table1[[#This Row],[Marketing_Spend]])/Table1[[#This Row],[Marketing_Spend]]</f>
        <v>-4.5237347633579708</v>
      </c>
    </row>
    <row r="523" spans="1:24" hidden="1" x14ac:dyDescent="0.3">
      <c r="A523" s="1" t="s">
        <v>540</v>
      </c>
      <c r="B523" s="1" t="s">
        <v>1290</v>
      </c>
      <c r="C523" s="1" t="s">
        <v>1633</v>
      </c>
      <c r="D523" s="1" t="s">
        <v>1637</v>
      </c>
      <c r="E523" s="1">
        <v>2024</v>
      </c>
      <c r="F523" s="1" t="s">
        <v>1640</v>
      </c>
      <c r="G523" s="1">
        <v>1438</v>
      </c>
      <c r="H523" s="1">
        <v>17905</v>
      </c>
      <c r="I523" s="1">
        <v>10923</v>
      </c>
      <c r="J523" s="1">
        <v>112551</v>
      </c>
      <c r="K523" s="1">
        <v>1.95</v>
      </c>
      <c r="L523" s="1">
        <v>10</v>
      </c>
      <c r="M523" s="1">
        <v>2.89</v>
      </c>
      <c r="N523" s="1">
        <v>9.0399999999999991</v>
      </c>
      <c r="O523" s="1">
        <v>87.87</v>
      </c>
      <c r="P523" s="1">
        <v>4.2</v>
      </c>
      <c r="Q523" s="1">
        <v>10957</v>
      </c>
      <c r="R523" s="1">
        <v>5398</v>
      </c>
      <c r="S523" s="1">
        <v>14</v>
      </c>
      <c r="T523" s="1">
        <f>(Table1[[#This Row],[Selling_Price_per_Unit]]-Table1[[#This Row],[Manufacturing_Cost_per_Unit]])*Table1[[#This Row],[Units_Sold]]-Table1[[#This Row],[Marketing_Spend]]-Table1[[#This Row],[Discount_%]]</f>
        <v>9927555.9600000009</v>
      </c>
      <c r="U523" s="3">
        <f>Table1[[#This Row],[profit]]/(Table1[[#This Row],[Units_Sold]]*Table1[[#This Row],[Selling_Price_per_Unit]])*100</f>
        <v>38.557523539279131</v>
      </c>
      <c r="V523" s="6">
        <f>Table1[[#This Row],[Units_Sold]]*Table1[[#This Row],[Selling_Price_per_Unit]]</f>
        <v>25747390</v>
      </c>
      <c r="W523" s="7">
        <f>(Table1[[#This Row],[Units_Sold]]/$Z$1)</f>
        <v>0.28789088495015364</v>
      </c>
      <c r="X523" s="8">
        <f>((Table1[[#This Row],[Units_Sold]]*(Table1[[#This Row],[Selling_Price_per_Unit]]-Table1[[#This Row],[Manufacturing_Cost_per_Unit]]))-Table1[[#This Row],[Marketing_Spend]])/Table1[[#This Row],[Marketing_Spend]]</f>
        <v>88.205035939263084</v>
      </c>
    </row>
    <row r="524" spans="1:24" hidden="1" x14ac:dyDescent="0.3">
      <c r="A524" s="1" t="s">
        <v>541</v>
      </c>
      <c r="B524" s="1" t="s">
        <v>1145</v>
      </c>
      <c r="C524" s="1" t="s">
        <v>1633</v>
      </c>
      <c r="D524" s="1" t="s">
        <v>1636</v>
      </c>
      <c r="E524" s="1">
        <v>2024</v>
      </c>
      <c r="F524" s="1" t="s">
        <v>1642</v>
      </c>
      <c r="G524" s="1">
        <v>1906</v>
      </c>
      <c r="H524" s="1">
        <v>10101</v>
      </c>
      <c r="I524" s="1">
        <v>7388</v>
      </c>
      <c r="J524" s="1">
        <v>260695</v>
      </c>
      <c r="K524" s="1">
        <v>0.34</v>
      </c>
      <c r="L524" s="1">
        <v>1</v>
      </c>
      <c r="M524" s="1">
        <v>3.69</v>
      </c>
      <c r="N524" s="1">
        <v>10.16</v>
      </c>
      <c r="O524" s="1">
        <v>45.09</v>
      </c>
      <c r="P524" s="1">
        <v>1.7</v>
      </c>
      <c r="Q524" s="1">
        <v>6923</v>
      </c>
      <c r="R524" s="1">
        <v>7117</v>
      </c>
      <c r="S524" s="1">
        <v>2</v>
      </c>
      <c r="T524" s="1">
        <f>(Table1[[#This Row],[Selling_Price_per_Unit]]-Table1[[#This Row],[Manufacturing_Cost_per_Unit]])*Table1[[#This Row],[Units_Sold]]-Table1[[#This Row],[Marketing_Spend]]-Table1[[#This Row],[Discount_%]]</f>
        <v>4910272.84</v>
      </c>
      <c r="U524" s="3">
        <f>Table1[[#This Row],[profit]]/(Table1[[#This Row],[Units_Sold]]*Table1[[#This Row],[Selling_Price_per_Unit]])*100</f>
        <v>25.504590623163548</v>
      </c>
      <c r="V524" s="6">
        <f>Table1[[#This Row],[Units_Sold]]*Table1[[#This Row],[Selling_Price_per_Unit]]</f>
        <v>19252506</v>
      </c>
      <c r="W524" s="7">
        <f>(Table1[[#This Row],[Units_Sold]]/$Z$1)</f>
        <v>0.38158555404380584</v>
      </c>
      <c r="X524" s="8">
        <f>((Table1[[#This Row],[Units_Sold]]*(Table1[[#This Row],[Selling_Price_per_Unit]]-Table1[[#This Row],[Manufacturing_Cost_per_Unit]]))-Table1[[#This Row],[Marketing_Spend]])/Table1[[#This Row],[Marketing_Spend]]</f>
        <v>18.835355492050098</v>
      </c>
    </row>
    <row r="525" spans="1:24" hidden="1" x14ac:dyDescent="0.3">
      <c r="A525" s="1" t="s">
        <v>542</v>
      </c>
      <c r="B525" s="1" t="s">
        <v>1414</v>
      </c>
      <c r="C525" s="1" t="s">
        <v>1633</v>
      </c>
      <c r="D525" s="1" t="s">
        <v>1636</v>
      </c>
      <c r="E525" s="1">
        <v>2024</v>
      </c>
      <c r="F525" s="1" t="s">
        <v>1642</v>
      </c>
      <c r="G525" s="1">
        <v>1415</v>
      </c>
      <c r="H525" s="1">
        <v>2394</v>
      </c>
      <c r="I525" s="1">
        <v>9416</v>
      </c>
      <c r="J525" s="1">
        <v>203512</v>
      </c>
      <c r="K525" s="1">
        <v>5.41</v>
      </c>
      <c r="L525" s="1">
        <v>11</v>
      </c>
      <c r="M525" s="1">
        <v>6.64</v>
      </c>
      <c r="N525" s="1">
        <v>20.23</v>
      </c>
      <c r="O525" s="1">
        <v>53.26</v>
      </c>
      <c r="P525" s="1">
        <v>2</v>
      </c>
      <c r="Q525" s="1">
        <v>19192</v>
      </c>
      <c r="R525" s="1">
        <v>7871</v>
      </c>
      <c r="S525" s="1">
        <v>5</v>
      </c>
      <c r="T525" s="1">
        <f>(Table1[[#This Row],[Selling_Price_per_Unit]]-Table1[[#This Row],[Manufacturing_Cost_per_Unit]])*Table1[[#This Row],[Units_Sold]]-Table1[[#This Row],[Marketing_Spend]]-Table1[[#This Row],[Discount_%]]</f>
        <v>-10139662.23</v>
      </c>
      <c r="U525" s="3">
        <f>Table1[[#This Row],[profit]]/(Table1[[#This Row],[Units_Sold]]*Table1[[#This Row],[Selling_Price_per_Unit]])*100</f>
        <v>-299.32493867176777</v>
      </c>
      <c r="V525" s="6">
        <f>Table1[[#This Row],[Units_Sold]]*Table1[[#This Row],[Selling_Price_per_Unit]]</f>
        <v>3387510</v>
      </c>
      <c r="W525" s="7">
        <f>(Table1[[#This Row],[Units_Sold]]/$Z$1)</f>
        <v>0.28328623240922629</v>
      </c>
      <c r="X525" s="8">
        <f>((Table1[[#This Row],[Units_Sold]]*(Table1[[#This Row],[Selling_Price_per_Unit]]-Table1[[#This Row],[Manufacturing_Cost_per_Unit]]))-Table1[[#This Row],[Marketing_Spend]])/Table1[[#This Row],[Marketing_Spend]]</f>
        <v>-49.823312630213451</v>
      </c>
    </row>
    <row r="526" spans="1:24" hidden="1" x14ac:dyDescent="0.3">
      <c r="A526" s="1" t="s">
        <v>543</v>
      </c>
      <c r="B526" s="1" t="s">
        <v>1286</v>
      </c>
      <c r="C526" s="1" t="s">
        <v>1634</v>
      </c>
      <c r="D526" s="1" t="s">
        <v>1637</v>
      </c>
      <c r="E526" s="1">
        <v>2024</v>
      </c>
      <c r="F526" s="1" t="s">
        <v>1642</v>
      </c>
      <c r="G526" s="1">
        <v>549</v>
      </c>
      <c r="H526" s="1">
        <v>2014</v>
      </c>
      <c r="I526" s="1">
        <v>7104</v>
      </c>
      <c r="J526" s="1">
        <v>216277</v>
      </c>
      <c r="K526" s="1">
        <v>11.76</v>
      </c>
      <c r="L526" s="1">
        <v>11</v>
      </c>
      <c r="M526" s="1">
        <v>1.18</v>
      </c>
      <c r="N526" s="1">
        <v>9.48</v>
      </c>
      <c r="O526" s="1">
        <v>87.44</v>
      </c>
      <c r="P526" s="1">
        <v>2.4</v>
      </c>
      <c r="Q526" s="1">
        <v>18934</v>
      </c>
      <c r="R526" s="1">
        <v>8667</v>
      </c>
      <c r="S526" s="1">
        <v>8</v>
      </c>
      <c r="T526" s="1">
        <f>(Table1[[#This Row],[Selling_Price_per_Unit]]-Table1[[#This Row],[Manufacturing_Cost_per_Unit]])*Table1[[#This Row],[Units_Sold]]-Table1[[#This Row],[Marketing_Spend]]-Table1[[#This Row],[Discount_%]]</f>
        <v>-3010696.48</v>
      </c>
      <c r="U526" s="3">
        <f>Table1[[#This Row],[profit]]/(Table1[[#This Row],[Units_Sold]]*Table1[[#This Row],[Selling_Price_per_Unit]])*100</f>
        <v>-272.29217698333883</v>
      </c>
      <c r="V526" s="6">
        <f>Table1[[#This Row],[Units_Sold]]*Table1[[#This Row],[Selling_Price_per_Unit]]</f>
        <v>1105686</v>
      </c>
      <c r="W526" s="7">
        <f>(Table1[[#This Row],[Units_Sold]]/$Z$1)</f>
        <v>0.10991105412909202</v>
      </c>
      <c r="X526" s="8">
        <f>((Table1[[#This Row],[Units_Sold]]*(Table1[[#This Row],[Selling_Price_per_Unit]]-Table1[[#This Row],[Manufacturing_Cost_per_Unit]]))-Table1[[#This Row],[Marketing_Spend]])/Table1[[#This Row],[Marketing_Spend]]</f>
        <v>-13.92051397051004</v>
      </c>
    </row>
    <row r="527" spans="1:24" hidden="1" x14ac:dyDescent="0.3">
      <c r="A527" s="1" t="s">
        <v>544</v>
      </c>
      <c r="B527" s="1" t="s">
        <v>1416</v>
      </c>
      <c r="C527" s="1" t="s">
        <v>1633</v>
      </c>
      <c r="D527" s="1" t="s">
        <v>1637</v>
      </c>
      <c r="E527" s="1">
        <v>2024</v>
      </c>
      <c r="F527" s="1" t="s">
        <v>1640</v>
      </c>
      <c r="G527" s="1">
        <v>1730</v>
      </c>
      <c r="H527" s="1">
        <v>5609</v>
      </c>
      <c r="I527" s="1">
        <v>8145</v>
      </c>
      <c r="J527" s="1">
        <v>130811</v>
      </c>
      <c r="K527" s="1">
        <v>8.49</v>
      </c>
      <c r="L527" s="1">
        <v>3</v>
      </c>
      <c r="M527" s="1">
        <v>9.5399999999999991</v>
      </c>
      <c r="N527" s="1">
        <v>1.18</v>
      </c>
      <c r="O527" s="1">
        <v>30.41</v>
      </c>
      <c r="P527" s="1">
        <v>1.7</v>
      </c>
      <c r="Q527" s="1">
        <v>6979</v>
      </c>
      <c r="R527" s="1">
        <v>9015</v>
      </c>
      <c r="S527" s="1">
        <v>12</v>
      </c>
      <c r="T527" s="1">
        <f>(Table1[[#This Row],[Selling_Price_per_Unit]]-Table1[[#This Row],[Manufacturing_Cost_per_Unit]])*Table1[[#This Row],[Units_Sold]]-Table1[[#This Row],[Marketing_Spend]]-Table1[[#This Row],[Discount_%]]</f>
        <v>-4518092.18</v>
      </c>
      <c r="U527" s="3">
        <f>Table1[[#This Row],[profit]]/(Table1[[#This Row],[Units_Sold]]*Table1[[#This Row],[Selling_Price_per_Unit]])*100</f>
        <v>-46.561133479739929</v>
      </c>
      <c r="V527" s="6">
        <f>Table1[[#This Row],[Units_Sold]]*Table1[[#This Row],[Selling_Price_per_Unit]]</f>
        <v>9703570</v>
      </c>
      <c r="W527" s="7">
        <f>(Table1[[#This Row],[Units_Sold]]/$Z$1)</f>
        <v>0.34634995199149216</v>
      </c>
      <c r="X527" s="8">
        <f>((Table1[[#This Row],[Units_Sold]]*(Table1[[#This Row],[Selling_Price_per_Unit]]-Table1[[#This Row],[Manufacturing_Cost_per_Unit]]))-Table1[[#This Row],[Marketing_Spend]])/Table1[[#This Row],[Marketing_Spend]]</f>
        <v>-34.539075460014828</v>
      </c>
    </row>
    <row r="528" spans="1:24" hidden="1" x14ac:dyDescent="0.3">
      <c r="A528" s="1" t="s">
        <v>545</v>
      </c>
      <c r="B528" s="1" t="s">
        <v>1153</v>
      </c>
      <c r="C528" s="1" t="s">
        <v>1633</v>
      </c>
      <c r="D528" s="1" t="s">
        <v>1637</v>
      </c>
      <c r="E528" s="1">
        <v>2024</v>
      </c>
      <c r="F528" s="1" t="s">
        <v>1642</v>
      </c>
      <c r="G528" s="1">
        <v>560</v>
      </c>
      <c r="H528" s="1">
        <v>14758</v>
      </c>
      <c r="I528" s="1">
        <v>13716</v>
      </c>
      <c r="J528" s="1">
        <v>304840</v>
      </c>
      <c r="K528" s="1">
        <v>4.6900000000000004</v>
      </c>
      <c r="L528" s="1">
        <v>17</v>
      </c>
      <c r="M528" s="1">
        <v>8.66</v>
      </c>
      <c r="N528" s="1">
        <v>4.41</v>
      </c>
      <c r="O528" s="1">
        <v>78.680000000000007</v>
      </c>
      <c r="P528" s="1">
        <v>3.3</v>
      </c>
      <c r="Q528" s="1">
        <v>16919</v>
      </c>
      <c r="R528" s="1">
        <v>2013</v>
      </c>
      <c r="S528" s="1">
        <v>9</v>
      </c>
      <c r="T528" s="1">
        <f>(Table1[[#This Row],[Selling_Price_per_Unit]]-Table1[[#This Row],[Manufacturing_Cost_per_Unit]])*Table1[[#This Row],[Units_Sold]]-Table1[[#This Row],[Marketing_Spend]]-Table1[[#This Row],[Discount_%]]</f>
        <v>278675.59000000003</v>
      </c>
      <c r="U528" s="3">
        <f>Table1[[#This Row],[profit]]/(Table1[[#This Row],[Units_Sold]]*Table1[[#This Row],[Selling_Price_per_Unit]])*100</f>
        <v>3.3719676253073398</v>
      </c>
      <c r="V528" s="6">
        <f>Table1[[#This Row],[Units_Sold]]*Table1[[#This Row],[Selling_Price_per_Unit]]</f>
        <v>8264480</v>
      </c>
      <c r="W528" s="7">
        <f>(Table1[[#This Row],[Units_Sold]]/$Z$1)</f>
        <v>0.11211327925736163</v>
      </c>
      <c r="X528" s="8">
        <f>((Table1[[#This Row],[Units_Sold]]*(Table1[[#This Row],[Selling_Price_per_Unit]]-Table1[[#This Row],[Manufacturing_Cost_per_Unit]]))-Table1[[#This Row],[Marketing_Spend]])/Table1[[#This Row],[Marketing_Spend]]</f>
        <v>0.91418449022437998</v>
      </c>
    </row>
    <row r="529" spans="1:24" hidden="1" x14ac:dyDescent="0.3">
      <c r="A529" s="1" t="s">
        <v>936</v>
      </c>
      <c r="B529" s="1" t="s">
        <v>1601</v>
      </c>
      <c r="C529" s="1" t="s">
        <v>1632</v>
      </c>
      <c r="D529" s="1" t="s">
        <v>1638</v>
      </c>
      <c r="E529" s="1">
        <v>2024</v>
      </c>
      <c r="F529" s="1" t="s">
        <v>1640</v>
      </c>
      <c r="G529" s="1">
        <v>2386</v>
      </c>
      <c r="H529" s="1">
        <v>19573</v>
      </c>
      <c r="I529" s="1">
        <v>7548</v>
      </c>
      <c r="J529" s="1">
        <v>418226</v>
      </c>
      <c r="K529" s="1">
        <v>5.21</v>
      </c>
      <c r="L529" s="1">
        <v>18</v>
      </c>
      <c r="M529" s="1">
        <v>3.52</v>
      </c>
      <c r="N529" s="1">
        <v>14.75</v>
      </c>
      <c r="O529" s="1">
        <v>14.05</v>
      </c>
      <c r="P529" s="1">
        <v>4</v>
      </c>
      <c r="Q529" s="1">
        <v>2861</v>
      </c>
      <c r="R529" s="1">
        <v>7080</v>
      </c>
      <c r="S529" s="1">
        <v>3</v>
      </c>
      <c r="T529" s="1">
        <f>(Table1[[#This Row],[Selling_Price_per_Unit]]-Table1[[#This Row],[Manufacturing_Cost_per_Unit]])*Table1[[#This Row],[Units_Sold]]-Table1[[#This Row],[Marketing_Spend]]-Table1[[#This Row],[Discount_%]]</f>
        <v>28273409.25</v>
      </c>
      <c r="U529" s="3">
        <f>Table1[[#This Row],[profit]]/(Table1[[#This Row],[Units_Sold]]*Table1[[#This Row],[Selling_Price_per_Unit]])*100</f>
        <v>60.541105087327772</v>
      </c>
      <c r="V529" s="6">
        <f>Table1[[#This Row],[Units_Sold]]*Table1[[#This Row],[Selling_Price_per_Unit]]</f>
        <v>46701178</v>
      </c>
      <c r="W529" s="7">
        <f>(Table1[[#This Row],[Units_Sold]]/$Z$1)</f>
        <v>0.47768265055011583</v>
      </c>
      <c r="X529" s="8">
        <f>((Table1[[#This Row],[Units_Sold]]*(Table1[[#This Row],[Selling_Price_per_Unit]]-Table1[[#This Row],[Manufacturing_Cost_per_Unit]]))-Table1[[#This Row],[Marketing_Spend]])/Table1[[#This Row],[Marketing_Spend]]</f>
        <v>67.603219312046591</v>
      </c>
    </row>
    <row r="530" spans="1:24" hidden="1" x14ac:dyDescent="0.3">
      <c r="A530" s="1" t="s">
        <v>547</v>
      </c>
      <c r="B530" s="1" t="s">
        <v>1418</v>
      </c>
      <c r="C530" s="1" t="s">
        <v>1632</v>
      </c>
      <c r="D530" s="1" t="s">
        <v>1638</v>
      </c>
      <c r="E530" s="1">
        <v>2023</v>
      </c>
      <c r="F530" s="1" t="s">
        <v>1642</v>
      </c>
      <c r="G530" s="1">
        <v>1374</v>
      </c>
      <c r="H530" s="1">
        <v>16849</v>
      </c>
      <c r="I530" s="1">
        <v>9886</v>
      </c>
      <c r="J530" s="1">
        <v>484843</v>
      </c>
      <c r="K530" s="1">
        <v>3.48</v>
      </c>
      <c r="L530" s="1">
        <v>0</v>
      </c>
      <c r="M530" s="1">
        <v>6.74</v>
      </c>
      <c r="N530" s="1">
        <v>1.76</v>
      </c>
      <c r="O530" s="1">
        <v>55.56</v>
      </c>
      <c r="P530" s="1">
        <v>4</v>
      </c>
      <c r="Q530" s="1">
        <v>4309</v>
      </c>
      <c r="R530" s="1">
        <v>2042</v>
      </c>
      <c r="S530" s="1">
        <v>13</v>
      </c>
      <c r="T530" s="1">
        <f>(Table1[[#This Row],[Selling_Price_per_Unit]]-Table1[[#This Row],[Manufacturing_Cost_per_Unit]])*Table1[[#This Row],[Units_Sold]]-Table1[[#This Row],[Marketing_Spend]]-Table1[[#This Row],[Discount_%]]</f>
        <v>9082317.2400000002</v>
      </c>
      <c r="U530" s="3">
        <f>Table1[[#This Row],[profit]]/(Table1[[#This Row],[Units_Sold]]*Table1[[#This Row],[Selling_Price_per_Unit]])*100</f>
        <v>39.231580483311696</v>
      </c>
      <c r="V530" s="6">
        <f>Table1[[#This Row],[Units_Sold]]*Table1[[#This Row],[Selling_Price_per_Unit]]</f>
        <v>23150526</v>
      </c>
      <c r="W530" s="7">
        <f>(Table1[[#This Row],[Units_Sold]]/$Z$1)</f>
        <v>0.2750779387493123</v>
      </c>
      <c r="X530" s="8">
        <f>((Table1[[#This Row],[Units_Sold]]*(Table1[[#This Row],[Selling_Price_per_Unit]]-Table1[[#This Row],[Manufacturing_Cost_per_Unit]]))-Table1[[#This Row],[Marketing_Spend]])/Table1[[#This Row],[Marketing_Spend]]</f>
        <v>18.732494848847978</v>
      </c>
    </row>
    <row r="531" spans="1:24" hidden="1" x14ac:dyDescent="0.3">
      <c r="A531" s="1" t="s">
        <v>548</v>
      </c>
      <c r="B531" s="1" t="s">
        <v>1419</v>
      </c>
      <c r="C531" s="1" t="s">
        <v>1634</v>
      </c>
      <c r="D531" s="1" t="s">
        <v>1637</v>
      </c>
      <c r="E531" s="1">
        <v>2024</v>
      </c>
      <c r="F531" s="1" t="s">
        <v>1641</v>
      </c>
      <c r="G531" s="1">
        <v>1205</v>
      </c>
      <c r="H531" s="1">
        <v>8679</v>
      </c>
      <c r="I531" s="1">
        <v>7433</v>
      </c>
      <c r="J531" s="1">
        <v>418266</v>
      </c>
      <c r="K531" s="1">
        <v>0.22</v>
      </c>
      <c r="L531" s="1">
        <v>12</v>
      </c>
      <c r="M531" s="1">
        <v>0.17</v>
      </c>
      <c r="N531" s="1">
        <v>8.8699999999999992</v>
      </c>
      <c r="O531" s="1">
        <v>37.450000000000003</v>
      </c>
      <c r="P531" s="1">
        <v>2.7</v>
      </c>
      <c r="Q531" s="1">
        <v>4421</v>
      </c>
      <c r="R531" s="1">
        <v>4104</v>
      </c>
      <c r="S531" s="1">
        <v>4</v>
      </c>
      <c r="T531" s="1">
        <f>(Table1[[#This Row],[Selling_Price_per_Unit]]-Table1[[#This Row],[Manufacturing_Cost_per_Unit]])*Table1[[#This Row],[Units_Sold]]-Table1[[#This Row],[Marketing_Spend]]-Table1[[#This Row],[Discount_%]]</f>
        <v>1083155.1299999999</v>
      </c>
      <c r="U531" s="3">
        <f>Table1[[#This Row],[profit]]/(Table1[[#This Row],[Units_Sold]]*Table1[[#This Row],[Selling_Price_per_Unit]])*100</f>
        <v>10.356998793768904</v>
      </c>
      <c r="V531" s="6">
        <f>Table1[[#This Row],[Units_Sold]]*Table1[[#This Row],[Selling_Price_per_Unit]]</f>
        <v>10458195</v>
      </c>
      <c r="W531" s="7">
        <f>(Table1[[#This Row],[Units_Sold]]/$Z$1)</f>
        <v>0.24124375268771564</v>
      </c>
      <c r="X531" s="8">
        <f>((Table1[[#This Row],[Units_Sold]]*(Table1[[#This Row],[Selling_Price_per_Unit]]-Table1[[#This Row],[Manufacturing_Cost_per_Unit]]))-Table1[[#This Row],[Marketing_Spend]])/Table1[[#This Row],[Marketing_Spend]]</f>
        <v>2.5896534741049955</v>
      </c>
    </row>
    <row r="532" spans="1:24" hidden="1" x14ac:dyDescent="0.3">
      <c r="A532" s="1" t="s">
        <v>697</v>
      </c>
      <c r="B532" s="1" t="s">
        <v>1495</v>
      </c>
      <c r="C532" s="1" t="s">
        <v>1634</v>
      </c>
      <c r="D532" s="1" t="s">
        <v>1637</v>
      </c>
      <c r="E532" s="1">
        <v>2023</v>
      </c>
      <c r="F532" s="1" t="s">
        <v>1642</v>
      </c>
      <c r="G532" s="1">
        <v>2067</v>
      </c>
      <c r="H532" s="1">
        <v>15169</v>
      </c>
      <c r="I532" s="1">
        <v>1723</v>
      </c>
      <c r="J532" s="1">
        <v>101374</v>
      </c>
      <c r="K532" s="1">
        <v>11.66</v>
      </c>
      <c r="L532" s="1">
        <v>11</v>
      </c>
      <c r="M532" s="1">
        <v>3.38</v>
      </c>
      <c r="N532" s="1">
        <v>23.69</v>
      </c>
      <c r="O532" s="1">
        <v>30.08</v>
      </c>
      <c r="P532" s="1">
        <v>3</v>
      </c>
      <c r="Q532" s="1">
        <v>3519</v>
      </c>
      <c r="R532" s="1">
        <v>1074</v>
      </c>
      <c r="S532" s="1">
        <v>7</v>
      </c>
      <c r="T532" s="1">
        <f>(Table1[[#This Row],[Selling_Price_per_Unit]]-Table1[[#This Row],[Manufacturing_Cost_per_Unit]])*Table1[[#This Row],[Units_Sold]]-Table1[[#This Row],[Marketing_Spend]]-Table1[[#This Row],[Discount_%]]</f>
        <v>27691484.309999999</v>
      </c>
      <c r="U532" s="3">
        <f>Table1[[#This Row],[profit]]/(Table1[[#This Row],[Units_Sold]]*Table1[[#This Row],[Selling_Price_per_Unit]])*100</f>
        <v>88.317914917187011</v>
      </c>
      <c r="V532" s="6">
        <f>Table1[[#This Row],[Units_Sold]]*Table1[[#This Row],[Selling_Price_per_Unit]]</f>
        <v>31354323</v>
      </c>
      <c r="W532" s="7">
        <f>(Table1[[#This Row],[Units_Sold]]/$Z$1)</f>
        <v>0.41381812183029731</v>
      </c>
      <c r="X532" s="8">
        <f>((Table1[[#This Row],[Units_Sold]]*(Table1[[#This Row],[Selling_Price_per_Unit]]-Table1[[#This Row],[Manufacturing_Cost_per_Unit]]))-Table1[[#This Row],[Marketing_Spend]])/Table1[[#This Row],[Marketing_Spend]]</f>
        <v>273.16183636829959</v>
      </c>
    </row>
    <row r="533" spans="1:24" hidden="1" x14ac:dyDescent="0.3">
      <c r="A533" s="1" t="s">
        <v>871</v>
      </c>
      <c r="B533" s="1" t="s">
        <v>1574</v>
      </c>
      <c r="C533" s="1" t="s">
        <v>1632</v>
      </c>
      <c r="D533" s="1" t="s">
        <v>1636</v>
      </c>
      <c r="E533" s="1">
        <v>2024</v>
      </c>
      <c r="F533" s="1" t="s">
        <v>1642</v>
      </c>
      <c r="G533" s="1">
        <v>3540</v>
      </c>
      <c r="H533" s="1">
        <v>15552</v>
      </c>
      <c r="I533" s="1">
        <v>7616</v>
      </c>
      <c r="J533" s="1">
        <v>468036</v>
      </c>
      <c r="K533" s="1">
        <v>11.36</v>
      </c>
      <c r="L533" s="1">
        <v>19</v>
      </c>
      <c r="M533" s="1">
        <v>3.87</v>
      </c>
      <c r="N533" s="1">
        <v>12.09</v>
      </c>
      <c r="O533" s="1">
        <v>50.05</v>
      </c>
      <c r="P533" s="1">
        <v>2.4</v>
      </c>
      <c r="Q533" s="1">
        <v>11696</v>
      </c>
      <c r="R533" s="1">
        <v>8272</v>
      </c>
      <c r="S533" s="1">
        <v>3</v>
      </c>
      <c r="T533" s="1">
        <f>(Table1[[#This Row],[Selling_Price_per_Unit]]-Table1[[#This Row],[Manufacturing_Cost_per_Unit]])*Table1[[#This Row],[Units_Sold]]-Table1[[#This Row],[Marketing_Spend]]-Table1[[#This Row],[Discount_%]]</f>
        <v>27625391.91</v>
      </c>
      <c r="U533" s="3">
        <f>Table1[[#This Row],[profit]]/(Table1[[#This Row],[Units_Sold]]*Table1[[#This Row],[Selling_Price_per_Unit]])*100</f>
        <v>50.17864599680896</v>
      </c>
      <c r="V533" s="6">
        <f>Table1[[#This Row],[Units_Sold]]*Table1[[#This Row],[Selling_Price_per_Unit]]</f>
        <v>55054080</v>
      </c>
      <c r="W533" s="7">
        <f>(Table1[[#This Row],[Units_Sold]]/$Z$1)</f>
        <v>0.70871608673403608</v>
      </c>
      <c r="X533" s="8">
        <f>((Table1[[#This Row],[Units_Sold]]*(Table1[[#This Row],[Selling_Price_per_Unit]]-Table1[[#This Row],[Manufacturing_Cost_per_Unit]]))-Table1[[#This Row],[Marketing_Spend]])/Table1[[#This Row],[Marketing_Spend]]</f>
        <v>59.024100710201779</v>
      </c>
    </row>
    <row r="534" spans="1:24" hidden="1" x14ac:dyDescent="0.3">
      <c r="A534" s="1" t="s">
        <v>551</v>
      </c>
      <c r="B534" s="1" t="s">
        <v>1171</v>
      </c>
      <c r="C534" s="1" t="s">
        <v>1632</v>
      </c>
      <c r="D534" s="1" t="s">
        <v>1638</v>
      </c>
      <c r="E534" s="1">
        <v>2024</v>
      </c>
      <c r="F534" s="1" t="s">
        <v>1642</v>
      </c>
      <c r="G534" s="1">
        <v>3536</v>
      </c>
      <c r="H534" s="1">
        <v>3060</v>
      </c>
      <c r="I534" s="1">
        <v>3136</v>
      </c>
      <c r="J534" s="1">
        <v>252346</v>
      </c>
      <c r="K534" s="1">
        <v>11.43</v>
      </c>
      <c r="L534" s="1">
        <v>11</v>
      </c>
      <c r="M534" s="1">
        <v>0.77</v>
      </c>
      <c r="N534" s="1">
        <v>0.1</v>
      </c>
      <c r="O534" s="1">
        <v>71.17</v>
      </c>
      <c r="P534" s="1">
        <v>3.1</v>
      </c>
      <c r="Q534" s="1">
        <v>18416</v>
      </c>
      <c r="R534" s="1">
        <v>4688</v>
      </c>
      <c r="S534" s="1">
        <v>8</v>
      </c>
      <c r="T534" s="1">
        <f>(Table1[[#This Row],[Selling_Price_per_Unit]]-Table1[[#This Row],[Manufacturing_Cost_per_Unit]])*Table1[[#This Row],[Units_Sold]]-Table1[[#This Row],[Marketing_Spend]]-Table1[[#This Row],[Discount_%]]</f>
        <v>-521082.1</v>
      </c>
      <c r="U534" s="3">
        <f>Table1[[#This Row],[profit]]/(Table1[[#This Row],[Units_Sold]]*Table1[[#This Row],[Selling_Price_per_Unit]])*100</f>
        <v>-4.8158446825185584</v>
      </c>
      <c r="V534" s="6">
        <f>Table1[[#This Row],[Units_Sold]]*Table1[[#This Row],[Selling_Price_per_Unit]]</f>
        <v>10820160</v>
      </c>
      <c r="W534" s="7">
        <f>(Table1[[#This Row],[Units_Sold]]/$Z$1)</f>
        <v>0.70791527759648343</v>
      </c>
      <c r="X534" s="8">
        <f>((Table1[[#This Row],[Units_Sold]]*(Table1[[#This Row],[Selling_Price_per_Unit]]-Table1[[#This Row],[Manufacturing_Cost_per_Unit]]))-Table1[[#This Row],[Marketing_Spend]])/Table1[[#This Row],[Marketing_Spend]]</f>
        <v>-2.0649505044660903</v>
      </c>
    </row>
    <row r="535" spans="1:24" hidden="1" x14ac:dyDescent="0.3">
      <c r="A535" s="1" t="s">
        <v>552</v>
      </c>
      <c r="B535" s="1" t="s">
        <v>1187</v>
      </c>
      <c r="C535" s="1" t="s">
        <v>1633</v>
      </c>
      <c r="D535" s="1" t="s">
        <v>1635</v>
      </c>
      <c r="E535" s="1">
        <v>2023</v>
      </c>
      <c r="F535" s="1" t="s">
        <v>1642</v>
      </c>
      <c r="G535" s="1">
        <v>1860</v>
      </c>
      <c r="H535" s="1">
        <v>15112</v>
      </c>
      <c r="I535" s="1">
        <v>13680</v>
      </c>
      <c r="J535" s="1">
        <v>82402</v>
      </c>
      <c r="K535" s="1">
        <v>0.57999999999999996</v>
      </c>
      <c r="L535" s="1">
        <v>7</v>
      </c>
      <c r="M535" s="1">
        <v>2.82</v>
      </c>
      <c r="N535" s="1">
        <v>12.53</v>
      </c>
      <c r="O535" s="1">
        <v>32.78</v>
      </c>
      <c r="P535" s="1">
        <v>2.2999999999999998</v>
      </c>
      <c r="Q535" s="1">
        <v>14963</v>
      </c>
      <c r="R535" s="1">
        <v>437</v>
      </c>
      <c r="S535" s="1">
        <v>9</v>
      </c>
      <c r="T535" s="1">
        <f>(Table1[[#This Row],[Selling_Price_per_Unit]]-Table1[[#This Row],[Manufacturing_Cost_per_Unit]])*Table1[[#This Row],[Units_Sold]]-Table1[[#This Row],[Marketing_Spend]]-Table1[[#This Row],[Discount_%]]</f>
        <v>2581105.4700000002</v>
      </c>
      <c r="U535" s="3">
        <f>Table1[[#This Row],[profit]]/(Table1[[#This Row],[Units_Sold]]*Table1[[#This Row],[Selling_Price_per_Unit]])*100</f>
        <v>9.1827098524564974</v>
      </c>
      <c r="V535" s="6">
        <f>Table1[[#This Row],[Units_Sold]]*Table1[[#This Row],[Selling_Price_per_Unit]]</f>
        <v>28108320</v>
      </c>
      <c r="W535" s="7">
        <f>(Table1[[#This Row],[Units_Sold]]/$Z$1)</f>
        <v>0.37237624896195115</v>
      </c>
      <c r="X535" s="8">
        <f>((Table1[[#This Row],[Units_Sold]]*(Table1[[#This Row],[Selling_Price_per_Unit]]-Table1[[#This Row],[Manufacturing_Cost_per_Unit]]))-Table1[[#This Row],[Marketing_Spend]])/Table1[[#This Row],[Marketing_Spend]]</f>
        <v>31.323487293997719</v>
      </c>
    </row>
    <row r="536" spans="1:24" x14ac:dyDescent="0.3">
      <c r="A536" s="1" t="s">
        <v>522</v>
      </c>
      <c r="B536" s="1" t="s">
        <v>1405</v>
      </c>
      <c r="C536" s="1" t="s">
        <v>1632</v>
      </c>
      <c r="D536" s="1" t="s">
        <v>1635</v>
      </c>
      <c r="E536" s="1">
        <v>2024</v>
      </c>
      <c r="F536" s="1" t="s">
        <v>1639</v>
      </c>
      <c r="G536" s="1">
        <v>4779</v>
      </c>
      <c r="H536" s="1">
        <v>10578</v>
      </c>
      <c r="I536" s="1">
        <v>4759</v>
      </c>
      <c r="J536" s="1">
        <v>226481</v>
      </c>
      <c r="K536" s="1">
        <v>4.88</v>
      </c>
      <c r="L536" s="1">
        <v>17</v>
      </c>
      <c r="M536" s="1">
        <v>0.47</v>
      </c>
      <c r="N536" s="1">
        <v>13.04</v>
      </c>
      <c r="O536" s="1">
        <v>16.62</v>
      </c>
      <c r="P536" s="1">
        <v>1.4</v>
      </c>
      <c r="Q536" s="1">
        <v>19276</v>
      </c>
      <c r="R536" s="1">
        <v>8764</v>
      </c>
      <c r="S536" s="1">
        <v>11</v>
      </c>
      <c r="T536" s="1">
        <f>(Table1[[#This Row],[Selling_Price_per_Unit]]-Table1[[#This Row],[Manufacturing_Cost_per_Unit]])*Table1[[#This Row],[Units_Sold]]-Table1[[#This Row],[Marketing_Spend]]-Table1[[#This Row],[Discount_%]]</f>
        <v>27582506.960000001</v>
      </c>
      <c r="U536" s="3">
        <f>Table1[[#This Row],[profit]]/(Table1[[#This Row],[Units_Sold]]*Table1[[#This Row],[Selling_Price_per_Unit]])*100</f>
        <v>54.56235956365316</v>
      </c>
      <c r="V536" s="6">
        <f>Table1[[#This Row],[Units_Sold]]*Table1[[#This Row],[Selling_Price_per_Unit]]</f>
        <v>50552262</v>
      </c>
      <c r="W536" s="7">
        <f>(Table1[[#This Row],[Units_Sold]]/$Z$1)</f>
        <v>0.95676671709094863</v>
      </c>
      <c r="X536" s="8">
        <f>((Table1[[#This Row],[Units_Sold]]*(Table1[[#This Row],[Selling_Price_per_Unit]]-Table1[[#This Row],[Manufacturing_Cost_per_Unit]]))-Table1[[#This Row],[Marketing_Spend]])/Table1[[#This Row],[Marketing_Spend]]</f>
        <v>121.78734639991876</v>
      </c>
    </row>
    <row r="537" spans="1:24" hidden="1" x14ac:dyDescent="0.3">
      <c r="A537" s="1" t="s">
        <v>554</v>
      </c>
      <c r="B537" s="1" t="s">
        <v>1321</v>
      </c>
      <c r="C537" s="1" t="s">
        <v>1632</v>
      </c>
      <c r="D537" s="1" t="s">
        <v>1635</v>
      </c>
      <c r="E537" s="1">
        <v>2023</v>
      </c>
      <c r="F537" s="1" t="s">
        <v>1642</v>
      </c>
      <c r="G537" s="1">
        <v>2264</v>
      </c>
      <c r="H537" s="1">
        <v>6280</v>
      </c>
      <c r="I537" s="1">
        <v>1372</v>
      </c>
      <c r="J537" s="1">
        <v>309994</v>
      </c>
      <c r="K537" s="1">
        <v>9.2899999999999991</v>
      </c>
      <c r="L537" s="1">
        <v>4</v>
      </c>
      <c r="M537" s="1">
        <v>2.56</v>
      </c>
      <c r="N537" s="1">
        <v>24.3</v>
      </c>
      <c r="O537" s="1">
        <v>39.43</v>
      </c>
      <c r="P537" s="1">
        <v>2.8</v>
      </c>
      <c r="Q537" s="1">
        <v>2969</v>
      </c>
      <c r="R537" s="1">
        <v>7913</v>
      </c>
      <c r="S537" s="1">
        <v>7</v>
      </c>
      <c r="T537" s="1">
        <f>(Table1[[#This Row],[Selling_Price_per_Unit]]-Table1[[#This Row],[Manufacturing_Cost_per_Unit]])*Table1[[#This Row],[Units_Sold]]-Table1[[#This Row],[Marketing_Spend]]-Table1[[#This Row],[Discount_%]]</f>
        <v>10801693.699999999</v>
      </c>
      <c r="U537" s="3">
        <f>Table1[[#This Row],[profit]]/(Table1[[#This Row],[Units_Sold]]*Table1[[#This Row],[Selling_Price_per_Unit]])*100</f>
        <v>75.972390476244058</v>
      </c>
      <c r="V537" s="6">
        <f>Table1[[#This Row],[Units_Sold]]*Table1[[#This Row],[Selling_Price_per_Unit]]</f>
        <v>14217920</v>
      </c>
      <c r="W537" s="7">
        <f>(Table1[[#This Row],[Units_Sold]]/$Z$1)</f>
        <v>0.45325797185476202</v>
      </c>
      <c r="X537" s="8">
        <f>((Table1[[#This Row],[Units_Sold]]*(Table1[[#This Row],[Selling_Price_per_Unit]]-Table1[[#This Row],[Manufacturing_Cost_per_Unit]]))-Table1[[#This Row],[Marketing_Spend]])/Table1[[#This Row],[Marketing_Spend]]</f>
        <v>34.8449260308264</v>
      </c>
    </row>
    <row r="538" spans="1:24" x14ac:dyDescent="0.3">
      <c r="A538" s="1" t="s">
        <v>274</v>
      </c>
      <c r="B538" s="1" t="s">
        <v>1245</v>
      </c>
      <c r="C538" s="1" t="s">
        <v>1634</v>
      </c>
      <c r="D538" s="1" t="s">
        <v>1635</v>
      </c>
      <c r="E538" s="1">
        <v>2024</v>
      </c>
      <c r="F538" s="1" t="s">
        <v>1639</v>
      </c>
      <c r="G538" s="1">
        <v>4546</v>
      </c>
      <c r="H538" s="1">
        <v>9332</v>
      </c>
      <c r="I538" s="1">
        <v>3260</v>
      </c>
      <c r="J538" s="1">
        <v>87772</v>
      </c>
      <c r="K538" s="1">
        <v>5.53</v>
      </c>
      <c r="L538" s="1">
        <v>7</v>
      </c>
      <c r="M538" s="1">
        <v>5.83</v>
      </c>
      <c r="N538" s="1">
        <v>3.04</v>
      </c>
      <c r="O538" s="1">
        <v>81</v>
      </c>
      <c r="P538" s="1">
        <v>4.3</v>
      </c>
      <c r="Q538" s="1">
        <v>9769</v>
      </c>
      <c r="R538" s="1">
        <v>7466</v>
      </c>
      <c r="S538" s="1">
        <v>13</v>
      </c>
      <c r="T538" s="1">
        <f>(Table1[[#This Row],[Selling_Price_per_Unit]]-Table1[[#This Row],[Manufacturing_Cost_per_Unit]])*Table1[[#This Row],[Units_Sold]]-Table1[[#This Row],[Marketing_Spend]]-Table1[[#This Row],[Discount_%]]</f>
        <v>27515536.960000001</v>
      </c>
      <c r="U538" s="3">
        <f>Table1[[#This Row],[profit]]/(Table1[[#This Row],[Units_Sold]]*Table1[[#This Row],[Selling_Price_per_Unit]])*100</f>
        <v>64.859535021249656</v>
      </c>
      <c r="V538" s="6">
        <f>Table1[[#This Row],[Units_Sold]]*Table1[[#This Row],[Selling_Price_per_Unit]]</f>
        <v>42423272</v>
      </c>
      <c r="W538" s="7">
        <f>(Table1[[#This Row],[Units_Sold]]/$Z$1)</f>
        <v>0.91011958482851063</v>
      </c>
      <c r="X538" s="8">
        <f>((Table1[[#This Row],[Units_Sold]]*(Table1[[#This Row],[Selling_Price_per_Unit]]-Table1[[#This Row],[Manufacturing_Cost_per_Unit]]))-Table1[[#This Row],[Marketing_Spend]])/Table1[[#This Row],[Marketing_Spend]]</f>
        <v>313.48881192179738</v>
      </c>
    </row>
    <row r="539" spans="1:24" hidden="1" x14ac:dyDescent="0.3">
      <c r="A539" s="1" t="s">
        <v>556</v>
      </c>
      <c r="B539" s="1" t="s">
        <v>1422</v>
      </c>
      <c r="C539" s="1" t="s">
        <v>1634</v>
      </c>
      <c r="D539" s="1" t="s">
        <v>1638</v>
      </c>
      <c r="E539" s="1">
        <v>2023</v>
      </c>
      <c r="F539" s="1" t="s">
        <v>1640</v>
      </c>
      <c r="G539" s="1">
        <v>763</v>
      </c>
      <c r="H539" s="1">
        <v>13394</v>
      </c>
      <c r="I539" s="1">
        <v>6971</v>
      </c>
      <c r="J539" s="1">
        <v>186643</v>
      </c>
      <c r="K539" s="1">
        <v>9.3699999999999992</v>
      </c>
      <c r="L539" s="1">
        <v>4</v>
      </c>
      <c r="M539" s="1">
        <v>1.31</v>
      </c>
      <c r="N539" s="1">
        <v>8.85</v>
      </c>
      <c r="O539" s="1">
        <v>65.67</v>
      </c>
      <c r="P539" s="1">
        <v>4.5999999999999996</v>
      </c>
      <c r="Q539" s="1">
        <v>8431</v>
      </c>
      <c r="R539" s="1">
        <v>3711</v>
      </c>
      <c r="S539" s="1">
        <v>10</v>
      </c>
      <c r="T539" s="1">
        <f>(Table1[[#This Row],[Selling_Price_per_Unit]]-Table1[[#This Row],[Manufacturing_Cost_per_Unit]])*Table1[[#This Row],[Units_Sold]]-Table1[[#This Row],[Marketing_Spend]]-Table1[[#This Row],[Discount_%]]</f>
        <v>4714097.1500000004</v>
      </c>
      <c r="U539" s="3">
        <f>Table1[[#This Row],[profit]]/(Table1[[#This Row],[Units_Sold]]*Table1[[#This Row],[Selling_Price_per_Unit]])*100</f>
        <v>46.127901305938721</v>
      </c>
      <c r="V539" s="6">
        <f>Table1[[#This Row],[Units_Sold]]*Table1[[#This Row],[Selling_Price_per_Unit]]</f>
        <v>10219622</v>
      </c>
      <c r="W539" s="7">
        <f>(Table1[[#This Row],[Units_Sold]]/$Z$1)</f>
        <v>0.15275434298815521</v>
      </c>
      <c r="X539" s="8">
        <f>((Table1[[#This Row],[Units_Sold]]*(Table1[[#This Row],[Selling_Price_per_Unit]]-Table1[[#This Row],[Manufacturing_Cost_per_Unit]]))-Table1[[#This Row],[Marketing_Spend]])/Table1[[#This Row],[Marketing_Spend]]</f>
        <v>25.257341555804398</v>
      </c>
    </row>
    <row r="540" spans="1:24" hidden="1" x14ac:dyDescent="0.3">
      <c r="A540" s="1" t="s">
        <v>557</v>
      </c>
      <c r="B540" s="1" t="s">
        <v>1053</v>
      </c>
      <c r="C540" s="1" t="s">
        <v>1633</v>
      </c>
      <c r="D540" s="1" t="s">
        <v>1635</v>
      </c>
      <c r="E540" s="1">
        <v>2024</v>
      </c>
      <c r="F540" s="1" t="s">
        <v>1640</v>
      </c>
      <c r="G540" s="1">
        <v>3652</v>
      </c>
      <c r="H540" s="1">
        <v>3856</v>
      </c>
      <c r="I540" s="1">
        <v>7897</v>
      </c>
      <c r="J540" s="1">
        <v>459425</v>
      </c>
      <c r="K540" s="1">
        <v>12.97</v>
      </c>
      <c r="L540" s="1">
        <v>9</v>
      </c>
      <c r="M540" s="1">
        <v>7.97</v>
      </c>
      <c r="N540" s="1">
        <v>10.49</v>
      </c>
      <c r="O540" s="1">
        <v>23.17</v>
      </c>
      <c r="P540" s="1">
        <v>1.4</v>
      </c>
      <c r="Q540" s="1">
        <v>2591</v>
      </c>
      <c r="R540" s="1">
        <v>3800</v>
      </c>
      <c r="S540" s="1">
        <v>12</v>
      </c>
      <c r="T540" s="1">
        <f>(Table1[[#This Row],[Selling_Price_per_Unit]]-Table1[[#This Row],[Manufacturing_Cost_per_Unit]])*Table1[[#This Row],[Units_Sold]]-Table1[[#This Row],[Marketing_Spend]]-Table1[[#This Row],[Discount_%]]</f>
        <v>-15217167.49</v>
      </c>
      <c r="U540" s="3">
        <f>Table1[[#This Row],[profit]]/(Table1[[#This Row],[Units_Sold]]*Table1[[#This Row],[Selling_Price_per_Unit]])*100</f>
        <v>-108.06026461087654</v>
      </c>
      <c r="V540" s="6">
        <f>Table1[[#This Row],[Units_Sold]]*Table1[[#This Row],[Selling_Price_per_Unit]]</f>
        <v>14082112</v>
      </c>
      <c r="W540" s="7">
        <f>(Table1[[#This Row],[Units_Sold]]/$Z$1)</f>
        <v>0.73113874258550837</v>
      </c>
      <c r="X540" s="8">
        <f>((Table1[[#This Row],[Units_Sold]]*(Table1[[#This Row],[Selling_Price_per_Unit]]-Table1[[#This Row],[Manufacturing_Cost_per_Unit]]))-Table1[[#This Row],[Marketing_Spend]])/Table1[[#This Row],[Marketing_Spend]]</f>
        <v>-33.122178810469606</v>
      </c>
    </row>
    <row r="541" spans="1:24" x14ac:dyDescent="0.3">
      <c r="A541" s="1" t="s">
        <v>558</v>
      </c>
      <c r="B541" s="1" t="s">
        <v>1061</v>
      </c>
      <c r="C541" s="1" t="s">
        <v>1634</v>
      </c>
      <c r="D541" s="1" t="s">
        <v>1637</v>
      </c>
      <c r="E541" s="1">
        <v>2023</v>
      </c>
      <c r="F541" s="1" t="s">
        <v>1639</v>
      </c>
      <c r="G541" s="1">
        <v>4184</v>
      </c>
      <c r="H541" s="1">
        <v>6290</v>
      </c>
      <c r="I541" s="1">
        <v>2890</v>
      </c>
      <c r="J541" s="1">
        <v>163550</v>
      </c>
      <c r="K541" s="1">
        <v>8.8000000000000007</v>
      </c>
      <c r="L541" s="1">
        <v>0</v>
      </c>
      <c r="M541" s="1">
        <v>5.08</v>
      </c>
      <c r="N541" s="1">
        <v>9.77</v>
      </c>
      <c r="O541" s="1">
        <v>70.290000000000006</v>
      </c>
      <c r="P541" s="1">
        <v>1.2</v>
      </c>
      <c r="Q541" s="1">
        <v>17863</v>
      </c>
      <c r="R541" s="1">
        <v>9808</v>
      </c>
      <c r="S541" s="1">
        <v>14</v>
      </c>
      <c r="T541" s="1">
        <f>(Table1[[#This Row],[Selling_Price_per_Unit]]-Table1[[#This Row],[Manufacturing_Cost_per_Unit]])*Table1[[#This Row],[Units_Sold]]-Table1[[#This Row],[Marketing_Spend]]-Table1[[#This Row],[Discount_%]]</f>
        <v>14062040.23</v>
      </c>
      <c r="U541" s="3">
        <f>Table1[[#This Row],[profit]]/(Table1[[#This Row],[Units_Sold]]*Table1[[#This Row],[Selling_Price_per_Unit]])*100</f>
        <v>53.432564018579377</v>
      </c>
      <c r="V541" s="6">
        <f>Table1[[#This Row],[Units_Sold]]*Table1[[#This Row],[Selling_Price_per_Unit]]</f>
        <v>26317360</v>
      </c>
      <c r="W541" s="7">
        <f>(Table1[[#This Row],[Units_Sold]]/$Z$1)</f>
        <v>0.83764635788000186</v>
      </c>
      <c r="X541" s="8">
        <f>((Table1[[#This Row],[Units_Sold]]*(Table1[[#This Row],[Selling_Price_per_Unit]]-Table1[[#This Row],[Manufacturing_Cost_per_Unit]]))-Table1[[#This Row],[Marketing_Spend]])/Table1[[#This Row],[Marketing_Spend]]</f>
        <v>85.980128401100586</v>
      </c>
    </row>
    <row r="542" spans="1:24" hidden="1" x14ac:dyDescent="0.3">
      <c r="A542" s="1" t="s">
        <v>559</v>
      </c>
      <c r="B542" s="1" t="s">
        <v>1423</v>
      </c>
      <c r="C542" s="1" t="s">
        <v>1634</v>
      </c>
      <c r="D542" s="1" t="s">
        <v>1637</v>
      </c>
      <c r="E542" s="1">
        <v>2023</v>
      </c>
      <c r="F542" s="1" t="s">
        <v>1641</v>
      </c>
      <c r="G542" s="1">
        <v>3572</v>
      </c>
      <c r="H542" s="1">
        <v>18190</v>
      </c>
      <c r="I542" s="1">
        <v>14792</v>
      </c>
      <c r="J542" s="1">
        <v>486364</v>
      </c>
      <c r="K542" s="1">
        <v>8.7100000000000009</v>
      </c>
      <c r="L542" s="1">
        <v>9</v>
      </c>
      <c r="M542" s="1">
        <v>7.5</v>
      </c>
      <c r="N542" s="1">
        <v>16.649999999999999</v>
      </c>
      <c r="O542" s="1">
        <v>87.45</v>
      </c>
      <c r="P542" s="1">
        <v>1</v>
      </c>
      <c r="Q542" s="1">
        <v>1760</v>
      </c>
      <c r="R542" s="1">
        <v>6218</v>
      </c>
      <c r="S542" s="1">
        <v>8</v>
      </c>
      <c r="T542" s="1">
        <f>(Table1[[#This Row],[Selling_Price_per_Unit]]-Table1[[#This Row],[Manufacturing_Cost_per_Unit]])*Table1[[#This Row],[Units_Sold]]-Table1[[#This Row],[Marketing_Spend]]-Table1[[#This Row],[Discount_%]]</f>
        <v>11651275.35</v>
      </c>
      <c r="U542" s="3">
        <f>Table1[[#This Row],[profit]]/(Table1[[#This Row],[Units_Sold]]*Table1[[#This Row],[Selling_Price_per_Unit]])*100</f>
        <v>17.932024213124251</v>
      </c>
      <c r="V542" s="6">
        <f>Table1[[#This Row],[Units_Sold]]*Table1[[#This Row],[Selling_Price_per_Unit]]</f>
        <v>64974680</v>
      </c>
      <c r="W542" s="7">
        <f>(Table1[[#This Row],[Units_Sold]]/$Z$1)</f>
        <v>0.71512255983445672</v>
      </c>
      <c r="X542" s="8">
        <f>((Table1[[#This Row],[Units_Sold]]*(Table1[[#This Row],[Selling_Price_per_Unit]]-Table1[[#This Row],[Manufacturing_Cost_per_Unit]]))-Table1[[#This Row],[Marketing_Spend]])/Table1[[#This Row],[Marketing_Spend]]</f>
        <v>23.955909565675093</v>
      </c>
    </row>
    <row r="543" spans="1:24" x14ac:dyDescent="0.3">
      <c r="A543" s="1" t="s">
        <v>101</v>
      </c>
      <c r="B543" s="1" t="s">
        <v>1096</v>
      </c>
      <c r="C543" s="1" t="s">
        <v>1634</v>
      </c>
      <c r="D543" s="1" t="s">
        <v>1635</v>
      </c>
      <c r="E543" s="1">
        <v>2023</v>
      </c>
      <c r="F543" s="1" t="s">
        <v>1641</v>
      </c>
      <c r="G543" s="1">
        <v>3934</v>
      </c>
      <c r="H543" s="1">
        <v>16858</v>
      </c>
      <c r="I543" s="1">
        <v>9780</v>
      </c>
      <c r="J543" s="1">
        <v>412076</v>
      </c>
      <c r="K543" s="1">
        <v>11.79</v>
      </c>
      <c r="L543" s="1">
        <v>9</v>
      </c>
      <c r="M543" s="1">
        <v>4.28</v>
      </c>
      <c r="N543" s="1">
        <v>21.71</v>
      </c>
      <c r="O543" s="1">
        <v>54.19</v>
      </c>
      <c r="P543" s="1">
        <v>2.2000000000000002</v>
      </c>
      <c r="Q543" s="1">
        <v>20089</v>
      </c>
      <c r="R543" s="1">
        <v>9684</v>
      </c>
      <c r="S543" s="1">
        <v>13</v>
      </c>
      <c r="T543" s="1">
        <f>(Table1[[#This Row],[Selling_Price_per_Unit]]-Table1[[#This Row],[Manufacturing_Cost_per_Unit]])*Table1[[#This Row],[Units_Sold]]-Table1[[#This Row],[Marketing_Spend]]-Table1[[#This Row],[Discount_%]]</f>
        <v>27432754.289999999</v>
      </c>
      <c r="U543" s="3">
        <f>Table1[[#This Row],[profit]]/(Table1[[#This Row],[Units_Sold]]*Table1[[#This Row],[Selling_Price_per_Unit]])*100</f>
        <v>41.364617098605819</v>
      </c>
      <c r="V543" s="6">
        <f>Table1[[#This Row],[Units_Sold]]*Table1[[#This Row],[Selling_Price_per_Unit]]</f>
        <v>66319372</v>
      </c>
      <c r="W543" s="7">
        <f>(Table1[[#This Row],[Units_Sold]]/$Z$1)</f>
        <v>0.78759578678296549</v>
      </c>
      <c r="X543" s="8">
        <f>((Table1[[#This Row],[Units_Sold]]*(Table1[[#This Row],[Selling_Price_per_Unit]]-Table1[[#This Row],[Manufacturing_Cost_per_Unit]]))-Table1[[#This Row],[Marketing_Spend]])/Table1[[#This Row],[Marketing_Spend]]</f>
        <v>66.572127471631447</v>
      </c>
    </row>
    <row r="544" spans="1:24" x14ac:dyDescent="0.3">
      <c r="A544" s="1" t="s">
        <v>561</v>
      </c>
      <c r="B544" s="1" t="s">
        <v>1078</v>
      </c>
      <c r="C544" s="1" t="s">
        <v>1634</v>
      </c>
      <c r="D544" s="1" t="s">
        <v>1635</v>
      </c>
      <c r="E544" s="1">
        <v>2024</v>
      </c>
      <c r="F544" s="1" t="s">
        <v>1642</v>
      </c>
      <c r="G544" s="1">
        <v>4798</v>
      </c>
      <c r="H544" s="1">
        <v>8557</v>
      </c>
      <c r="I544" s="1">
        <v>12661</v>
      </c>
      <c r="J544" s="1">
        <v>183296</v>
      </c>
      <c r="K544" s="1">
        <v>11.35</v>
      </c>
      <c r="L544" s="1">
        <v>11</v>
      </c>
      <c r="M544" s="1">
        <v>5.14</v>
      </c>
      <c r="N544" s="1">
        <v>5.53</v>
      </c>
      <c r="O544" s="1">
        <v>11.8</v>
      </c>
      <c r="P544" s="1">
        <v>3.6</v>
      </c>
      <c r="Q544" s="1">
        <v>14935</v>
      </c>
      <c r="R544" s="1">
        <v>2773</v>
      </c>
      <c r="S544" s="1">
        <v>7</v>
      </c>
      <c r="T544" s="1">
        <f>(Table1[[#This Row],[Selling_Price_per_Unit]]-Table1[[#This Row],[Manufacturing_Cost_per_Unit]])*Table1[[#This Row],[Units_Sold]]-Table1[[#This Row],[Marketing_Spend]]-Table1[[#This Row],[Discount_%]]</f>
        <v>-19874293.530000001</v>
      </c>
      <c r="U544" s="3">
        <f>Table1[[#This Row],[profit]]/(Table1[[#This Row],[Units_Sold]]*Table1[[#This Row],[Selling_Price_per_Unit]])*100</f>
        <v>-48.407195710806818</v>
      </c>
      <c r="V544" s="6">
        <f>Table1[[#This Row],[Units_Sold]]*Table1[[#This Row],[Selling_Price_per_Unit]]</f>
        <v>41056486</v>
      </c>
      <c r="W544" s="7">
        <f>(Table1[[#This Row],[Units_Sold]]/$Z$1)</f>
        <v>0.96057056049432343</v>
      </c>
      <c r="X544" s="8">
        <f>((Table1[[#This Row],[Units_Sold]]*(Table1[[#This Row],[Selling_Price_per_Unit]]-Table1[[#This Row],[Manufacturing_Cost_per_Unit]]))-Table1[[#This Row],[Marketing_Spend]])/Table1[[#This Row],[Marketing_Spend]]</f>
        <v>-108.42728701117318</v>
      </c>
    </row>
    <row r="545" spans="1:24" hidden="1" x14ac:dyDescent="0.3">
      <c r="A545" s="1" t="s">
        <v>972</v>
      </c>
      <c r="B545" s="1" t="s">
        <v>1613</v>
      </c>
      <c r="C545" s="1" t="s">
        <v>1633</v>
      </c>
      <c r="D545" s="1" t="s">
        <v>1637</v>
      </c>
      <c r="E545" s="1">
        <v>2023</v>
      </c>
      <c r="F545" s="1" t="s">
        <v>1639</v>
      </c>
      <c r="G545" s="1">
        <v>3331</v>
      </c>
      <c r="H545" s="1">
        <v>16976</v>
      </c>
      <c r="I545" s="1">
        <v>8615</v>
      </c>
      <c r="J545" s="1">
        <v>439770</v>
      </c>
      <c r="K545" s="1">
        <v>6.12</v>
      </c>
      <c r="L545" s="1">
        <v>8</v>
      </c>
      <c r="M545" s="1">
        <v>6.89</v>
      </c>
      <c r="N545" s="1">
        <v>10.220000000000001</v>
      </c>
      <c r="O545" s="1">
        <v>55.54</v>
      </c>
      <c r="P545" s="1">
        <v>3</v>
      </c>
      <c r="Q545" s="1">
        <v>3244</v>
      </c>
      <c r="R545" s="1">
        <v>1675</v>
      </c>
      <c r="S545" s="1">
        <v>12</v>
      </c>
      <c r="T545" s="1">
        <f>(Table1[[#This Row],[Selling_Price_per_Unit]]-Table1[[#This Row],[Manufacturing_Cost_per_Unit]])*Table1[[#This Row],[Units_Sold]]-Table1[[#This Row],[Marketing_Spend]]-Table1[[#This Row],[Discount_%]]</f>
        <v>27410710.780000001</v>
      </c>
      <c r="U545" s="3">
        <f>Table1[[#This Row],[profit]]/(Table1[[#This Row],[Units_Sold]]*Table1[[#This Row],[Selling_Price_per_Unit]])*100</f>
        <v>48.474160670716444</v>
      </c>
      <c r="V545" s="6">
        <f>Table1[[#This Row],[Units_Sold]]*Table1[[#This Row],[Selling_Price_per_Unit]]</f>
        <v>56547056</v>
      </c>
      <c r="W545" s="7">
        <f>(Table1[[#This Row],[Units_Sold]]/$Z$1)</f>
        <v>0.66687380929691353</v>
      </c>
      <c r="X545" s="8">
        <f>((Table1[[#This Row],[Units_Sold]]*(Table1[[#This Row],[Selling_Price_per_Unit]]-Table1[[#This Row],[Manufacturing_Cost_per_Unit]]))-Table1[[#This Row],[Marketing_Spend]])/Table1[[#This Row],[Marketing_Spend]]</f>
        <v>62.329674602633197</v>
      </c>
    </row>
    <row r="546" spans="1:24" hidden="1" x14ac:dyDescent="0.3">
      <c r="A546" s="1" t="s">
        <v>563</v>
      </c>
      <c r="B546" s="1" t="s">
        <v>1406</v>
      </c>
      <c r="C546" s="1" t="s">
        <v>1634</v>
      </c>
      <c r="D546" s="1" t="s">
        <v>1638</v>
      </c>
      <c r="E546" s="1">
        <v>2023</v>
      </c>
      <c r="F546" s="1" t="s">
        <v>1640</v>
      </c>
      <c r="G546" s="1">
        <v>1293</v>
      </c>
      <c r="H546" s="1">
        <v>2161</v>
      </c>
      <c r="I546" s="1">
        <v>5424</v>
      </c>
      <c r="J546" s="1">
        <v>432923</v>
      </c>
      <c r="K546" s="1">
        <v>10.61</v>
      </c>
      <c r="L546" s="1">
        <v>8</v>
      </c>
      <c r="M546" s="1">
        <v>4.67</v>
      </c>
      <c r="N546" s="1">
        <v>12.51</v>
      </c>
      <c r="O546" s="1">
        <v>65.63</v>
      </c>
      <c r="P546" s="1">
        <v>2.8</v>
      </c>
      <c r="Q546" s="1">
        <v>17313</v>
      </c>
      <c r="R546" s="1">
        <v>7182</v>
      </c>
      <c r="S546" s="1">
        <v>2</v>
      </c>
      <c r="T546" s="1">
        <f>(Table1[[#This Row],[Selling_Price_per_Unit]]-Table1[[#This Row],[Manufacturing_Cost_per_Unit]])*Table1[[#This Row],[Units_Sold]]-Table1[[#This Row],[Marketing_Spend]]-Table1[[#This Row],[Discount_%]]</f>
        <v>-4651994.51</v>
      </c>
      <c r="U546" s="3">
        <f>Table1[[#This Row],[profit]]/(Table1[[#This Row],[Units_Sold]]*Table1[[#This Row],[Selling_Price_per_Unit]])*100</f>
        <v>-166.48913685730983</v>
      </c>
      <c r="V546" s="6">
        <f>Table1[[#This Row],[Units_Sold]]*Table1[[#This Row],[Selling_Price_per_Unit]]</f>
        <v>2794173</v>
      </c>
      <c r="W546" s="7">
        <f>(Table1[[#This Row],[Units_Sold]]/$Z$1)</f>
        <v>0.25886155371387248</v>
      </c>
      <c r="X546" s="8">
        <f>((Table1[[#This Row],[Units_Sold]]*(Table1[[#This Row],[Selling_Price_per_Unit]]-Table1[[#This Row],[Manufacturing_Cost_per_Unit]]))-Table1[[#This Row],[Marketing_Spend]])/Table1[[#This Row],[Marketing_Spend]]</f>
        <v>-10.745518256133307</v>
      </c>
    </row>
    <row r="547" spans="1:24" x14ac:dyDescent="0.3">
      <c r="A547" s="1" t="s">
        <v>564</v>
      </c>
      <c r="B547" s="1" t="s">
        <v>1079</v>
      </c>
      <c r="C547" s="1" t="s">
        <v>1632</v>
      </c>
      <c r="D547" s="1" t="s">
        <v>1637</v>
      </c>
      <c r="E547" s="1">
        <v>2023</v>
      </c>
      <c r="F547" s="1" t="s">
        <v>1642</v>
      </c>
      <c r="G547" s="1">
        <v>3759</v>
      </c>
      <c r="H547" s="1">
        <v>6144</v>
      </c>
      <c r="I547" s="1">
        <v>2433</v>
      </c>
      <c r="J547" s="1">
        <v>441858</v>
      </c>
      <c r="K547" s="1">
        <v>5.84</v>
      </c>
      <c r="L547" s="1">
        <v>11</v>
      </c>
      <c r="M547" s="1">
        <v>3.6</v>
      </c>
      <c r="N547" s="1">
        <v>10.38</v>
      </c>
      <c r="O547" s="1">
        <v>76.040000000000006</v>
      </c>
      <c r="P547" s="1">
        <v>3.7</v>
      </c>
      <c r="Q547" s="1">
        <v>5801</v>
      </c>
      <c r="R547" s="1">
        <v>8350</v>
      </c>
      <c r="S547" s="1">
        <v>7</v>
      </c>
      <c r="T547" s="1">
        <f>(Table1[[#This Row],[Selling_Price_per_Unit]]-Table1[[#This Row],[Manufacturing_Cost_per_Unit]])*Table1[[#This Row],[Units_Sold]]-Table1[[#This Row],[Marketing_Spend]]-Table1[[#This Row],[Discount_%]]</f>
        <v>13507780.619999999</v>
      </c>
      <c r="U547" s="3">
        <f>Table1[[#This Row],[profit]]/(Table1[[#This Row],[Units_Sold]]*Table1[[#This Row],[Selling_Price_per_Unit]])*100</f>
        <v>58.487150889947458</v>
      </c>
      <c r="V547" s="6">
        <f>Table1[[#This Row],[Units_Sold]]*Table1[[#This Row],[Selling_Price_per_Unit]]</f>
        <v>23095296</v>
      </c>
      <c r="W547" s="7">
        <f>(Table1[[#This Row],[Units_Sold]]/$Z$1)</f>
        <v>0.75256038701503991</v>
      </c>
      <c r="X547" s="8">
        <f>((Table1[[#This Row],[Units_Sold]]*(Table1[[#This Row],[Selling_Price_per_Unit]]-Table1[[#This Row],[Manufacturing_Cost_per_Unit]]))-Table1[[#This Row],[Marketing_Spend]])/Table1[[#This Row],[Marketing_Spend]]</f>
        <v>30.570434392949771</v>
      </c>
    </row>
    <row r="548" spans="1:24" hidden="1" x14ac:dyDescent="0.3">
      <c r="A548" s="1" t="s">
        <v>565</v>
      </c>
      <c r="B548" s="1" t="s">
        <v>1063</v>
      </c>
      <c r="C548" s="1" t="s">
        <v>1633</v>
      </c>
      <c r="D548" s="1" t="s">
        <v>1635</v>
      </c>
      <c r="E548" s="1">
        <v>2023</v>
      </c>
      <c r="F548" s="1" t="s">
        <v>1641</v>
      </c>
      <c r="G548" s="1">
        <v>1131</v>
      </c>
      <c r="H548" s="1">
        <v>17211</v>
      </c>
      <c r="I548" s="1">
        <v>14053</v>
      </c>
      <c r="J548" s="1">
        <v>291060</v>
      </c>
      <c r="K548" s="1">
        <v>3.43</v>
      </c>
      <c r="L548" s="1">
        <v>0</v>
      </c>
      <c r="M548" s="1">
        <v>5.36</v>
      </c>
      <c r="N548" s="1">
        <v>4.2300000000000004</v>
      </c>
      <c r="O548" s="1">
        <v>14.48</v>
      </c>
      <c r="P548" s="1">
        <v>2.4</v>
      </c>
      <c r="Q548" s="1">
        <v>8707</v>
      </c>
      <c r="R548" s="1">
        <v>2162</v>
      </c>
      <c r="S548" s="1">
        <v>3</v>
      </c>
      <c r="T548" s="1">
        <f>(Table1[[#This Row],[Selling_Price_per_Unit]]-Table1[[#This Row],[Manufacturing_Cost_per_Unit]])*Table1[[#This Row],[Units_Sold]]-Table1[[#This Row],[Marketing_Spend]]-Table1[[#This Row],[Discount_%]]</f>
        <v>3280633.77</v>
      </c>
      <c r="U548" s="3">
        <f>Table1[[#This Row],[profit]]/(Table1[[#This Row],[Units_Sold]]*Table1[[#This Row],[Selling_Price_per_Unit]])*100</f>
        <v>16.853458717336871</v>
      </c>
      <c r="V548" s="6">
        <f>Table1[[#This Row],[Units_Sold]]*Table1[[#This Row],[Selling_Price_per_Unit]]</f>
        <v>19465641</v>
      </c>
      <c r="W548" s="7">
        <f>(Table1[[#This Row],[Units_Sold]]/$Z$1)</f>
        <v>0.22642878364299288</v>
      </c>
      <c r="X548" s="8">
        <f>((Table1[[#This Row],[Units_Sold]]*(Table1[[#This Row],[Selling_Price_per_Unit]]-Table1[[#This Row],[Manufacturing_Cost_per_Unit]]))-Table1[[#This Row],[Marketing_Spend]])/Table1[[#This Row],[Marketing_Spend]]</f>
        <v>11.271346114203258</v>
      </c>
    </row>
    <row r="549" spans="1:24" hidden="1" x14ac:dyDescent="0.3">
      <c r="A549" s="1" t="s">
        <v>566</v>
      </c>
      <c r="B549" s="1" t="s">
        <v>1302</v>
      </c>
      <c r="C549" s="1" t="s">
        <v>1634</v>
      </c>
      <c r="D549" s="1" t="s">
        <v>1636</v>
      </c>
      <c r="E549" s="1">
        <v>2023</v>
      </c>
      <c r="F549" s="1" t="s">
        <v>1641</v>
      </c>
      <c r="G549" s="1">
        <v>505</v>
      </c>
      <c r="H549" s="1">
        <v>4420</v>
      </c>
      <c r="I549" s="1">
        <v>2317</v>
      </c>
      <c r="J549" s="1">
        <v>290016</v>
      </c>
      <c r="K549" s="1">
        <v>8.9499999999999993</v>
      </c>
      <c r="L549" s="1">
        <v>10</v>
      </c>
      <c r="M549" s="1">
        <v>7.17</v>
      </c>
      <c r="N549" s="1">
        <v>4.6900000000000004</v>
      </c>
      <c r="O549" s="1">
        <v>48.41</v>
      </c>
      <c r="P549" s="1">
        <v>3.7</v>
      </c>
      <c r="Q549" s="1">
        <v>17976</v>
      </c>
      <c r="R549" s="1">
        <v>1354</v>
      </c>
      <c r="S549" s="1">
        <v>9</v>
      </c>
      <c r="T549" s="1">
        <f>(Table1[[#This Row],[Selling_Price_per_Unit]]-Table1[[#This Row],[Manufacturing_Cost_per_Unit]])*Table1[[#This Row],[Units_Sold]]-Table1[[#This Row],[Marketing_Spend]]-Table1[[#This Row],[Discount_%]]</f>
        <v>771994.31</v>
      </c>
      <c r="U549" s="3">
        <f>Table1[[#This Row],[profit]]/(Table1[[#This Row],[Units_Sold]]*Table1[[#This Row],[Selling_Price_per_Unit]])*100</f>
        <v>34.586009139375477</v>
      </c>
      <c r="V549" s="6">
        <f>Table1[[#This Row],[Units_Sold]]*Table1[[#This Row],[Selling_Price_per_Unit]]</f>
        <v>2232100</v>
      </c>
      <c r="W549" s="7">
        <f>(Table1[[#This Row],[Units_Sold]]/$Z$1)</f>
        <v>0.10110215361601362</v>
      </c>
      <c r="X549" s="8">
        <f>((Table1[[#This Row],[Units_Sold]]*(Table1[[#This Row],[Selling_Price_per_Unit]]-Table1[[#This Row],[Manufacturing_Cost_per_Unit]]))-Table1[[#This Row],[Marketing_Spend]])/Table1[[#This Row],[Marketing_Spend]]</f>
        <v>2.6619186527639855</v>
      </c>
    </row>
    <row r="550" spans="1:24" hidden="1" x14ac:dyDescent="0.3">
      <c r="A550" s="1" t="s">
        <v>471</v>
      </c>
      <c r="B550" s="1" t="s">
        <v>1377</v>
      </c>
      <c r="C550" s="1" t="s">
        <v>1633</v>
      </c>
      <c r="D550" s="1" t="s">
        <v>1637</v>
      </c>
      <c r="E550" s="1">
        <v>2023</v>
      </c>
      <c r="F550" s="1" t="s">
        <v>1641</v>
      </c>
      <c r="G550" s="1">
        <v>3317</v>
      </c>
      <c r="H550" s="1">
        <v>16751</v>
      </c>
      <c r="I550" s="1">
        <v>8510</v>
      </c>
      <c r="J550" s="1">
        <v>173853</v>
      </c>
      <c r="K550" s="1">
        <v>9.49</v>
      </c>
      <c r="L550" s="1">
        <v>14</v>
      </c>
      <c r="M550" s="1">
        <v>4.76</v>
      </c>
      <c r="N550" s="1">
        <v>4.33</v>
      </c>
      <c r="O550" s="1">
        <v>29.14</v>
      </c>
      <c r="P550" s="1">
        <v>1.8</v>
      </c>
      <c r="Q550" s="1">
        <v>18588</v>
      </c>
      <c r="R550" s="1">
        <v>5296</v>
      </c>
      <c r="S550" s="1">
        <v>3</v>
      </c>
      <c r="T550" s="1">
        <f>(Table1[[#This Row],[Selling_Price_per_Unit]]-Table1[[#This Row],[Manufacturing_Cost_per_Unit]])*Table1[[#This Row],[Units_Sold]]-Table1[[#This Row],[Marketing_Spend]]-Table1[[#This Row],[Discount_%]]</f>
        <v>27161539.670000002</v>
      </c>
      <c r="U550" s="3">
        <f>Table1[[#This Row],[profit]]/(Table1[[#This Row],[Units_Sold]]*Table1[[#This Row],[Selling_Price_per_Unit]])*100</f>
        <v>48.88416197399615</v>
      </c>
      <c r="V550" s="6">
        <f>Table1[[#This Row],[Units_Sold]]*Table1[[#This Row],[Selling_Price_per_Unit]]</f>
        <v>55563067</v>
      </c>
      <c r="W550" s="7">
        <f>(Table1[[#This Row],[Units_Sold]]/$Z$1)</f>
        <v>0.66407097731547948</v>
      </c>
      <c r="X550" s="8">
        <f>((Table1[[#This Row],[Units_Sold]]*(Table1[[#This Row],[Selling_Price_per_Unit]]-Table1[[#This Row],[Manufacturing_Cost_per_Unit]]))-Table1[[#This Row],[Marketing_Spend]])/Table1[[#This Row],[Marketing_Spend]]</f>
        <v>156.23281738020052</v>
      </c>
    </row>
    <row r="551" spans="1:24" hidden="1" x14ac:dyDescent="0.3">
      <c r="A551" s="1" t="s">
        <v>568</v>
      </c>
      <c r="B551" s="1" t="s">
        <v>1425</v>
      </c>
      <c r="C551" s="1" t="s">
        <v>1634</v>
      </c>
      <c r="D551" s="1" t="s">
        <v>1636</v>
      </c>
      <c r="E551" s="1">
        <v>2024</v>
      </c>
      <c r="F551" s="1" t="s">
        <v>1639</v>
      </c>
      <c r="G551" s="1">
        <v>944</v>
      </c>
      <c r="H551" s="1">
        <v>15525</v>
      </c>
      <c r="I551" s="1">
        <v>11649</v>
      </c>
      <c r="J551" s="1">
        <v>288038</v>
      </c>
      <c r="K551" s="1">
        <v>13.94</v>
      </c>
      <c r="L551" s="1">
        <v>1</v>
      </c>
      <c r="M551" s="1">
        <v>9.39</v>
      </c>
      <c r="N551" s="1">
        <v>2.29</v>
      </c>
      <c r="O551" s="1">
        <v>23.53</v>
      </c>
      <c r="P551" s="1">
        <v>2.6</v>
      </c>
      <c r="Q551" s="1">
        <v>15295</v>
      </c>
      <c r="R551" s="1">
        <v>3848</v>
      </c>
      <c r="S551" s="1">
        <v>14</v>
      </c>
      <c r="T551" s="1">
        <f>(Table1[[#This Row],[Selling_Price_per_Unit]]-Table1[[#This Row],[Manufacturing_Cost_per_Unit]])*Table1[[#This Row],[Units_Sold]]-Table1[[#This Row],[Marketing_Spend]]-Table1[[#This Row],[Discount_%]]</f>
        <v>3370903.71</v>
      </c>
      <c r="U551" s="3">
        <f>Table1[[#This Row],[profit]]/(Table1[[#This Row],[Units_Sold]]*Table1[[#This Row],[Selling_Price_per_Unit]])*100</f>
        <v>23.000789527552605</v>
      </c>
      <c r="V551" s="6">
        <f>Table1[[#This Row],[Units_Sold]]*Table1[[#This Row],[Selling_Price_per_Unit]]</f>
        <v>14655600</v>
      </c>
      <c r="W551" s="7">
        <f>(Table1[[#This Row],[Units_Sold]]/$Z$1)</f>
        <v>0.1889909564624096</v>
      </c>
      <c r="X551" s="8">
        <f>((Table1[[#This Row],[Units_Sold]]*(Table1[[#This Row],[Selling_Price_per_Unit]]-Table1[[#This Row],[Manufacturing_Cost_per_Unit]]))-Table1[[#This Row],[Marketing_Spend]])/Table1[[#This Row],[Marketing_Spend]]</f>
        <v>11.702990577632118</v>
      </c>
    </row>
    <row r="552" spans="1:24" hidden="1" x14ac:dyDescent="0.3">
      <c r="A552" s="1" t="s">
        <v>569</v>
      </c>
      <c r="B552" s="1" t="s">
        <v>1411</v>
      </c>
      <c r="C552" s="1" t="s">
        <v>1634</v>
      </c>
      <c r="D552" s="1" t="s">
        <v>1635</v>
      </c>
      <c r="E552" s="1">
        <v>2023</v>
      </c>
      <c r="F552" s="1" t="s">
        <v>1641</v>
      </c>
      <c r="G552" s="1">
        <v>1434</v>
      </c>
      <c r="H552" s="1">
        <v>10446</v>
      </c>
      <c r="I552" s="1">
        <v>4448</v>
      </c>
      <c r="J552" s="1">
        <v>220201</v>
      </c>
      <c r="K552" s="1">
        <v>5.13</v>
      </c>
      <c r="L552" s="1">
        <v>19</v>
      </c>
      <c r="M552" s="1">
        <v>2.95</v>
      </c>
      <c r="N552" s="1">
        <v>13.92</v>
      </c>
      <c r="O552" s="1">
        <v>35.799999999999997</v>
      </c>
      <c r="P552" s="1">
        <v>4.2</v>
      </c>
      <c r="Q552" s="1">
        <v>7625</v>
      </c>
      <c r="R552" s="1">
        <v>6442</v>
      </c>
      <c r="S552" s="1">
        <v>3</v>
      </c>
      <c r="T552" s="1">
        <f>(Table1[[#This Row],[Selling_Price_per_Unit]]-Table1[[#This Row],[Manufacturing_Cost_per_Unit]])*Table1[[#This Row],[Units_Sold]]-Table1[[#This Row],[Marketing_Spend]]-Table1[[#This Row],[Discount_%]]</f>
        <v>8380917.0800000001</v>
      </c>
      <c r="U552" s="3">
        <f>Table1[[#This Row],[profit]]/(Table1[[#This Row],[Units_Sold]]*Table1[[#This Row],[Selling_Price_per_Unit]])*100</f>
        <v>55.949005458369818</v>
      </c>
      <c r="V552" s="6">
        <f>Table1[[#This Row],[Units_Sold]]*Table1[[#This Row],[Selling_Price_per_Unit]]</f>
        <v>14979564</v>
      </c>
      <c r="W552" s="7">
        <f>(Table1[[#This Row],[Units_Sold]]/$Z$1)</f>
        <v>0.28709007581260104</v>
      </c>
      <c r="X552" s="8">
        <f>((Table1[[#This Row],[Units_Sold]]*(Table1[[#This Row],[Selling_Price_per_Unit]]-Table1[[#This Row],[Manufacturing_Cost_per_Unit]]))-Table1[[#This Row],[Marketing_Spend]])/Table1[[#This Row],[Marketing_Spend]]</f>
        <v>38.06036757326261</v>
      </c>
    </row>
    <row r="553" spans="1:24" hidden="1" x14ac:dyDescent="0.3">
      <c r="A553" s="1" t="s">
        <v>570</v>
      </c>
      <c r="B553" s="1" t="s">
        <v>1426</v>
      </c>
      <c r="C553" s="1" t="s">
        <v>1632</v>
      </c>
      <c r="D553" s="1" t="s">
        <v>1636</v>
      </c>
      <c r="E553" s="1">
        <v>2023</v>
      </c>
      <c r="F553" s="1" t="s">
        <v>1642</v>
      </c>
      <c r="G553" s="1">
        <v>2008</v>
      </c>
      <c r="H553" s="1">
        <v>14232</v>
      </c>
      <c r="I553" s="1">
        <v>13940</v>
      </c>
      <c r="J553" s="1">
        <v>281324</v>
      </c>
      <c r="K553" s="1">
        <v>7.92</v>
      </c>
      <c r="L553" s="1">
        <v>6</v>
      </c>
      <c r="M553" s="1">
        <v>4.75</v>
      </c>
      <c r="N553" s="1">
        <v>22.3</v>
      </c>
      <c r="O553" s="1">
        <v>45.22</v>
      </c>
      <c r="P553" s="1">
        <v>4.2</v>
      </c>
      <c r="Q553" s="1">
        <v>3424</v>
      </c>
      <c r="R553" s="1">
        <v>4230</v>
      </c>
      <c r="S553" s="1">
        <v>9</v>
      </c>
      <c r="T553" s="1">
        <f>(Table1[[#This Row],[Selling_Price_per_Unit]]-Table1[[#This Row],[Manufacturing_Cost_per_Unit]])*Table1[[#This Row],[Units_Sold]]-Table1[[#This Row],[Marketing_Spend]]-Table1[[#This Row],[Discount_%]]</f>
        <v>304989.7</v>
      </c>
      <c r="U553" s="3">
        <f>Table1[[#This Row],[profit]]/(Table1[[#This Row],[Units_Sold]]*Table1[[#This Row],[Selling_Price_per_Unit]])*100</f>
        <v>1.0672238673188081</v>
      </c>
      <c r="V553" s="6">
        <f>Table1[[#This Row],[Units_Sold]]*Table1[[#This Row],[Selling_Price_per_Unit]]</f>
        <v>28577856</v>
      </c>
      <c r="W553" s="7">
        <f>(Table1[[#This Row],[Units_Sold]]/$Z$1)</f>
        <v>0.40200618705139668</v>
      </c>
      <c r="X553" s="8">
        <f>((Table1[[#This Row],[Units_Sold]]*(Table1[[#This Row],[Selling_Price_per_Unit]]-Table1[[#This Row],[Manufacturing_Cost_per_Unit]]))-Table1[[#This Row],[Marketing_Spend]])/Table1[[#This Row],[Marketing_Spend]]</f>
        <v>1.0842018455588573</v>
      </c>
    </row>
    <row r="554" spans="1:24" hidden="1" x14ac:dyDescent="0.3">
      <c r="A554" s="1" t="s">
        <v>571</v>
      </c>
      <c r="B554" s="1" t="s">
        <v>1274</v>
      </c>
      <c r="C554" s="1" t="s">
        <v>1633</v>
      </c>
      <c r="D554" s="1" t="s">
        <v>1638</v>
      </c>
      <c r="E554" s="1">
        <v>2024</v>
      </c>
      <c r="F554" s="1" t="s">
        <v>1639</v>
      </c>
      <c r="G554" s="1">
        <v>3122</v>
      </c>
      <c r="H554" s="1">
        <v>7736</v>
      </c>
      <c r="I554" s="1">
        <v>12580</v>
      </c>
      <c r="J554" s="1">
        <v>374512</v>
      </c>
      <c r="K554" s="1">
        <v>3.17</v>
      </c>
      <c r="L554" s="1">
        <v>11</v>
      </c>
      <c r="M554" s="1">
        <v>7.57</v>
      </c>
      <c r="N554" s="1">
        <v>7.18</v>
      </c>
      <c r="O554" s="1">
        <v>76.66</v>
      </c>
      <c r="P554" s="1">
        <v>3.9</v>
      </c>
      <c r="Q554" s="1">
        <v>20979</v>
      </c>
      <c r="R554" s="1">
        <v>4357</v>
      </c>
      <c r="S554" s="1">
        <v>13</v>
      </c>
      <c r="T554" s="1">
        <f>(Table1[[#This Row],[Selling_Price_per_Unit]]-Table1[[#This Row],[Manufacturing_Cost_per_Unit]])*Table1[[#This Row],[Units_Sold]]-Table1[[#This Row],[Marketing_Spend]]-Table1[[#This Row],[Discount_%]]</f>
        <v>-15497487.18</v>
      </c>
      <c r="U554" s="3">
        <f>Table1[[#This Row],[profit]]/(Table1[[#This Row],[Units_Sold]]*Table1[[#This Row],[Selling_Price_per_Unit]])*100</f>
        <v>-64.167028185734623</v>
      </c>
      <c r="V554" s="6">
        <f>Table1[[#This Row],[Units_Sold]]*Table1[[#This Row],[Selling_Price_per_Unit]]</f>
        <v>24151792</v>
      </c>
      <c r="W554" s="7">
        <f>(Table1[[#This Row],[Units_Sold]]/$Z$1)</f>
        <v>0.6250315318597911</v>
      </c>
      <c r="X554" s="8">
        <f>((Table1[[#This Row],[Units_Sold]]*(Table1[[#This Row],[Selling_Price_per_Unit]]-Table1[[#This Row],[Manufacturing_Cost_per_Unit]]))-Table1[[#This Row],[Marketing_Spend]])/Table1[[#This Row],[Marketing_Spend]]</f>
        <v>-41.380463109326271</v>
      </c>
    </row>
    <row r="555" spans="1:24" x14ac:dyDescent="0.3">
      <c r="A555" s="1" t="s">
        <v>670</v>
      </c>
      <c r="B555" s="1" t="s">
        <v>1166</v>
      </c>
      <c r="C555" s="1" t="s">
        <v>1633</v>
      </c>
      <c r="D555" s="1" t="s">
        <v>1637</v>
      </c>
      <c r="E555" s="1">
        <v>2023</v>
      </c>
      <c r="F555" s="1" t="s">
        <v>1642</v>
      </c>
      <c r="G555" s="1">
        <v>4583</v>
      </c>
      <c r="H555" s="1">
        <v>9967</v>
      </c>
      <c r="I555" s="1">
        <v>4000</v>
      </c>
      <c r="J555" s="1">
        <v>232885</v>
      </c>
      <c r="K555" s="1">
        <v>12.14</v>
      </c>
      <c r="L555" s="1">
        <v>14</v>
      </c>
      <c r="M555" s="1">
        <v>2.13</v>
      </c>
      <c r="N555" s="1">
        <v>4.38</v>
      </c>
      <c r="O555" s="1">
        <v>61.66</v>
      </c>
      <c r="P555" s="1">
        <v>4.8</v>
      </c>
      <c r="Q555" s="1">
        <v>9303</v>
      </c>
      <c r="R555" s="1">
        <v>4378</v>
      </c>
      <c r="S555" s="1">
        <v>11</v>
      </c>
      <c r="T555" s="1">
        <f>(Table1[[#This Row],[Selling_Price_per_Unit]]-Table1[[#This Row],[Manufacturing_Cost_per_Unit]])*Table1[[#This Row],[Units_Sold]]-Table1[[#This Row],[Marketing_Spend]]-Table1[[#This Row],[Discount_%]]</f>
        <v>27113871.620000001</v>
      </c>
      <c r="U555" s="3">
        <f>Table1[[#This Row],[profit]]/(Table1[[#This Row],[Units_Sold]]*Table1[[#This Row],[Selling_Price_per_Unit]])*100</f>
        <v>59.357721239418041</v>
      </c>
      <c r="V555" s="6">
        <f>Table1[[#This Row],[Units_Sold]]*Table1[[#This Row],[Selling_Price_per_Unit]]</f>
        <v>45678761</v>
      </c>
      <c r="W555" s="7">
        <f>(Table1[[#This Row],[Units_Sold]]/$Z$1)</f>
        <v>0.91752706935087203</v>
      </c>
      <c r="X555" s="8">
        <f>((Table1[[#This Row],[Units_Sold]]*(Table1[[#This Row],[Selling_Price_per_Unit]]-Table1[[#This Row],[Manufacturing_Cost_per_Unit]]))-Table1[[#This Row],[Marketing_Spend]])/Table1[[#This Row],[Marketing_Spend]]</f>
        <v>116.42603001481417</v>
      </c>
    </row>
    <row r="556" spans="1:24" x14ac:dyDescent="0.3">
      <c r="A556" s="1" t="s">
        <v>573</v>
      </c>
      <c r="B556" s="1" t="s">
        <v>1428</v>
      </c>
      <c r="C556" s="1" t="s">
        <v>1632</v>
      </c>
      <c r="D556" s="1" t="s">
        <v>1638</v>
      </c>
      <c r="E556" s="1">
        <v>2024</v>
      </c>
      <c r="F556" s="1" t="s">
        <v>1641</v>
      </c>
      <c r="G556" s="1">
        <v>4335</v>
      </c>
      <c r="H556" s="1">
        <v>15018</v>
      </c>
      <c r="I556" s="1">
        <v>14168</v>
      </c>
      <c r="J556" s="1">
        <v>94760</v>
      </c>
      <c r="K556" s="1">
        <v>14.72</v>
      </c>
      <c r="L556" s="1">
        <v>2</v>
      </c>
      <c r="M556" s="1">
        <v>8.64</v>
      </c>
      <c r="N556" s="1">
        <v>2.89</v>
      </c>
      <c r="O556" s="1">
        <v>60.27</v>
      </c>
      <c r="P556" s="1">
        <v>2</v>
      </c>
      <c r="Q556" s="1">
        <v>20422</v>
      </c>
      <c r="R556" s="1">
        <v>2946</v>
      </c>
      <c r="S556" s="1">
        <v>13</v>
      </c>
      <c r="T556" s="1">
        <f>(Table1[[#This Row],[Selling_Price_per_Unit]]-Table1[[#This Row],[Manufacturing_Cost_per_Unit]])*Table1[[#This Row],[Units_Sold]]-Table1[[#This Row],[Marketing_Spend]]-Table1[[#This Row],[Discount_%]]</f>
        <v>3589987.11</v>
      </c>
      <c r="U556" s="3">
        <f>Table1[[#This Row],[profit]]/(Table1[[#This Row],[Units_Sold]]*Table1[[#This Row],[Selling_Price_per_Unit]])*100</f>
        <v>5.5143164765142263</v>
      </c>
      <c r="V556" s="6">
        <f>Table1[[#This Row],[Units_Sold]]*Table1[[#This Row],[Selling_Price_per_Unit]]</f>
        <v>65103030</v>
      </c>
      <c r="W556" s="7">
        <f>(Table1[[#This Row],[Units_Sold]]/$Z$1)</f>
        <v>0.86787690282261187</v>
      </c>
      <c r="X556" s="8">
        <f>((Table1[[#This Row],[Units_Sold]]*(Table1[[#This Row],[Selling_Price_per_Unit]]-Table1[[#This Row],[Manufacturing_Cost_per_Unit]]))-Table1[[#This Row],[Marketing_Spend]])/Table1[[#This Row],[Marketing_Spend]]</f>
        <v>37.885078092021949</v>
      </c>
    </row>
    <row r="557" spans="1:24" hidden="1" x14ac:dyDescent="0.3">
      <c r="A557" s="1" t="s">
        <v>574</v>
      </c>
      <c r="B557" s="1" t="s">
        <v>1429</v>
      </c>
      <c r="C557" s="1" t="s">
        <v>1634</v>
      </c>
      <c r="D557" s="1" t="s">
        <v>1636</v>
      </c>
      <c r="E557" s="1">
        <v>2024</v>
      </c>
      <c r="F557" s="1" t="s">
        <v>1640</v>
      </c>
      <c r="G557" s="1">
        <v>554</v>
      </c>
      <c r="H557" s="1">
        <v>1852</v>
      </c>
      <c r="I557" s="1">
        <v>3937</v>
      </c>
      <c r="J557" s="1">
        <v>335622</v>
      </c>
      <c r="K557" s="1">
        <v>9.74</v>
      </c>
      <c r="L557" s="1">
        <v>6</v>
      </c>
      <c r="M557" s="1">
        <v>9.9700000000000006</v>
      </c>
      <c r="N557" s="1">
        <v>9.7200000000000006</v>
      </c>
      <c r="O557" s="1">
        <v>41.6</v>
      </c>
      <c r="P557" s="1">
        <v>5</v>
      </c>
      <c r="Q557" s="1">
        <v>20160</v>
      </c>
      <c r="R557" s="1">
        <v>8762</v>
      </c>
      <c r="S557" s="1">
        <v>11</v>
      </c>
      <c r="T557" s="1">
        <f>(Table1[[#This Row],[Selling_Price_per_Unit]]-Table1[[#This Row],[Manufacturing_Cost_per_Unit]])*Table1[[#This Row],[Units_Sold]]-Table1[[#This Row],[Marketing_Spend]]-Table1[[#This Row],[Discount_%]]</f>
        <v>-1490721.72</v>
      </c>
      <c r="U557" s="3">
        <f>Table1[[#This Row],[profit]]/(Table1[[#This Row],[Units_Sold]]*Table1[[#This Row],[Selling_Price_per_Unit]])*100</f>
        <v>-145.29338172801772</v>
      </c>
      <c r="V557" s="6">
        <f>Table1[[#This Row],[Units_Sold]]*Table1[[#This Row],[Selling_Price_per_Unit]]</f>
        <v>1026008</v>
      </c>
      <c r="W557" s="7">
        <f>(Table1[[#This Row],[Units_Sold]]/$Z$1)</f>
        <v>0.11091206555103275</v>
      </c>
      <c r="X557" s="8">
        <f>((Table1[[#This Row],[Units_Sold]]*(Table1[[#This Row],[Selling_Price_per_Unit]]-Table1[[#This Row],[Manufacturing_Cost_per_Unit]]))-Table1[[#This Row],[Marketing_Spend]])/Table1[[#This Row],[Marketing_Spend]]</f>
        <v>-4.4416397018073903</v>
      </c>
    </row>
    <row r="558" spans="1:24" hidden="1" x14ac:dyDescent="0.3">
      <c r="A558" s="1" t="s">
        <v>575</v>
      </c>
      <c r="B558" s="1" t="s">
        <v>1038</v>
      </c>
      <c r="C558" s="1" t="s">
        <v>1632</v>
      </c>
      <c r="D558" s="1" t="s">
        <v>1635</v>
      </c>
      <c r="E558" s="1">
        <v>2023</v>
      </c>
      <c r="F558" s="1" t="s">
        <v>1641</v>
      </c>
      <c r="G558" s="1">
        <v>1264</v>
      </c>
      <c r="H558" s="1">
        <v>8505</v>
      </c>
      <c r="I558" s="1">
        <v>7785</v>
      </c>
      <c r="J558" s="1">
        <v>440025</v>
      </c>
      <c r="K558" s="1">
        <v>12.07</v>
      </c>
      <c r="L558" s="1">
        <v>10</v>
      </c>
      <c r="M558" s="1">
        <v>4.2699999999999996</v>
      </c>
      <c r="N558" s="1">
        <v>0.93</v>
      </c>
      <c r="O558" s="1">
        <v>30.32</v>
      </c>
      <c r="P558" s="1">
        <v>1.4</v>
      </c>
      <c r="Q558" s="1">
        <v>14831</v>
      </c>
      <c r="R558" s="1">
        <v>4135</v>
      </c>
      <c r="S558" s="1">
        <v>3</v>
      </c>
      <c r="T558" s="1">
        <f>(Table1[[#This Row],[Selling_Price_per_Unit]]-Table1[[#This Row],[Manufacturing_Cost_per_Unit]])*Table1[[#This Row],[Units_Sold]]-Table1[[#This Row],[Marketing_Spend]]-Table1[[#This Row],[Discount_%]]</f>
        <v>470054.07</v>
      </c>
      <c r="U558" s="3">
        <f>Table1[[#This Row],[profit]]/(Table1[[#This Row],[Units_Sold]]*Table1[[#This Row],[Selling_Price_per_Unit]])*100</f>
        <v>4.3724658428772347</v>
      </c>
      <c r="V558" s="6">
        <f>Table1[[#This Row],[Units_Sold]]*Table1[[#This Row],[Selling_Price_per_Unit]]</f>
        <v>10750320</v>
      </c>
      <c r="W558" s="7">
        <f>(Table1[[#This Row],[Units_Sold]]/$Z$1)</f>
        <v>0.25305568746661627</v>
      </c>
      <c r="X558" s="8">
        <f>((Table1[[#This Row],[Units_Sold]]*(Table1[[#This Row],[Selling_Price_per_Unit]]-Table1[[#This Row],[Manufacturing_Cost_per_Unit]]))-Table1[[#This Row],[Marketing_Spend]])/Table1[[#This Row],[Marketing_Spend]]</f>
        <v>1.0682461223794102</v>
      </c>
    </row>
    <row r="559" spans="1:24" hidden="1" x14ac:dyDescent="0.3">
      <c r="A559" s="1" t="s">
        <v>491</v>
      </c>
      <c r="B559" s="1" t="s">
        <v>1350</v>
      </c>
      <c r="C559" s="1" t="s">
        <v>1633</v>
      </c>
      <c r="D559" s="1" t="s">
        <v>1636</v>
      </c>
      <c r="E559" s="1">
        <v>2024</v>
      </c>
      <c r="F559" s="1" t="s">
        <v>1640</v>
      </c>
      <c r="G559" s="1">
        <v>3490</v>
      </c>
      <c r="H559" s="1">
        <v>19927</v>
      </c>
      <c r="I559" s="1">
        <v>12245</v>
      </c>
      <c r="J559" s="1">
        <v>88333</v>
      </c>
      <c r="K559" s="1">
        <v>10.39</v>
      </c>
      <c r="L559" s="1">
        <v>5</v>
      </c>
      <c r="M559" s="1">
        <v>8.09</v>
      </c>
      <c r="N559" s="1">
        <v>6.98</v>
      </c>
      <c r="O559" s="1">
        <v>37.700000000000003</v>
      </c>
      <c r="P559" s="1">
        <v>1.8</v>
      </c>
      <c r="Q559" s="1">
        <v>14973</v>
      </c>
      <c r="R559" s="1">
        <v>4986</v>
      </c>
      <c r="S559" s="1">
        <v>11</v>
      </c>
      <c r="T559" s="1">
        <f>(Table1[[#This Row],[Selling_Price_per_Unit]]-Table1[[#This Row],[Manufacturing_Cost_per_Unit]])*Table1[[#This Row],[Units_Sold]]-Table1[[#This Row],[Marketing_Spend]]-Table1[[#This Row],[Discount_%]]</f>
        <v>26721840.02</v>
      </c>
      <c r="U559" s="3">
        <f>Table1[[#This Row],[profit]]/(Table1[[#This Row],[Units_Sold]]*Table1[[#This Row],[Selling_Price_per_Unit]])*100</f>
        <v>38.423684873858349</v>
      </c>
      <c r="V559" s="6">
        <f>Table1[[#This Row],[Units_Sold]]*Table1[[#This Row],[Selling_Price_per_Unit]]</f>
        <v>69545230</v>
      </c>
      <c r="W559" s="7">
        <f>(Table1[[#This Row],[Units_Sold]]/$Z$1)</f>
        <v>0.69870597251462874</v>
      </c>
      <c r="X559" s="8">
        <f>((Table1[[#This Row],[Units_Sold]]*(Table1[[#This Row],[Selling_Price_per_Unit]]-Table1[[#This Row],[Manufacturing_Cost_per_Unit]]))-Table1[[#This Row],[Marketing_Spend]])/Table1[[#This Row],[Marketing_Spend]]</f>
        <v>302.51261702874348</v>
      </c>
    </row>
    <row r="560" spans="1:24" hidden="1" x14ac:dyDescent="0.3">
      <c r="A560" s="1" t="s">
        <v>237</v>
      </c>
      <c r="B560" s="1" t="s">
        <v>1082</v>
      </c>
      <c r="C560" s="1" t="s">
        <v>1633</v>
      </c>
      <c r="D560" s="1" t="s">
        <v>1636</v>
      </c>
      <c r="E560" s="1">
        <v>2024</v>
      </c>
      <c r="F560" s="1" t="s">
        <v>1640</v>
      </c>
      <c r="G560" s="1">
        <v>3158</v>
      </c>
      <c r="H560" s="1">
        <v>16817</v>
      </c>
      <c r="I560" s="1">
        <v>8327</v>
      </c>
      <c r="J560" s="1">
        <v>109500</v>
      </c>
      <c r="K560" s="1">
        <v>8.84</v>
      </c>
      <c r="L560" s="1">
        <v>18</v>
      </c>
      <c r="M560" s="1">
        <v>8.9</v>
      </c>
      <c r="N560" s="1">
        <v>8.9700000000000006</v>
      </c>
      <c r="O560" s="1">
        <v>52.5</v>
      </c>
      <c r="P560" s="1">
        <v>2.9</v>
      </c>
      <c r="Q560" s="1">
        <v>13096</v>
      </c>
      <c r="R560" s="1">
        <v>3697</v>
      </c>
      <c r="S560" s="1">
        <v>14</v>
      </c>
      <c r="T560" s="1">
        <f>(Table1[[#This Row],[Selling_Price_per_Unit]]-Table1[[#This Row],[Manufacturing_Cost_per_Unit]])*Table1[[#This Row],[Units_Sold]]-Table1[[#This Row],[Marketing_Spend]]-Table1[[#This Row],[Discount_%]]</f>
        <v>26701911.030000001</v>
      </c>
      <c r="U560" s="3">
        <f>Table1[[#This Row],[profit]]/(Table1[[#This Row],[Units_Sold]]*Table1[[#This Row],[Selling_Price_per_Unit]])*100</f>
        <v>50.278428467559536</v>
      </c>
      <c r="V560" s="6">
        <f>Table1[[#This Row],[Units_Sold]]*Table1[[#This Row],[Selling_Price_per_Unit]]</f>
        <v>53108086</v>
      </c>
      <c r="W560" s="7">
        <f>(Table1[[#This Row],[Units_Sold]]/$Z$1)</f>
        <v>0.63223881409776439</v>
      </c>
      <c r="X560" s="8">
        <f>((Table1[[#This Row],[Units_Sold]]*(Table1[[#This Row],[Selling_Price_per_Unit]]-Table1[[#This Row],[Manufacturing_Cost_per_Unit]]))-Table1[[#This Row],[Marketing_Spend]])/Table1[[#This Row],[Marketing_Spend]]</f>
        <v>243.85315068493151</v>
      </c>
    </row>
    <row r="561" spans="1:24" hidden="1" x14ac:dyDescent="0.3">
      <c r="A561" s="1" t="s">
        <v>578</v>
      </c>
      <c r="B561" s="1" t="s">
        <v>1431</v>
      </c>
      <c r="C561" s="1" t="s">
        <v>1633</v>
      </c>
      <c r="D561" s="1" t="s">
        <v>1636</v>
      </c>
      <c r="E561" s="1">
        <v>2023</v>
      </c>
      <c r="F561" s="1" t="s">
        <v>1639</v>
      </c>
      <c r="G561" s="1">
        <v>873</v>
      </c>
      <c r="H561" s="1">
        <v>2456</v>
      </c>
      <c r="I561" s="1">
        <v>14991</v>
      </c>
      <c r="J561" s="1">
        <v>397860</v>
      </c>
      <c r="K561" s="1">
        <v>0.8</v>
      </c>
      <c r="L561" s="1">
        <v>5</v>
      </c>
      <c r="M561" s="1">
        <v>7.27</v>
      </c>
      <c r="N561" s="1">
        <v>24.77</v>
      </c>
      <c r="O561" s="1">
        <v>84</v>
      </c>
      <c r="P561" s="1">
        <v>2.2999999999999998</v>
      </c>
      <c r="Q561" s="1">
        <v>1806</v>
      </c>
      <c r="R561" s="1">
        <v>4543</v>
      </c>
      <c r="S561" s="1">
        <v>8</v>
      </c>
      <c r="T561" s="1">
        <f>(Table1[[#This Row],[Selling_Price_per_Unit]]-Table1[[#This Row],[Manufacturing_Cost_per_Unit]])*Table1[[#This Row],[Units_Sold]]-Table1[[#This Row],[Marketing_Spend]]-Table1[[#This Row],[Discount_%]]</f>
        <v>-11340939.77</v>
      </c>
      <c r="U561" s="3">
        <f>Table1[[#This Row],[profit]]/(Table1[[#This Row],[Units_Sold]]*Table1[[#This Row],[Selling_Price_per_Unit]])*100</f>
        <v>-528.94003277850527</v>
      </c>
      <c r="V561" s="6">
        <f>Table1[[#This Row],[Units_Sold]]*Table1[[#This Row],[Selling_Price_per_Unit]]</f>
        <v>2144088</v>
      </c>
      <c r="W561" s="7">
        <f>(Table1[[#This Row],[Units_Sold]]/$Z$1)</f>
        <v>0.17477659427085127</v>
      </c>
      <c r="X561" s="8">
        <f>((Table1[[#This Row],[Units_Sold]]*(Table1[[#This Row],[Selling_Price_per_Unit]]-Table1[[#This Row],[Manufacturing_Cost_per_Unit]]))-Table1[[#This Row],[Marketing_Spend]])/Table1[[#This Row],[Marketing_Spend]]</f>
        <v>-28.504788116422862</v>
      </c>
    </row>
    <row r="562" spans="1:24" hidden="1" x14ac:dyDescent="0.3">
      <c r="A562" s="1" t="s">
        <v>579</v>
      </c>
      <c r="B562" s="1" t="s">
        <v>1252</v>
      </c>
      <c r="C562" s="1" t="s">
        <v>1632</v>
      </c>
      <c r="D562" s="1" t="s">
        <v>1638</v>
      </c>
      <c r="E562" s="1">
        <v>2023</v>
      </c>
      <c r="F562" s="1" t="s">
        <v>1639</v>
      </c>
      <c r="G562" s="1">
        <v>978</v>
      </c>
      <c r="H562" s="1">
        <v>3571</v>
      </c>
      <c r="I562" s="1">
        <v>13522</v>
      </c>
      <c r="J562" s="1">
        <v>193252</v>
      </c>
      <c r="K562" s="1">
        <v>6.82</v>
      </c>
      <c r="L562" s="1">
        <v>4</v>
      </c>
      <c r="M562" s="1">
        <v>8.74</v>
      </c>
      <c r="N562" s="1">
        <v>22.07</v>
      </c>
      <c r="O562" s="1">
        <v>72.849999999999994</v>
      </c>
      <c r="P562" s="1">
        <v>1.8</v>
      </c>
      <c r="Q562" s="1">
        <v>5731</v>
      </c>
      <c r="R562" s="1">
        <v>4889</v>
      </c>
      <c r="S562" s="1">
        <v>6</v>
      </c>
      <c r="T562" s="1">
        <f>(Table1[[#This Row],[Selling_Price_per_Unit]]-Table1[[#This Row],[Manufacturing_Cost_per_Unit]])*Table1[[#This Row],[Units_Sold]]-Table1[[#This Row],[Marketing_Spend]]-Table1[[#This Row],[Discount_%]]</f>
        <v>-9925352.0700000003</v>
      </c>
      <c r="U562" s="3">
        <f>Table1[[#This Row],[profit]]/(Table1[[#This Row],[Units_Sold]]*Table1[[#This Row],[Selling_Price_per_Unit]])*100</f>
        <v>-284.19551241854543</v>
      </c>
      <c r="V562" s="6">
        <f>Table1[[#This Row],[Units_Sold]]*Table1[[#This Row],[Selling_Price_per_Unit]]</f>
        <v>3492438</v>
      </c>
      <c r="W562" s="7">
        <f>(Table1[[#This Row],[Units_Sold]]/$Z$1)</f>
        <v>0.19579783413160656</v>
      </c>
      <c r="X562" s="8">
        <f>((Table1[[#This Row],[Units_Sold]]*(Table1[[#This Row],[Selling_Price_per_Unit]]-Table1[[#This Row],[Manufacturing_Cost_per_Unit]]))-Table1[[#This Row],[Marketing_Spend]])/Table1[[#This Row],[Marketing_Spend]]</f>
        <v>-51.359520211951235</v>
      </c>
    </row>
    <row r="563" spans="1:24" hidden="1" x14ac:dyDescent="0.3">
      <c r="A563" s="1" t="s">
        <v>580</v>
      </c>
      <c r="B563" s="1" t="s">
        <v>1432</v>
      </c>
      <c r="C563" s="1" t="s">
        <v>1634</v>
      </c>
      <c r="D563" s="1" t="s">
        <v>1636</v>
      </c>
      <c r="E563" s="1">
        <v>2024</v>
      </c>
      <c r="F563" s="1" t="s">
        <v>1642</v>
      </c>
      <c r="G563" s="1">
        <v>183</v>
      </c>
      <c r="H563" s="1">
        <v>10095</v>
      </c>
      <c r="I563" s="1">
        <v>13724</v>
      </c>
      <c r="J563" s="1">
        <v>148538</v>
      </c>
      <c r="K563" s="1">
        <v>10.119999999999999</v>
      </c>
      <c r="L563" s="1">
        <v>0</v>
      </c>
      <c r="M563" s="1">
        <v>2.21</v>
      </c>
      <c r="N563" s="1">
        <v>11.82</v>
      </c>
      <c r="O563" s="1">
        <v>36.06</v>
      </c>
      <c r="P563" s="1">
        <v>3</v>
      </c>
      <c r="Q563" s="1">
        <v>7528</v>
      </c>
      <c r="R563" s="1">
        <v>1012</v>
      </c>
      <c r="S563" s="1">
        <v>6</v>
      </c>
      <c r="T563" s="1">
        <f>(Table1[[#This Row],[Selling_Price_per_Unit]]-Table1[[#This Row],[Manufacturing_Cost_per_Unit]])*Table1[[#This Row],[Units_Sold]]-Table1[[#This Row],[Marketing_Spend]]-Table1[[#This Row],[Discount_%]]</f>
        <v>-812656.82</v>
      </c>
      <c r="U563" s="3">
        <f>Table1[[#This Row],[profit]]/(Table1[[#This Row],[Units_Sold]]*Table1[[#This Row],[Selling_Price_per_Unit]])*100</f>
        <v>-43.989575535148326</v>
      </c>
      <c r="V563" s="6">
        <f>Table1[[#This Row],[Units_Sold]]*Table1[[#This Row],[Selling_Price_per_Unit]]</f>
        <v>1847385</v>
      </c>
      <c r="W563" s="7">
        <f>(Table1[[#This Row],[Units_Sold]]/$Z$1)</f>
        <v>3.6637018043030677E-2</v>
      </c>
      <c r="X563" s="8">
        <f>((Table1[[#This Row],[Units_Sold]]*(Table1[[#This Row],[Selling_Price_per_Unit]]-Table1[[#This Row],[Manufacturing_Cost_per_Unit]]))-Table1[[#This Row],[Marketing_Spend]])/Table1[[#This Row],[Marketing_Spend]]</f>
        <v>-5.470956926847002</v>
      </c>
    </row>
    <row r="564" spans="1:24" hidden="1" x14ac:dyDescent="0.3">
      <c r="A564" s="1" t="s">
        <v>704</v>
      </c>
      <c r="B564" s="1" t="s">
        <v>1499</v>
      </c>
      <c r="C564" s="1" t="s">
        <v>1634</v>
      </c>
      <c r="D564" s="1" t="s">
        <v>1636</v>
      </c>
      <c r="E564" s="1">
        <v>2023</v>
      </c>
      <c r="F564" s="1" t="s">
        <v>1641</v>
      </c>
      <c r="G564" s="1">
        <v>3227</v>
      </c>
      <c r="H564" s="1">
        <v>17077</v>
      </c>
      <c r="I564" s="1">
        <v>8804</v>
      </c>
      <c r="J564" s="1">
        <v>463663</v>
      </c>
      <c r="K564" s="1">
        <v>5.57</v>
      </c>
      <c r="L564" s="1">
        <v>2</v>
      </c>
      <c r="M564" s="1">
        <v>1.82</v>
      </c>
      <c r="N564" s="1">
        <v>18.32</v>
      </c>
      <c r="O564" s="1">
        <v>59.51</v>
      </c>
      <c r="P564" s="1">
        <v>3.2</v>
      </c>
      <c r="Q564" s="1">
        <v>16385</v>
      </c>
      <c r="R564" s="1">
        <v>5427</v>
      </c>
      <c r="S564" s="1">
        <v>6</v>
      </c>
      <c r="T564" s="1">
        <f>(Table1[[#This Row],[Selling_Price_per_Unit]]-Table1[[#This Row],[Manufacturing_Cost_per_Unit]])*Table1[[#This Row],[Units_Sold]]-Table1[[#This Row],[Marketing_Spend]]-Table1[[#This Row],[Discount_%]]</f>
        <v>26233289.68</v>
      </c>
      <c r="U564" s="3">
        <f>Table1[[#This Row],[profit]]/(Table1[[#This Row],[Units_Sold]]*Table1[[#This Row],[Selling_Price_per_Unit]])*100</f>
        <v>47.603864586148099</v>
      </c>
      <c r="V564" s="6">
        <f>Table1[[#This Row],[Units_Sold]]*Table1[[#This Row],[Selling_Price_per_Unit]]</f>
        <v>55107479</v>
      </c>
      <c r="W564" s="7">
        <f>(Table1[[#This Row],[Units_Sold]]/$Z$1)</f>
        <v>0.64605277172054643</v>
      </c>
      <c r="X564" s="8">
        <f>((Table1[[#This Row],[Units_Sold]]*(Table1[[#This Row],[Selling_Price_per_Unit]]-Table1[[#This Row],[Manufacturing_Cost_per_Unit]]))-Table1[[#This Row],[Marketing_Spend]])/Table1[[#This Row],[Marketing_Spend]]</f>
        <v>56.578394221665306</v>
      </c>
    </row>
    <row r="565" spans="1:24" hidden="1" x14ac:dyDescent="0.3">
      <c r="A565" s="1" t="s">
        <v>582</v>
      </c>
      <c r="B565" s="1" t="s">
        <v>1434</v>
      </c>
      <c r="C565" s="1" t="s">
        <v>1634</v>
      </c>
      <c r="D565" s="1" t="s">
        <v>1635</v>
      </c>
      <c r="E565" s="1">
        <v>2024</v>
      </c>
      <c r="F565" s="1" t="s">
        <v>1640</v>
      </c>
      <c r="G565" s="1">
        <v>3677</v>
      </c>
      <c r="H565" s="1">
        <v>14303</v>
      </c>
      <c r="I565" s="1">
        <v>12149</v>
      </c>
      <c r="J565" s="1">
        <v>341940</v>
      </c>
      <c r="K565" s="1">
        <v>5.6</v>
      </c>
      <c r="L565" s="1">
        <v>10</v>
      </c>
      <c r="M565" s="1">
        <v>0.62</v>
      </c>
      <c r="N565" s="1">
        <v>4.76</v>
      </c>
      <c r="O565" s="1">
        <v>42.7</v>
      </c>
      <c r="P565" s="1">
        <v>4.5999999999999996</v>
      </c>
      <c r="Q565" s="1">
        <v>8158</v>
      </c>
      <c r="R565" s="1">
        <v>7641</v>
      </c>
      <c r="S565" s="1">
        <v>13</v>
      </c>
      <c r="T565" s="1">
        <f>(Table1[[#This Row],[Selling_Price_per_Unit]]-Table1[[#This Row],[Manufacturing_Cost_per_Unit]])*Table1[[#This Row],[Units_Sold]]-Table1[[#This Row],[Marketing_Spend]]-Table1[[#This Row],[Discount_%]]</f>
        <v>7578313.2400000002</v>
      </c>
      <c r="U565" s="3">
        <f>Table1[[#This Row],[profit]]/(Table1[[#This Row],[Units_Sold]]*Table1[[#This Row],[Selling_Price_per_Unit]])*100</f>
        <v>14.409595306187537</v>
      </c>
      <c r="V565" s="6">
        <f>Table1[[#This Row],[Units_Sold]]*Table1[[#This Row],[Selling_Price_per_Unit]]</f>
        <v>52592131</v>
      </c>
      <c r="W565" s="7">
        <f>(Table1[[#This Row],[Units_Sold]]/$Z$1)</f>
        <v>0.73614379969521204</v>
      </c>
      <c r="X565" s="8">
        <f>((Table1[[#This Row],[Units_Sold]]*(Table1[[#This Row],[Selling_Price_per_Unit]]-Table1[[#This Row],[Manufacturing_Cost_per_Unit]]))-Table1[[#This Row],[Marketing_Spend]])/Table1[[#This Row],[Marketing_Spend]]</f>
        <v>22.162712756623968</v>
      </c>
    </row>
    <row r="566" spans="1:24" x14ac:dyDescent="0.3">
      <c r="A566" s="1" t="s">
        <v>583</v>
      </c>
      <c r="B566" s="1" t="s">
        <v>1435</v>
      </c>
      <c r="C566" s="1" t="s">
        <v>1632</v>
      </c>
      <c r="D566" s="1" t="s">
        <v>1636</v>
      </c>
      <c r="E566" s="1">
        <v>2024</v>
      </c>
      <c r="F566" s="1" t="s">
        <v>1640</v>
      </c>
      <c r="G566" s="1">
        <v>4830</v>
      </c>
      <c r="H566" s="1">
        <v>4953</v>
      </c>
      <c r="I566" s="1">
        <v>13675</v>
      </c>
      <c r="J566" s="1">
        <v>271035</v>
      </c>
      <c r="K566" s="1">
        <v>14.13</v>
      </c>
      <c r="L566" s="1">
        <v>3</v>
      </c>
      <c r="M566" s="1">
        <v>8.23</v>
      </c>
      <c r="N566" s="1">
        <v>11.55</v>
      </c>
      <c r="O566" s="1">
        <v>36.14</v>
      </c>
      <c r="P566" s="1">
        <v>1.1000000000000001</v>
      </c>
      <c r="Q566" s="1">
        <v>7836</v>
      </c>
      <c r="R566" s="1">
        <v>1811</v>
      </c>
      <c r="S566" s="1">
        <v>13</v>
      </c>
      <c r="T566" s="1">
        <f>(Table1[[#This Row],[Selling_Price_per_Unit]]-Table1[[#This Row],[Manufacturing_Cost_per_Unit]])*Table1[[#This Row],[Units_Sold]]-Table1[[#This Row],[Marketing_Spend]]-Table1[[#This Row],[Discount_%]]</f>
        <v>-42398306.549999997</v>
      </c>
      <c r="U566" s="3">
        <f>Table1[[#This Row],[profit]]/(Table1[[#This Row],[Units_Sold]]*Table1[[#This Row],[Selling_Price_per_Unit]])*100</f>
        <v>-177.22829190665547</v>
      </c>
      <c r="V566" s="6">
        <f>Table1[[#This Row],[Units_Sold]]*Table1[[#This Row],[Selling_Price_per_Unit]]</f>
        <v>23922990</v>
      </c>
      <c r="W566" s="7">
        <f>(Table1[[#This Row],[Units_Sold]]/$Z$1)</f>
        <v>0.96697703359474407</v>
      </c>
      <c r="X566" s="8">
        <f>((Table1[[#This Row],[Units_Sold]]*(Table1[[#This Row],[Selling_Price_per_Unit]]-Table1[[#This Row],[Manufacturing_Cost_per_Unit]]))-Table1[[#This Row],[Marketing_Spend]])/Table1[[#This Row],[Marketing_Spend]]</f>
        <v>-156.43106978803476</v>
      </c>
    </row>
    <row r="567" spans="1:24" hidden="1" x14ac:dyDescent="0.3">
      <c r="A567" s="1" t="s">
        <v>584</v>
      </c>
      <c r="B567" s="1" t="s">
        <v>1435</v>
      </c>
      <c r="C567" s="1" t="s">
        <v>1634</v>
      </c>
      <c r="D567" s="1" t="s">
        <v>1637</v>
      </c>
      <c r="E567" s="1">
        <v>2023</v>
      </c>
      <c r="F567" s="1" t="s">
        <v>1641</v>
      </c>
      <c r="G567" s="1">
        <v>1902</v>
      </c>
      <c r="H567" s="1">
        <v>8175</v>
      </c>
      <c r="I567" s="1">
        <v>9335</v>
      </c>
      <c r="J567" s="1">
        <v>410970</v>
      </c>
      <c r="K567" s="1">
        <v>2.5099999999999998</v>
      </c>
      <c r="L567" s="1">
        <v>17</v>
      </c>
      <c r="M567" s="1">
        <v>3.11</v>
      </c>
      <c r="N567" s="1">
        <v>22.58</v>
      </c>
      <c r="O567" s="1">
        <v>69.59</v>
      </c>
      <c r="P567" s="1">
        <v>2.2999999999999998</v>
      </c>
      <c r="Q567" s="1">
        <v>15396</v>
      </c>
      <c r="R567" s="1">
        <v>8966</v>
      </c>
      <c r="S567" s="1">
        <v>8</v>
      </c>
      <c r="T567" s="1">
        <f>(Table1[[#This Row],[Selling_Price_per_Unit]]-Table1[[#This Row],[Manufacturing_Cost_per_Unit]])*Table1[[#This Row],[Units_Sold]]-Table1[[#This Row],[Marketing_Spend]]-Table1[[#This Row],[Discount_%]]</f>
        <v>-2617312.58</v>
      </c>
      <c r="U567" s="3">
        <f>Table1[[#This Row],[profit]]/(Table1[[#This Row],[Units_Sold]]*Table1[[#This Row],[Selling_Price_per_Unit]])*100</f>
        <v>-16.832837026532509</v>
      </c>
      <c r="V567" s="6">
        <f>Table1[[#This Row],[Units_Sold]]*Table1[[#This Row],[Selling_Price_per_Unit]]</f>
        <v>15548850</v>
      </c>
      <c r="W567" s="7">
        <f>(Table1[[#This Row],[Units_Sold]]/$Z$1)</f>
        <v>0.38078474490625325</v>
      </c>
      <c r="X567" s="8">
        <f>((Table1[[#This Row],[Units_Sold]]*(Table1[[#This Row],[Selling_Price_per_Unit]]-Table1[[#This Row],[Manufacturing_Cost_per_Unit]]))-Table1[[#This Row],[Marketing_Spend]])/Table1[[#This Row],[Marketing_Spend]]</f>
        <v>-6.3685670486896857</v>
      </c>
    </row>
    <row r="568" spans="1:24" x14ac:dyDescent="0.3">
      <c r="A568" s="1" t="s">
        <v>585</v>
      </c>
      <c r="B568" s="1" t="s">
        <v>1291</v>
      </c>
      <c r="C568" s="1" t="s">
        <v>1632</v>
      </c>
      <c r="D568" s="1" t="s">
        <v>1637</v>
      </c>
      <c r="E568" s="1">
        <v>2023</v>
      </c>
      <c r="F568" s="1" t="s">
        <v>1640</v>
      </c>
      <c r="G568" s="1">
        <v>4960</v>
      </c>
      <c r="H568" s="1">
        <v>2455</v>
      </c>
      <c r="I568" s="1">
        <v>8974</v>
      </c>
      <c r="J568" s="1">
        <v>432736</v>
      </c>
      <c r="K568" s="1">
        <v>7.51</v>
      </c>
      <c r="L568" s="1">
        <v>3</v>
      </c>
      <c r="M568" s="1">
        <v>4.0199999999999996</v>
      </c>
      <c r="N568" s="1">
        <v>1.27</v>
      </c>
      <c r="O568" s="1">
        <v>16.37</v>
      </c>
      <c r="P568" s="1">
        <v>3.4</v>
      </c>
      <c r="Q568" s="1">
        <v>11130</v>
      </c>
      <c r="R568" s="1">
        <v>1539</v>
      </c>
      <c r="S568" s="1">
        <v>13</v>
      </c>
      <c r="T568" s="1">
        <f>(Table1[[#This Row],[Selling_Price_per_Unit]]-Table1[[#This Row],[Manufacturing_Cost_per_Unit]])*Table1[[#This Row],[Units_Sold]]-Table1[[#This Row],[Marketing_Spend]]-Table1[[#This Row],[Discount_%]]</f>
        <v>-32766977.27</v>
      </c>
      <c r="U568" s="3">
        <f>Table1[[#This Row],[profit]]/(Table1[[#This Row],[Units_Sold]]*Table1[[#This Row],[Selling_Price_per_Unit]])*100</f>
        <v>-269.09349968793117</v>
      </c>
      <c r="V568" s="6">
        <f>Table1[[#This Row],[Units_Sold]]*Table1[[#This Row],[Selling_Price_per_Unit]]</f>
        <v>12176800</v>
      </c>
      <c r="W568" s="7">
        <f>(Table1[[#This Row],[Units_Sold]]/$Z$1)</f>
        <v>0.99300333056520307</v>
      </c>
      <c r="X568" s="8">
        <f>((Table1[[#This Row],[Units_Sold]]*(Table1[[#This Row],[Selling_Price_per_Unit]]-Table1[[#This Row],[Manufacturing_Cost_per_Unit]]))-Table1[[#This Row],[Marketing_Spend]])/Table1[[#This Row],[Marketing_Spend]]</f>
        <v>-75.720476225689566</v>
      </c>
    </row>
    <row r="569" spans="1:24" x14ac:dyDescent="0.3">
      <c r="A569" s="1" t="s">
        <v>586</v>
      </c>
      <c r="B569" s="1" t="s">
        <v>1436</v>
      </c>
      <c r="C569" s="1" t="s">
        <v>1633</v>
      </c>
      <c r="D569" s="1" t="s">
        <v>1638</v>
      </c>
      <c r="E569" s="1">
        <v>2023</v>
      </c>
      <c r="F569" s="1" t="s">
        <v>1641</v>
      </c>
      <c r="G569" s="1">
        <v>4225</v>
      </c>
      <c r="H569" s="1">
        <v>7795</v>
      </c>
      <c r="I569" s="1">
        <v>8903</v>
      </c>
      <c r="J569" s="1">
        <v>405779</v>
      </c>
      <c r="K569" s="1">
        <v>10.36</v>
      </c>
      <c r="L569" s="1">
        <v>16</v>
      </c>
      <c r="M569" s="1">
        <v>5.03</v>
      </c>
      <c r="N569" s="1">
        <v>21.59</v>
      </c>
      <c r="O569" s="1">
        <v>13.89</v>
      </c>
      <c r="P569" s="1">
        <v>3.4</v>
      </c>
      <c r="Q569" s="1">
        <v>18756</v>
      </c>
      <c r="R569" s="1">
        <v>5713</v>
      </c>
      <c r="S569" s="1">
        <v>10</v>
      </c>
      <c r="T569" s="1">
        <f>(Table1[[#This Row],[Selling_Price_per_Unit]]-Table1[[#This Row],[Manufacturing_Cost_per_Unit]])*Table1[[#This Row],[Units_Sold]]-Table1[[#This Row],[Marketing_Spend]]-Table1[[#This Row],[Discount_%]]</f>
        <v>-5087100.59</v>
      </c>
      <c r="U569" s="3">
        <f>Table1[[#This Row],[profit]]/(Table1[[#This Row],[Units_Sold]]*Table1[[#This Row],[Selling_Price_per_Unit]])*100</f>
        <v>-15.446407657768788</v>
      </c>
      <c r="V569" s="6">
        <f>Table1[[#This Row],[Units_Sold]]*Table1[[#This Row],[Selling_Price_per_Unit]]</f>
        <v>32933875</v>
      </c>
      <c r="W569" s="7">
        <f>(Table1[[#This Row],[Units_Sold]]/$Z$1)</f>
        <v>0.8458546515399159</v>
      </c>
      <c r="X569" s="8">
        <f>((Table1[[#This Row],[Units_Sold]]*(Table1[[#This Row],[Selling_Price_per_Unit]]-Table1[[#This Row],[Manufacturing_Cost_per_Unit]]))-Table1[[#This Row],[Marketing_Spend]])/Table1[[#This Row],[Marketing_Spend]]</f>
        <v>-12.53657532794945</v>
      </c>
    </row>
    <row r="570" spans="1:24" hidden="1" x14ac:dyDescent="0.3">
      <c r="A570" s="1" t="s">
        <v>581</v>
      </c>
      <c r="B570" s="1" t="s">
        <v>1433</v>
      </c>
      <c r="C570" s="1" t="s">
        <v>1634</v>
      </c>
      <c r="D570" s="1" t="s">
        <v>1636</v>
      </c>
      <c r="E570" s="1">
        <v>2024</v>
      </c>
      <c r="F570" s="1" t="s">
        <v>1642</v>
      </c>
      <c r="G570" s="1">
        <v>2155</v>
      </c>
      <c r="H570" s="1">
        <v>16640</v>
      </c>
      <c r="I570" s="1">
        <v>4550</v>
      </c>
      <c r="J570" s="1">
        <v>65372</v>
      </c>
      <c r="K570" s="1">
        <v>10.16</v>
      </c>
      <c r="L570" s="1">
        <v>11</v>
      </c>
      <c r="M570" s="1">
        <v>1.58</v>
      </c>
      <c r="N570" s="1">
        <v>12.99</v>
      </c>
      <c r="O570" s="1">
        <v>75.36</v>
      </c>
      <c r="P570" s="1">
        <v>2.9</v>
      </c>
      <c r="Q570" s="1">
        <v>13707</v>
      </c>
      <c r="R570" s="1">
        <v>4342</v>
      </c>
      <c r="S570" s="1">
        <v>9</v>
      </c>
      <c r="T570" s="1">
        <f>(Table1[[#This Row],[Selling_Price_per_Unit]]-Table1[[#This Row],[Manufacturing_Cost_per_Unit]])*Table1[[#This Row],[Units_Sold]]-Table1[[#This Row],[Marketing_Spend]]-Table1[[#This Row],[Discount_%]]</f>
        <v>25988565.010000002</v>
      </c>
      <c r="U570" s="3">
        <f>Table1[[#This Row],[profit]]/(Table1[[#This Row],[Units_Sold]]*Table1[[#This Row],[Selling_Price_per_Unit]])*100</f>
        <v>72.473911883142961</v>
      </c>
      <c r="V570" s="6">
        <f>Table1[[#This Row],[Units_Sold]]*Table1[[#This Row],[Selling_Price_per_Unit]]</f>
        <v>35859200</v>
      </c>
      <c r="W570" s="7">
        <f>(Table1[[#This Row],[Units_Sold]]/$Z$1)</f>
        <v>0.43143592285645416</v>
      </c>
      <c r="X570" s="8">
        <f>((Table1[[#This Row],[Units_Sold]]*(Table1[[#This Row],[Selling_Price_per_Unit]]-Table1[[#This Row],[Manufacturing_Cost_per_Unit]]))-Table1[[#This Row],[Marketing_Spend]])/Table1[[#This Row],[Marketing_Spend]]</f>
        <v>397.54907299761368</v>
      </c>
    </row>
    <row r="571" spans="1:24" hidden="1" x14ac:dyDescent="0.3">
      <c r="A571" s="1" t="s">
        <v>184</v>
      </c>
      <c r="B571" s="1" t="s">
        <v>1170</v>
      </c>
      <c r="C571" s="1" t="s">
        <v>1633</v>
      </c>
      <c r="D571" s="1" t="s">
        <v>1638</v>
      </c>
      <c r="E571" s="1">
        <v>2024</v>
      </c>
      <c r="F571" s="1" t="s">
        <v>1641</v>
      </c>
      <c r="G571" s="1">
        <v>2210</v>
      </c>
      <c r="H571" s="1">
        <v>14850</v>
      </c>
      <c r="I571" s="1">
        <v>2996</v>
      </c>
      <c r="J571" s="1">
        <v>391383</v>
      </c>
      <c r="K571" s="1">
        <v>14.53</v>
      </c>
      <c r="L571" s="1">
        <v>14</v>
      </c>
      <c r="M571" s="1">
        <v>6.71</v>
      </c>
      <c r="N571" s="1">
        <v>3.64</v>
      </c>
      <c r="O571" s="1">
        <v>26.05</v>
      </c>
      <c r="P571" s="1">
        <v>2.5</v>
      </c>
      <c r="Q571" s="1">
        <v>13198</v>
      </c>
      <c r="R571" s="1">
        <v>3778</v>
      </c>
      <c r="S571" s="1">
        <v>7</v>
      </c>
      <c r="T571" s="1">
        <f>(Table1[[#This Row],[Selling_Price_per_Unit]]-Table1[[#This Row],[Manufacturing_Cost_per_Unit]])*Table1[[#This Row],[Units_Sold]]-Table1[[#This Row],[Marketing_Spend]]-Table1[[#This Row],[Discount_%]]</f>
        <v>25805953.359999999</v>
      </c>
      <c r="U571" s="3">
        <f>Table1[[#This Row],[profit]]/(Table1[[#This Row],[Units_Sold]]*Table1[[#This Row],[Selling_Price_per_Unit]])*100</f>
        <v>78.632336517512996</v>
      </c>
      <c r="V571" s="6">
        <f>Table1[[#This Row],[Units_Sold]]*Table1[[#This Row],[Selling_Price_per_Unit]]</f>
        <v>32818500</v>
      </c>
      <c r="W571" s="7">
        <f>(Table1[[#This Row],[Units_Sold]]/$Z$1)</f>
        <v>0.44244704849780214</v>
      </c>
      <c r="X571" s="8">
        <f>((Table1[[#This Row],[Units_Sold]]*(Table1[[#This Row],[Selling_Price_per_Unit]]-Table1[[#This Row],[Manufacturing_Cost_per_Unit]]))-Table1[[#This Row],[Marketing_Spend]])/Table1[[#This Row],[Marketing_Spend]]</f>
        <v>65.93530378171765</v>
      </c>
    </row>
    <row r="572" spans="1:24" hidden="1" x14ac:dyDescent="0.3">
      <c r="A572" s="1" t="s">
        <v>450</v>
      </c>
      <c r="B572" s="1" t="s">
        <v>1364</v>
      </c>
      <c r="C572" s="1" t="s">
        <v>1633</v>
      </c>
      <c r="D572" s="1" t="s">
        <v>1635</v>
      </c>
      <c r="E572" s="1">
        <v>2023</v>
      </c>
      <c r="F572" s="1" t="s">
        <v>1642</v>
      </c>
      <c r="G572" s="1">
        <v>3548</v>
      </c>
      <c r="H572" s="1">
        <v>17022</v>
      </c>
      <c r="I572" s="1">
        <v>9695</v>
      </c>
      <c r="J572" s="1">
        <v>209292</v>
      </c>
      <c r="K572" s="1">
        <v>1</v>
      </c>
      <c r="L572" s="1">
        <v>11</v>
      </c>
      <c r="M572" s="1">
        <v>1.02</v>
      </c>
      <c r="N572" s="1">
        <v>5.0199999999999996</v>
      </c>
      <c r="O572" s="1">
        <v>82.93</v>
      </c>
      <c r="P572" s="1">
        <v>3.3</v>
      </c>
      <c r="Q572" s="1">
        <v>2119</v>
      </c>
      <c r="R572" s="1">
        <v>8756</v>
      </c>
      <c r="S572" s="1">
        <v>10</v>
      </c>
      <c r="T572" s="1">
        <f>(Table1[[#This Row],[Selling_Price_per_Unit]]-Table1[[#This Row],[Manufacturing_Cost_per_Unit]])*Table1[[#This Row],[Units_Sold]]-Table1[[#This Row],[Marketing_Spend]]-Table1[[#This Row],[Discount_%]]</f>
        <v>25786898.98</v>
      </c>
      <c r="U572" s="3">
        <f>Table1[[#This Row],[profit]]/(Table1[[#This Row],[Units_Sold]]*Table1[[#This Row],[Selling_Price_per_Unit]])*100</f>
        <v>42.697743267979881</v>
      </c>
      <c r="V572" s="6">
        <f>Table1[[#This Row],[Units_Sold]]*Table1[[#This Row],[Selling_Price_per_Unit]]</f>
        <v>60394056</v>
      </c>
      <c r="W572" s="7">
        <f>(Table1[[#This Row],[Units_Sold]]/$Z$1)</f>
        <v>0.71031770500914115</v>
      </c>
      <c r="X572" s="8">
        <f>((Table1[[#This Row],[Units_Sold]]*(Table1[[#This Row],[Selling_Price_per_Unit]]-Table1[[#This Row],[Manufacturing_Cost_per_Unit]]))-Table1[[#This Row],[Marketing_Spend]])/Table1[[#This Row],[Marketing_Spend]]</f>
        <v>123.21017525753493</v>
      </c>
    </row>
    <row r="573" spans="1:24" hidden="1" x14ac:dyDescent="0.3">
      <c r="A573" s="1" t="s">
        <v>590</v>
      </c>
      <c r="B573" s="1" t="s">
        <v>1439</v>
      </c>
      <c r="C573" s="1" t="s">
        <v>1632</v>
      </c>
      <c r="D573" s="1" t="s">
        <v>1638</v>
      </c>
      <c r="E573" s="1">
        <v>2023</v>
      </c>
      <c r="F573" s="1" t="s">
        <v>1642</v>
      </c>
      <c r="G573" s="1">
        <v>2861</v>
      </c>
      <c r="H573" s="1">
        <v>6203</v>
      </c>
      <c r="I573" s="1">
        <v>2527</v>
      </c>
      <c r="J573" s="1">
        <v>252440</v>
      </c>
      <c r="K573" s="1">
        <v>2.34</v>
      </c>
      <c r="L573" s="1">
        <v>5</v>
      </c>
      <c r="M573" s="1">
        <v>1.76</v>
      </c>
      <c r="N573" s="1">
        <v>16.77</v>
      </c>
      <c r="O573" s="1">
        <v>20.09</v>
      </c>
      <c r="P573" s="1">
        <v>4.3</v>
      </c>
      <c r="Q573" s="1">
        <v>2451</v>
      </c>
      <c r="R573" s="1">
        <v>8977</v>
      </c>
      <c r="S573" s="1">
        <v>3</v>
      </c>
      <c r="T573" s="1">
        <f>(Table1[[#This Row],[Selling_Price_per_Unit]]-Table1[[#This Row],[Manufacturing_Cost_per_Unit]])*Table1[[#This Row],[Units_Sold]]-Table1[[#This Row],[Marketing_Spend]]-Table1[[#This Row],[Discount_%]]</f>
        <v>10264579.23</v>
      </c>
      <c r="U573" s="3">
        <f>Table1[[#This Row],[profit]]/(Table1[[#This Row],[Units_Sold]]*Table1[[#This Row],[Selling_Price_per_Unit]])*100</f>
        <v>57.839098105836982</v>
      </c>
      <c r="V573" s="6">
        <f>Table1[[#This Row],[Units_Sold]]*Table1[[#This Row],[Selling_Price_per_Unit]]</f>
        <v>17746783</v>
      </c>
      <c r="W573" s="7">
        <f>(Table1[[#This Row],[Units_Sold]]/$Z$1)</f>
        <v>0.572778735634485</v>
      </c>
      <c r="X573" s="8">
        <f>((Table1[[#This Row],[Units_Sold]]*(Table1[[#This Row],[Selling_Price_per_Unit]]-Table1[[#This Row],[Manufacturing_Cost_per_Unit]]))-Table1[[#This Row],[Marketing_Spend]])/Table1[[#This Row],[Marketing_Spend]]</f>
        <v>40.661527491681191</v>
      </c>
    </row>
    <row r="574" spans="1:24" hidden="1" x14ac:dyDescent="0.3">
      <c r="A574" s="1" t="s">
        <v>591</v>
      </c>
      <c r="B574" s="1" t="s">
        <v>1069</v>
      </c>
      <c r="C574" s="1" t="s">
        <v>1634</v>
      </c>
      <c r="D574" s="1" t="s">
        <v>1635</v>
      </c>
      <c r="E574" s="1">
        <v>2023</v>
      </c>
      <c r="F574" s="1" t="s">
        <v>1639</v>
      </c>
      <c r="G574" s="1">
        <v>1300</v>
      </c>
      <c r="H574" s="1">
        <v>8063</v>
      </c>
      <c r="I574" s="1">
        <v>11282</v>
      </c>
      <c r="J574" s="1">
        <v>128356</v>
      </c>
      <c r="K574" s="1">
        <v>9.5399999999999991</v>
      </c>
      <c r="L574" s="1">
        <v>9</v>
      </c>
      <c r="M574" s="1">
        <v>5.13</v>
      </c>
      <c r="N574" s="1">
        <v>16.61</v>
      </c>
      <c r="O574" s="1">
        <v>19.86</v>
      </c>
      <c r="P574" s="1">
        <v>3</v>
      </c>
      <c r="Q574" s="1">
        <v>10749</v>
      </c>
      <c r="R574" s="1">
        <v>9418</v>
      </c>
      <c r="S574" s="1">
        <v>4</v>
      </c>
      <c r="T574" s="1">
        <f>(Table1[[#This Row],[Selling_Price_per_Unit]]-Table1[[#This Row],[Manufacturing_Cost_per_Unit]])*Table1[[#This Row],[Units_Sold]]-Table1[[#This Row],[Marketing_Spend]]-Table1[[#This Row],[Discount_%]]</f>
        <v>-4313072.6100000003</v>
      </c>
      <c r="U574" s="3">
        <f>Table1[[#This Row],[profit]]/(Table1[[#This Row],[Units_Sold]]*Table1[[#This Row],[Selling_Price_per_Unit]])*100</f>
        <v>-41.147812991919409</v>
      </c>
      <c r="V574" s="6">
        <f>Table1[[#This Row],[Units_Sold]]*Table1[[#This Row],[Selling_Price_per_Unit]]</f>
        <v>10481900</v>
      </c>
      <c r="W574" s="7">
        <f>(Table1[[#This Row],[Units_Sold]]/$Z$1)</f>
        <v>0.26026296970458951</v>
      </c>
      <c r="X574" s="8">
        <f>((Table1[[#This Row],[Units_Sold]]*(Table1[[#This Row],[Selling_Price_per_Unit]]-Table1[[#This Row],[Manufacturing_Cost_per_Unit]]))-Table1[[#This Row],[Marketing_Spend]])/Table1[[#This Row],[Marketing_Spend]]</f>
        <v>-33.602293620866966</v>
      </c>
    </row>
    <row r="575" spans="1:24" hidden="1" x14ac:dyDescent="0.3">
      <c r="A575" s="1" t="s">
        <v>421</v>
      </c>
      <c r="B575" s="1" t="s">
        <v>1349</v>
      </c>
      <c r="C575" s="1" t="s">
        <v>1632</v>
      </c>
      <c r="D575" s="1" t="s">
        <v>1636</v>
      </c>
      <c r="E575" s="1">
        <v>2023</v>
      </c>
      <c r="F575" s="1" t="s">
        <v>1641</v>
      </c>
      <c r="G575" s="1">
        <v>2529</v>
      </c>
      <c r="H575" s="1">
        <v>14525</v>
      </c>
      <c r="I575" s="1">
        <v>4271</v>
      </c>
      <c r="J575" s="1">
        <v>166923</v>
      </c>
      <c r="K575" s="1">
        <v>5.84</v>
      </c>
      <c r="L575" s="1">
        <v>15</v>
      </c>
      <c r="M575" s="1">
        <v>3.46</v>
      </c>
      <c r="N575" s="1">
        <v>10.72</v>
      </c>
      <c r="O575" s="1">
        <v>89.86</v>
      </c>
      <c r="P575" s="1">
        <v>4.0999999999999996</v>
      </c>
      <c r="Q575" s="1">
        <v>15085</v>
      </c>
      <c r="R575" s="1">
        <v>3024</v>
      </c>
      <c r="S575" s="1">
        <v>7</v>
      </c>
      <c r="T575" s="1">
        <f>(Table1[[#This Row],[Selling_Price_per_Unit]]-Table1[[#This Row],[Manufacturing_Cost_per_Unit]])*Table1[[#This Row],[Units_Sold]]-Table1[[#This Row],[Marketing_Spend]]-Table1[[#This Row],[Discount_%]]</f>
        <v>25765432.280000001</v>
      </c>
      <c r="U575" s="3">
        <f>Table1[[#This Row],[profit]]/(Table1[[#This Row],[Units_Sold]]*Table1[[#This Row],[Selling_Price_per_Unit]])*100</f>
        <v>70.141082288823156</v>
      </c>
      <c r="V575" s="6">
        <f>Table1[[#This Row],[Units_Sold]]*Table1[[#This Row],[Selling_Price_per_Unit]]</f>
        <v>36733725</v>
      </c>
      <c r="W575" s="7">
        <f>(Table1[[#This Row],[Units_Sold]]/$Z$1)</f>
        <v>0.50631157721762066</v>
      </c>
      <c r="X575" s="8">
        <f>((Table1[[#This Row],[Units_Sold]]*(Table1[[#This Row],[Selling_Price_per_Unit]]-Table1[[#This Row],[Manufacturing_Cost_per_Unit]]))-Table1[[#This Row],[Marketing_Spend]])/Table1[[#This Row],[Marketing_Spend]]</f>
        <v>154.35525961071872</v>
      </c>
    </row>
    <row r="576" spans="1:24" hidden="1" x14ac:dyDescent="0.3">
      <c r="A576" s="1" t="s">
        <v>593</v>
      </c>
      <c r="B576" s="1" t="s">
        <v>1440</v>
      </c>
      <c r="C576" s="1" t="s">
        <v>1632</v>
      </c>
      <c r="D576" s="1" t="s">
        <v>1635</v>
      </c>
      <c r="E576" s="1">
        <v>2024</v>
      </c>
      <c r="F576" s="1" t="s">
        <v>1642</v>
      </c>
      <c r="G576" s="1">
        <v>1306</v>
      </c>
      <c r="H576" s="1">
        <v>12317</v>
      </c>
      <c r="I576" s="1">
        <v>11600</v>
      </c>
      <c r="J576" s="1">
        <v>417570</v>
      </c>
      <c r="K576" s="1">
        <v>2.69</v>
      </c>
      <c r="L576" s="1">
        <v>13</v>
      </c>
      <c r="M576" s="1">
        <v>9.73</v>
      </c>
      <c r="N576" s="1">
        <v>20.89</v>
      </c>
      <c r="O576" s="1">
        <v>12.38</v>
      </c>
      <c r="P576" s="1">
        <v>4.5</v>
      </c>
      <c r="Q576" s="1">
        <v>15955</v>
      </c>
      <c r="R576" s="1">
        <v>2566</v>
      </c>
      <c r="S576" s="1">
        <v>2</v>
      </c>
      <c r="T576" s="1">
        <f>(Table1[[#This Row],[Selling_Price_per_Unit]]-Table1[[#This Row],[Manufacturing_Cost_per_Unit]])*Table1[[#This Row],[Units_Sold]]-Table1[[#This Row],[Marketing_Spend]]-Table1[[#This Row],[Discount_%]]</f>
        <v>518811.11</v>
      </c>
      <c r="U576" s="3">
        <f>Table1[[#This Row],[profit]]/(Table1[[#This Row],[Units_Sold]]*Table1[[#This Row],[Selling_Price_per_Unit]])*100</f>
        <v>3.2252334047950511</v>
      </c>
      <c r="V576" s="6">
        <f>Table1[[#This Row],[Units_Sold]]*Table1[[#This Row],[Selling_Price_per_Unit]]</f>
        <v>16086002</v>
      </c>
      <c r="W576" s="7">
        <f>(Table1[[#This Row],[Units_Sold]]/$Z$1)</f>
        <v>0.26146418341091837</v>
      </c>
      <c r="X576" s="8">
        <f>((Table1[[#This Row],[Units_Sold]]*(Table1[[#This Row],[Selling_Price_per_Unit]]-Table1[[#This Row],[Manufacturing_Cost_per_Unit]]))-Table1[[#This Row],[Marketing_Spend]])/Table1[[#This Row],[Marketing_Spend]]</f>
        <v>1.2425030533802717</v>
      </c>
    </row>
    <row r="577" spans="1:24" x14ac:dyDescent="0.3">
      <c r="A577" s="1" t="s">
        <v>35</v>
      </c>
      <c r="B577" s="1" t="s">
        <v>1035</v>
      </c>
      <c r="C577" s="1" t="s">
        <v>1634</v>
      </c>
      <c r="D577" s="1" t="s">
        <v>1637</v>
      </c>
      <c r="E577" s="1">
        <v>2024</v>
      </c>
      <c r="F577" s="1" t="s">
        <v>1641</v>
      </c>
      <c r="G577" s="1">
        <v>4167</v>
      </c>
      <c r="H577" s="1">
        <v>14895</v>
      </c>
      <c r="I577" s="1">
        <v>8698</v>
      </c>
      <c r="J577" s="1">
        <v>58210</v>
      </c>
      <c r="K577" s="1">
        <v>14.6</v>
      </c>
      <c r="L577" s="1">
        <v>17</v>
      </c>
      <c r="M577" s="1">
        <v>7.46</v>
      </c>
      <c r="N577" s="1">
        <v>11.73</v>
      </c>
      <c r="O577" s="1">
        <v>22.32</v>
      </c>
      <c r="P577" s="1">
        <v>1.6</v>
      </c>
      <c r="Q577" s="1">
        <v>13245</v>
      </c>
      <c r="R577" s="1">
        <v>690</v>
      </c>
      <c r="S577" s="1">
        <v>8</v>
      </c>
      <c r="T577" s="1">
        <f>(Table1[[#This Row],[Selling_Price_per_Unit]]-Table1[[#This Row],[Manufacturing_Cost_per_Unit]])*Table1[[#This Row],[Units_Sold]]-Table1[[#This Row],[Marketing_Spend]]-Table1[[#This Row],[Discount_%]]</f>
        <v>25764677.27</v>
      </c>
      <c r="U577" s="3">
        <f>Table1[[#This Row],[profit]]/(Table1[[#This Row],[Units_Sold]]*Table1[[#This Row],[Selling_Price_per_Unit]])*100</f>
        <v>41.510761346544442</v>
      </c>
      <c r="V577" s="6">
        <f>Table1[[#This Row],[Units_Sold]]*Table1[[#This Row],[Selling_Price_per_Unit]]</f>
        <v>62067465</v>
      </c>
      <c r="W577" s="7">
        <f>(Table1[[#This Row],[Units_Sold]]/$Z$1)</f>
        <v>0.83424291904540337</v>
      </c>
      <c r="X577" s="8">
        <f>((Table1[[#This Row],[Units_Sold]]*(Table1[[#This Row],[Selling_Price_per_Unit]]-Table1[[#This Row],[Manufacturing_Cost_per_Unit]]))-Table1[[#This Row],[Marketing_Spend]])/Table1[[#This Row],[Marketing_Spend]]</f>
        <v>442.61619996564167</v>
      </c>
    </row>
    <row r="578" spans="1:24" hidden="1" x14ac:dyDescent="0.3">
      <c r="A578" s="1" t="s">
        <v>595</v>
      </c>
      <c r="B578" s="1" t="s">
        <v>1151</v>
      </c>
      <c r="C578" s="1" t="s">
        <v>1632</v>
      </c>
      <c r="D578" s="1" t="s">
        <v>1637</v>
      </c>
      <c r="E578" s="1">
        <v>2023</v>
      </c>
      <c r="F578" s="1" t="s">
        <v>1642</v>
      </c>
      <c r="G578" s="1">
        <v>3536</v>
      </c>
      <c r="H578" s="1">
        <v>14082</v>
      </c>
      <c r="I578" s="1">
        <v>11071</v>
      </c>
      <c r="J578" s="1">
        <v>378996</v>
      </c>
      <c r="K578" s="1">
        <v>6.83</v>
      </c>
      <c r="L578" s="1">
        <v>18</v>
      </c>
      <c r="M578" s="1">
        <v>0.1</v>
      </c>
      <c r="N578" s="1">
        <v>19.38</v>
      </c>
      <c r="O578" s="1">
        <v>62.79</v>
      </c>
      <c r="P578" s="1">
        <v>1.7</v>
      </c>
      <c r="Q578" s="1">
        <v>14312</v>
      </c>
      <c r="R578" s="1">
        <v>4224</v>
      </c>
      <c r="S578" s="1">
        <v>6</v>
      </c>
      <c r="T578" s="1">
        <f>(Table1[[#This Row],[Selling_Price_per_Unit]]-Table1[[#This Row],[Manufacturing_Cost_per_Unit]])*Table1[[#This Row],[Units_Sold]]-Table1[[#This Row],[Marketing_Spend]]-Table1[[#This Row],[Discount_%]]</f>
        <v>10267880.619999999</v>
      </c>
      <c r="U578" s="3">
        <f>Table1[[#This Row],[profit]]/(Table1[[#This Row],[Units_Sold]]*Table1[[#This Row],[Selling_Price_per_Unit]])*100</f>
        <v>20.620738478440114</v>
      </c>
      <c r="V578" s="6">
        <f>Table1[[#This Row],[Units_Sold]]*Table1[[#This Row],[Selling_Price_per_Unit]]</f>
        <v>49793952</v>
      </c>
      <c r="W578" s="7">
        <f>(Table1[[#This Row],[Units_Sold]]/$Z$1)</f>
        <v>0.70791527759648343</v>
      </c>
      <c r="X578" s="8">
        <f>((Table1[[#This Row],[Units_Sold]]*(Table1[[#This Row],[Selling_Price_per_Unit]]-Table1[[#This Row],[Manufacturing_Cost_per_Unit]]))-Table1[[#This Row],[Marketing_Spend]])/Table1[[#This Row],[Marketing_Spend]]</f>
        <v>27.092370368024991</v>
      </c>
    </row>
    <row r="579" spans="1:24" hidden="1" x14ac:dyDescent="0.3">
      <c r="A579" s="1" t="s">
        <v>517</v>
      </c>
      <c r="B579" s="1" t="s">
        <v>1246</v>
      </c>
      <c r="C579" s="1" t="s">
        <v>1633</v>
      </c>
      <c r="D579" s="1" t="s">
        <v>1635</v>
      </c>
      <c r="E579" s="1">
        <v>2023</v>
      </c>
      <c r="F579" s="1" t="s">
        <v>1639</v>
      </c>
      <c r="G579" s="1">
        <v>2666</v>
      </c>
      <c r="H579" s="1">
        <v>19593</v>
      </c>
      <c r="I579" s="1">
        <v>9935</v>
      </c>
      <c r="J579" s="1">
        <v>285422</v>
      </c>
      <c r="K579" s="1">
        <v>0.57999999999999996</v>
      </c>
      <c r="L579" s="1">
        <v>8</v>
      </c>
      <c r="M579" s="1">
        <v>3.99</v>
      </c>
      <c r="N579" s="1">
        <v>2.34</v>
      </c>
      <c r="O579" s="1">
        <v>47.24</v>
      </c>
      <c r="P579" s="1">
        <v>3.8</v>
      </c>
      <c r="Q579" s="1">
        <v>16790</v>
      </c>
      <c r="R579" s="1">
        <v>5370</v>
      </c>
      <c r="S579" s="1">
        <v>11</v>
      </c>
      <c r="T579" s="1">
        <f>(Table1[[#This Row],[Selling_Price_per_Unit]]-Table1[[#This Row],[Manufacturing_Cost_per_Unit]])*Table1[[#This Row],[Units_Sold]]-Table1[[#This Row],[Marketing_Spend]]-Table1[[#This Row],[Discount_%]]</f>
        <v>25462803.66</v>
      </c>
      <c r="U579" s="3">
        <f>Table1[[#This Row],[profit]]/(Table1[[#This Row],[Units_Sold]]*Table1[[#This Row],[Selling_Price_per_Unit]])*100</f>
        <v>48.746690691965597</v>
      </c>
      <c r="V579" s="6">
        <f>Table1[[#This Row],[Units_Sold]]*Table1[[#This Row],[Selling_Price_per_Unit]]</f>
        <v>52234938</v>
      </c>
      <c r="W579" s="7">
        <f>(Table1[[#This Row],[Units_Sold]]/$Z$1)</f>
        <v>0.53373929017879662</v>
      </c>
      <c r="X579" s="8">
        <f>((Table1[[#This Row],[Units_Sold]]*(Table1[[#This Row],[Selling_Price_per_Unit]]-Table1[[#This Row],[Manufacturing_Cost_per_Unit]]))-Table1[[#This Row],[Marketing_Spend]])/Table1[[#This Row],[Marketing_Spend]]</f>
        <v>89.211083938869464</v>
      </c>
    </row>
    <row r="580" spans="1:24" hidden="1" x14ac:dyDescent="0.3">
      <c r="A580" s="1" t="s">
        <v>597</v>
      </c>
      <c r="B580" s="1" t="s">
        <v>1433</v>
      </c>
      <c r="C580" s="1" t="s">
        <v>1633</v>
      </c>
      <c r="D580" s="1" t="s">
        <v>1635</v>
      </c>
      <c r="E580" s="1">
        <v>2023</v>
      </c>
      <c r="F580" s="1" t="s">
        <v>1639</v>
      </c>
      <c r="G580" s="1">
        <v>1446</v>
      </c>
      <c r="H580" s="1">
        <v>19278</v>
      </c>
      <c r="I580" s="1">
        <v>13619</v>
      </c>
      <c r="J580" s="1">
        <v>358112</v>
      </c>
      <c r="K580" s="1">
        <v>12.56</v>
      </c>
      <c r="L580" s="1">
        <v>8</v>
      </c>
      <c r="M580" s="1">
        <v>3.76</v>
      </c>
      <c r="N580" s="1">
        <v>15.17</v>
      </c>
      <c r="O580" s="1">
        <v>71.09</v>
      </c>
      <c r="P580" s="1">
        <v>1.6</v>
      </c>
      <c r="Q580" s="1">
        <v>11560</v>
      </c>
      <c r="R580" s="1">
        <v>7028</v>
      </c>
      <c r="S580" s="1">
        <v>8</v>
      </c>
      <c r="T580" s="1">
        <f>(Table1[[#This Row],[Selling_Price_per_Unit]]-Table1[[#This Row],[Manufacturing_Cost_per_Unit]])*Table1[[#This Row],[Units_Sold]]-Table1[[#This Row],[Marketing_Spend]]-Table1[[#This Row],[Discount_%]]</f>
        <v>7824786.8300000001</v>
      </c>
      <c r="U580" s="3">
        <f>Table1[[#This Row],[profit]]/(Table1[[#This Row],[Units_Sold]]*Table1[[#This Row],[Selling_Price_per_Unit]])*100</f>
        <v>28.069989232309901</v>
      </c>
      <c r="V580" s="6">
        <f>Table1[[#This Row],[Units_Sold]]*Table1[[#This Row],[Selling_Price_per_Unit]]</f>
        <v>27875988</v>
      </c>
      <c r="W580" s="7">
        <f>(Table1[[#This Row],[Units_Sold]]/$Z$1)</f>
        <v>0.28949250322525877</v>
      </c>
      <c r="X580" s="8">
        <f>((Table1[[#This Row],[Units_Sold]]*(Table1[[#This Row],[Selling_Price_per_Unit]]-Table1[[#This Row],[Manufacturing_Cost_per_Unit]]))-Table1[[#This Row],[Marketing_Spend]])/Table1[[#This Row],[Marketing_Spend]]</f>
        <v>21.850153024752032</v>
      </c>
    </row>
    <row r="581" spans="1:24" hidden="1" x14ac:dyDescent="0.3">
      <c r="A581" s="1" t="s">
        <v>598</v>
      </c>
      <c r="B581" s="1" t="s">
        <v>1442</v>
      </c>
      <c r="C581" s="1" t="s">
        <v>1633</v>
      </c>
      <c r="D581" s="1" t="s">
        <v>1636</v>
      </c>
      <c r="E581" s="1">
        <v>2023</v>
      </c>
      <c r="F581" s="1" t="s">
        <v>1640</v>
      </c>
      <c r="G581" s="1">
        <v>3687</v>
      </c>
      <c r="H581" s="1">
        <v>13973</v>
      </c>
      <c r="I581" s="1">
        <v>10169</v>
      </c>
      <c r="J581" s="1">
        <v>329652</v>
      </c>
      <c r="K581" s="1">
        <v>2.5499999999999998</v>
      </c>
      <c r="L581" s="1">
        <v>12</v>
      </c>
      <c r="M581" s="1">
        <v>8.2100000000000009</v>
      </c>
      <c r="N581" s="1">
        <v>21.24</v>
      </c>
      <c r="O581" s="1">
        <v>89.41</v>
      </c>
      <c r="P581" s="1">
        <v>3.4</v>
      </c>
      <c r="Q581" s="1">
        <v>14556</v>
      </c>
      <c r="R581" s="1">
        <v>6196</v>
      </c>
      <c r="S581" s="1">
        <v>3</v>
      </c>
      <c r="T581" s="1">
        <f>(Table1[[#This Row],[Selling_Price_per_Unit]]-Table1[[#This Row],[Manufacturing_Cost_per_Unit]])*Table1[[#This Row],[Units_Sold]]-Table1[[#This Row],[Marketing_Spend]]-Table1[[#This Row],[Discount_%]]</f>
        <v>13695674.76</v>
      </c>
      <c r="U581" s="3">
        <f>Table1[[#This Row],[profit]]/(Table1[[#This Row],[Units_Sold]]*Table1[[#This Row],[Selling_Price_per_Unit]])*100</f>
        <v>26.584018917804809</v>
      </c>
      <c r="V581" s="6">
        <f>Table1[[#This Row],[Units_Sold]]*Table1[[#This Row],[Selling_Price_per_Unit]]</f>
        <v>51518451</v>
      </c>
      <c r="W581" s="7">
        <f>(Table1[[#This Row],[Units_Sold]]/$Z$1)</f>
        <v>0.73814582253909344</v>
      </c>
      <c r="X581" s="8">
        <f>((Table1[[#This Row],[Units_Sold]]*(Table1[[#This Row],[Selling_Price_per_Unit]]-Table1[[#This Row],[Manufacturing_Cost_per_Unit]]))-Table1[[#This Row],[Marketing_Spend]])/Table1[[#This Row],[Marketing_Spend]]</f>
        <v>41.545921153216121</v>
      </c>
    </row>
    <row r="582" spans="1:24" hidden="1" x14ac:dyDescent="0.3">
      <c r="A582" s="1" t="s">
        <v>599</v>
      </c>
      <c r="B582" s="1" t="s">
        <v>1143</v>
      </c>
      <c r="C582" s="1" t="s">
        <v>1632</v>
      </c>
      <c r="D582" s="1" t="s">
        <v>1638</v>
      </c>
      <c r="E582" s="1">
        <v>2024</v>
      </c>
      <c r="F582" s="1" t="s">
        <v>1639</v>
      </c>
      <c r="G582" s="1">
        <v>3380</v>
      </c>
      <c r="H582" s="1">
        <v>10961</v>
      </c>
      <c r="I582" s="1">
        <v>10083</v>
      </c>
      <c r="J582" s="1">
        <v>203077</v>
      </c>
      <c r="K582" s="1">
        <v>0.28999999999999998</v>
      </c>
      <c r="L582" s="1">
        <v>4</v>
      </c>
      <c r="M582" s="1">
        <v>7.0000000000000007E-2</v>
      </c>
      <c r="N582" s="1">
        <v>13.53</v>
      </c>
      <c r="O582" s="1">
        <v>62.72</v>
      </c>
      <c r="P582" s="1">
        <v>1.7</v>
      </c>
      <c r="Q582" s="1">
        <v>8155</v>
      </c>
      <c r="R582" s="1">
        <v>6257</v>
      </c>
      <c r="S582" s="1">
        <v>4</v>
      </c>
      <c r="T582" s="1">
        <f>(Table1[[#This Row],[Selling_Price_per_Unit]]-Table1[[#This Row],[Manufacturing_Cost_per_Unit]])*Table1[[#This Row],[Units_Sold]]-Table1[[#This Row],[Marketing_Spend]]-Table1[[#This Row],[Discount_%]]</f>
        <v>2764549.47</v>
      </c>
      <c r="U582" s="3">
        <f>Table1[[#This Row],[profit]]/(Table1[[#This Row],[Units_Sold]]*Table1[[#This Row],[Selling_Price_per_Unit]])*100</f>
        <v>7.4620385400848308</v>
      </c>
      <c r="V582" s="6">
        <f>Table1[[#This Row],[Units_Sold]]*Table1[[#This Row],[Selling_Price_per_Unit]]</f>
        <v>37048180</v>
      </c>
      <c r="W582" s="7">
        <f>(Table1[[#This Row],[Units_Sold]]/$Z$1)</f>
        <v>0.67668372123193266</v>
      </c>
      <c r="X582" s="8">
        <f>((Table1[[#This Row],[Units_Sold]]*(Table1[[#This Row],[Selling_Price_per_Unit]]-Table1[[#This Row],[Manufacturing_Cost_per_Unit]]))-Table1[[#This Row],[Marketing_Spend]])/Table1[[#This Row],[Marketing_Spend]]</f>
        <v>13.613373252510131</v>
      </c>
    </row>
    <row r="583" spans="1:24" hidden="1" x14ac:dyDescent="0.3">
      <c r="A583" s="1" t="s">
        <v>600</v>
      </c>
      <c r="B583" s="1" t="s">
        <v>1443</v>
      </c>
      <c r="C583" s="1" t="s">
        <v>1633</v>
      </c>
      <c r="D583" s="1" t="s">
        <v>1638</v>
      </c>
      <c r="E583" s="1">
        <v>2024</v>
      </c>
      <c r="F583" s="1" t="s">
        <v>1642</v>
      </c>
      <c r="G583" s="1">
        <v>2753</v>
      </c>
      <c r="H583" s="1">
        <v>17096</v>
      </c>
      <c r="I583" s="1">
        <v>14989</v>
      </c>
      <c r="J583" s="1">
        <v>104575</v>
      </c>
      <c r="K583" s="1">
        <v>11.69</v>
      </c>
      <c r="L583" s="1">
        <v>4</v>
      </c>
      <c r="M583" s="1">
        <v>4.57</v>
      </c>
      <c r="N583" s="1">
        <v>20.100000000000001</v>
      </c>
      <c r="O583" s="1">
        <v>14.04</v>
      </c>
      <c r="P583" s="1">
        <v>1.9</v>
      </c>
      <c r="Q583" s="1">
        <v>18655</v>
      </c>
      <c r="R583" s="1">
        <v>9211</v>
      </c>
      <c r="S583" s="1">
        <v>2</v>
      </c>
      <c r="T583" s="1">
        <f>(Table1[[#This Row],[Selling_Price_per_Unit]]-Table1[[#This Row],[Manufacturing_Cost_per_Unit]])*Table1[[#This Row],[Units_Sold]]-Table1[[#This Row],[Marketing_Spend]]-Table1[[#This Row],[Discount_%]]</f>
        <v>5695975.9000000004</v>
      </c>
      <c r="U583" s="3">
        <f>Table1[[#This Row],[profit]]/(Table1[[#This Row],[Units_Sold]]*Table1[[#This Row],[Selling_Price_per_Unit]])*100</f>
        <v>12.10228629643146</v>
      </c>
      <c r="V583" s="6">
        <f>Table1[[#This Row],[Units_Sold]]*Table1[[#This Row],[Selling_Price_per_Unit]]</f>
        <v>47065288</v>
      </c>
      <c r="W583" s="7">
        <f>(Table1[[#This Row],[Units_Sold]]/$Z$1)</f>
        <v>0.55115688892056536</v>
      </c>
      <c r="X583" s="8">
        <f>((Table1[[#This Row],[Units_Sold]]*(Table1[[#This Row],[Selling_Price_per_Unit]]-Table1[[#This Row],[Manufacturing_Cost_per_Unit]]))-Table1[[#This Row],[Marketing_Spend]])/Table1[[#This Row],[Marketing_Spend]]</f>
        <v>54.468046856323213</v>
      </c>
    </row>
    <row r="584" spans="1:24" hidden="1" x14ac:dyDescent="0.3">
      <c r="A584" s="1" t="s">
        <v>601</v>
      </c>
      <c r="B584" s="1" t="s">
        <v>1444</v>
      </c>
      <c r="C584" s="1" t="s">
        <v>1634</v>
      </c>
      <c r="D584" s="1" t="s">
        <v>1636</v>
      </c>
      <c r="E584" s="1">
        <v>2023</v>
      </c>
      <c r="F584" s="1" t="s">
        <v>1642</v>
      </c>
      <c r="G584" s="1">
        <v>520</v>
      </c>
      <c r="H584" s="1">
        <v>2029</v>
      </c>
      <c r="I584" s="1">
        <v>13971</v>
      </c>
      <c r="J584" s="1">
        <v>200043</v>
      </c>
      <c r="K584" s="1">
        <v>9.15</v>
      </c>
      <c r="L584" s="1">
        <v>9</v>
      </c>
      <c r="M584" s="1">
        <v>3.29</v>
      </c>
      <c r="N584" s="1">
        <v>12.72</v>
      </c>
      <c r="O584" s="1">
        <v>18.37</v>
      </c>
      <c r="P584" s="1">
        <v>1.1000000000000001</v>
      </c>
      <c r="Q584" s="1">
        <v>14527</v>
      </c>
      <c r="R584" s="1">
        <v>8220</v>
      </c>
      <c r="S584" s="1">
        <v>9</v>
      </c>
      <c r="T584" s="1">
        <f>(Table1[[#This Row],[Selling_Price_per_Unit]]-Table1[[#This Row],[Manufacturing_Cost_per_Unit]])*Table1[[#This Row],[Units_Sold]]-Table1[[#This Row],[Marketing_Spend]]-Table1[[#This Row],[Discount_%]]</f>
        <v>-6409895.7199999997</v>
      </c>
      <c r="U584" s="3">
        <f>Table1[[#This Row],[profit]]/(Table1[[#This Row],[Units_Sold]]*Table1[[#This Row],[Selling_Price_per_Unit]])*100</f>
        <v>-607.52698563142133</v>
      </c>
      <c r="V584" s="6">
        <f>Table1[[#This Row],[Units_Sold]]*Table1[[#This Row],[Selling_Price_per_Unit]]</f>
        <v>1055080</v>
      </c>
      <c r="W584" s="7">
        <f>(Table1[[#This Row],[Units_Sold]]/$Z$1)</f>
        <v>0.1041051878818358</v>
      </c>
      <c r="X584" s="8">
        <f>((Table1[[#This Row],[Units_Sold]]*(Table1[[#This Row],[Selling_Price_per_Unit]]-Table1[[#This Row],[Manufacturing_Cost_per_Unit]]))-Table1[[#This Row],[Marketing_Spend]])/Table1[[#This Row],[Marketing_Spend]]</f>
        <v>-32.042525856940756</v>
      </c>
    </row>
    <row r="585" spans="1:24" hidden="1" x14ac:dyDescent="0.3">
      <c r="A585" s="1" t="s">
        <v>602</v>
      </c>
      <c r="B585" s="1" t="s">
        <v>1238</v>
      </c>
      <c r="C585" s="1" t="s">
        <v>1633</v>
      </c>
      <c r="D585" s="1" t="s">
        <v>1635</v>
      </c>
      <c r="E585" s="1">
        <v>2023</v>
      </c>
      <c r="F585" s="1" t="s">
        <v>1639</v>
      </c>
      <c r="G585" s="1">
        <v>1403</v>
      </c>
      <c r="H585" s="1">
        <v>14265</v>
      </c>
      <c r="I585" s="1">
        <v>6574</v>
      </c>
      <c r="J585" s="1">
        <v>468815</v>
      </c>
      <c r="K585" s="1">
        <v>10.49</v>
      </c>
      <c r="L585" s="1">
        <v>9</v>
      </c>
      <c r="M585" s="1">
        <v>0.52</v>
      </c>
      <c r="N585" s="1">
        <v>1.56</v>
      </c>
      <c r="O585" s="1">
        <v>80.48</v>
      </c>
      <c r="P585" s="1">
        <v>3.9</v>
      </c>
      <c r="Q585" s="1">
        <v>5530</v>
      </c>
      <c r="R585" s="1">
        <v>1608</v>
      </c>
      <c r="S585" s="1">
        <v>3</v>
      </c>
      <c r="T585" s="1">
        <f>(Table1[[#This Row],[Selling_Price_per_Unit]]-Table1[[#This Row],[Manufacturing_Cost_per_Unit]])*Table1[[#This Row],[Units_Sold]]-Table1[[#This Row],[Marketing_Spend]]-Table1[[#This Row],[Discount_%]]</f>
        <v>10321656.439999999</v>
      </c>
      <c r="U585" s="3">
        <f>Table1[[#This Row],[profit]]/(Table1[[#This Row],[Units_Sold]]*Table1[[#This Row],[Selling_Price_per_Unit]])*100</f>
        <v>51.572709923330386</v>
      </c>
      <c r="V585" s="6">
        <f>Table1[[#This Row],[Units_Sold]]*Table1[[#This Row],[Selling_Price_per_Unit]]</f>
        <v>20013795</v>
      </c>
      <c r="W585" s="7">
        <f>(Table1[[#This Row],[Units_Sold]]/$Z$1)</f>
        <v>0.28088380499656851</v>
      </c>
      <c r="X585" s="8">
        <f>((Table1[[#This Row],[Units_Sold]]*(Table1[[#This Row],[Selling_Price_per_Unit]]-Table1[[#This Row],[Manufacturing_Cost_per_Unit]]))-Table1[[#This Row],[Marketing_Spend]])/Table1[[#This Row],[Marketing_Spend]]</f>
        <v>22.016484114202832</v>
      </c>
    </row>
    <row r="586" spans="1:24" hidden="1" x14ac:dyDescent="0.3">
      <c r="A586" s="1" t="s">
        <v>919</v>
      </c>
      <c r="B586" s="1" t="s">
        <v>1594</v>
      </c>
      <c r="C586" s="1" t="s">
        <v>1634</v>
      </c>
      <c r="D586" s="1" t="s">
        <v>1637</v>
      </c>
      <c r="E586" s="1">
        <v>2023</v>
      </c>
      <c r="F586" s="1" t="s">
        <v>1641</v>
      </c>
      <c r="G586" s="1">
        <v>2201</v>
      </c>
      <c r="H586" s="1">
        <v>16963</v>
      </c>
      <c r="I586" s="1">
        <v>5377</v>
      </c>
      <c r="J586" s="1">
        <v>118323</v>
      </c>
      <c r="K586" s="1">
        <v>3.22</v>
      </c>
      <c r="L586" s="1">
        <v>15</v>
      </c>
      <c r="M586" s="1">
        <v>3.07</v>
      </c>
      <c r="N586" s="1">
        <v>11.16</v>
      </c>
      <c r="O586" s="1">
        <v>34.369999999999997</v>
      </c>
      <c r="P586" s="1">
        <v>1</v>
      </c>
      <c r="Q586" s="1">
        <v>6104</v>
      </c>
      <c r="R586" s="1">
        <v>4637</v>
      </c>
      <c r="S586" s="1">
        <v>6</v>
      </c>
      <c r="T586" s="1">
        <f>(Table1[[#This Row],[Selling_Price_per_Unit]]-Table1[[#This Row],[Manufacturing_Cost_per_Unit]])*Table1[[#This Row],[Units_Sold]]-Table1[[#This Row],[Marketing_Spend]]-Table1[[#This Row],[Discount_%]]</f>
        <v>25382451.84</v>
      </c>
      <c r="U586" s="3">
        <f>Table1[[#This Row],[profit]]/(Table1[[#This Row],[Units_Sold]]*Table1[[#This Row],[Selling_Price_per_Unit]])*100</f>
        <v>67.984650023892769</v>
      </c>
      <c r="V586" s="6">
        <f>Table1[[#This Row],[Units_Sold]]*Table1[[#This Row],[Selling_Price_per_Unit]]</f>
        <v>37335563</v>
      </c>
      <c r="W586" s="7">
        <f>(Table1[[#This Row],[Units_Sold]]/$Z$1)</f>
        <v>0.44064522793830885</v>
      </c>
      <c r="X586" s="8">
        <f>((Table1[[#This Row],[Units_Sold]]*(Table1[[#This Row],[Selling_Price_per_Unit]]-Table1[[#This Row],[Manufacturing_Cost_per_Unit]]))-Table1[[#This Row],[Marketing_Spend]])/Table1[[#This Row],[Marketing_Spend]]</f>
        <v>214.51841991835906</v>
      </c>
    </row>
    <row r="587" spans="1:24" hidden="1" x14ac:dyDescent="0.3">
      <c r="A587" s="1" t="s">
        <v>604</v>
      </c>
      <c r="B587" s="1" t="s">
        <v>1223</v>
      </c>
      <c r="C587" s="1" t="s">
        <v>1634</v>
      </c>
      <c r="D587" s="1" t="s">
        <v>1638</v>
      </c>
      <c r="E587" s="1">
        <v>2023</v>
      </c>
      <c r="F587" s="1" t="s">
        <v>1640</v>
      </c>
      <c r="G587" s="1">
        <v>2881</v>
      </c>
      <c r="H587" s="1">
        <v>13061</v>
      </c>
      <c r="I587" s="1">
        <v>11783</v>
      </c>
      <c r="J587" s="1">
        <v>299134</v>
      </c>
      <c r="K587" s="1">
        <v>12.04</v>
      </c>
      <c r="L587" s="1">
        <v>14</v>
      </c>
      <c r="M587" s="1">
        <v>2.5499999999999998</v>
      </c>
      <c r="N587" s="1">
        <v>11.11</v>
      </c>
      <c r="O587" s="1">
        <v>75.989999999999995</v>
      </c>
      <c r="P587" s="1">
        <v>4.2</v>
      </c>
      <c r="Q587" s="1">
        <v>2900</v>
      </c>
      <c r="R587" s="1">
        <v>971</v>
      </c>
      <c r="S587" s="1">
        <v>12</v>
      </c>
      <c r="T587" s="1">
        <f>(Table1[[#This Row],[Selling_Price_per_Unit]]-Table1[[#This Row],[Manufacturing_Cost_per_Unit]])*Table1[[#This Row],[Units_Sold]]-Table1[[#This Row],[Marketing_Spend]]-Table1[[#This Row],[Discount_%]]</f>
        <v>3382772.89</v>
      </c>
      <c r="U587" s="3">
        <f>Table1[[#This Row],[profit]]/(Table1[[#This Row],[Units_Sold]]*Table1[[#This Row],[Selling_Price_per_Unit]])*100</f>
        <v>8.9898646622272054</v>
      </c>
      <c r="V587" s="6">
        <f>Table1[[#This Row],[Units_Sold]]*Table1[[#This Row],[Selling_Price_per_Unit]]</f>
        <v>37628741</v>
      </c>
      <c r="W587" s="7">
        <f>(Table1[[#This Row],[Units_Sold]]/$Z$1)</f>
        <v>0.57678278132224792</v>
      </c>
      <c r="X587" s="8">
        <f>((Table1[[#This Row],[Units_Sold]]*(Table1[[#This Row],[Selling_Price_per_Unit]]-Table1[[#This Row],[Manufacturing_Cost_per_Unit]]))-Table1[[#This Row],[Marketing_Spend]])/Table1[[#This Row],[Marketing_Spend]]</f>
        <v>11.308590798772457</v>
      </c>
    </row>
    <row r="588" spans="1:24" hidden="1" x14ac:dyDescent="0.3">
      <c r="A588" s="1" t="s">
        <v>605</v>
      </c>
      <c r="B588" s="1" t="s">
        <v>1445</v>
      </c>
      <c r="C588" s="1" t="s">
        <v>1633</v>
      </c>
      <c r="D588" s="1" t="s">
        <v>1635</v>
      </c>
      <c r="E588" s="1">
        <v>2024</v>
      </c>
      <c r="F588" s="1" t="s">
        <v>1639</v>
      </c>
      <c r="G588" s="1">
        <v>407</v>
      </c>
      <c r="H588" s="1">
        <v>10631</v>
      </c>
      <c r="I588" s="1">
        <v>2549</v>
      </c>
      <c r="J588" s="1">
        <v>117055</v>
      </c>
      <c r="K588" s="1">
        <v>14.41</v>
      </c>
      <c r="L588" s="1">
        <v>6</v>
      </c>
      <c r="M588" s="1">
        <v>3.52</v>
      </c>
      <c r="N588" s="1">
        <v>3.54</v>
      </c>
      <c r="O588" s="1">
        <v>78.53</v>
      </c>
      <c r="P588" s="1">
        <v>1.5</v>
      </c>
      <c r="Q588" s="1">
        <v>13430</v>
      </c>
      <c r="R588" s="1">
        <v>963</v>
      </c>
      <c r="S588" s="1">
        <v>10</v>
      </c>
      <c r="T588" s="1">
        <f>(Table1[[#This Row],[Selling_Price_per_Unit]]-Table1[[#This Row],[Manufacturing_Cost_per_Unit]])*Table1[[#This Row],[Units_Sold]]-Table1[[#This Row],[Marketing_Spend]]-Table1[[#This Row],[Discount_%]]</f>
        <v>3172315.46</v>
      </c>
      <c r="U588" s="3">
        <f>Table1[[#This Row],[profit]]/(Table1[[#This Row],[Units_Sold]]*Table1[[#This Row],[Selling_Price_per_Unit]])*100</f>
        <v>73.317532495596652</v>
      </c>
      <c r="V588" s="6">
        <f>Table1[[#This Row],[Units_Sold]]*Table1[[#This Row],[Selling_Price_per_Unit]]</f>
        <v>4326817</v>
      </c>
      <c r="W588" s="7">
        <f>(Table1[[#This Row],[Units_Sold]]/$Z$1)</f>
        <v>8.1482329745975329E-2</v>
      </c>
      <c r="X588" s="8">
        <f>((Table1[[#This Row],[Units_Sold]]*(Table1[[#This Row],[Selling_Price_per_Unit]]-Table1[[#This Row],[Manufacturing_Cost_per_Unit]]))-Table1[[#This Row],[Marketing_Spend]])/Table1[[#This Row],[Marketing_Spend]]</f>
        <v>27.101097774550425</v>
      </c>
    </row>
    <row r="589" spans="1:24" hidden="1" x14ac:dyDescent="0.3">
      <c r="A589" s="1" t="s">
        <v>606</v>
      </c>
      <c r="B589" s="1" t="s">
        <v>1446</v>
      </c>
      <c r="C589" s="1" t="s">
        <v>1632</v>
      </c>
      <c r="D589" s="1" t="s">
        <v>1635</v>
      </c>
      <c r="E589" s="1">
        <v>2024</v>
      </c>
      <c r="F589" s="1" t="s">
        <v>1642</v>
      </c>
      <c r="G589" s="1">
        <v>3069</v>
      </c>
      <c r="H589" s="1">
        <v>2025</v>
      </c>
      <c r="I589" s="1">
        <v>11667</v>
      </c>
      <c r="J589" s="1">
        <v>137697</v>
      </c>
      <c r="K589" s="1">
        <v>8.0399999999999991</v>
      </c>
      <c r="L589" s="1">
        <v>14</v>
      </c>
      <c r="M589" s="1">
        <v>7.06</v>
      </c>
      <c r="N589" s="1">
        <v>2.56</v>
      </c>
      <c r="O589" s="1">
        <v>84.21</v>
      </c>
      <c r="P589" s="1">
        <v>4.5999999999999996</v>
      </c>
      <c r="Q589" s="1">
        <v>5223</v>
      </c>
      <c r="R589" s="1">
        <v>3155</v>
      </c>
      <c r="S589" s="1">
        <v>7</v>
      </c>
      <c r="T589" s="1">
        <f>(Table1[[#This Row],[Selling_Price_per_Unit]]-Table1[[#This Row],[Manufacturing_Cost_per_Unit]])*Table1[[#This Row],[Units_Sold]]-Table1[[#This Row],[Marketing_Spend]]-Table1[[#This Row],[Discount_%]]</f>
        <v>-29728997.559999999</v>
      </c>
      <c r="U589" s="3">
        <f>Table1[[#This Row],[profit]]/(Table1[[#This Row],[Units_Sold]]*Table1[[#This Row],[Selling_Price_per_Unit]])*100</f>
        <v>-478.36384650970069</v>
      </c>
      <c r="V589" s="6">
        <f>Table1[[#This Row],[Units_Sold]]*Table1[[#This Row],[Selling_Price_per_Unit]]</f>
        <v>6214725</v>
      </c>
      <c r="W589" s="7">
        <f>(Table1[[#This Row],[Units_Sold]]/$Z$1)</f>
        <v>0.61442081078721933</v>
      </c>
      <c r="X589" s="8">
        <f>((Table1[[#This Row],[Units_Sold]]*(Table1[[#This Row],[Selling_Price_per_Unit]]-Table1[[#This Row],[Manufacturing_Cost_per_Unit]]))-Table1[[#This Row],[Marketing_Spend]])/Table1[[#This Row],[Marketing_Spend]]</f>
        <v>-215.90154469596288</v>
      </c>
    </row>
    <row r="590" spans="1:24" hidden="1" x14ac:dyDescent="0.3">
      <c r="A590" s="1" t="s">
        <v>607</v>
      </c>
      <c r="B590" s="1" t="s">
        <v>1037</v>
      </c>
      <c r="C590" s="1" t="s">
        <v>1632</v>
      </c>
      <c r="D590" s="1" t="s">
        <v>1638</v>
      </c>
      <c r="E590" s="1">
        <v>2024</v>
      </c>
      <c r="F590" s="1" t="s">
        <v>1642</v>
      </c>
      <c r="G590" s="1">
        <v>717</v>
      </c>
      <c r="H590" s="1">
        <v>17885</v>
      </c>
      <c r="I590" s="1">
        <v>1581</v>
      </c>
      <c r="J590" s="1">
        <v>156239</v>
      </c>
      <c r="K590" s="1">
        <v>7.33</v>
      </c>
      <c r="L590" s="1">
        <v>2</v>
      </c>
      <c r="M590" s="1">
        <v>5.22</v>
      </c>
      <c r="N590" s="1">
        <v>13.39</v>
      </c>
      <c r="O590" s="1">
        <v>85.99</v>
      </c>
      <c r="P590" s="1">
        <v>3.7</v>
      </c>
      <c r="Q590" s="1">
        <v>8079</v>
      </c>
      <c r="R590" s="1">
        <v>5233</v>
      </c>
      <c r="S590" s="1">
        <v>3</v>
      </c>
      <c r="T590" s="1">
        <f>(Table1[[#This Row],[Selling_Price_per_Unit]]-Table1[[#This Row],[Manufacturing_Cost_per_Unit]])*Table1[[#This Row],[Units_Sold]]-Table1[[#This Row],[Marketing_Spend]]-Table1[[#This Row],[Discount_%]]</f>
        <v>11533715.609999999</v>
      </c>
      <c r="U590" s="3">
        <f>Table1[[#This Row],[profit]]/(Table1[[#This Row],[Units_Sold]]*Table1[[#This Row],[Selling_Price_per_Unit]])*100</f>
        <v>89.941709644252029</v>
      </c>
      <c r="V590" s="6">
        <f>Table1[[#This Row],[Units_Sold]]*Table1[[#This Row],[Selling_Price_per_Unit]]</f>
        <v>12823545</v>
      </c>
      <c r="W590" s="7">
        <f>(Table1[[#This Row],[Units_Sold]]/$Z$1)</f>
        <v>0.14354503790630052</v>
      </c>
      <c r="X590" s="8">
        <f>((Table1[[#This Row],[Units_Sold]]*(Table1[[#This Row],[Selling_Price_per_Unit]]-Table1[[#This Row],[Manufacturing_Cost_per_Unit]]))-Table1[[#This Row],[Marketing_Spend]])/Table1[[#This Row],[Marketing_Spend]]</f>
        <v>73.821062602807231</v>
      </c>
    </row>
    <row r="591" spans="1:24" x14ac:dyDescent="0.3">
      <c r="A591" s="1" t="s">
        <v>608</v>
      </c>
      <c r="B591" s="1" t="s">
        <v>1447</v>
      </c>
      <c r="C591" s="1" t="s">
        <v>1634</v>
      </c>
      <c r="D591" s="1" t="s">
        <v>1638</v>
      </c>
      <c r="E591" s="1">
        <v>2023</v>
      </c>
      <c r="F591" s="1" t="s">
        <v>1639</v>
      </c>
      <c r="G591" s="1">
        <v>4518</v>
      </c>
      <c r="H591" s="1">
        <v>1874</v>
      </c>
      <c r="I591" s="1">
        <v>8348</v>
      </c>
      <c r="J591" s="1">
        <v>285469</v>
      </c>
      <c r="K591" s="1">
        <v>6.03</v>
      </c>
      <c r="L591" s="1">
        <v>18</v>
      </c>
      <c r="M591" s="1">
        <v>1.25</v>
      </c>
      <c r="N591" s="1">
        <v>2.13</v>
      </c>
      <c r="O591" s="1">
        <v>54.39</v>
      </c>
      <c r="P591" s="1">
        <v>4.5999999999999996</v>
      </c>
      <c r="Q591" s="1">
        <v>19742</v>
      </c>
      <c r="R591" s="1">
        <v>2782</v>
      </c>
      <c r="S591" s="1">
        <v>3</v>
      </c>
      <c r="T591" s="1">
        <f>(Table1[[#This Row],[Selling_Price_per_Unit]]-Table1[[#This Row],[Manufacturing_Cost_per_Unit]])*Table1[[#This Row],[Units_Sold]]-Table1[[#This Row],[Marketing_Spend]]-Table1[[#This Row],[Discount_%]]</f>
        <v>-29535003.129999999</v>
      </c>
      <c r="U591" s="3">
        <f>Table1[[#This Row],[profit]]/(Table1[[#This Row],[Units_Sold]]*Table1[[#This Row],[Selling_Price_per_Unit]])*100</f>
        <v>-348.83592784087176</v>
      </c>
      <c r="V591" s="6">
        <f>Table1[[#This Row],[Units_Sold]]*Table1[[#This Row],[Selling_Price_per_Unit]]</f>
        <v>8466732</v>
      </c>
      <c r="W591" s="7">
        <f>(Table1[[#This Row],[Units_Sold]]/$Z$1)</f>
        <v>0.90451392086564264</v>
      </c>
      <c r="X591" s="8">
        <f>((Table1[[#This Row],[Units_Sold]]*(Table1[[#This Row],[Selling_Price_per_Unit]]-Table1[[#This Row],[Manufacturing_Cost_per_Unit]]))-Table1[[#This Row],[Marketing_Spend]])/Table1[[#This Row],[Marketing_Spend]]</f>
        <v>-103.46132504755333</v>
      </c>
    </row>
    <row r="592" spans="1:24" hidden="1" x14ac:dyDescent="0.3">
      <c r="A592" s="1" t="s">
        <v>609</v>
      </c>
      <c r="B592" s="1" t="s">
        <v>1431</v>
      </c>
      <c r="C592" s="1" t="s">
        <v>1633</v>
      </c>
      <c r="D592" s="1" t="s">
        <v>1635</v>
      </c>
      <c r="E592" s="1">
        <v>2023</v>
      </c>
      <c r="F592" s="1" t="s">
        <v>1640</v>
      </c>
      <c r="G592" s="1">
        <v>1195</v>
      </c>
      <c r="H592" s="1">
        <v>13697</v>
      </c>
      <c r="I592" s="1">
        <v>12040</v>
      </c>
      <c r="J592" s="1">
        <v>173106</v>
      </c>
      <c r="K592" s="1">
        <v>2.31</v>
      </c>
      <c r="L592" s="1">
        <v>9</v>
      </c>
      <c r="M592" s="1">
        <v>9.61</v>
      </c>
      <c r="N592" s="1">
        <v>7.57</v>
      </c>
      <c r="O592" s="1">
        <v>37.28</v>
      </c>
      <c r="P592" s="1">
        <v>2.8</v>
      </c>
      <c r="Q592" s="1">
        <v>6281</v>
      </c>
      <c r="R592" s="1">
        <v>5378</v>
      </c>
      <c r="S592" s="1">
        <v>10</v>
      </c>
      <c r="T592" s="1">
        <f>(Table1[[#This Row],[Selling_Price_per_Unit]]-Table1[[#This Row],[Manufacturing_Cost_per_Unit]])*Table1[[#This Row],[Units_Sold]]-Table1[[#This Row],[Marketing_Spend]]-Table1[[#This Row],[Discount_%]]</f>
        <v>1807001.43</v>
      </c>
      <c r="U592" s="3">
        <f>Table1[[#This Row],[profit]]/(Table1[[#This Row],[Units_Sold]]*Table1[[#This Row],[Selling_Price_per_Unit]])*100</f>
        <v>11.039899889509446</v>
      </c>
      <c r="V592" s="6">
        <f>Table1[[#This Row],[Units_Sold]]*Table1[[#This Row],[Selling_Price_per_Unit]]</f>
        <v>16367915</v>
      </c>
      <c r="W592" s="7">
        <f>(Table1[[#This Row],[Units_Sold]]/$Z$1)</f>
        <v>0.23924172984383418</v>
      </c>
      <c r="X592" s="8">
        <f>((Table1[[#This Row],[Units_Sold]]*(Table1[[#This Row],[Selling_Price_per_Unit]]-Table1[[#This Row],[Manufacturing_Cost_per_Unit]]))-Table1[[#This Row],[Marketing_Spend]])/Table1[[#This Row],[Marketing_Spend]]</f>
        <v>10.438742735664853</v>
      </c>
    </row>
    <row r="593" spans="1:24" x14ac:dyDescent="0.3">
      <c r="A593" s="1" t="s">
        <v>610</v>
      </c>
      <c r="B593" s="1" t="s">
        <v>1111</v>
      </c>
      <c r="C593" s="1" t="s">
        <v>1632</v>
      </c>
      <c r="D593" s="1" t="s">
        <v>1638</v>
      </c>
      <c r="E593" s="1">
        <v>2024</v>
      </c>
      <c r="F593" s="1" t="s">
        <v>1642</v>
      </c>
      <c r="G593" s="1">
        <v>4235</v>
      </c>
      <c r="H593" s="1">
        <v>6148</v>
      </c>
      <c r="I593" s="1">
        <v>7623</v>
      </c>
      <c r="J593" s="1">
        <v>317499</v>
      </c>
      <c r="K593" s="1">
        <v>8.59</v>
      </c>
      <c r="L593" s="1">
        <v>14</v>
      </c>
      <c r="M593" s="1">
        <v>6.36</v>
      </c>
      <c r="N593" s="1">
        <v>18.61</v>
      </c>
      <c r="O593" s="1">
        <v>86.95</v>
      </c>
      <c r="P593" s="1">
        <v>2.7</v>
      </c>
      <c r="Q593" s="1">
        <v>14373</v>
      </c>
      <c r="R593" s="1">
        <v>5548</v>
      </c>
      <c r="S593" s="1">
        <v>11</v>
      </c>
      <c r="T593" s="1">
        <f>(Table1[[#This Row],[Selling_Price_per_Unit]]-Table1[[#This Row],[Manufacturing_Cost_per_Unit]])*Table1[[#This Row],[Units_Sold]]-Table1[[#This Row],[Marketing_Spend]]-Table1[[#This Row],[Discount_%]]</f>
        <v>-6564142.6100000003</v>
      </c>
      <c r="U593" s="3">
        <f>Table1[[#This Row],[profit]]/(Table1[[#This Row],[Units_Sold]]*Table1[[#This Row],[Selling_Price_per_Unit]])*100</f>
        <v>-25.21103842333806</v>
      </c>
      <c r="V593" s="6">
        <f>Table1[[#This Row],[Units_Sold]]*Table1[[#This Row],[Selling_Price_per_Unit]]</f>
        <v>26036780</v>
      </c>
      <c r="W593" s="7">
        <f>(Table1[[#This Row],[Units_Sold]]/$Z$1)</f>
        <v>0.8478566743837973</v>
      </c>
      <c r="X593" s="8">
        <f>((Table1[[#This Row],[Units_Sold]]*(Table1[[#This Row],[Selling_Price_per_Unit]]-Table1[[#This Row],[Manufacturing_Cost_per_Unit]]))-Table1[[#This Row],[Marketing_Spend]])/Table1[[#This Row],[Marketing_Spend]]</f>
        <v>-20.674471415658001</v>
      </c>
    </row>
    <row r="594" spans="1:24" x14ac:dyDescent="0.3">
      <c r="A594" s="1" t="s">
        <v>611</v>
      </c>
      <c r="B594" s="1" t="s">
        <v>1448</v>
      </c>
      <c r="C594" s="1" t="s">
        <v>1634</v>
      </c>
      <c r="D594" s="1" t="s">
        <v>1637</v>
      </c>
      <c r="E594" s="1">
        <v>2023</v>
      </c>
      <c r="F594" s="1" t="s">
        <v>1641</v>
      </c>
      <c r="G594" s="1">
        <v>3769</v>
      </c>
      <c r="H594" s="1">
        <v>3865</v>
      </c>
      <c r="I594" s="1">
        <v>2905</v>
      </c>
      <c r="J594" s="1">
        <v>366264</v>
      </c>
      <c r="K594" s="1">
        <v>4.16</v>
      </c>
      <c r="L594" s="1">
        <v>2</v>
      </c>
      <c r="M594" s="1">
        <v>7.66</v>
      </c>
      <c r="N594" s="1">
        <v>24.11</v>
      </c>
      <c r="O594" s="1">
        <v>53.79</v>
      </c>
      <c r="P594" s="1">
        <v>4.0999999999999996</v>
      </c>
      <c r="Q594" s="1">
        <v>20282</v>
      </c>
      <c r="R594" s="1">
        <v>713</v>
      </c>
      <c r="S594" s="1">
        <v>9</v>
      </c>
      <c r="T594" s="1">
        <f>(Table1[[#This Row],[Selling_Price_per_Unit]]-Table1[[#This Row],[Manufacturing_Cost_per_Unit]])*Table1[[#This Row],[Units_Sold]]-Table1[[#This Row],[Marketing_Spend]]-Table1[[#This Row],[Discount_%]]</f>
        <v>3251951.89</v>
      </c>
      <c r="U594" s="3">
        <f>Table1[[#This Row],[profit]]/(Table1[[#This Row],[Units_Sold]]*Table1[[#This Row],[Selling_Price_per_Unit]])*100</f>
        <v>22.323818157042695</v>
      </c>
      <c r="V594" s="6">
        <f>Table1[[#This Row],[Units_Sold]]*Table1[[#This Row],[Selling_Price_per_Unit]]</f>
        <v>14567185</v>
      </c>
      <c r="W594" s="7">
        <f>(Table1[[#This Row],[Units_Sold]]/$Z$1)</f>
        <v>0.75456240985892142</v>
      </c>
      <c r="X594" s="8">
        <f>((Table1[[#This Row],[Units_Sold]]*(Table1[[#This Row],[Selling_Price_per_Unit]]-Table1[[#This Row],[Manufacturing_Cost_per_Unit]]))-Table1[[#This Row],[Marketing_Spend]])/Table1[[#This Row],[Marketing_Spend]]</f>
        <v>8.8787759648777929</v>
      </c>
    </row>
    <row r="595" spans="1:24" hidden="1" x14ac:dyDescent="0.3">
      <c r="A595" s="1" t="s">
        <v>808</v>
      </c>
      <c r="B595" s="1" t="s">
        <v>1523</v>
      </c>
      <c r="C595" s="1" t="s">
        <v>1632</v>
      </c>
      <c r="D595" s="1" t="s">
        <v>1636</v>
      </c>
      <c r="E595" s="1">
        <v>2023</v>
      </c>
      <c r="F595" s="1" t="s">
        <v>1641</v>
      </c>
      <c r="G595" s="1">
        <v>2759</v>
      </c>
      <c r="H595" s="1">
        <v>17445</v>
      </c>
      <c r="I595" s="1">
        <v>8174</v>
      </c>
      <c r="J595" s="1">
        <v>285796</v>
      </c>
      <c r="K595" s="1">
        <v>5.88</v>
      </c>
      <c r="L595" s="1">
        <v>9</v>
      </c>
      <c r="M595" s="1">
        <v>5.31</v>
      </c>
      <c r="N595" s="1">
        <v>4.09</v>
      </c>
      <c r="O595" s="1">
        <v>80.7</v>
      </c>
      <c r="P595" s="1">
        <v>4.7</v>
      </c>
      <c r="Q595" s="1">
        <v>17847</v>
      </c>
      <c r="R595" s="1">
        <v>5938</v>
      </c>
      <c r="S595" s="1">
        <v>3</v>
      </c>
      <c r="T595" s="1">
        <f>(Table1[[#This Row],[Selling_Price_per_Unit]]-Table1[[#This Row],[Manufacturing_Cost_per_Unit]])*Table1[[#This Row],[Units_Sold]]-Table1[[#This Row],[Marketing_Spend]]-Table1[[#This Row],[Discount_%]]</f>
        <v>25292888.91</v>
      </c>
      <c r="U595" s="3">
        <f>Table1[[#This Row],[profit]]/(Table1[[#This Row],[Units_Sold]]*Table1[[#This Row],[Selling_Price_per_Unit]])*100</f>
        <v>52.550368075464426</v>
      </c>
      <c r="V595" s="6">
        <f>Table1[[#This Row],[Units_Sold]]*Table1[[#This Row],[Selling_Price_per_Unit]]</f>
        <v>48130755</v>
      </c>
      <c r="W595" s="7">
        <f>(Table1[[#This Row],[Units_Sold]]/$Z$1)</f>
        <v>0.55235810262689422</v>
      </c>
      <c r="X595" s="8">
        <f>((Table1[[#This Row],[Units_Sold]]*(Table1[[#This Row],[Selling_Price_per_Unit]]-Table1[[#This Row],[Manufacturing_Cost_per_Unit]]))-Table1[[#This Row],[Marketing_Spend]])/Table1[[#This Row],[Marketing_Spend]]</f>
        <v>88.499814553037837</v>
      </c>
    </row>
    <row r="596" spans="1:24" hidden="1" x14ac:dyDescent="0.3">
      <c r="A596" s="1" t="s">
        <v>613</v>
      </c>
      <c r="B596" s="1" t="s">
        <v>1449</v>
      </c>
      <c r="C596" s="1" t="s">
        <v>1634</v>
      </c>
      <c r="D596" s="1" t="s">
        <v>1638</v>
      </c>
      <c r="E596" s="1">
        <v>2024</v>
      </c>
      <c r="F596" s="1" t="s">
        <v>1640</v>
      </c>
      <c r="G596" s="1">
        <v>589</v>
      </c>
      <c r="H596" s="1">
        <v>3146</v>
      </c>
      <c r="I596" s="1">
        <v>7993</v>
      </c>
      <c r="J596" s="1">
        <v>52257</v>
      </c>
      <c r="K596" s="1">
        <v>8.75</v>
      </c>
      <c r="L596" s="1">
        <v>11</v>
      </c>
      <c r="M596" s="1">
        <v>0.47</v>
      </c>
      <c r="N596" s="1">
        <v>24.82</v>
      </c>
      <c r="O596" s="1">
        <v>61.42</v>
      </c>
      <c r="P596" s="1">
        <v>3.1</v>
      </c>
      <c r="Q596" s="1">
        <v>12543</v>
      </c>
      <c r="R596" s="1">
        <v>7823</v>
      </c>
      <c r="S596" s="1">
        <v>5</v>
      </c>
      <c r="T596" s="1">
        <f>(Table1[[#This Row],[Selling_Price_per_Unit]]-Table1[[#This Row],[Manufacturing_Cost_per_Unit]])*Table1[[#This Row],[Units_Sold]]-Table1[[#This Row],[Marketing_Spend]]-Table1[[#This Row],[Discount_%]]</f>
        <v>-2907164.82</v>
      </c>
      <c r="U596" s="3">
        <f>Table1[[#This Row],[profit]]/(Table1[[#This Row],[Units_Sold]]*Table1[[#This Row],[Selling_Price_per_Unit]])*100</f>
        <v>-156.890136719277</v>
      </c>
      <c r="V596" s="6">
        <f>Table1[[#This Row],[Units_Sold]]*Table1[[#This Row],[Selling_Price_per_Unit]]</f>
        <v>1852994</v>
      </c>
      <c r="W596" s="7">
        <f>(Table1[[#This Row],[Units_Sold]]/$Z$1)</f>
        <v>0.11791914550461786</v>
      </c>
      <c r="X596" s="8">
        <f>((Table1[[#This Row],[Units_Sold]]*(Table1[[#This Row],[Selling_Price_per_Unit]]-Table1[[#This Row],[Manufacturing_Cost_per_Unit]]))-Table1[[#This Row],[Marketing_Spend]])/Table1[[#This Row],[Marketing_Spend]]</f>
        <v>-55.631590026216585</v>
      </c>
    </row>
    <row r="597" spans="1:24" hidden="1" x14ac:dyDescent="0.3">
      <c r="A597" s="1" t="s">
        <v>614</v>
      </c>
      <c r="B597" s="1" t="s">
        <v>1450</v>
      </c>
      <c r="C597" s="1" t="s">
        <v>1633</v>
      </c>
      <c r="D597" s="1" t="s">
        <v>1638</v>
      </c>
      <c r="E597" s="1">
        <v>2023</v>
      </c>
      <c r="F597" s="1" t="s">
        <v>1641</v>
      </c>
      <c r="G597" s="1">
        <v>2829</v>
      </c>
      <c r="H597" s="1">
        <v>1513</v>
      </c>
      <c r="I597" s="1">
        <v>5776</v>
      </c>
      <c r="J597" s="1">
        <v>339508</v>
      </c>
      <c r="K597" s="1">
        <v>8.89</v>
      </c>
      <c r="L597" s="1">
        <v>14</v>
      </c>
      <c r="M597" s="1">
        <v>0.19</v>
      </c>
      <c r="N597" s="1">
        <v>17.46</v>
      </c>
      <c r="O597" s="1">
        <v>57.01</v>
      </c>
      <c r="P597" s="1">
        <v>4.3</v>
      </c>
      <c r="Q597" s="1">
        <v>17875</v>
      </c>
      <c r="R597" s="1">
        <v>7289</v>
      </c>
      <c r="S597" s="1">
        <v>5</v>
      </c>
      <c r="T597" s="1">
        <f>(Table1[[#This Row],[Selling_Price_per_Unit]]-Table1[[#This Row],[Manufacturing_Cost_per_Unit]])*Table1[[#This Row],[Units_Sold]]-Table1[[#This Row],[Marketing_Spend]]-Table1[[#This Row],[Discount_%]]</f>
        <v>-12399552.460000001</v>
      </c>
      <c r="U597" s="3">
        <f>Table1[[#This Row],[profit]]/(Table1[[#This Row],[Units_Sold]]*Table1[[#This Row],[Selling_Price_per_Unit]])*100</f>
        <v>-289.69042097041853</v>
      </c>
      <c r="V597" s="6">
        <f>Table1[[#This Row],[Units_Sold]]*Table1[[#This Row],[Selling_Price_per_Unit]]</f>
        <v>4280277</v>
      </c>
      <c r="W597" s="7">
        <f>(Table1[[#This Row],[Units_Sold]]/$Z$1)</f>
        <v>0.56637226253406436</v>
      </c>
      <c r="X597" s="8">
        <f>((Table1[[#This Row],[Units_Sold]]*(Table1[[#This Row],[Selling_Price_per_Unit]]-Table1[[#This Row],[Manufacturing_Cost_per_Unit]]))-Table1[[#This Row],[Marketing_Spend]])/Table1[[#This Row],[Marketing_Spend]]</f>
        <v>-36.522070172131436</v>
      </c>
    </row>
    <row r="598" spans="1:24" x14ac:dyDescent="0.3">
      <c r="A598" s="1" t="s">
        <v>615</v>
      </c>
      <c r="B598" s="1" t="s">
        <v>1404</v>
      </c>
      <c r="C598" s="1" t="s">
        <v>1634</v>
      </c>
      <c r="D598" s="1" t="s">
        <v>1637</v>
      </c>
      <c r="E598" s="1">
        <v>2023</v>
      </c>
      <c r="F598" s="1" t="s">
        <v>1642</v>
      </c>
      <c r="G598" s="1">
        <v>4186</v>
      </c>
      <c r="H598" s="1">
        <v>6099</v>
      </c>
      <c r="I598" s="1">
        <v>13534</v>
      </c>
      <c r="J598" s="1">
        <v>206044</v>
      </c>
      <c r="K598" s="1">
        <v>5.32</v>
      </c>
      <c r="L598" s="1">
        <v>5</v>
      </c>
      <c r="M598" s="1">
        <v>1.89</v>
      </c>
      <c r="N598" s="1">
        <v>7.34</v>
      </c>
      <c r="O598" s="1">
        <v>81.66</v>
      </c>
      <c r="P598" s="1">
        <v>4.3</v>
      </c>
      <c r="Q598" s="1">
        <v>18601</v>
      </c>
      <c r="R598" s="1">
        <v>5486</v>
      </c>
      <c r="S598" s="1">
        <v>3</v>
      </c>
      <c r="T598" s="1">
        <f>(Table1[[#This Row],[Selling_Price_per_Unit]]-Table1[[#This Row],[Manufacturing_Cost_per_Unit]])*Table1[[#This Row],[Units_Sold]]-Table1[[#This Row],[Marketing_Spend]]-Table1[[#This Row],[Discount_%]]</f>
        <v>-31328961.34</v>
      </c>
      <c r="U598" s="3">
        <f>Table1[[#This Row],[profit]]/(Table1[[#This Row],[Units_Sold]]*Table1[[#This Row],[Selling_Price_per_Unit]])*100</f>
        <v>-122.71231222494082</v>
      </c>
      <c r="V598" s="6">
        <f>Table1[[#This Row],[Units_Sold]]*Table1[[#This Row],[Selling_Price_per_Unit]]</f>
        <v>25530414</v>
      </c>
      <c r="W598" s="7">
        <f>(Table1[[#This Row],[Units_Sold]]/$Z$1)</f>
        <v>0.83804676244877818</v>
      </c>
      <c r="X598" s="8">
        <f>((Table1[[#This Row],[Units_Sold]]*(Table1[[#This Row],[Selling_Price_per_Unit]]-Table1[[#This Row],[Manufacturing_Cost_per_Unit]]))-Table1[[#This Row],[Marketing_Spend]])/Table1[[#This Row],[Marketing_Spend]]</f>
        <v>-152.04982430937082</v>
      </c>
    </row>
    <row r="599" spans="1:24" x14ac:dyDescent="0.3">
      <c r="A599" s="1" t="s">
        <v>616</v>
      </c>
      <c r="B599" s="1" t="s">
        <v>1451</v>
      </c>
      <c r="C599" s="1" t="s">
        <v>1634</v>
      </c>
      <c r="D599" s="1" t="s">
        <v>1637</v>
      </c>
      <c r="E599" s="1">
        <v>2024</v>
      </c>
      <c r="F599" s="1" t="s">
        <v>1639</v>
      </c>
      <c r="G599" s="1">
        <v>4885</v>
      </c>
      <c r="H599" s="1">
        <v>3778</v>
      </c>
      <c r="I599" s="1">
        <v>2913</v>
      </c>
      <c r="J599" s="1">
        <v>161715</v>
      </c>
      <c r="K599" s="1">
        <v>0.78</v>
      </c>
      <c r="L599" s="1">
        <v>12</v>
      </c>
      <c r="M599" s="1">
        <v>4.1399999999999997</v>
      </c>
      <c r="N599" s="1">
        <v>16.8</v>
      </c>
      <c r="O599" s="1">
        <v>62.25</v>
      </c>
      <c r="P599" s="1">
        <v>4.8</v>
      </c>
      <c r="Q599" s="1">
        <v>2142</v>
      </c>
      <c r="R599" s="1">
        <v>7042</v>
      </c>
      <c r="S599" s="1">
        <v>11</v>
      </c>
      <c r="T599" s="1">
        <f>(Table1[[#This Row],[Selling_Price_per_Unit]]-Table1[[#This Row],[Manufacturing_Cost_per_Unit]])*Table1[[#This Row],[Units_Sold]]-Table1[[#This Row],[Marketing_Spend]]-Table1[[#This Row],[Discount_%]]</f>
        <v>4063793.2</v>
      </c>
      <c r="U599" s="3">
        <f>Table1[[#This Row],[profit]]/(Table1[[#This Row],[Units_Sold]]*Table1[[#This Row],[Selling_Price_per_Unit]])*100</f>
        <v>22.019379557238398</v>
      </c>
      <c r="V599" s="6">
        <f>Table1[[#This Row],[Units_Sold]]*Table1[[#This Row],[Selling_Price_per_Unit]]</f>
        <v>18455530</v>
      </c>
      <c r="W599" s="7">
        <f>(Table1[[#This Row],[Units_Sold]]/$Z$1)</f>
        <v>0.97798815923609206</v>
      </c>
      <c r="X599" s="8">
        <f>((Table1[[#This Row],[Units_Sold]]*(Table1[[#This Row],[Selling_Price_per_Unit]]-Table1[[#This Row],[Manufacturing_Cost_per_Unit]]))-Table1[[#This Row],[Marketing_Spend]])/Table1[[#This Row],[Marketing_Spend]]</f>
        <v>25.129456141978171</v>
      </c>
    </row>
    <row r="600" spans="1:24" hidden="1" x14ac:dyDescent="0.3">
      <c r="A600" s="1" t="s">
        <v>801</v>
      </c>
      <c r="B600" s="1" t="s">
        <v>1544</v>
      </c>
      <c r="C600" s="1" t="s">
        <v>1634</v>
      </c>
      <c r="D600" s="1" t="s">
        <v>1636</v>
      </c>
      <c r="E600" s="1">
        <v>2023</v>
      </c>
      <c r="F600" s="1" t="s">
        <v>1639</v>
      </c>
      <c r="G600" s="1">
        <v>2025</v>
      </c>
      <c r="H600" s="1">
        <v>13789</v>
      </c>
      <c r="I600" s="1">
        <v>1259</v>
      </c>
      <c r="J600" s="1">
        <v>85063</v>
      </c>
      <c r="K600" s="1">
        <v>10.87</v>
      </c>
      <c r="L600" s="1">
        <v>1</v>
      </c>
      <c r="M600" s="1">
        <v>8.16</v>
      </c>
      <c r="N600" s="1">
        <v>8.99</v>
      </c>
      <c r="O600" s="1">
        <v>68.040000000000006</v>
      </c>
      <c r="P600" s="1">
        <v>1.4</v>
      </c>
      <c r="Q600" s="1">
        <v>8407</v>
      </c>
      <c r="R600" s="1">
        <v>3747</v>
      </c>
      <c r="S600" s="1">
        <v>3</v>
      </c>
      <c r="T600" s="1">
        <f>(Table1[[#This Row],[Selling_Price_per_Unit]]-Table1[[#This Row],[Manufacturing_Cost_per_Unit]])*Table1[[#This Row],[Units_Sold]]-Table1[[#This Row],[Marketing_Spend]]-Table1[[#This Row],[Discount_%]]</f>
        <v>25288178.010000002</v>
      </c>
      <c r="U600" s="3">
        <f>Table1[[#This Row],[profit]]/(Table1[[#This Row],[Units_Sold]]*Table1[[#This Row],[Selling_Price_per_Unit]])*100</f>
        <v>90.564864317504828</v>
      </c>
      <c r="V600" s="6">
        <f>Table1[[#This Row],[Units_Sold]]*Table1[[#This Row],[Selling_Price_per_Unit]]</f>
        <v>27922725</v>
      </c>
      <c r="W600" s="7">
        <f>(Table1[[#This Row],[Units_Sold]]/$Z$1)</f>
        <v>0.40540962588599516</v>
      </c>
      <c r="X600" s="8">
        <f>((Table1[[#This Row],[Units_Sold]]*(Table1[[#This Row],[Selling_Price_per_Unit]]-Table1[[#This Row],[Manufacturing_Cost_per_Unit]]))-Table1[[#This Row],[Marketing_Spend]])/Table1[[#This Row],[Marketing_Spend]]</f>
        <v>297.28773967529946</v>
      </c>
    </row>
    <row r="601" spans="1:24" hidden="1" x14ac:dyDescent="0.3">
      <c r="A601" s="1" t="s">
        <v>618</v>
      </c>
      <c r="B601" s="1" t="s">
        <v>1452</v>
      </c>
      <c r="C601" s="1" t="s">
        <v>1632</v>
      </c>
      <c r="D601" s="1" t="s">
        <v>1636</v>
      </c>
      <c r="E601" s="1">
        <v>2023</v>
      </c>
      <c r="F601" s="1" t="s">
        <v>1641</v>
      </c>
      <c r="G601" s="1">
        <v>2558</v>
      </c>
      <c r="H601" s="1">
        <v>4655</v>
      </c>
      <c r="I601" s="1">
        <v>14365</v>
      </c>
      <c r="J601" s="1">
        <v>261841</v>
      </c>
      <c r="K601" s="1">
        <v>6.35</v>
      </c>
      <c r="L601" s="1">
        <v>2</v>
      </c>
      <c r="M601" s="1">
        <v>4.57</v>
      </c>
      <c r="N601" s="1">
        <v>9.2899999999999991</v>
      </c>
      <c r="O601" s="1">
        <v>87.3</v>
      </c>
      <c r="P601" s="1">
        <v>1.8</v>
      </c>
      <c r="Q601" s="1">
        <v>13385</v>
      </c>
      <c r="R601" s="1">
        <v>344</v>
      </c>
      <c r="S601" s="1">
        <v>11</v>
      </c>
      <c r="T601" s="1">
        <f>(Table1[[#This Row],[Selling_Price_per_Unit]]-Table1[[#This Row],[Manufacturing_Cost_per_Unit]])*Table1[[#This Row],[Units_Sold]]-Table1[[#This Row],[Marketing_Spend]]-Table1[[#This Row],[Discount_%]]</f>
        <v>-25100030.289999999</v>
      </c>
      <c r="U601" s="3">
        <f>Table1[[#This Row],[profit]]/(Table1[[#This Row],[Units_Sold]]*Table1[[#This Row],[Selling_Price_per_Unit]])*100</f>
        <v>-210.79194935288629</v>
      </c>
      <c r="V601" s="6">
        <f>Table1[[#This Row],[Units_Sold]]*Table1[[#This Row],[Selling_Price_per_Unit]]</f>
        <v>11907490</v>
      </c>
      <c r="W601" s="7">
        <f>(Table1[[#This Row],[Units_Sold]]/$Z$1)</f>
        <v>0.51211744346487686</v>
      </c>
      <c r="X601" s="8">
        <f>((Table1[[#This Row],[Units_Sold]]*(Table1[[#This Row],[Selling_Price_per_Unit]]-Table1[[#This Row],[Manufacturing_Cost_per_Unit]]))-Table1[[#This Row],[Marketing_Spend]])/Table1[[#This Row],[Marketing_Spend]]</f>
        <v>-95.859781317669885</v>
      </c>
    </row>
    <row r="602" spans="1:24" hidden="1" x14ac:dyDescent="0.3">
      <c r="A602" s="1" t="s">
        <v>619</v>
      </c>
      <c r="B602" s="1" t="s">
        <v>1453</v>
      </c>
      <c r="C602" s="1" t="s">
        <v>1634</v>
      </c>
      <c r="D602" s="1" t="s">
        <v>1637</v>
      </c>
      <c r="E602" s="1">
        <v>2024</v>
      </c>
      <c r="F602" s="1" t="s">
        <v>1642</v>
      </c>
      <c r="G602" s="1">
        <v>2829</v>
      </c>
      <c r="H602" s="1">
        <v>9821</v>
      </c>
      <c r="I602" s="1">
        <v>4770</v>
      </c>
      <c r="J602" s="1">
        <v>393567</v>
      </c>
      <c r="K602" s="1">
        <v>1.27</v>
      </c>
      <c r="L602" s="1">
        <v>7</v>
      </c>
      <c r="M602" s="1">
        <v>2.9</v>
      </c>
      <c r="N602" s="1">
        <v>0.44</v>
      </c>
      <c r="O602" s="1">
        <v>74.13</v>
      </c>
      <c r="P602" s="1">
        <v>1.1000000000000001</v>
      </c>
      <c r="Q602" s="1">
        <v>9049</v>
      </c>
      <c r="R602" s="1">
        <v>120</v>
      </c>
      <c r="S602" s="1">
        <v>14</v>
      </c>
      <c r="T602" s="1">
        <f>(Table1[[#This Row],[Selling_Price_per_Unit]]-Table1[[#This Row],[Manufacturing_Cost_per_Unit]])*Table1[[#This Row],[Units_Sold]]-Table1[[#This Row],[Marketing_Spend]]-Table1[[#This Row],[Discount_%]]</f>
        <v>13895711.560000001</v>
      </c>
      <c r="U602" s="3">
        <f>Table1[[#This Row],[profit]]/(Table1[[#This Row],[Units_Sold]]*Table1[[#This Row],[Selling_Price_per_Unit]])*100</f>
        <v>50.014062463951312</v>
      </c>
      <c r="V602" s="6">
        <f>Table1[[#This Row],[Units_Sold]]*Table1[[#This Row],[Selling_Price_per_Unit]]</f>
        <v>27783609</v>
      </c>
      <c r="W602" s="7">
        <f>(Table1[[#This Row],[Units_Sold]]/$Z$1)</f>
        <v>0.56637226253406436</v>
      </c>
      <c r="X602" s="8">
        <f>((Table1[[#This Row],[Units_Sold]]*(Table1[[#This Row],[Selling_Price_per_Unit]]-Table1[[#This Row],[Manufacturing_Cost_per_Unit]]))-Table1[[#This Row],[Marketing_Spend]])/Table1[[#This Row],[Marketing_Spend]]</f>
        <v>35.307106540944744</v>
      </c>
    </row>
    <row r="603" spans="1:24" hidden="1" x14ac:dyDescent="0.3">
      <c r="A603" s="1" t="s">
        <v>620</v>
      </c>
      <c r="B603" s="1" t="s">
        <v>1454</v>
      </c>
      <c r="C603" s="1" t="s">
        <v>1634</v>
      </c>
      <c r="D603" s="1" t="s">
        <v>1636</v>
      </c>
      <c r="E603" s="1">
        <v>2023</v>
      </c>
      <c r="F603" s="1" t="s">
        <v>1641</v>
      </c>
      <c r="G603" s="1">
        <v>974</v>
      </c>
      <c r="H603" s="1">
        <v>5314</v>
      </c>
      <c r="I603" s="1">
        <v>10983</v>
      </c>
      <c r="J603" s="1">
        <v>341464</v>
      </c>
      <c r="K603" s="1">
        <v>9.1</v>
      </c>
      <c r="L603" s="1">
        <v>7</v>
      </c>
      <c r="M603" s="1">
        <v>5.62</v>
      </c>
      <c r="N603" s="1">
        <v>17.579999999999998</v>
      </c>
      <c r="O603" s="1">
        <v>60.43</v>
      </c>
      <c r="P603" s="1">
        <v>2.9</v>
      </c>
      <c r="Q603" s="1">
        <v>14897</v>
      </c>
      <c r="R603" s="1">
        <v>8685</v>
      </c>
      <c r="S603" s="1">
        <v>5</v>
      </c>
      <c r="T603" s="1">
        <f>(Table1[[#This Row],[Selling_Price_per_Unit]]-Table1[[#This Row],[Manufacturing_Cost_per_Unit]])*Table1[[#This Row],[Units_Sold]]-Table1[[#This Row],[Marketing_Spend]]-Table1[[#This Row],[Discount_%]]</f>
        <v>-5863087.5800000001</v>
      </c>
      <c r="U603" s="3">
        <f>Table1[[#This Row],[profit]]/(Table1[[#This Row],[Units_Sold]]*Table1[[#This Row],[Selling_Price_per_Unit]])*100</f>
        <v>-113.27807874901754</v>
      </c>
      <c r="V603" s="6">
        <f>Table1[[#This Row],[Units_Sold]]*Table1[[#This Row],[Selling_Price_per_Unit]]</f>
        <v>5175836</v>
      </c>
      <c r="W603" s="7">
        <f>(Table1[[#This Row],[Units_Sold]]/$Z$1)</f>
        <v>0.19499702499405397</v>
      </c>
      <c r="X603" s="8">
        <f>((Table1[[#This Row],[Units_Sold]]*(Table1[[#This Row],[Selling_Price_per_Unit]]-Table1[[#This Row],[Manufacturing_Cost_per_Unit]]))-Table1[[#This Row],[Marketing_Spend]])/Table1[[#This Row],[Marketing_Spend]]</f>
        <v>-17.170389850760255</v>
      </c>
    </row>
    <row r="604" spans="1:24" hidden="1" x14ac:dyDescent="0.3">
      <c r="A604" s="1" t="s">
        <v>621</v>
      </c>
      <c r="B604" s="1" t="s">
        <v>1455</v>
      </c>
      <c r="C604" s="1" t="s">
        <v>1632</v>
      </c>
      <c r="D604" s="1" t="s">
        <v>1638</v>
      </c>
      <c r="E604" s="1">
        <v>2024</v>
      </c>
      <c r="F604" s="1" t="s">
        <v>1642</v>
      </c>
      <c r="G604" s="1">
        <v>3006</v>
      </c>
      <c r="H604" s="1">
        <v>14625</v>
      </c>
      <c r="I604" s="1">
        <v>10059</v>
      </c>
      <c r="J604" s="1">
        <v>70808</v>
      </c>
      <c r="K604" s="1">
        <v>13.21</v>
      </c>
      <c r="L604" s="1">
        <v>19</v>
      </c>
      <c r="M604" s="1">
        <v>1.1200000000000001</v>
      </c>
      <c r="N604" s="1">
        <v>0.54</v>
      </c>
      <c r="O604" s="1">
        <v>33.43</v>
      </c>
      <c r="P604" s="1">
        <v>3.1</v>
      </c>
      <c r="Q604" s="1">
        <v>16574</v>
      </c>
      <c r="R604" s="1">
        <v>5867</v>
      </c>
      <c r="S604" s="1">
        <v>11</v>
      </c>
      <c r="T604" s="1">
        <f>(Table1[[#This Row],[Selling_Price_per_Unit]]-Table1[[#This Row],[Manufacturing_Cost_per_Unit]])*Table1[[#This Row],[Units_Sold]]-Table1[[#This Row],[Marketing_Spend]]-Table1[[#This Row],[Discount_%]]</f>
        <v>13654587.460000001</v>
      </c>
      <c r="U604" s="3">
        <f>Table1[[#This Row],[profit]]/(Table1[[#This Row],[Units_Sold]]*Table1[[#This Row],[Selling_Price_per_Unit]])*100</f>
        <v>31.059447964469921</v>
      </c>
      <c r="V604" s="6">
        <f>Table1[[#This Row],[Units_Sold]]*Table1[[#This Row],[Selling_Price_per_Unit]]</f>
        <v>43962750</v>
      </c>
      <c r="W604" s="7">
        <f>(Table1[[#This Row],[Units_Sold]]/$Z$1)</f>
        <v>0.60180806687076616</v>
      </c>
      <c r="X604" s="8">
        <f>((Table1[[#This Row],[Units_Sold]]*(Table1[[#This Row],[Selling_Price_per_Unit]]-Table1[[#This Row],[Manufacturing_Cost_per_Unit]]))-Table1[[#This Row],[Marketing_Spend]])/Table1[[#This Row],[Marketing_Spend]]</f>
        <v>192.83962264150944</v>
      </c>
    </row>
    <row r="605" spans="1:24" hidden="1" x14ac:dyDescent="0.3">
      <c r="A605" s="1" t="s">
        <v>622</v>
      </c>
      <c r="B605" s="1" t="s">
        <v>1251</v>
      </c>
      <c r="C605" s="1" t="s">
        <v>1634</v>
      </c>
      <c r="D605" s="1" t="s">
        <v>1635</v>
      </c>
      <c r="E605" s="1">
        <v>2023</v>
      </c>
      <c r="F605" s="1" t="s">
        <v>1641</v>
      </c>
      <c r="G605" s="1">
        <v>1631</v>
      </c>
      <c r="H605" s="1">
        <v>4716</v>
      </c>
      <c r="I605" s="1">
        <v>8064</v>
      </c>
      <c r="J605" s="1">
        <v>102389</v>
      </c>
      <c r="K605" s="1">
        <v>13.24</v>
      </c>
      <c r="L605" s="1">
        <v>14</v>
      </c>
      <c r="M605" s="1">
        <v>6.1</v>
      </c>
      <c r="N605" s="1">
        <v>15.78</v>
      </c>
      <c r="O605" s="1">
        <v>39.880000000000003</v>
      </c>
      <c r="P605" s="1">
        <v>2</v>
      </c>
      <c r="Q605" s="1">
        <v>15271</v>
      </c>
      <c r="R605" s="1">
        <v>3615</v>
      </c>
      <c r="S605" s="1">
        <v>11</v>
      </c>
      <c r="T605" s="1">
        <f>(Table1[[#This Row],[Selling_Price_per_Unit]]-Table1[[#This Row],[Manufacturing_Cost_per_Unit]])*Table1[[#This Row],[Units_Sold]]-Table1[[#This Row],[Marketing_Spend]]-Table1[[#This Row],[Discount_%]]</f>
        <v>-5562992.7800000003</v>
      </c>
      <c r="U605" s="3">
        <f>Table1[[#This Row],[profit]]/(Table1[[#This Row],[Units_Sold]]*Table1[[#This Row],[Selling_Price_per_Unit]])*100</f>
        <v>-72.323717113662397</v>
      </c>
      <c r="V605" s="6">
        <f>Table1[[#This Row],[Units_Sold]]*Table1[[#This Row],[Selling_Price_per_Unit]]</f>
        <v>7691796</v>
      </c>
      <c r="W605" s="7">
        <f>(Table1[[#This Row],[Units_Sold]]/$Z$1)</f>
        <v>0.32652992583706575</v>
      </c>
      <c r="X605" s="8">
        <f>((Table1[[#This Row],[Units_Sold]]*(Table1[[#This Row],[Selling_Price_per_Unit]]-Table1[[#This Row],[Manufacturing_Cost_per_Unit]]))-Table1[[#This Row],[Marketing_Spend]])/Table1[[#This Row],[Marketing_Spend]]</f>
        <v>-54.331783687700828</v>
      </c>
    </row>
    <row r="606" spans="1:24" hidden="1" x14ac:dyDescent="0.3">
      <c r="A606" s="1" t="s">
        <v>623</v>
      </c>
      <c r="B606" s="1" t="s">
        <v>1456</v>
      </c>
      <c r="C606" s="1" t="s">
        <v>1633</v>
      </c>
      <c r="D606" s="1" t="s">
        <v>1637</v>
      </c>
      <c r="E606" s="1">
        <v>2024</v>
      </c>
      <c r="F606" s="1" t="s">
        <v>1641</v>
      </c>
      <c r="G606" s="1">
        <v>3374</v>
      </c>
      <c r="H606" s="1">
        <v>3613</v>
      </c>
      <c r="I606" s="1">
        <v>2377</v>
      </c>
      <c r="J606" s="1">
        <v>168581</v>
      </c>
      <c r="K606" s="1">
        <v>9.89</v>
      </c>
      <c r="L606" s="1">
        <v>3</v>
      </c>
      <c r="M606" s="1">
        <v>5.68</v>
      </c>
      <c r="N606" s="1">
        <v>4.09</v>
      </c>
      <c r="O606" s="1">
        <v>63.6</v>
      </c>
      <c r="P606" s="1">
        <v>1.5</v>
      </c>
      <c r="Q606" s="1">
        <v>2449</v>
      </c>
      <c r="R606" s="1">
        <v>2010</v>
      </c>
      <c r="S606" s="1">
        <v>12</v>
      </c>
      <c r="T606" s="1">
        <f>(Table1[[#This Row],[Selling_Price_per_Unit]]-Table1[[#This Row],[Manufacturing_Cost_per_Unit]])*Table1[[#This Row],[Units_Sold]]-Table1[[#This Row],[Marketing_Spend]]-Table1[[#This Row],[Discount_%]]</f>
        <v>4001678.91</v>
      </c>
      <c r="U606" s="3">
        <f>Table1[[#This Row],[profit]]/(Table1[[#This Row],[Units_Sold]]*Table1[[#This Row],[Selling_Price_per_Unit]])*100</f>
        <v>32.826849086590592</v>
      </c>
      <c r="V606" s="6">
        <f>Table1[[#This Row],[Units_Sold]]*Table1[[#This Row],[Selling_Price_per_Unit]]</f>
        <v>12190262</v>
      </c>
      <c r="W606" s="7">
        <f>(Table1[[#This Row],[Units_Sold]]/$Z$1)</f>
        <v>0.67548250752560379</v>
      </c>
      <c r="X606" s="8">
        <f>((Table1[[#This Row],[Units_Sold]]*(Table1[[#This Row],[Selling_Price_per_Unit]]-Table1[[#This Row],[Manufacturing_Cost_per_Unit]]))-Table1[[#This Row],[Marketing_Spend]])/Table1[[#This Row],[Marketing_Spend]]</f>
        <v>23.737449653282397</v>
      </c>
    </row>
    <row r="607" spans="1:24" x14ac:dyDescent="0.3">
      <c r="A607" s="1" t="s">
        <v>624</v>
      </c>
      <c r="B607" s="1" t="s">
        <v>1219</v>
      </c>
      <c r="C607" s="1" t="s">
        <v>1632</v>
      </c>
      <c r="D607" s="1" t="s">
        <v>1636</v>
      </c>
      <c r="E607" s="1">
        <v>2023</v>
      </c>
      <c r="F607" s="1" t="s">
        <v>1642</v>
      </c>
      <c r="G607" s="1">
        <v>4535</v>
      </c>
      <c r="H607" s="1">
        <v>11738</v>
      </c>
      <c r="I607" s="1">
        <v>10003</v>
      </c>
      <c r="J607" s="1">
        <v>177927</v>
      </c>
      <c r="K607" s="1">
        <v>3.17</v>
      </c>
      <c r="L607" s="1">
        <v>18</v>
      </c>
      <c r="M607" s="1">
        <v>7.92</v>
      </c>
      <c r="N607" s="1">
        <v>14.14</v>
      </c>
      <c r="O607" s="1">
        <v>15.76</v>
      </c>
      <c r="P607" s="1">
        <v>3.3</v>
      </c>
      <c r="Q607" s="1">
        <v>18405</v>
      </c>
      <c r="R607" s="1">
        <v>8581</v>
      </c>
      <c r="S607" s="1">
        <v>9</v>
      </c>
      <c r="T607" s="1">
        <f>(Table1[[#This Row],[Selling_Price_per_Unit]]-Table1[[#This Row],[Manufacturing_Cost_per_Unit]])*Table1[[#This Row],[Units_Sold]]-Table1[[#This Row],[Marketing_Spend]]-Table1[[#This Row],[Discount_%]]</f>
        <v>7690283.8600000003</v>
      </c>
      <c r="U607" s="3">
        <f>Table1[[#This Row],[profit]]/(Table1[[#This Row],[Units_Sold]]*Table1[[#This Row],[Selling_Price_per_Unit]])*100</f>
        <v>14.446777163212312</v>
      </c>
      <c r="V607" s="6">
        <f>Table1[[#This Row],[Units_Sold]]*Table1[[#This Row],[Selling_Price_per_Unit]]</f>
        <v>53231830</v>
      </c>
      <c r="W607" s="7">
        <f>(Table1[[#This Row],[Units_Sold]]/$Z$1)</f>
        <v>0.90791735970024101</v>
      </c>
      <c r="X607" s="8">
        <f>((Table1[[#This Row],[Units_Sold]]*(Table1[[#This Row],[Selling_Price_per_Unit]]-Table1[[#This Row],[Manufacturing_Cost_per_Unit]]))-Table1[[#This Row],[Marketing_Spend]])/Table1[[#This Row],[Marketing_Spend]]</f>
        <v>43.22164707998224</v>
      </c>
    </row>
    <row r="608" spans="1:24" hidden="1" x14ac:dyDescent="0.3">
      <c r="A608" s="1" t="s">
        <v>625</v>
      </c>
      <c r="B608" s="1" t="s">
        <v>1457</v>
      </c>
      <c r="C608" s="1" t="s">
        <v>1634</v>
      </c>
      <c r="D608" s="1" t="s">
        <v>1638</v>
      </c>
      <c r="E608" s="1">
        <v>2024</v>
      </c>
      <c r="F608" s="1" t="s">
        <v>1641</v>
      </c>
      <c r="G608" s="1">
        <v>305</v>
      </c>
      <c r="H608" s="1">
        <v>15260</v>
      </c>
      <c r="I608" s="1">
        <v>3074</v>
      </c>
      <c r="J608" s="1">
        <v>84773</v>
      </c>
      <c r="K608" s="1">
        <v>12.94</v>
      </c>
      <c r="L608" s="1">
        <v>2</v>
      </c>
      <c r="M608" s="1">
        <v>9.8699999999999992</v>
      </c>
      <c r="N608" s="1">
        <v>12.6</v>
      </c>
      <c r="O608" s="1">
        <v>30.53</v>
      </c>
      <c r="P608" s="1">
        <v>4.0999999999999996</v>
      </c>
      <c r="Q608" s="1">
        <v>16232</v>
      </c>
      <c r="R608" s="1">
        <v>5982</v>
      </c>
      <c r="S608" s="1">
        <v>3</v>
      </c>
      <c r="T608" s="1">
        <f>(Table1[[#This Row],[Selling_Price_per_Unit]]-Table1[[#This Row],[Manufacturing_Cost_per_Unit]])*Table1[[#This Row],[Units_Sold]]-Table1[[#This Row],[Marketing_Spend]]-Table1[[#This Row],[Discount_%]]</f>
        <v>3631944.4</v>
      </c>
      <c r="U608" s="3">
        <f>Table1[[#This Row],[profit]]/(Table1[[#This Row],[Units_Sold]]*Table1[[#This Row],[Selling_Price_per_Unit]])*100</f>
        <v>78.034170551962703</v>
      </c>
      <c r="V608" s="6">
        <f>Table1[[#This Row],[Units_Sold]]*Table1[[#This Row],[Selling_Price_per_Unit]]</f>
        <v>4654300</v>
      </c>
      <c r="W608" s="7">
        <f>(Table1[[#This Row],[Units_Sold]]/$Z$1)</f>
        <v>6.1061696738384456E-2</v>
      </c>
      <c r="X608" s="8">
        <f>((Table1[[#This Row],[Units_Sold]]*(Table1[[#This Row],[Selling_Price_per_Unit]]-Table1[[#This Row],[Manufacturing_Cost_per_Unit]]))-Table1[[#This Row],[Marketing_Spend]])/Table1[[#This Row],[Marketing_Spend]]</f>
        <v>42.8433227560662</v>
      </c>
    </row>
    <row r="609" spans="1:24" x14ac:dyDescent="0.3">
      <c r="A609" s="1" t="s">
        <v>338</v>
      </c>
      <c r="B609" s="1" t="s">
        <v>1236</v>
      </c>
      <c r="C609" s="1" t="s">
        <v>1633</v>
      </c>
      <c r="D609" s="1" t="s">
        <v>1635</v>
      </c>
      <c r="E609" s="1">
        <v>2024</v>
      </c>
      <c r="F609" s="1" t="s">
        <v>1641</v>
      </c>
      <c r="G609" s="1">
        <v>4391</v>
      </c>
      <c r="H609" s="1">
        <v>6795</v>
      </c>
      <c r="I609" s="1">
        <v>1026</v>
      </c>
      <c r="J609" s="1">
        <v>243226</v>
      </c>
      <c r="K609" s="1">
        <v>9.16</v>
      </c>
      <c r="L609" s="1">
        <v>14</v>
      </c>
      <c r="M609" s="1">
        <v>7.04</v>
      </c>
      <c r="N609" s="1">
        <v>20.38</v>
      </c>
      <c r="O609" s="1">
        <v>81.53</v>
      </c>
      <c r="P609" s="1">
        <v>3.9</v>
      </c>
      <c r="Q609" s="1">
        <v>17268</v>
      </c>
      <c r="R609" s="1">
        <v>1665</v>
      </c>
      <c r="S609" s="1">
        <v>5</v>
      </c>
      <c r="T609" s="1">
        <f>(Table1[[#This Row],[Selling_Price_per_Unit]]-Table1[[#This Row],[Manufacturing_Cost_per_Unit]])*Table1[[#This Row],[Units_Sold]]-Table1[[#This Row],[Marketing_Spend]]-Table1[[#This Row],[Discount_%]]</f>
        <v>25088432.620000001</v>
      </c>
      <c r="U609" s="3">
        <f>Table1[[#This Row],[profit]]/(Table1[[#This Row],[Units_Sold]]*Table1[[#This Row],[Selling_Price_per_Unit]])*100</f>
        <v>84.085407220502034</v>
      </c>
      <c r="V609" s="6">
        <f>Table1[[#This Row],[Units_Sold]]*Table1[[#This Row],[Selling_Price_per_Unit]]</f>
        <v>29836845</v>
      </c>
      <c r="W609" s="7">
        <f>(Table1[[#This Row],[Units_Sold]]/$Z$1)</f>
        <v>0.87908823074834808</v>
      </c>
      <c r="X609" s="8">
        <f>((Table1[[#This Row],[Units_Sold]]*(Table1[[#This Row],[Selling_Price_per_Unit]]-Table1[[#This Row],[Manufacturing_Cost_per_Unit]]))-Table1[[#This Row],[Marketing_Spend]])/Table1[[#This Row],[Marketing_Spend]]</f>
        <v>103.14872998774803</v>
      </c>
    </row>
    <row r="610" spans="1:24" hidden="1" x14ac:dyDescent="0.3">
      <c r="A610" s="1" t="s">
        <v>627</v>
      </c>
      <c r="B610" s="1" t="s">
        <v>1458</v>
      </c>
      <c r="C610" s="1" t="s">
        <v>1634</v>
      </c>
      <c r="D610" s="1" t="s">
        <v>1635</v>
      </c>
      <c r="E610" s="1">
        <v>2023</v>
      </c>
      <c r="F610" s="1" t="s">
        <v>1640</v>
      </c>
      <c r="G610" s="1">
        <v>1888</v>
      </c>
      <c r="H610" s="1">
        <v>4874</v>
      </c>
      <c r="I610" s="1">
        <v>10806</v>
      </c>
      <c r="J610" s="1">
        <v>470963</v>
      </c>
      <c r="K610" s="1">
        <v>2.95</v>
      </c>
      <c r="L610" s="1">
        <v>7</v>
      </c>
      <c r="M610" s="1">
        <v>5.0999999999999996</v>
      </c>
      <c r="N610" s="1">
        <v>9.07</v>
      </c>
      <c r="O610" s="1">
        <v>48.4</v>
      </c>
      <c r="P610" s="1">
        <v>4</v>
      </c>
      <c r="Q610" s="1">
        <v>19366</v>
      </c>
      <c r="R610" s="1">
        <v>8176</v>
      </c>
      <c r="S610" s="1">
        <v>13</v>
      </c>
      <c r="T610" s="1">
        <f>(Table1[[#This Row],[Selling_Price_per_Unit]]-Table1[[#This Row],[Manufacturing_Cost_per_Unit]])*Table1[[#This Row],[Units_Sold]]-Table1[[#This Row],[Marketing_Spend]]-Table1[[#This Row],[Discount_%]]</f>
        <v>-11670588.07</v>
      </c>
      <c r="U610" s="3">
        <f>Table1[[#This Row],[profit]]/(Table1[[#This Row],[Units_Sold]]*Table1[[#This Row],[Selling_Price_per_Unit]])*100</f>
        <v>-126.82510351971375</v>
      </c>
      <c r="V610" s="6">
        <f>Table1[[#This Row],[Units_Sold]]*Table1[[#This Row],[Selling_Price_per_Unit]]</f>
        <v>9202112</v>
      </c>
      <c r="W610" s="7">
        <f>(Table1[[#This Row],[Units_Sold]]/$Z$1)</f>
        <v>0.3779819129248192</v>
      </c>
      <c r="X610" s="8">
        <f>((Table1[[#This Row],[Units_Sold]]*(Table1[[#This Row],[Selling_Price_per_Unit]]-Table1[[#This Row],[Manufacturing_Cost_per_Unit]]))-Table1[[#This Row],[Marketing_Spend]])/Table1[[#This Row],[Marketing_Spend]]</f>
        <v>-24.780246006586506</v>
      </c>
    </row>
    <row r="611" spans="1:24" hidden="1" x14ac:dyDescent="0.3">
      <c r="A611" s="1" t="s">
        <v>628</v>
      </c>
      <c r="B611" s="1" t="s">
        <v>1172</v>
      </c>
      <c r="C611" s="1" t="s">
        <v>1632</v>
      </c>
      <c r="D611" s="1" t="s">
        <v>1637</v>
      </c>
      <c r="E611" s="1">
        <v>2024</v>
      </c>
      <c r="F611" s="1" t="s">
        <v>1640</v>
      </c>
      <c r="G611" s="1">
        <v>1994</v>
      </c>
      <c r="H611" s="1">
        <v>7930</v>
      </c>
      <c r="I611" s="1">
        <v>7544</v>
      </c>
      <c r="J611" s="1">
        <v>388540</v>
      </c>
      <c r="K611" s="1">
        <v>11.06</v>
      </c>
      <c r="L611" s="1">
        <v>15</v>
      </c>
      <c r="M611" s="1">
        <v>9.09</v>
      </c>
      <c r="N611" s="1">
        <v>15.03</v>
      </c>
      <c r="O611" s="1">
        <v>42.19</v>
      </c>
      <c r="P611" s="1">
        <v>4.2</v>
      </c>
      <c r="Q611" s="1">
        <v>11339</v>
      </c>
      <c r="R611" s="1">
        <v>1722</v>
      </c>
      <c r="S611" s="1">
        <v>12</v>
      </c>
      <c r="T611" s="1">
        <f>(Table1[[#This Row],[Selling_Price_per_Unit]]-Table1[[#This Row],[Manufacturing_Cost_per_Unit]])*Table1[[#This Row],[Units_Sold]]-Table1[[#This Row],[Marketing_Spend]]-Table1[[#This Row],[Discount_%]]</f>
        <v>381128.97</v>
      </c>
      <c r="U611" s="3">
        <f>Table1[[#This Row],[profit]]/(Table1[[#This Row],[Units_Sold]]*Table1[[#This Row],[Selling_Price_per_Unit]])*100</f>
        <v>2.4103139810351606</v>
      </c>
      <c r="V611" s="6">
        <f>Table1[[#This Row],[Units_Sold]]*Table1[[#This Row],[Selling_Price_per_Unit]]</f>
        <v>15812420</v>
      </c>
      <c r="W611" s="7">
        <f>(Table1[[#This Row],[Units_Sold]]/$Z$1)</f>
        <v>0.39920335506996268</v>
      </c>
      <c r="X611" s="8">
        <f>((Table1[[#This Row],[Units_Sold]]*(Table1[[#This Row],[Selling_Price_per_Unit]]-Table1[[#This Row],[Manufacturing_Cost_per_Unit]]))-Table1[[#This Row],[Marketing_Spend]])/Table1[[#This Row],[Marketing_Spend]]</f>
        <v>0.98096463684562718</v>
      </c>
    </row>
    <row r="612" spans="1:24" hidden="1" x14ac:dyDescent="0.3">
      <c r="A612" s="1" t="s">
        <v>629</v>
      </c>
      <c r="B612" s="1" t="s">
        <v>1386</v>
      </c>
      <c r="C612" s="1" t="s">
        <v>1633</v>
      </c>
      <c r="D612" s="1" t="s">
        <v>1635</v>
      </c>
      <c r="E612" s="1">
        <v>2023</v>
      </c>
      <c r="F612" s="1" t="s">
        <v>1641</v>
      </c>
      <c r="G612" s="1">
        <v>59</v>
      </c>
      <c r="H612" s="1">
        <v>13470</v>
      </c>
      <c r="I612" s="1">
        <v>3226</v>
      </c>
      <c r="J612" s="1">
        <v>419836</v>
      </c>
      <c r="K612" s="1">
        <v>4.3</v>
      </c>
      <c r="L612" s="1">
        <v>12</v>
      </c>
      <c r="M612" s="1">
        <v>7.85</v>
      </c>
      <c r="N612" s="1">
        <v>21.22</v>
      </c>
      <c r="O612" s="1">
        <v>22.12</v>
      </c>
      <c r="P612" s="1">
        <v>3.5</v>
      </c>
      <c r="Q612" s="1">
        <v>14323</v>
      </c>
      <c r="R612" s="1">
        <v>4414</v>
      </c>
      <c r="S612" s="1">
        <v>9</v>
      </c>
      <c r="T612" s="1">
        <f>(Table1[[#This Row],[Selling_Price_per_Unit]]-Table1[[#This Row],[Manufacturing_Cost_per_Unit]])*Table1[[#This Row],[Units_Sold]]-Table1[[#This Row],[Marketing_Spend]]-Table1[[#This Row],[Discount_%]]</f>
        <v>184538.78</v>
      </c>
      <c r="U612" s="3">
        <f>Table1[[#This Row],[profit]]/(Table1[[#This Row],[Units_Sold]]*Table1[[#This Row],[Selling_Price_per_Unit]])*100</f>
        <v>23.220311300693318</v>
      </c>
      <c r="V612" s="6">
        <f>Table1[[#This Row],[Units_Sold]]*Table1[[#This Row],[Selling_Price_per_Unit]]</f>
        <v>794730</v>
      </c>
      <c r="W612" s="7">
        <f>(Table1[[#This Row],[Units_Sold]]/$Z$1)</f>
        <v>1.18119347789006E-2</v>
      </c>
      <c r="X612" s="8">
        <f>((Table1[[#This Row],[Units_Sold]]*(Table1[[#This Row],[Selling_Price_per_Unit]]-Table1[[#This Row],[Manufacturing_Cost_per_Unit]]))-Table1[[#This Row],[Marketing_Spend]])/Table1[[#This Row],[Marketing_Spend]]</f>
        <v>0.43960022484970324</v>
      </c>
    </row>
    <row r="613" spans="1:24" hidden="1" x14ac:dyDescent="0.3">
      <c r="A613" s="1" t="s">
        <v>630</v>
      </c>
      <c r="B613" s="1" t="s">
        <v>1459</v>
      </c>
      <c r="C613" s="1" t="s">
        <v>1633</v>
      </c>
      <c r="D613" s="1" t="s">
        <v>1635</v>
      </c>
      <c r="E613" s="1">
        <v>2023</v>
      </c>
      <c r="F613" s="1" t="s">
        <v>1641</v>
      </c>
      <c r="G613" s="1">
        <v>2921</v>
      </c>
      <c r="H613" s="1">
        <v>2129</v>
      </c>
      <c r="I613" s="1">
        <v>14289</v>
      </c>
      <c r="J613" s="1">
        <v>264764</v>
      </c>
      <c r="K613" s="1">
        <v>12.04</v>
      </c>
      <c r="L613" s="1">
        <v>2</v>
      </c>
      <c r="M613" s="1">
        <v>4.87</v>
      </c>
      <c r="N613" s="1">
        <v>22.22</v>
      </c>
      <c r="O613" s="1">
        <v>45.35</v>
      </c>
      <c r="P613" s="1">
        <v>4.9000000000000004</v>
      </c>
      <c r="Q613" s="1">
        <v>20099</v>
      </c>
      <c r="R613" s="1">
        <v>2553</v>
      </c>
      <c r="S613" s="1">
        <v>2</v>
      </c>
      <c r="T613" s="1">
        <f>(Table1[[#This Row],[Selling_Price_per_Unit]]-Table1[[#This Row],[Manufacturing_Cost_per_Unit]])*Table1[[#This Row],[Units_Sold]]-Table1[[#This Row],[Marketing_Spend]]-Table1[[#This Row],[Discount_%]]</f>
        <v>-35784146.219999999</v>
      </c>
      <c r="U613" s="3">
        <f>Table1[[#This Row],[profit]]/(Table1[[#This Row],[Units_Sold]]*Table1[[#This Row],[Selling_Price_per_Unit]])*100</f>
        <v>-575.41799756191256</v>
      </c>
      <c r="V613" s="6">
        <f>Table1[[#This Row],[Units_Sold]]*Table1[[#This Row],[Selling_Price_per_Unit]]</f>
        <v>6218809</v>
      </c>
      <c r="W613" s="7">
        <f>(Table1[[#This Row],[Units_Sold]]/$Z$1)</f>
        <v>0.58479087269777374</v>
      </c>
      <c r="X613" s="8">
        <f>((Table1[[#This Row],[Units_Sold]]*(Table1[[#This Row],[Selling_Price_per_Unit]]-Table1[[#This Row],[Manufacturing_Cost_per_Unit]]))-Table1[[#This Row],[Marketing_Spend]])/Table1[[#This Row],[Marketing_Spend]]</f>
        <v>-135.15479445846111</v>
      </c>
    </row>
    <row r="614" spans="1:24" hidden="1" x14ac:dyDescent="0.3">
      <c r="A614" s="1" t="s">
        <v>631</v>
      </c>
      <c r="B614" s="1" t="s">
        <v>1025</v>
      </c>
      <c r="C614" s="1" t="s">
        <v>1634</v>
      </c>
      <c r="D614" s="1" t="s">
        <v>1635</v>
      </c>
      <c r="E614" s="1">
        <v>2024</v>
      </c>
      <c r="F614" s="1" t="s">
        <v>1642</v>
      </c>
      <c r="G614" s="1">
        <v>847</v>
      </c>
      <c r="H614" s="1">
        <v>18153</v>
      </c>
      <c r="I614" s="1">
        <v>6346</v>
      </c>
      <c r="J614" s="1">
        <v>107505</v>
      </c>
      <c r="K614" s="1">
        <v>14.96</v>
      </c>
      <c r="L614" s="1">
        <v>15</v>
      </c>
      <c r="M614" s="1">
        <v>9.4499999999999993</v>
      </c>
      <c r="N614" s="1">
        <v>12.1</v>
      </c>
      <c r="O614" s="1">
        <v>71.66</v>
      </c>
      <c r="P614" s="1">
        <v>3.6</v>
      </c>
      <c r="Q614" s="1">
        <v>20421</v>
      </c>
      <c r="R614" s="1">
        <v>2115</v>
      </c>
      <c r="S614" s="1">
        <v>2</v>
      </c>
      <c r="T614" s="1">
        <f>(Table1[[#This Row],[Selling_Price_per_Unit]]-Table1[[#This Row],[Manufacturing_Cost_per_Unit]])*Table1[[#This Row],[Units_Sold]]-Table1[[#This Row],[Marketing_Spend]]-Table1[[#This Row],[Discount_%]]</f>
        <v>9893011.9000000004</v>
      </c>
      <c r="U614" s="3">
        <f>Table1[[#This Row],[profit]]/(Table1[[#This Row],[Units_Sold]]*Table1[[#This Row],[Selling_Price_per_Unit]])*100</f>
        <v>64.34231958953643</v>
      </c>
      <c r="V614" s="6">
        <f>Table1[[#This Row],[Units_Sold]]*Table1[[#This Row],[Selling_Price_per_Unit]]</f>
        <v>15375591</v>
      </c>
      <c r="W614" s="7">
        <f>(Table1[[#This Row],[Units_Sold]]/$Z$1)</f>
        <v>0.16957133487675946</v>
      </c>
      <c r="X614" s="8">
        <f>((Table1[[#This Row],[Units_Sold]]*(Table1[[#This Row],[Selling_Price_per_Unit]]-Table1[[#This Row],[Manufacturing_Cost_per_Unit]]))-Table1[[#This Row],[Marketing_Spend]])/Table1[[#This Row],[Marketing_Spend]]</f>
        <v>92.023850053485887</v>
      </c>
    </row>
    <row r="615" spans="1:24" hidden="1" x14ac:dyDescent="0.3">
      <c r="A615" s="1" t="s">
        <v>632</v>
      </c>
      <c r="B615" s="1" t="s">
        <v>1286</v>
      </c>
      <c r="C615" s="1" t="s">
        <v>1633</v>
      </c>
      <c r="D615" s="1" t="s">
        <v>1635</v>
      </c>
      <c r="E615" s="1">
        <v>2023</v>
      </c>
      <c r="F615" s="1" t="s">
        <v>1642</v>
      </c>
      <c r="G615" s="1">
        <v>1065</v>
      </c>
      <c r="H615" s="1">
        <v>12331</v>
      </c>
      <c r="I615" s="1">
        <v>7652</v>
      </c>
      <c r="J615" s="1">
        <v>398040</v>
      </c>
      <c r="K615" s="1">
        <v>0.45</v>
      </c>
      <c r="L615" s="1">
        <v>8</v>
      </c>
      <c r="M615" s="1">
        <v>0.56999999999999995</v>
      </c>
      <c r="N615" s="1">
        <v>18.21</v>
      </c>
      <c r="O615" s="1">
        <v>31.12</v>
      </c>
      <c r="P615" s="1">
        <v>4.4000000000000004</v>
      </c>
      <c r="Q615" s="1">
        <v>16190</v>
      </c>
      <c r="R615" s="1">
        <v>2900</v>
      </c>
      <c r="S615" s="1">
        <v>5</v>
      </c>
      <c r="T615" s="1">
        <f>(Table1[[#This Row],[Selling_Price_per_Unit]]-Table1[[#This Row],[Manufacturing_Cost_per_Unit]])*Table1[[#This Row],[Units_Sold]]-Table1[[#This Row],[Marketing_Spend]]-Table1[[#This Row],[Discount_%]]</f>
        <v>4585076.79</v>
      </c>
      <c r="U615" s="3">
        <f>Table1[[#This Row],[profit]]/(Table1[[#This Row],[Units_Sold]]*Table1[[#This Row],[Selling_Price_per_Unit]])*100</f>
        <v>34.913927682549762</v>
      </c>
      <c r="V615" s="6">
        <f>Table1[[#This Row],[Units_Sold]]*Table1[[#This Row],[Selling_Price_per_Unit]]</f>
        <v>13132515</v>
      </c>
      <c r="W615" s="7">
        <f>(Table1[[#This Row],[Units_Sold]]/$Z$1)</f>
        <v>0.21321543287337524</v>
      </c>
      <c r="X615" s="8">
        <f>((Table1[[#This Row],[Units_Sold]]*(Table1[[#This Row],[Selling_Price_per_Unit]]-Table1[[#This Row],[Manufacturing_Cost_per_Unit]]))-Table1[[#This Row],[Marketing_Spend]])/Table1[[#This Row],[Marketing_Spend]]</f>
        <v>11.519181489297559</v>
      </c>
    </row>
    <row r="616" spans="1:24" hidden="1" x14ac:dyDescent="0.3">
      <c r="A616" s="1" t="s">
        <v>633</v>
      </c>
      <c r="B616" s="1" t="s">
        <v>1460</v>
      </c>
      <c r="C616" s="1" t="s">
        <v>1634</v>
      </c>
      <c r="D616" s="1" t="s">
        <v>1635</v>
      </c>
      <c r="E616" s="1">
        <v>2023</v>
      </c>
      <c r="F616" s="1" t="s">
        <v>1641</v>
      </c>
      <c r="G616" s="1">
        <v>1874</v>
      </c>
      <c r="H616" s="1">
        <v>7224</v>
      </c>
      <c r="I616" s="1">
        <v>13394</v>
      </c>
      <c r="J616" s="1">
        <v>68135</v>
      </c>
      <c r="K616" s="1">
        <v>13.46</v>
      </c>
      <c r="L616" s="1">
        <v>13</v>
      </c>
      <c r="M616" s="1">
        <v>9.31</v>
      </c>
      <c r="N616" s="1">
        <v>7.91</v>
      </c>
      <c r="O616" s="1">
        <v>10.43</v>
      </c>
      <c r="P616" s="1">
        <v>4.8</v>
      </c>
      <c r="Q616" s="1">
        <v>7839</v>
      </c>
      <c r="R616" s="1">
        <v>9123</v>
      </c>
      <c r="S616" s="1">
        <v>8</v>
      </c>
      <c r="T616" s="1">
        <f>(Table1[[#This Row],[Selling_Price_per_Unit]]-Table1[[#This Row],[Manufacturing_Cost_per_Unit]])*Table1[[#This Row],[Units_Sold]]-Table1[[#This Row],[Marketing_Spend]]-Table1[[#This Row],[Discount_%]]</f>
        <v>-11630722.91</v>
      </c>
      <c r="U616" s="3">
        <f>Table1[[#This Row],[profit]]/(Table1[[#This Row],[Units_Sold]]*Table1[[#This Row],[Selling_Price_per_Unit]])*100</f>
        <v>-85.913099093972306</v>
      </c>
      <c r="V616" s="6">
        <f>Table1[[#This Row],[Units_Sold]]*Table1[[#This Row],[Selling_Price_per_Unit]]</f>
        <v>13537776</v>
      </c>
      <c r="W616" s="7">
        <f>(Table1[[#This Row],[Units_Sold]]/$Z$1)</f>
        <v>0.37517908094338515</v>
      </c>
      <c r="X616" s="8">
        <f>((Table1[[#This Row],[Units_Sold]]*(Table1[[#This Row],[Selling_Price_per_Unit]]-Table1[[#This Row],[Manufacturing_Cost_per_Unit]]))-Table1[[#This Row],[Marketing_Spend]])/Table1[[#This Row],[Marketing_Spend]]</f>
        <v>-170.7010347105012</v>
      </c>
    </row>
    <row r="617" spans="1:24" x14ac:dyDescent="0.3">
      <c r="A617" s="1" t="s">
        <v>634</v>
      </c>
      <c r="B617" s="1" t="s">
        <v>1402</v>
      </c>
      <c r="C617" s="1" t="s">
        <v>1633</v>
      </c>
      <c r="D617" s="1" t="s">
        <v>1637</v>
      </c>
      <c r="E617" s="1">
        <v>2024</v>
      </c>
      <c r="F617" s="1" t="s">
        <v>1640</v>
      </c>
      <c r="G617" s="1">
        <v>4519</v>
      </c>
      <c r="H617" s="1">
        <v>12583</v>
      </c>
      <c r="I617" s="1">
        <v>13866</v>
      </c>
      <c r="J617" s="1">
        <v>140887</v>
      </c>
      <c r="K617" s="1">
        <v>9.34</v>
      </c>
      <c r="L617" s="1">
        <v>12</v>
      </c>
      <c r="M617" s="1">
        <v>0.51</v>
      </c>
      <c r="N617" s="1">
        <v>8.5500000000000007</v>
      </c>
      <c r="O617" s="1">
        <v>63.48</v>
      </c>
      <c r="P617" s="1">
        <v>4.7</v>
      </c>
      <c r="Q617" s="1">
        <v>12456</v>
      </c>
      <c r="R617" s="1">
        <v>8872</v>
      </c>
      <c r="S617" s="1">
        <v>10</v>
      </c>
      <c r="T617" s="1">
        <f>(Table1[[#This Row],[Selling_Price_per_Unit]]-Table1[[#This Row],[Manufacturing_Cost_per_Unit]])*Table1[[#This Row],[Units_Sold]]-Table1[[#This Row],[Marketing_Spend]]-Table1[[#This Row],[Discount_%]]</f>
        <v>-5938772.5499999998</v>
      </c>
      <c r="U617" s="3">
        <f>Table1[[#This Row],[profit]]/(Table1[[#This Row],[Units_Sold]]*Table1[[#This Row],[Selling_Price_per_Unit]])*100</f>
        <v>-10.444079152445026</v>
      </c>
      <c r="V617" s="6">
        <f>Table1[[#This Row],[Units_Sold]]*Table1[[#This Row],[Selling_Price_per_Unit]]</f>
        <v>56862577</v>
      </c>
      <c r="W617" s="7">
        <f>(Table1[[#This Row],[Units_Sold]]/$Z$1)</f>
        <v>0.90471412315003075</v>
      </c>
      <c r="X617" s="8">
        <f>((Table1[[#This Row],[Units_Sold]]*(Table1[[#This Row],[Selling_Price_per_Unit]]-Table1[[#This Row],[Manufacturing_Cost_per_Unit]]))-Table1[[#This Row],[Marketing_Spend]])/Table1[[#This Row],[Marketing_Spend]]</f>
        <v>-42.152675548489213</v>
      </c>
    </row>
    <row r="618" spans="1:24" hidden="1" x14ac:dyDescent="0.3">
      <c r="A618" s="1" t="s">
        <v>815</v>
      </c>
      <c r="B618" s="1" t="s">
        <v>1551</v>
      </c>
      <c r="C618" s="1" t="s">
        <v>1634</v>
      </c>
      <c r="D618" s="1" t="s">
        <v>1637</v>
      </c>
      <c r="E618" s="1">
        <v>2023</v>
      </c>
      <c r="F618" s="1" t="s">
        <v>1639</v>
      </c>
      <c r="G618" s="1">
        <v>2447</v>
      </c>
      <c r="H618" s="1">
        <v>13649</v>
      </c>
      <c r="I618" s="1">
        <v>3254</v>
      </c>
      <c r="J618" s="1">
        <v>351265</v>
      </c>
      <c r="K618" s="1">
        <v>13.94</v>
      </c>
      <c r="L618" s="1">
        <v>17</v>
      </c>
      <c r="M618" s="1">
        <v>5.18</v>
      </c>
      <c r="N618" s="1">
        <v>22.28</v>
      </c>
      <c r="O618" s="1">
        <v>58.29</v>
      </c>
      <c r="P618" s="1">
        <v>2.2999999999999998</v>
      </c>
      <c r="Q618" s="1">
        <v>9575</v>
      </c>
      <c r="R618" s="1">
        <v>6701</v>
      </c>
      <c r="S618" s="1">
        <v>7</v>
      </c>
      <c r="T618" s="1">
        <f>(Table1[[#This Row],[Selling_Price_per_Unit]]-Table1[[#This Row],[Manufacturing_Cost_per_Unit]])*Table1[[#This Row],[Units_Sold]]-Table1[[#This Row],[Marketing_Spend]]-Table1[[#This Row],[Discount_%]]</f>
        <v>25085277.719999999</v>
      </c>
      <c r="U618" s="3">
        <f>Table1[[#This Row],[profit]]/(Table1[[#This Row],[Units_Sold]]*Table1[[#This Row],[Selling_Price_per_Unit]])*100</f>
        <v>75.107639028509226</v>
      </c>
      <c r="V618" s="6">
        <f>Table1[[#This Row],[Units_Sold]]*Table1[[#This Row],[Selling_Price_per_Unit]]</f>
        <v>33399103</v>
      </c>
      <c r="W618" s="7">
        <f>(Table1[[#This Row],[Units_Sold]]/$Z$1)</f>
        <v>0.48989498989779268</v>
      </c>
      <c r="X618" s="8">
        <f>((Table1[[#This Row],[Units_Sold]]*(Table1[[#This Row],[Selling_Price_per_Unit]]-Table1[[#This Row],[Manufacturing_Cost_per_Unit]]))-Table1[[#This Row],[Marketing_Spend]])/Table1[[#This Row],[Marketing_Spend]]</f>
        <v>71.414174483651948</v>
      </c>
    </row>
    <row r="619" spans="1:24" hidden="1" x14ac:dyDescent="0.3">
      <c r="A619" s="1" t="s">
        <v>636</v>
      </c>
      <c r="B619" s="1" t="s">
        <v>1455</v>
      </c>
      <c r="C619" s="1" t="s">
        <v>1634</v>
      </c>
      <c r="D619" s="1" t="s">
        <v>1635</v>
      </c>
      <c r="E619" s="1">
        <v>2024</v>
      </c>
      <c r="F619" s="1" t="s">
        <v>1642</v>
      </c>
      <c r="G619" s="1">
        <v>2243</v>
      </c>
      <c r="H619" s="1">
        <v>10972</v>
      </c>
      <c r="I619" s="1">
        <v>7211</v>
      </c>
      <c r="J619" s="1">
        <v>359521</v>
      </c>
      <c r="K619" s="1">
        <v>6.98</v>
      </c>
      <c r="L619" s="1">
        <v>14</v>
      </c>
      <c r="M619" s="1">
        <v>8.9</v>
      </c>
      <c r="N619" s="1">
        <v>14.05</v>
      </c>
      <c r="O619" s="1">
        <v>58.55</v>
      </c>
      <c r="P619" s="1">
        <v>1.3</v>
      </c>
      <c r="Q619" s="1">
        <v>4327</v>
      </c>
      <c r="R619" s="1">
        <v>7553</v>
      </c>
      <c r="S619" s="1">
        <v>3</v>
      </c>
      <c r="T619" s="1">
        <f>(Table1[[#This Row],[Selling_Price_per_Unit]]-Table1[[#This Row],[Manufacturing_Cost_per_Unit]])*Table1[[#This Row],[Units_Sold]]-Table1[[#This Row],[Marketing_Spend]]-Table1[[#This Row],[Discount_%]]</f>
        <v>8076387.9500000002</v>
      </c>
      <c r="U619" s="3">
        <f>Table1[[#This Row],[profit]]/(Table1[[#This Row],[Units_Sold]]*Table1[[#This Row],[Selling_Price_per_Unit]])*100</f>
        <v>32.817243511591698</v>
      </c>
      <c r="V619" s="6">
        <f>Table1[[#This Row],[Units_Sold]]*Table1[[#This Row],[Selling_Price_per_Unit]]</f>
        <v>24610196</v>
      </c>
      <c r="W619" s="7">
        <f>(Table1[[#This Row],[Units_Sold]]/$Z$1)</f>
        <v>0.44905372388261094</v>
      </c>
      <c r="X619" s="8">
        <f>((Table1[[#This Row],[Units_Sold]]*(Table1[[#This Row],[Selling_Price_per_Unit]]-Table1[[#This Row],[Manufacturing_Cost_per_Unit]]))-Table1[[#This Row],[Marketing_Spend]])/Table1[[#This Row],[Marketing_Spend]]</f>
        <v>22.464340052458688</v>
      </c>
    </row>
    <row r="620" spans="1:24" hidden="1" x14ac:dyDescent="0.3">
      <c r="A620" s="1" t="s">
        <v>637</v>
      </c>
      <c r="B620" s="1" t="s">
        <v>1461</v>
      </c>
      <c r="C620" s="1" t="s">
        <v>1634</v>
      </c>
      <c r="D620" s="1" t="s">
        <v>1637</v>
      </c>
      <c r="E620" s="1">
        <v>2024</v>
      </c>
      <c r="F620" s="1" t="s">
        <v>1641</v>
      </c>
      <c r="G620" s="1">
        <v>273</v>
      </c>
      <c r="H620" s="1">
        <v>7776</v>
      </c>
      <c r="I620" s="1">
        <v>12649</v>
      </c>
      <c r="J620" s="1">
        <v>204626</v>
      </c>
      <c r="K620" s="1">
        <v>12.71</v>
      </c>
      <c r="L620" s="1">
        <v>6</v>
      </c>
      <c r="M620" s="1">
        <v>2.63</v>
      </c>
      <c r="N620" s="1">
        <v>7.86</v>
      </c>
      <c r="O620" s="1">
        <v>19.59</v>
      </c>
      <c r="P620" s="1">
        <v>1.7</v>
      </c>
      <c r="Q620" s="1">
        <v>3558</v>
      </c>
      <c r="R620" s="1">
        <v>2953</v>
      </c>
      <c r="S620" s="1">
        <v>13</v>
      </c>
      <c r="T620" s="1">
        <f>(Table1[[#This Row],[Selling_Price_per_Unit]]-Table1[[#This Row],[Manufacturing_Cost_per_Unit]])*Table1[[#This Row],[Units_Sold]]-Table1[[#This Row],[Marketing_Spend]]-Table1[[#This Row],[Discount_%]]</f>
        <v>-1534962.86</v>
      </c>
      <c r="U620" s="3">
        <f>Table1[[#This Row],[profit]]/(Table1[[#This Row],[Units_Sold]]*Table1[[#This Row],[Selling_Price_per_Unit]])*100</f>
        <v>-72.306771846123709</v>
      </c>
      <c r="V620" s="6">
        <f>Table1[[#This Row],[Units_Sold]]*Table1[[#This Row],[Selling_Price_per_Unit]]</f>
        <v>2122848</v>
      </c>
      <c r="W620" s="7">
        <f>(Table1[[#This Row],[Units_Sold]]/$Z$1)</f>
        <v>5.4655223637963796E-2</v>
      </c>
      <c r="X620" s="8">
        <f>((Table1[[#This Row],[Units_Sold]]*(Table1[[#This Row],[Selling_Price_per_Unit]]-Table1[[#This Row],[Manufacturing_Cost_per_Unit]]))-Table1[[#This Row],[Marketing_Spend]])/Table1[[#This Row],[Marketing_Spend]]</f>
        <v>-7.5012706107728242</v>
      </c>
    </row>
    <row r="621" spans="1:24" hidden="1" x14ac:dyDescent="0.3">
      <c r="A621" s="1" t="s">
        <v>553</v>
      </c>
      <c r="B621" s="1" t="s">
        <v>1420</v>
      </c>
      <c r="C621" s="1" t="s">
        <v>1632</v>
      </c>
      <c r="D621" s="1" t="s">
        <v>1638</v>
      </c>
      <c r="E621" s="1">
        <v>2024</v>
      </c>
      <c r="F621" s="1" t="s">
        <v>1642</v>
      </c>
      <c r="G621" s="1">
        <v>2973</v>
      </c>
      <c r="H621" s="1">
        <v>19150</v>
      </c>
      <c r="I621" s="1">
        <v>10679</v>
      </c>
      <c r="J621" s="1">
        <v>234456</v>
      </c>
      <c r="K621" s="1">
        <v>12.56</v>
      </c>
      <c r="L621" s="1">
        <v>18</v>
      </c>
      <c r="M621" s="1">
        <v>5.85</v>
      </c>
      <c r="N621" s="1">
        <v>9.59</v>
      </c>
      <c r="O621" s="1">
        <v>81.010000000000005</v>
      </c>
      <c r="P621" s="1">
        <v>1.4</v>
      </c>
      <c r="Q621" s="1">
        <v>9667</v>
      </c>
      <c r="R621" s="1">
        <v>7166</v>
      </c>
      <c r="S621" s="1">
        <v>8</v>
      </c>
      <c r="T621" s="1">
        <f>(Table1[[#This Row],[Selling_Price_per_Unit]]-Table1[[#This Row],[Manufacturing_Cost_per_Unit]])*Table1[[#This Row],[Units_Sold]]-Table1[[#This Row],[Marketing_Spend]]-Table1[[#This Row],[Discount_%]]</f>
        <v>24949817.41</v>
      </c>
      <c r="U621" s="3">
        <f>Table1[[#This Row],[profit]]/(Table1[[#This Row],[Units_Sold]]*Table1[[#This Row],[Selling_Price_per_Unit]])*100</f>
        <v>43.823159365534373</v>
      </c>
      <c r="V621" s="6">
        <f>Table1[[#This Row],[Units_Sold]]*Table1[[#This Row],[Selling_Price_per_Unit]]</f>
        <v>56932950</v>
      </c>
      <c r="W621" s="7">
        <f>(Table1[[#This Row],[Units_Sold]]/$Z$1)</f>
        <v>0.59520139148595741</v>
      </c>
      <c r="X621" s="8">
        <f>((Table1[[#This Row],[Units_Sold]]*(Table1[[#This Row],[Selling_Price_per_Unit]]-Table1[[#This Row],[Manufacturing_Cost_per_Unit]]))-Table1[[#This Row],[Marketing_Spend]])/Table1[[#This Row],[Marketing_Spend]]</f>
        <v>106.41581789333607</v>
      </c>
    </row>
    <row r="622" spans="1:24" x14ac:dyDescent="0.3">
      <c r="A622" s="1" t="s">
        <v>639</v>
      </c>
      <c r="B622" s="1" t="s">
        <v>1463</v>
      </c>
      <c r="C622" s="1" t="s">
        <v>1632</v>
      </c>
      <c r="D622" s="1" t="s">
        <v>1638</v>
      </c>
      <c r="E622" s="1">
        <v>2023</v>
      </c>
      <c r="F622" s="1" t="s">
        <v>1642</v>
      </c>
      <c r="G622" s="1">
        <v>4208</v>
      </c>
      <c r="H622" s="1">
        <v>7395</v>
      </c>
      <c r="I622" s="1">
        <v>8887</v>
      </c>
      <c r="J622" s="1">
        <v>498837</v>
      </c>
      <c r="K622" s="1">
        <v>5.03</v>
      </c>
      <c r="L622" s="1">
        <v>1</v>
      </c>
      <c r="M622" s="1">
        <v>3.24</v>
      </c>
      <c r="N622" s="1">
        <v>17.13</v>
      </c>
      <c r="O622" s="1">
        <v>79.41</v>
      </c>
      <c r="P622" s="1">
        <v>1.4</v>
      </c>
      <c r="Q622" s="1">
        <v>2230</v>
      </c>
      <c r="R622" s="1">
        <v>4276</v>
      </c>
      <c r="S622" s="1">
        <v>12</v>
      </c>
      <c r="T622" s="1">
        <f>(Table1[[#This Row],[Selling_Price_per_Unit]]-Table1[[#This Row],[Manufacturing_Cost_per_Unit]])*Table1[[#This Row],[Units_Sold]]-Table1[[#This Row],[Marketing_Spend]]-Table1[[#This Row],[Discount_%]]</f>
        <v>-6777190.1299999999</v>
      </c>
      <c r="U622" s="3">
        <f>Table1[[#This Row],[profit]]/(Table1[[#This Row],[Units_Sold]]*Table1[[#This Row],[Selling_Price_per_Unit]])*100</f>
        <v>-21.778890943423391</v>
      </c>
      <c r="V622" s="6">
        <f>Table1[[#This Row],[Units_Sold]]*Table1[[#This Row],[Selling_Price_per_Unit]]</f>
        <v>31118160</v>
      </c>
      <c r="W622" s="7">
        <f>(Table1[[#This Row],[Units_Sold]]/$Z$1)</f>
        <v>0.84245121270531742</v>
      </c>
      <c r="X622" s="8">
        <f>((Table1[[#This Row],[Units_Sold]]*(Table1[[#This Row],[Selling_Price_per_Unit]]-Table1[[#This Row],[Manufacturing_Cost_per_Unit]]))-Table1[[#This Row],[Marketing_Spend]])/Table1[[#This Row],[Marketing_Spend]]</f>
        <v>-13.585946912518517</v>
      </c>
    </row>
    <row r="623" spans="1:24" x14ac:dyDescent="0.3">
      <c r="A623" s="1" t="s">
        <v>326</v>
      </c>
      <c r="B623" s="1" t="s">
        <v>1285</v>
      </c>
      <c r="C623" s="1" t="s">
        <v>1632</v>
      </c>
      <c r="D623" s="1" t="s">
        <v>1638</v>
      </c>
      <c r="E623" s="1">
        <v>2023</v>
      </c>
      <c r="F623" s="1" t="s">
        <v>1642</v>
      </c>
      <c r="G623" s="1">
        <v>3913</v>
      </c>
      <c r="H623" s="1">
        <v>12374</v>
      </c>
      <c r="I623" s="1">
        <v>5910</v>
      </c>
      <c r="J623" s="1">
        <v>499331</v>
      </c>
      <c r="K623" s="1">
        <v>13.14</v>
      </c>
      <c r="L623" s="1">
        <v>5</v>
      </c>
      <c r="M623" s="1">
        <v>3.56</v>
      </c>
      <c r="N623" s="1">
        <v>19.059999999999999</v>
      </c>
      <c r="O623" s="1">
        <v>76.87</v>
      </c>
      <c r="P623" s="1">
        <v>4.3</v>
      </c>
      <c r="Q623" s="1">
        <v>4413</v>
      </c>
      <c r="R623" s="1">
        <v>925</v>
      </c>
      <c r="S623" s="1">
        <v>10</v>
      </c>
      <c r="T623" s="1">
        <f>(Table1[[#This Row],[Selling_Price_per_Unit]]-Table1[[#This Row],[Manufacturing_Cost_per_Unit]])*Table1[[#This Row],[Units_Sold]]-Table1[[#This Row],[Marketing_Spend]]-Table1[[#This Row],[Discount_%]]</f>
        <v>24794281.940000001</v>
      </c>
      <c r="U623" s="3">
        <f>Table1[[#This Row],[profit]]/(Table1[[#This Row],[Units_Sold]]*Table1[[#This Row],[Selling_Price_per_Unit]])*100</f>
        <v>51.207264426027699</v>
      </c>
      <c r="V623" s="6">
        <f>Table1[[#This Row],[Units_Sold]]*Table1[[#This Row],[Selling_Price_per_Unit]]</f>
        <v>48419462</v>
      </c>
      <c r="W623" s="7">
        <f>(Table1[[#This Row],[Units_Sold]]/$Z$1)</f>
        <v>0.78339153881081436</v>
      </c>
      <c r="X623" s="8">
        <f>((Table1[[#This Row],[Units_Sold]]*(Table1[[#This Row],[Selling_Price_per_Unit]]-Table1[[#This Row],[Manufacturing_Cost_per_Unit]]))-Table1[[#This Row],[Marketing_Spend]])/Table1[[#This Row],[Marketing_Spend]]</f>
        <v>49.655040444114228</v>
      </c>
    </row>
    <row r="624" spans="1:24" hidden="1" x14ac:dyDescent="0.3">
      <c r="A624" s="1" t="s">
        <v>954</v>
      </c>
      <c r="B624" s="1" t="s">
        <v>1271</v>
      </c>
      <c r="C624" s="1" t="s">
        <v>1632</v>
      </c>
      <c r="D624" s="1" t="s">
        <v>1638</v>
      </c>
      <c r="E624" s="1">
        <v>2024</v>
      </c>
      <c r="F624" s="1" t="s">
        <v>1640</v>
      </c>
      <c r="G624" s="1">
        <v>2005</v>
      </c>
      <c r="H624" s="1">
        <v>15216</v>
      </c>
      <c r="I624" s="1">
        <v>2807</v>
      </c>
      <c r="J624" s="1">
        <v>205801</v>
      </c>
      <c r="K624" s="1">
        <v>1.27</v>
      </c>
      <c r="L624" s="1">
        <v>3</v>
      </c>
      <c r="M624" s="1">
        <v>4.01</v>
      </c>
      <c r="N624" s="1">
        <v>1.73</v>
      </c>
      <c r="O624" s="1">
        <v>80.62</v>
      </c>
      <c r="P624" s="1">
        <v>4.2</v>
      </c>
      <c r="Q624" s="1">
        <v>15106</v>
      </c>
      <c r="R624" s="1">
        <v>9929</v>
      </c>
      <c r="S624" s="1">
        <v>5</v>
      </c>
      <c r="T624" s="1">
        <f>(Table1[[#This Row],[Selling_Price_per_Unit]]-Table1[[#This Row],[Manufacturing_Cost_per_Unit]])*Table1[[#This Row],[Units_Sold]]-Table1[[#This Row],[Marketing_Spend]]-Table1[[#This Row],[Discount_%]]</f>
        <v>24674242.27</v>
      </c>
      <c r="U624" s="3">
        <f>Table1[[#This Row],[profit]]/(Table1[[#This Row],[Units_Sold]]*Table1[[#This Row],[Selling_Price_per_Unit]])*100</f>
        <v>80.8777290147397</v>
      </c>
      <c r="V624" s="6">
        <f>Table1[[#This Row],[Units_Sold]]*Table1[[#This Row],[Selling_Price_per_Unit]]</f>
        <v>30508080</v>
      </c>
      <c r="W624" s="7">
        <f>(Table1[[#This Row],[Units_Sold]]/$Z$1)</f>
        <v>0.40140558019823225</v>
      </c>
      <c r="X624" s="8">
        <f>((Table1[[#This Row],[Units_Sold]]*(Table1[[#This Row],[Selling_Price_per_Unit]]-Table1[[#This Row],[Manufacturing_Cost_per_Unit]]))-Table1[[#This Row],[Marketing_Spend]])/Table1[[#This Row],[Marketing_Spend]]</f>
        <v>119.89370314041234</v>
      </c>
    </row>
    <row r="625" spans="1:24" hidden="1" x14ac:dyDescent="0.3">
      <c r="A625" s="1" t="s">
        <v>989</v>
      </c>
      <c r="B625" s="1" t="s">
        <v>1598</v>
      </c>
      <c r="C625" s="1" t="s">
        <v>1632</v>
      </c>
      <c r="D625" s="1" t="s">
        <v>1635</v>
      </c>
      <c r="E625" s="1">
        <v>2024</v>
      </c>
      <c r="F625" s="1" t="s">
        <v>1640</v>
      </c>
      <c r="G625" s="1">
        <v>3418</v>
      </c>
      <c r="H625" s="1">
        <v>13830</v>
      </c>
      <c r="I625" s="1">
        <v>6608</v>
      </c>
      <c r="J625" s="1">
        <v>111844</v>
      </c>
      <c r="K625" s="1">
        <v>12.22</v>
      </c>
      <c r="L625" s="1">
        <v>13</v>
      </c>
      <c r="M625" s="1">
        <v>4.97</v>
      </c>
      <c r="N625" s="1">
        <v>6.98</v>
      </c>
      <c r="O625" s="1">
        <v>71.19</v>
      </c>
      <c r="P625" s="1">
        <v>1.3</v>
      </c>
      <c r="Q625" s="1">
        <v>4775</v>
      </c>
      <c r="R625" s="1">
        <v>3634</v>
      </c>
      <c r="S625" s="1">
        <v>5</v>
      </c>
      <c r="T625" s="1">
        <f>(Table1[[#This Row],[Selling_Price_per_Unit]]-Table1[[#This Row],[Manufacturing_Cost_per_Unit]])*Table1[[#This Row],[Units_Sold]]-Table1[[#This Row],[Marketing_Spend]]-Table1[[#This Row],[Discount_%]]</f>
        <v>24572945.02</v>
      </c>
      <c r="U625" s="3">
        <f>Table1[[#This Row],[profit]]/(Table1[[#This Row],[Units_Sold]]*Table1[[#This Row],[Selling_Price_per_Unit]])*100</f>
        <v>51.983195214649847</v>
      </c>
      <c r="V625" s="6">
        <f>Table1[[#This Row],[Units_Sold]]*Table1[[#This Row],[Selling_Price_per_Unit]]</f>
        <v>47270940</v>
      </c>
      <c r="W625" s="7">
        <f>(Table1[[#This Row],[Units_Sold]]/$Z$1)</f>
        <v>0.68429140803868227</v>
      </c>
      <c r="X625" s="8">
        <f>((Table1[[#This Row],[Units_Sold]]*(Table1[[#This Row],[Selling_Price_per_Unit]]-Table1[[#This Row],[Manufacturing_Cost_per_Unit]]))-Table1[[#This Row],[Marketing_Spend]])/Table1[[#This Row],[Marketing_Spend]]</f>
        <v>219.70737813382925</v>
      </c>
    </row>
    <row r="626" spans="1:24" hidden="1" x14ac:dyDescent="0.3">
      <c r="A626" s="1" t="s">
        <v>643</v>
      </c>
      <c r="B626" s="1" t="s">
        <v>1348</v>
      </c>
      <c r="C626" s="1" t="s">
        <v>1634</v>
      </c>
      <c r="D626" s="1" t="s">
        <v>1638</v>
      </c>
      <c r="E626" s="1">
        <v>2024</v>
      </c>
      <c r="F626" s="1" t="s">
        <v>1640</v>
      </c>
      <c r="G626" s="1">
        <v>1683</v>
      </c>
      <c r="H626" s="1">
        <v>7599</v>
      </c>
      <c r="I626" s="1">
        <v>11203</v>
      </c>
      <c r="J626" s="1">
        <v>359735</v>
      </c>
      <c r="K626" s="1">
        <v>12.79</v>
      </c>
      <c r="L626" s="1">
        <v>11</v>
      </c>
      <c r="M626" s="1">
        <v>5.88</v>
      </c>
      <c r="N626" s="1">
        <v>10.66</v>
      </c>
      <c r="O626" s="1">
        <v>26.63</v>
      </c>
      <c r="P626" s="1">
        <v>3.8</v>
      </c>
      <c r="Q626" s="1">
        <v>8670</v>
      </c>
      <c r="R626" s="1">
        <v>6929</v>
      </c>
      <c r="S626" s="1">
        <v>4</v>
      </c>
      <c r="T626" s="1">
        <f>(Table1[[#This Row],[Selling_Price_per_Unit]]-Table1[[#This Row],[Manufacturing_Cost_per_Unit]])*Table1[[#This Row],[Units_Sold]]-Table1[[#This Row],[Marketing_Spend]]-Table1[[#This Row],[Discount_%]]</f>
        <v>-6425277.6600000001</v>
      </c>
      <c r="U626" s="3">
        <f>Table1[[#This Row],[profit]]/(Table1[[#This Row],[Units_Sold]]*Table1[[#This Row],[Selling_Price_per_Unit]])*100</f>
        <v>-50.240197661808864</v>
      </c>
      <c r="V626" s="6">
        <f>Table1[[#This Row],[Units_Sold]]*Table1[[#This Row],[Selling_Price_per_Unit]]</f>
        <v>12789117</v>
      </c>
      <c r="W626" s="7">
        <f>(Table1[[#This Row],[Units_Sold]]/$Z$1)</f>
        <v>0.33694044462524936</v>
      </c>
      <c r="X626" s="8">
        <f>((Table1[[#This Row],[Units_Sold]]*(Table1[[#This Row],[Selling_Price_per_Unit]]-Table1[[#This Row],[Manufacturing_Cost_per_Unit]]))-Table1[[#This Row],[Marketing_Spend]])/Table1[[#This Row],[Marketing_Spend]]</f>
        <v>-17.861111651632452</v>
      </c>
    </row>
    <row r="627" spans="1:24" hidden="1" x14ac:dyDescent="0.3">
      <c r="A627" s="1" t="s">
        <v>644</v>
      </c>
      <c r="B627" s="1" t="s">
        <v>1465</v>
      </c>
      <c r="C627" s="1" t="s">
        <v>1633</v>
      </c>
      <c r="D627" s="1" t="s">
        <v>1636</v>
      </c>
      <c r="E627" s="1">
        <v>2023</v>
      </c>
      <c r="F627" s="1" t="s">
        <v>1640</v>
      </c>
      <c r="G627" s="1">
        <v>2202</v>
      </c>
      <c r="H627" s="1">
        <v>10999</v>
      </c>
      <c r="I627" s="1">
        <v>9476</v>
      </c>
      <c r="J627" s="1">
        <v>112261</v>
      </c>
      <c r="K627" s="1">
        <v>14.07</v>
      </c>
      <c r="L627" s="1">
        <v>0</v>
      </c>
      <c r="M627" s="1">
        <v>8.2100000000000009</v>
      </c>
      <c r="N627" s="1">
        <v>11.06</v>
      </c>
      <c r="O627" s="1">
        <v>75.069999999999993</v>
      </c>
      <c r="P627" s="1">
        <v>1.8</v>
      </c>
      <c r="Q627" s="1">
        <v>5679</v>
      </c>
      <c r="R627" s="1">
        <v>8637</v>
      </c>
      <c r="S627" s="1">
        <v>14</v>
      </c>
      <c r="T627" s="1">
        <f>(Table1[[#This Row],[Selling_Price_per_Unit]]-Table1[[#This Row],[Manufacturing_Cost_per_Unit]])*Table1[[#This Row],[Units_Sold]]-Table1[[#This Row],[Marketing_Spend]]-Table1[[#This Row],[Discount_%]]</f>
        <v>3241373.94</v>
      </c>
      <c r="U627" s="3">
        <f>Table1[[#This Row],[profit]]/(Table1[[#This Row],[Units_Sold]]*Table1[[#This Row],[Selling_Price_per_Unit]])*100</f>
        <v>13.383158439223978</v>
      </c>
      <c r="V627" s="6">
        <f>Table1[[#This Row],[Units_Sold]]*Table1[[#This Row],[Selling_Price_per_Unit]]</f>
        <v>24219798</v>
      </c>
      <c r="W627" s="7">
        <f>(Table1[[#This Row],[Units_Sold]]/$Z$1)</f>
        <v>0.44084543022269701</v>
      </c>
      <c r="X627" s="8">
        <f>((Table1[[#This Row],[Units_Sold]]*(Table1[[#This Row],[Selling_Price_per_Unit]]-Table1[[#This Row],[Manufacturing_Cost_per_Unit]]))-Table1[[#This Row],[Marketing_Spend]])/Table1[[#This Row],[Marketing_Spend]]</f>
        <v>28.873651579800644</v>
      </c>
    </row>
    <row r="628" spans="1:24" hidden="1" x14ac:dyDescent="0.3">
      <c r="A628" s="1" t="s">
        <v>645</v>
      </c>
      <c r="B628" s="1" t="s">
        <v>1307</v>
      </c>
      <c r="C628" s="1" t="s">
        <v>1634</v>
      </c>
      <c r="D628" s="1" t="s">
        <v>1635</v>
      </c>
      <c r="E628" s="1">
        <v>2024</v>
      </c>
      <c r="F628" s="1" t="s">
        <v>1639</v>
      </c>
      <c r="G628" s="1">
        <v>560</v>
      </c>
      <c r="H628" s="1">
        <v>4678</v>
      </c>
      <c r="I628" s="1">
        <v>8039</v>
      </c>
      <c r="J628" s="1">
        <v>366480</v>
      </c>
      <c r="K628" s="1">
        <v>1.28</v>
      </c>
      <c r="L628" s="1">
        <v>9</v>
      </c>
      <c r="M628" s="1">
        <v>3.92</v>
      </c>
      <c r="N628" s="1">
        <v>16.72</v>
      </c>
      <c r="O628" s="1">
        <v>69.430000000000007</v>
      </c>
      <c r="P628" s="1">
        <v>3.7</v>
      </c>
      <c r="Q628" s="1">
        <v>7799</v>
      </c>
      <c r="R628" s="1">
        <v>1986</v>
      </c>
      <c r="S628" s="1">
        <v>9</v>
      </c>
      <c r="T628" s="1">
        <f>(Table1[[#This Row],[Selling_Price_per_Unit]]-Table1[[#This Row],[Manufacturing_Cost_per_Unit]])*Table1[[#This Row],[Units_Sold]]-Table1[[#This Row],[Marketing_Spend]]-Table1[[#This Row],[Discount_%]]</f>
        <v>-2248656.7200000002</v>
      </c>
      <c r="U628" s="3">
        <f>Table1[[#This Row],[profit]]/(Table1[[#This Row],[Units_Sold]]*Table1[[#This Row],[Selling_Price_per_Unit]])*100</f>
        <v>-85.837076284126312</v>
      </c>
      <c r="V628" s="6">
        <f>Table1[[#This Row],[Units_Sold]]*Table1[[#This Row],[Selling_Price_per_Unit]]</f>
        <v>2619680</v>
      </c>
      <c r="W628" s="7">
        <f>(Table1[[#This Row],[Units_Sold]]/$Z$1)</f>
        <v>0.11211327925736163</v>
      </c>
      <c r="X628" s="8">
        <f>((Table1[[#This Row],[Units_Sold]]*(Table1[[#This Row],[Selling_Price_per_Unit]]-Table1[[#This Row],[Manufacturing_Cost_per_Unit]]))-Table1[[#This Row],[Marketing_Spend]])/Table1[[#This Row],[Marketing_Spend]]</f>
        <v>-6.1357782143636763</v>
      </c>
    </row>
    <row r="629" spans="1:24" hidden="1" x14ac:dyDescent="0.3">
      <c r="A629" s="1" t="s">
        <v>646</v>
      </c>
      <c r="B629" s="1" t="s">
        <v>1161</v>
      </c>
      <c r="C629" s="1" t="s">
        <v>1632</v>
      </c>
      <c r="D629" s="1" t="s">
        <v>1638</v>
      </c>
      <c r="E629" s="1">
        <v>2024</v>
      </c>
      <c r="F629" s="1" t="s">
        <v>1640</v>
      </c>
      <c r="G629" s="1">
        <v>434</v>
      </c>
      <c r="H629" s="1">
        <v>7616</v>
      </c>
      <c r="I629" s="1">
        <v>7510</v>
      </c>
      <c r="J629" s="1">
        <v>386227</v>
      </c>
      <c r="K629" s="1">
        <v>5.78</v>
      </c>
      <c r="L629" s="1">
        <v>10</v>
      </c>
      <c r="M629" s="1">
        <v>4.4800000000000004</v>
      </c>
      <c r="N629" s="1">
        <v>7.89</v>
      </c>
      <c r="O629" s="1">
        <v>62.93</v>
      </c>
      <c r="P629" s="1">
        <v>3.8</v>
      </c>
      <c r="Q629" s="1">
        <v>9330</v>
      </c>
      <c r="R629" s="1">
        <v>6571</v>
      </c>
      <c r="S629" s="1">
        <v>12</v>
      </c>
      <c r="T629" s="1">
        <f>(Table1[[#This Row],[Selling_Price_per_Unit]]-Table1[[#This Row],[Manufacturing_Cost_per_Unit]])*Table1[[#This Row],[Units_Sold]]-Table1[[#This Row],[Marketing_Spend]]-Table1[[#This Row],[Discount_%]]</f>
        <v>-340230.89</v>
      </c>
      <c r="U629" s="3">
        <f>Table1[[#This Row],[profit]]/(Table1[[#This Row],[Units_Sold]]*Table1[[#This Row],[Selling_Price_per_Unit]])*100</f>
        <v>-10.293357968187275</v>
      </c>
      <c r="V629" s="6">
        <f>Table1[[#This Row],[Units_Sold]]*Table1[[#This Row],[Selling_Price_per_Unit]]</f>
        <v>3305344</v>
      </c>
      <c r="W629" s="7">
        <f>(Table1[[#This Row],[Units_Sold]]/$Z$1)</f>
        <v>8.6887791424455268E-2</v>
      </c>
      <c r="X629" s="8">
        <f>((Table1[[#This Row],[Units_Sold]]*(Table1[[#This Row],[Selling_Price_per_Unit]]-Table1[[#This Row],[Manufacturing_Cost_per_Unit]]))-Table1[[#This Row],[Marketing_Spend]])/Table1[[#This Row],[Marketing_Spend]]</f>
        <v>-0.8808887001685537</v>
      </c>
    </row>
    <row r="630" spans="1:24" hidden="1" x14ac:dyDescent="0.3">
      <c r="A630" s="1" t="s">
        <v>647</v>
      </c>
      <c r="B630" s="1" t="s">
        <v>1466</v>
      </c>
      <c r="C630" s="1" t="s">
        <v>1634</v>
      </c>
      <c r="D630" s="1" t="s">
        <v>1638</v>
      </c>
      <c r="E630" s="1">
        <v>2023</v>
      </c>
      <c r="F630" s="1" t="s">
        <v>1642</v>
      </c>
      <c r="G630" s="1">
        <v>454</v>
      </c>
      <c r="H630" s="1">
        <v>17063</v>
      </c>
      <c r="I630" s="1">
        <v>5800</v>
      </c>
      <c r="J630" s="1">
        <v>110948</v>
      </c>
      <c r="K630" s="1">
        <v>1.07</v>
      </c>
      <c r="L630" s="1">
        <v>15</v>
      </c>
      <c r="M630" s="1">
        <v>7.3</v>
      </c>
      <c r="N630" s="1">
        <v>17.059999999999999</v>
      </c>
      <c r="O630" s="1">
        <v>28.91</v>
      </c>
      <c r="P630" s="1">
        <v>3.2</v>
      </c>
      <c r="Q630" s="1">
        <v>12939</v>
      </c>
      <c r="R630" s="1">
        <v>8846</v>
      </c>
      <c r="S630" s="1">
        <v>5</v>
      </c>
      <c r="T630" s="1">
        <f>(Table1[[#This Row],[Selling_Price_per_Unit]]-Table1[[#This Row],[Manufacturing_Cost_per_Unit]])*Table1[[#This Row],[Units_Sold]]-Table1[[#This Row],[Marketing_Spend]]-Table1[[#This Row],[Discount_%]]</f>
        <v>5002436.9400000004</v>
      </c>
      <c r="U630" s="3">
        <f>Table1[[#This Row],[profit]]/(Table1[[#This Row],[Units_Sold]]*Table1[[#This Row],[Selling_Price_per_Unit]])*100</f>
        <v>64.5758868210862</v>
      </c>
      <c r="V630" s="6">
        <f>Table1[[#This Row],[Units_Sold]]*Table1[[#This Row],[Selling_Price_per_Unit]]</f>
        <v>7746602</v>
      </c>
      <c r="W630" s="7">
        <f>(Table1[[#This Row],[Units_Sold]]/$Z$1)</f>
        <v>9.0891837112218182E-2</v>
      </c>
      <c r="X630" s="8">
        <f>((Table1[[#This Row],[Units_Sold]]*(Table1[[#This Row],[Selling_Price_per_Unit]]-Table1[[#This Row],[Manufacturing_Cost_per_Unit]]))-Table1[[#This Row],[Marketing_Spend]])/Table1[[#This Row],[Marketing_Spend]]</f>
        <v>45.088275588564009</v>
      </c>
    </row>
    <row r="631" spans="1:24" x14ac:dyDescent="0.3">
      <c r="A631" s="1" t="s">
        <v>648</v>
      </c>
      <c r="B631" s="1" t="s">
        <v>1110</v>
      </c>
      <c r="C631" s="1" t="s">
        <v>1633</v>
      </c>
      <c r="D631" s="1" t="s">
        <v>1638</v>
      </c>
      <c r="E631" s="1">
        <v>2024</v>
      </c>
      <c r="F631" s="1" t="s">
        <v>1641</v>
      </c>
      <c r="G631" s="1">
        <v>4663</v>
      </c>
      <c r="H631" s="1">
        <v>5068</v>
      </c>
      <c r="I631" s="1">
        <v>5454</v>
      </c>
      <c r="J631" s="1">
        <v>290891</v>
      </c>
      <c r="K631" s="1">
        <v>3.16</v>
      </c>
      <c r="L631" s="1">
        <v>13</v>
      </c>
      <c r="M631" s="1">
        <v>3.58</v>
      </c>
      <c r="N631" s="1">
        <v>21.79</v>
      </c>
      <c r="O631" s="1">
        <v>17.829999999999998</v>
      </c>
      <c r="P631" s="1">
        <v>4.5999999999999996</v>
      </c>
      <c r="Q631" s="1">
        <v>6302</v>
      </c>
      <c r="R631" s="1">
        <v>3870</v>
      </c>
      <c r="S631" s="1">
        <v>4</v>
      </c>
      <c r="T631" s="1">
        <f>(Table1[[#This Row],[Selling_Price_per_Unit]]-Table1[[#This Row],[Manufacturing_Cost_per_Unit]])*Table1[[#This Row],[Units_Sold]]-Table1[[#This Row],[Marketing_Spend]]-Table1[[#This Row],[Discount_%]]</f>
        <v>-2090830.79</v>
      </c>
      <c r="U631" s="3">
        <f>Table1[[#This Row],[profit]]/(Table1[[#This Row],[Units_Sold]]*Table1[[#This Row],[Selling_Price_per_Unit]])*100</f>
        <v>-8.8474245013685628</v>
      </c>
      <c r="V631" s="6">
        <f>Table1[[#This Row],[Units_Sold]]*Table1[[#This Row],[Selling_Price_per_Unit]]</f>
        <v>23632084</v>
      </c>
      <c r="W631" s="7">
        <f>(Table1[[#This Row],[Units_Sold]]/$Z$1)</f>
        <v>0.93354325210192368</v>
      </c>
      <c r="X631" s="8">
        <f>((Table1[[#This Row],[Units_Sold]]*(Table1[[#This Row],[Selling_Price_per_Unit]]-Table1[[#This Row],[Manufacturing_Cost_per_Unit]]))-Table1[[#This Row],[Marketing_Spend]])/Table1[[#This Row],[Marketing_Spend]]</f>
        <v>-7.1876029165563731</v>
      </c>
    </row>
    <row r="632" spans="1:24" x14ac:dyDescent="0.3">
      <c r="A632" s="1" t="s">
        <v>649</v>
      </c>
      <c r="B632" s="1" t="s">
        <v>1467</v>
      </c>
      <c r="C632" s="1" t="s">
        <v>1633</v>
      </c>
      <c r="D632" s="1" t="s">
        <v>1638</v>
      </c>
      <c r="E632" s="1">
        <v>2024</v>
      </c>
      <c r="F632" s="1" t="s">
        <v>1641</v>
      </c>
      <c r="G632" s="1">
        <v>4621</v>
      </c>
      <c r="H632" s="1">
        <v>11347</v>
      </c>
      <c r="I632" s="1">
        <v>8878</v>
      </c>
      <c r="J632" s="1">
        <v>214074</v>
      </c>
      <c r="K632" s="1">
        <v>3.44</v>
      </c>
      <c r="L632" s="1">
        <v>7</v>
      </c>
      <c r="M632" s="1">
        <v>0.64</v>
      </c>
      <c r="N632" s="1">
        <v>5.94</v>
      </c>
      <c r="O632" s="1">
        <v>56.09</v>
      </c>
      <c r="P632" s="1">
        <v>1.4</v>
      </c>
      <c r="Q632" s="1">
        <v>8115</v>
      </c>
      <c r="R632" s="1">
        <v>8491</v>
      </c>
      <c r="S632" s="1">
        <v>2</v>
      </c>
      <c r="T632" s="1">
        <f>(Table1[[#This Row],[Selling_Price_per_Unit]]-Table1[[#This Row],[Manufacturing_Cost_per_Unit]])*Table1[[#This Row],[Units_Sold]]-Table1[[#This Row],[Marketing_Spend]]-Table1[[#This Row],[Discount_%]]</f>
        <v>11195169.060000001</v>
      </c>
      <c r="U632" s="3">
        <f>Table1[[#This Row],[profit]]/(Table1[[#This Row],[Units_Sold]]*Table1[[#This Row],[Selling_Price_per_Unit]])*100</f>
        <v>21.350774462616563</v>
      </c>
      <c r="V632" s="6">
        <f>Table1[[#This Row],[Units_Sold]]*Table1[[#This Row],[Selling_Price_per_Unit]]</f>
        <v>52434487</v>
      </c>
      <c r="W632" s="7">
        <f>(Table1[[#This Row],[Units_Sold]]/$Z$1)</f>
        <v>0.92513475615762164</v>
      </c>
      <c r="X632" s="8">
        <f>((Table1[[#This Row],[Units_Sold]]*(Table1[[#This Row],[Selling_Price_per_Unit]]-Table1[[#This Row],[Manufacturing_Cost_per_Unit]]))-Table1[[#This Row],[Marketing_Spend]])/Table1[[#This Row],[Marketing_Spend]]</f>
        <v>52.295818268449224</v>
      </c>
    </row>
    <row r="633" spans="1:24" x14ac:dyDescent="0.3">
      <c r="A633" s="1" t="s">
        <v>489</v>
      </c>
      <c r="B633" s="1" t="s">
        <v>1388</v>
      </c>
      <c r="C633" s="1" t="s">
        <v>1634</v>
      </c>
      <c r="D633" s="1" t="s">
        <v>1637</v>
      </c>
      <c r="E633" s="1">
        <v>2024</v>
      </c>
      <c r="F633" s="1" t="s">
        <v>1639</v>
      </c>
      <c r="G633" s="1">
        <v>4182</v>
      </c>
      <c r="H633" s="1">
        <v>7654</v>
      </c>
      <c r="I633" s="1">
        <v>1705</v>
      </c>
      <c r="J633" s="1">
        <v>328710</v>
      </c>
      <c r="K633" s="1">
        <v>11.94</v>
      </c>
      <c r="L633" s="1">
        <v>14</v>
      </c>
      <c r="M633" s="1">
        <v>9.86</v>
      </c>
      <c r="N633" s="1">
        <v>7.57</v>
      </c>
      <c r="O633" s="1">
        <v>82.4</v>
      </c>
      <c r="P633" s="1">
        <v>3.5</v>
      </c>
      <c r="Q633" s="1">
        <v>3419</v>
      </c>
      <c r="R633" s="1">
        <v>1779</v>
      </c>
      <c r="S633" s="1">
        <v>9</v>
      </c>
      <c r="T633" s="1">
        <f>(Table1[[#This Row],[Selling_Price_per_Unit]]-Table1[[#This Row],[Manufacturing_Cost_per_Unit]])*Table1[[#This Row],[Units_Sold]]-Table1[[#This Row],[Marketing_Spend]]-Table1[[#This Row],[Discount_%]]</f>
        <v>24550000.43</v>
      </c>
      <c r="U633" s="3">
        <f>Table1[[#This Row],[profit]]/(Table1[[#This Row],[Units_Sold]]*Table1[[#This Row],[Selling_Price_per_Unit]])*100</f>
        <v>76.697113170696724</v>
      </c>
      <c r="V633" s="6">
        <f>Table1[[#This Row],[Units_Sold]]*Table1[[#This Row],[Selling_Price_per_Unit]]</f>
        <v>32009028</v>
      </c>
      <c r="W633" s="7">
        <f>(Table1[[#This Row],[Units_Sold]]/$Z$1)</f>
        <v>0.83724595331122564</v>
      </c>
      <c r="X633" s="8">
        <f>((Table1[[#This Row],[Units_Sold]]*(Table1[[#This Row],[Selling_Price_per_Unit]]-Table1[[#This Row],[Manufacturing_Cost_per_Unit]]))-Table1[[#This Row],[Marketing_Spend]])/Table1[[#This Row],[Marketing_Spend]]</f>
        <v>74.685917678196589</v>
      </c>
    </row>
    <row r="634" spans="1:24" hidden="1" x14ac:dyDescent="0.3">
      <c r="A634" s="1" t="s">
        <v>144</v>
      </c>
      <c r="B634" s="1" t="s">
        <v>1136</v>
      </c>
      <c r="C634" s="1" t="s">
        <v>1632</v>
      </c>
      <c r="D634" s="1" t="s">
        <v>1635</v>
      </c>
      <c r="E634" s="1">
        <v>2023</v>
      </c>
      <c r="F634" s="1" t="s">
        <v>1639</v>
      </c>
      <c r="G634" s="1">
        <v>2675</v>
      </c>
      <c r="H634" s="1">
        <v>15560</v>
      </c>
      <c r="I634" s="1">
        <v>6310</v>
      </c>
      <c r="J634" s="1">
        <v>233467</v>
      </c>
      <c r="K634" s="1">
        <v>5.01</v>
      </c>
      <c r="L634" s="1">
        <v>6</v>
      </c>
      <c r="M634" s="1">
        <v>4.45</v>
      </c>
      <c r="N634" s="1">
        <v>9.02</v>
      </c>
      <c r="O634" s="1">
        <v>28.73</v>
      </c>
      <c r="P634" s="1">
        <v>4.4000000000000004</v>
      </c>
      <c r="Q634" s="1">
        <v>10971</v>
      </c>
      <c r="R634" s="1">
        <v>1317</v>
      </c>
      <c r="S634" s="1">
        <v>14</v>
      </c>
      <c r="T634" s="1">
        <f>(Table1[[#This Row],[Selling_Price_per_Unit]]-Table1[[#This Row],[Manufacturing_Cost_per_Unit]])*Table1[[#This Row],[Units_Sold]]-Table1[[#This Row],[Marketing_Spend]]-Table1[[#This Row],[Discount_%]]</f>
        <v>24510273.98</v>
      </c>
      <c r="U634" s="3">
        <f>Table1[[#This Row],[profit]]/(Table1[[#This Row],[Units_Sold]]*Table1[[#This Row],[Selling_Price_per_Unit]])*100</f>
        <v>58.886370468250725</v>
      </c>
      <c r="V634" s="6">
        <f>Table1[[#This Row],[Units_Sold]]*Table1[[#This Row],[Selling_Price_per_Unit]]</f>
        <v>41623000</v>
      </c>
      <c r="W634" s="7">
        <f>(Table1[[#This Row],[Units_Sold]]/$Z$1)</f>
        <v>0.53554111073828992</v>
      </c>
      <c r="X634" s="8">
        <f>((Table1[[#This Row],[Units_Sold]]*(Table1[[#This Row],[Selling_Price_per_Unit]]-Table1[[#This Row],[Manufacturing_Cost_per_Unit]]))-Table1[[#This Row],[Marketing_Spend]])/Table1[[#This Row],[Marketing_Spend]]</f>
        <v>104.98392920626898</v>
      </c>
    </row>
    <row r="635" spans="1:24" hidden="1" x14ac:dyDescent="0.3">
      <c r="A635" s="1" t="s">
        <v>652</v>
      </c>
      <c r="B635" s="1" t="s">
        <v>1470</v>
      </c>
      <c r="C635" s="1" t="s">
        <v>1632</v>
      </c>
      <c r="D635" s="1" t="s">
        <v>1638</v>
      </c>
      <c r="E635" s="1">
        <v>2023</v>
      </c>
      <c r="F635" s="1" t="s">
        <v>1641</v>
      </c>
      <c r="G635" s="1">
        <v>1718</v>
      </c>
      <c r="H635" s="1">
        <v>3242</v>
      </c>
      <c r="I635" s="1">
        <v>6023</v>
      </c>
      <c r="J635" s="1">
        <v>191365</v>
      </c>
      <c r="K635" s="1">
        <v>1.51</v>
      </c>
      <c r="L635" s="1">
        <v>11</v>
      </c>
      <c r="M635" s="1">
        <v>8.6999999999999993</v>
      </c>
      <c r="N635" s="1">
        <v>6.68</v>
      </c>
      <c r="O635" s="1">
        <v>14.5</v>
      </c>
      <c r="P635" s="1">
        <v>1.5</v>
      </c>
      <c r="Q635" s="1">
        <v>6383</v>
      </c>
      <c r="R635" s="1">
        <v>7999</v>
      </c>
      <c r="S635" s="1">
        <v>12</v>
      </c>
      <c r="T635" s="1">
        <f>(Table1[[#This Row],[Selling_Price_per_Unit]]-Table1[[#This Row],[Manufacturing_Cost_per_Unit]])*Table1[[#This Row],[Units_Sold]]-Table1[[#This Row],[Marketing_Spend]]-Table1[[#This Row],[Discount_%]]</f>
        <v>-4969129.68</v>
      </c>
      <c r="U635" s="3">
        <f>Table1[[#This Row],[profit]]/(Table1[[#This Row],[Units_Sold]]*Table1[[#This Row],[Selling_Price_per_Unit]])*100</f>
        <v>-89.21629026478</v>
      </c>
      <c r="V635" s="6">
        <f>Table1[[#This Row],[Units_Sold]]*Table1[[#This Row],[Selling_Price_per_Unit]]</f>
        <v>5569756</v>
      </c>
      <c r="W635" s="7">
        <f>(Table1[[#This Row],[Units_Sold]]/$Z$1)</f>
        <v>0.34394752457883443</v>
      </c>
      <c r="X635" s="8">
        <f>((Table1[[#This Row],[Units_Sold]]*(Table1[[#This Row],[Selling_Price_per_Unit]]-Table1[[#This Row],[Manufacturing_Cost_per_Unit]]))-Table1[[#This Row],[Marketing_Spend]])/Table1[[#This Row],[Marketing_Spend]]</f>
        <v>-25.966728503122305</v>
      </c>
    </row>
    <row r="636" spans="1:24" hidden="1" x14ac:dyDescent="0.3">
      <c r="A636" s="1" t="s">
        <v>653</v>
      </c>
      <c r="B636" s="1" t="s">
        <v>1471</v>
      </c>
      <c r="C636" s="1" t="s">
        <v>1633</v>
      </c>
      <c r="D636" s="1" t="s">
        <v>1635</v>
      </c>
      <c r="E636" s="1">
        <v>2023</v>
      </c>
      <c r="F636" s="1" t="s">
        <v>1642</v>
      </c>
      <c r="G636" s="1">
        <v>1510</v>
      </c>
      <c r="H636" s="1">
        <v>19809</v>
      </c>
      <c r="I636" s="1">
        <v>14321</v>
      </c>
      <c r="J636" s="1">
        <v>499076</v>
      </c>
      <c r="K636" s="1">
        <v>2.5099999999999998</v>
      </c>
      <c r="L636" s="1">
        <v>16</v>
      </c>
      <c r="M636" s="1">
        <v>4.72</v>
      </c>
      <c r="N636" s="1">
        <v>10.54</v>
      </c>
      <c r="O636" s="1">
        <v>16.46</v>
      </c>
      <c r="P636" s="1">
        <v>3.3</v>
      </c>
      <c r="Q636" s="1">
        <v>17239</v>
      </c>
      <c r="R636" s="1">
        <v>406</v>
      </c>
      <c r="S636" s="1">
        <v>5</v>
      </c>
      <c r="T636" s="1">
        <f>(Table1[[#This Row],[Selling_Price_per_Unit]]-Table1[[#This Row],[Manufacturing_Cost_per_Unit]])*Table1[[#This Row],[Units_Sold]]-Table1[[#This Row],[Marketing_Spend]]-Table1[[#This Row],[Discount_%]]</f>
        <v>7787793.46</v>
      </c>
      <c r="U636" s="3">
        <f>Table1[[#This Row],[profit]]/(Table1[[#This Row],[Units_Sold]]*Table1[[#This Row],[Selling_Price_per_Unit]])*100</f>
        <v>26.036039742454349</v>
      </c>
      <c r="V636" s="6">
        <f>Table1[[#This Row],[Units_Sold]]*Table1[[#This Row],[Selling_Price_per_Unit]]</f>
        <v>29911590</v>
      </c>
      <c r="W636" s="7">
        <f>(Table1[[#This Row],[Units_Sold]]/$Z$1)</f>
        <v>0.3023054494261001</v>
      </c>
      <c r="X636" s="8">
        <f>((Table1[[#This Row],[Units_Sold]]*(Table1[[#This Row],[Selling_Price_per_Unit]]-Table1[[#This Row],[Manufacturing_Cost_per_Unit]]))-Table1[[#This Row],[Marketing_Spend]])/Table1[[#This Row],[Marketing_Spend]]</f>
        <v>15.604445014386586</v>
      </c>
    </row>
    <row r="637" spans="1:24" hidden="1" x14ac:dyDescent="0.3">
      <c r="A637" s="1" t="s">
        <v>654</v>
      </c>
      <c r="B637" s="1" t="s">
        <v>1472</v>
      </c>
      <c r="C637" s="1" t="s">
        <v>1632</v>
      </c>
      <c r="D637" s="1" t="s">
        <v>1637</v>
      </c>
      <c r="E637" s="1">
        <v>2023</v>
      </c>
      <c r="F637" s="1" t="s">
        <v>1639</v>
      </c>
      <c r="G637" s="1">
        <v>3686</v>
      </c>
      <c r="H637" s="1">
        <v>2119</v>
      </c>
      <c r="I637" s="1">
        <v>7771</v>
      </c>
      <c r="J637" s="1">
        <v>112507</v>
      </c>
      <c r="K637" s="1">
        <v>2.21</v>
      </c>
      <c r="L637" s="1">
        <v>13</v>
      </c>
      <c r="M637" s="1">
        <v>7.13</v>
      </c>
      <c r="N637" s="1">
        <v>2.36</v>
      </c>
      <c r="O637" s="1">
        <v>89.42</v>
      </c>
      <c r="P637" s="1">
        <v>2.6</v>
      </c>
      <c r="Q637" s="1">
        <v>2166</v>
      </c>
      <c r="R637" s="1">
        <v>3175</v>
      </c>
      <c r="S637" s="1">
        <v>2</v>
      </c>
      <c r="T637" s="1">
        <f>(Table1[[#This Row],[Selling_Price_per_Unit]]-Table1[[#This Row],[Manufacturing_Cost_per_Unit]])*Table1[[#This Row],[Units_Sold]]-Table1[[#This Row],[Marketing_Spend]]-Table1[[#This Row],[Discount_%]]</f>
        <v>-20945781.359999999</v>
      </c>
      <c r="U637" s="3">
        <f>Table1[[#This Row],[profit]]/(Table1[[#This Row],[Units_Sold]]*Table1[[#This Row],[Selling_Price_per_Unit]])*100</f>
        <v>-268.17005328888797</v>
      </c>
      <c r="V637" s="6">
        <f>Table1[[#This Row],[Units_Sold]]*Table1[[#This Row],[Selling_Price_per_Unit]]</f>
        <v>7810634</v>
      </c>
      <c r="W637" s="7">
        <f>(Table1[[#This Row],[Units_Sold]]/$Z$1)</f>
        <v>0.73794562025470534</v>
      </c>
      <c r="X637" s="8">
        <f>((Table1[[#This Row],[Units_Sold]]*(Table1[[#This Row],[Selling_Price_per_Unit]]-Table1[[#This Row],[Manufacturing_Cost_per_Unit]]))-Table1[[#This Row],[Marketing_Spend]])/Table1[[#This Row],[Marketing_Spend]]</f>
        <v>-186.17311811709493</v>
      </c>
    </row>
    <row r="638" spans="1:24" hidden="1" x14ac:dyDescent="0.3">
      <c r="A638" s="1" t="s">
        <v>655</v>
      </c>
      <c r="B638" s="1" t="s">
        <v>1322</v>
      </c>
      <c r="C638" s="1" t="s">
        <v>1634</v>
      </c>
      <c r="D638" s="1" t="s">
        <v>1637</v>
      </c>
      <c r="E638" s="1">
        <v>2024</v>
      </c>
      <c r="F638" s="1" t="s">
        <v>1639</v>
      </c>
      <c r="G638" s="1">
        <v>2774</v>
      </c>
      <c r="H638" s="1">
        <v>19158</v>
      </c>
      <c r="I638" s="1">
        <v>13555</v>
      </c>
      <c r="J638" s="1">
        <v>107134</v>
      </c>
      <c r="K638" s="1">
        <v>14.6</v>
      </c>
      <c r="L638" s="1">
        <v>15</v>
      </c>
      <c r="M638" s="1">
        <v>3.93</v>
      </c>
      <c r="N638" s="1">
        <v>3.14</v>
      </c>
      <c r="O638" s="1">
        <v>72.69</v>
      </c>
      <c r="P638" s="1">
        <v>2.1</v>
      </c>
      <c r="Q638" s="1">
        <v>1776</v>
      </c>
      <c r="R638" s="1">
        <v>1756</v>
      </c>
      <c r="S638" s="1">
        <v>11</v>
      </c>
      <c r="T638" s="1">
        <f>(Table1[[#This Row],[Selling_Price_per_Unit]]-Table1[[#This Row],[Manufacturing_Cost_per_Unit]])*Table1[[#This Row],[Units_Sold]]-Table1[[#This Row],[Marketing_Spend]]-Table1[[#This Row],[Discount_%]]</f>
        <v>15435584.859999999</v>
      </c>
      <c r="U638" s="3">
        <f>Table1[[#This Row],[profit]]/(Table1[[#This Row],[Units_Sold]]*Table1[[#This Row],[Selling_Price_per_Unit]])*100</f>
        <v>29.044671175598687</v>
      </c>
      <c r="V638" s="6">
        <f>Table1[[#This Row],[Units_Sold]]*Table1[[#This Row],[Selling_Price_per_Unit]]</f>
        <v>53144292</v>
      </c>
      <c r="W638" s="7">
        <f>(Table1[[#This Row],[Units_Sold]]/$Z$1)</f>
        <v>0.55536113689271638</v>
      </c>
      <c r="X638" s="8">
        <f>((Table1[[#This Row],[Units_Sold]]*(Table1[[#This Row],[Selling_Price_per_Unit]]-Table1[[#This Row],[Manufacturing_Cost_per_Unit]]))-Table1[[#This Row],[Marketing_Spend]])/Table1[[#This Row],[Marketing_Spend]]</f>
        <v>144.0773983982676</v>
      </c>
    </row>
    <row r="639" spans="1:24" hidden="1" x14ac:dyDescent="0.3">
      <c r="A639" s="1" t="s">
        <v>110</v>
      </c>
      <c r="B639" s="1" t="s">
        <v>1105</v>
      </c>
      <c r="C639" s="1" t="s">
        <v>1634</v>
      </c>
      <c r="D639" s="1" t="s">
        <v>1636</v>
      </c>
      <c r="E639" s="1">
        <v>2023</v>
      </c>
      <c r="F639" s="1" t="s">
        <v>1639</v>
      </c>
      <c r="G639" s="1">
        <v>3611</v>
      </c>
      <c r="H639" s="1">
        <v>14692</v>
      </c>
      <c r="I639" s="1">
        <v>7888</v>
      </c>
      <c r="J639" s="1">
        <v>144475</v>
      </c>
      <c r="K639" s="1">
        <v>3.52</v>
      </c>
      <c r="L639" s="1">
        <v>5</v>
      </c>
      <c r="M639" s="1">
        <v>8.4</v>
      </c>
      <c r="N639" s="1">
        <v>10.34</v>
      </c>
      <c r="O639" s="1">
        <v>36.64</v>
      </c>
      <c r="P639" s="1">
        <v>2.1</v>
      </c>
      <c r="Q639" s="1">
        <v>20836</v>
      </c>
      <c r="R639" s="1">
        <v>1917</v>
      </c>
      <c r="S639" s="1">
        <v>8</v>
      </c>
      <c r="T639" s="1">
        <f>(Table1[[#This Row],[Selling_Price_per_Unit]]-Table1[[#This Row],[Manufacturing_Cost_per_Unit]])*Table1[[#This Row],[Units_Sold]]-Table1[[#This Row],[Marketing_Spend]]-Table1[[#This Row],[Discount_%]]</f>
        <v>24424758.66</v>
      </c>
      <c r="U639" s="3">
        <f>Table1[[#This Row],[profit]]/(Table1[[#This Row],[Units_Sold]]*Table1[[#This Row],[Selling_Price_per_Unit]])*100</f>
        <v>46.038575033496812</v>
      </c>
      <c r="V639" s="6">
        <f>Table1[[#This Row],[Units_Sold]]*Table1[[#This Row],[Selling_Price_per_Unit]]</f>
        <v>53052812</v>
      </c>
      <c r="W639" s="7">
        <f>(Table1[[#This Row],[Units_Sold]]/$Z$1)</f>
        <v>0.72293044892559433</v>
      </c>
      <c r="X639" s="8">
        <f>((Table1[[#This Row],[Units_Sold]]*(Table1[[#This Row],[Selling_Price_per_Unit]]-Table1[[#This Row],[Manufacturing_Cost_per_Unit]]))-Table1[[#This Row],[Marketing_Spend]])/Table1[[#This Row],[Marketing_Spend]]</f>
        <v>169.05879217857762</v>
      </c>
    </row>
    <row r="640" spans="1:24" x14ac:dyDescent="0.3">
      <c r="A640" s="1" t="s">
        <v>657</v>
      </c>
      <c r="B640" s="1" t="s">
        <v>1474</v>
      </c>
      <c r="C640" s="1" t="s">
        <v>1633</v>
      </c>
      <c r="D640" s="1" t="s">
        <v>1637</v>
      </c>
      <c r="E640" s="1">
        <v>2023</v>
      </c>
      <c r="F640" s="1" t="s">
        <v>1640</v>
      </c>
      <c r="G640" s="1">
        <v>4228</v>
      </c>
      <c r="H640" s="1">
        <v>3439</v>
      </c>
      <c r="I640" s="1">
        <v>12331</v>
      </c>
      <c r="J640" s="1">
        <v>291225</v>
      </c>
      <c r="K640" s="1">
        <v>14.52</v>
      </c>
      <c r="L640" s="1">
        <v>8</v>
      </c>
      <c r="M640" s="1">
        <v>3.47</v>
      </c>
      <c r="N640" s="1">
        <v>19.059999999999999</v>
      </c>
      <c r="O640" s="1">
        <v>25.6</v>
      </c>
      <c r="P640" s="1">
        <v>2.2999999999999998</v>
      </c>
      <c r="Q640" s="1">
        <v>2381</v>
      </c>
      <c r="R640" s="1">
        <v>6711</v>
      </c>
      <c r="S640" s="1">
        <v>9</v>
      </c>
      <c r="T640" s="1">
        <f>(Table1[[#This Row],[Selling_Price_per_Unit]]-Table1[[#This Row],[Manufacturing_Cost_per_Unit]])*Table1[[#This Row],[Units_Sold]]-Table1[[#This Row],[Marketing_Spend]]-Table1[[#This Row],[Discount_%]]</f>
        <v>-37886620.060000002</v>
      </c>
      <c r="U640" s="3">
        <f>Table1[[#This Row],[profit]]/(Table1[[#This Row],[Units_Sold]]*Table1[[#This Row],[Selling_Price_per_Unit]])*100</f>
        <v>-260.56657729538438</v>
      </c>
      <c r="V640" s="6">
        <f>Table1[[#This Row],[Units_Sold]]*Table1[[#This Row],[Selling_Price_per_Unit]]</f>
        <v>14540092</v>
      </c>
      <c r="W640" s="7">
        <f>(Table1[[#This Row],[Units_Sold]]/$Z$1)</f>
        <v>0.84645525839308033</v>
      </c>
      <c r="X640" s="8">
        <f>((Table1[[#This Row],[Units_Sold]]*(Table1[[#This Row],[Selling_Price_per_Unit]]-Table1[[#This Row],[Manufacturing_Cost_per_Unit]]))-Table1[[#This Row],[Marketing_Spend]])/Table1[[#This Row],[Marketing_Spend]]</f>
        <v>-130.093917074427</v>
      </c>
    </row>
    <row r="641" spans="1:24" x14ac:dyDescent="0.3">
      <c r="A641" s="1" t="s">
        <v>96</v>
      </c>
      <c r="B641" s="1" t="s">
        <v>1093</v>
      </c>
      <c r="C641" s="1" t="s">
        <v>1634</v>
      </c>
      <c r="D641" s="1" t="s">
        <v>1635</v>
      </c>
      <c r="E641" s="1">
        <v>2023</v>
      </c>
      <c r="F641" s="1" t="s">
        <v>1641</v>
      </c>
      <c r="G641" s="1">
        <v>4043</v>
      </c>
      <c r="H641" s="1">
        <v>15359</v>
      </c>
      <c r="I641" s="1">
        <v>9233</v>
      </c>
      <c r="J641" s="1">
        <v>460370</v>
      </c>
      <c r="K641" s="1">
        <v>8.43</v>
      </c>
      <c r="L641" s="1">
        <v>12</v>
      </c>
      <c r="M641" s="1">
        <v>9.92</v>
      </c>
      <c r="N641" s="1">
        <v>11.44</v>
      </c>
      <c r="O641" s="1">
        <v>11.2</v>
      </c>
      <c r="P641" s="1">
        <v>3.5</v>
      </c>
      <c r="Q641" s="1">
        <v>6923</v>
      </c>
      <c r="R641" s="1">
        <v>7061</v>
      </c>
      <c r="S641" s="1">
        <v>9</v>
      </c>
      <c r="T641" s="1">
        <f>(Table1[[#This Row],[Selling_Price_per_Unit]]-Table1[[#This Row],[Manufacturing_Cost_per_Unit]])*Table1[[#This Row],[Units_Sold]]-Table1[[#This Row],[Marketing_Spend]]-Table1[[#This Row],[Discount_%]]</f>
        <v>24307036.559999999</v>
      </c>
      <c r="U641" s="3">
        <f>Table1[[#This Row],[profit]]/(Table1[[#This Row],[Units_Sold]]*Table1[[#This Row],[Selling_Price_per_Unit]])*100</f>
        <v>39.144011692651546</v>
      </c>
      <c r="V641" s="6">
        <f>Table1[[#This Row],[Units_Sold]]*Table1[[#This Row],[Selling_Price_per_Unit]]</f>
        <v>62096437</v>
      </c>
      <c r="W641" s="7">
        <f>(Table1[[#This Row],[Units_Sold]]/$Z$1)</f>
        <v>0.80941783578127335</v>
      </c>
      <c r="X641" s="8">
        <f>((Table1[[#This Row],[Units_Sold]]*(Table1[[#This Row],[Selling_Price_per_Unit]]-Table1[[#This Row],[Manufacturing_Cost_per_Unit]]))-Table1[[#This Row],[Marketing_Spend]])/Table1[[#This Row],[Marketing_Spend]]</f>
        <v>52.798939983057103</v>
      </c>
    </row>
    <row r="642" spans="1:24" x14ac:dyDescent="0.3">
      <c r="A642" s="1" t="s">
        <v>659</v>
      </c>
      <c r="B642" s="1" t="s">
        <v>1074</v>
      </c>
      <c r="C642" s="1" t="s">
        <v>1632</v>
      </c>
      <c r="D642" s="1" t="s">
        <v>1637</v>
      </c>
      <c r="E642" s="1">
        <v>2024</v>
      </c>
      <c r="F642" s="1" t="s">
        <v>1641</v>
      </c>
      <c r="G642" s="1">
        <v>4196</v>
      </c>
      <c r="H642" s="1">
        <v>2468</v>
      </c>
      <c r="I642" s="1">
        <v>5743</v>
      </c>
      <c r="J642" s="1">
        <v>340316</v>
      </c>
      <c r="K642" s="1">
        <v>4.18</v>
      </c>
      <c r="L642" s="1">
        <v>10</v>
      </c>
      <c r="M642" s="1">
        <v>6.25</v>
      </c>
      <c r="N642" s="1">
        <v>16.62</v>
      </c>
      <c r="O642" s="1">
        <v>21.41</v>
      </c>
      <c r="P642" s="1">
        <v>3.3</v>
      </c>
      <c r="Q642" s="1">
        <v>16177</v>
      </c>
      <c r="R642" s="1">
        <v>2792</v>
      </c>
      <c r="S642" s="1">
        <v>9</v>
      </c>
      <c r="T642" s="1">
        <f>(Table1[[#This Row],[Selling_Price_per_Unit]]-Table1[[#This Row],[Manufacturing_Cost_per_Unit]])*Table1[[#This Row],[Units_Sold]]-Table1[[#This Row],[Marketing_Spend]]-Table1[[#This Row],[Discount_%]]</f>
        <v>-14082232.619999999</v>
      </c>
      <c r="U642" s="3">
        <f>Table1[[#This Row],[profit]]/(Table1[[#This Row],[Units_Sold]]*Table1[[#This Row],[Selling_Price_per_Unit]])*100</f>
        <v>-135.98496040065942</v>
      </c>
      <c r="V642" s="6">
        <f>Table1[[#This Row],[Units_Sold]]*Table1[[#This Row],[Selling_Price_per_Unit]]</f>
        <v>10355728</v>
      </c>
      <c r="W642" s="7">
        <f>(Table1[[#This Row],[Units_Sold]]/$Z$1)</f>
        <v>0.84004878529265969</v>
      </c>
      <c r="X642" s="8">
        <f>((Table1[[#This Row],[Units_Sold]]*(Table1[[#This Row],[Selling_Price_per_Unit]]-Table1[[#This Row],[Manufacturing_Cost_per_Unit]]))-Table1[[#This Row],[Marketing_Spend]])/Table1[[#This Row],[Marketing_Spend]]</f>
        <v>-41.379823458197677</v>
      </c>
    </row>
    <row r="643" spans="1:24" x14ac:dyDescent="0.3">
      <c r="A643" s="1" t="s">
        <v>687</v>
      </c>
      <c r="B643" s="1" t="s">
        <v>1491</v>
      </c>
      <c r="C643" s="1" t="s">
        <v>1634</v>
      </c>
      <c r="D643" s="1" t="s">
        <v>1638</v>
      </c>
      <c r="E643" s="1">
        <v>2024</v>
      </c>
      <c r="F643" s="1" t="s">
        <v>1642</v>
      </c>
      <c r="G643" s="1">
        <v>4031</v>
      </c>
      <c r="H643" s="1">
        <v>14095</v>
      </c>
      <c r="I643" s="1">
        <v>7983</v>
      </c>
      <c r="J643" s="1">
        <v>388384</v>
      </c>
      <c r="K643" s="1">
        <v>1.23</v>
      </c>
      <c r="L643" s="1">
        <v>4</v>
      </c>
      <c r="M643" s="1">
        <v>8.52</v>
      </c>
      <c r="N643" s="1">
        <v>12.59</v>
      </c>
      <c r="O643" s="1">
        <v>51.17</v>
      </c>
      <c r="P643" s="1">
        <v>4.5</v>
      </c>
      <c r="Q643" s="1">
        <v>11221</v>
      </c>
      <c r="R643" s="1">
        <v>1977</v>
      </c>
      <c r="S643" s="1">
        <v>9</v>
      </c>
      <c r="T643" s="1">
        <f>(Table1[[#This Row],[Selling_Price_per_Unit]]-Table1[[#This Row],[Manufacturing_Cost_per_Unit]])*Table1[[#This Row],[Units_Sold]]-Table1[[#This Row],[Marketing_Spend]]-Table1[[#This Row],[Discount_%]]</f>
        <v>24249075.41</v>
      </c>
      <c r="U643" s="3">
        <f>Table1[[#This Row],[profit]]/(Table1[[#This Row],[Units_Sold]]*Table1[[#This Row],[Selling_Price_per_Unit]])*100</f>
        <v>42.679301764640812</v>
      </c>
      <c r="V643" s="6">
        <f>Table1[[#This Row],[Units_Sold]]*Table1[[#This Row],[Selling_Price_per_Unit]]</f>
        <v>56816945</v>
      </c>
      <c r="W643" s="7">
        <f>(Table1[[#This Row],[Units_Sold]]/$Z$1)</f>
        <v>0.80701540836861563</v>
      </c>
      <c r="X643" s="8">
        <f>((Table1[[#This Row],[Units_Sold]]*(Table1[[#This Row],[Selling_Price_per_Unit]]-Table1[[#This Row],[Manufacturing_Cost_per_Unit]]))-Table1[[#This Row],[Marketing_Spend]])/Table1[[#This Row],[Marketing_Spend]]</f>
        <v>62.435857295872125</v>
      </c>
    </row>
    <row r="644" spans="1:24" hidden="1" x14ac:dyDescent="0.3">
      <c r="A644" s="1" t="s">
        <v>661</v>
      </c>
      <c r="B644" s="1" t="s">
        <v>1191</v>
      </c>
      <c r="C644" s="1" t="s">
        <v>1634</v>
      </c>
      <c r="D644" s="1" t="s">
        <v>1637</v>
      </c>
      <c r="E644" s="1">
        <v>2023</v>
      </c>
      <c r="F644" s="1" t="s">
        <v>1640</v>
      </c>
      <c r="G644" s="1">
        <v>766</v>
      </c>
      <c r="H644" s="1">
        <v>1781</v>
      </c>
      <c r="I644" s="1">
        <v>11916</v>
      </c>
      <c r="J644" s="1">
        <v>298933</v>
      </c>
      <c r="K644" s="1">
        <v>4.8899999999999997</v>
      </c>
      <c r="L644" s="1">
        <v>14</v>
      </c>
      <c r="M644" s="1">
        <v>6.8</v>
      </c>
      <c r="N644" s="1">
        <v>16.8</v>
      </c>
      <c r="O644" s="1">
        <v>76.38</v>
      </c>
      <c r="P644" s="1">
        <v>1.5</v>
      </c>
      <c r="Q644" s="1">
        <v>8202</v>
      </c>
      <c r="R644" s="1">
        <v>375</v>
      </c>
      <c r="S644" s="1">
        <v>7</v>
      </c>
      <c r="T644" s="1">
        <f>(Table1[[#This Row],[Selling_Price_per_Unit]]-Table1[[#This Row],[Manufacturing_Cost_per_Unit]])*Table1[[#This Row],[Units_Sold]]-Table1[[#This Row],[Marketing_Spend]]-Table1[[#This Row],[Discount_%]]</f>
        <v>-8062359.7999999998</v>
      </c>
      <c r="U644" s="3">
        <f>Table1[[#This Row],[profit]]/(Table1[[#This Row],[Units_Sold]]*Table1[[#This Row],[Selling_Price_per_Unit]])*100</f>
        <v>-590.97551321389255</v>
      </c>
      <c r="V644" s="6">
        <f>Table1[[#This Row],[Units_Sold]]*Table1[[#This Row],[Selling_Price_per_Unit]]</f>
        <v>1364246</v>
      </c>
      <c r="W644" s="7">
        <f>(Table1[[#This Row],[Units_Sold]]/$Z$1)</f>
        <v>0.15335494984131967</v>
      </c>
      <c r="X644" s="8">
        <f>((Table1[[#This Row],[Units_Sold]]*(Table1[[#This Row],[Selling_Price_per_Unit]]-Table1[[#This Row],[Manufacturing_Cost_per_Unit]]))-Table1[[#This Row],[Marketing_Spend]])/Table1[[#This Row],[Marketing_Spend]]</f>
        <v>-26.970401394292367</v>
      </c>
    </row>
    <row r="645" spans="1:24" x14ac:dyDescent="0.3">
      <c r="A645" s="1" t="s">
        <v>89</v>
      </c>
      <c r="B645" s="1" t="s">
        <v>1086</v>
      </c>
      <c r="C645" s="1" t="s">
        <v>1633</v>
      </c>
      <c r="D645" s="1" t="s">
        <v>1637</v>
      </c>
      <c r="E645" s="1">
        <v>2024</v>
      </c>
      <c r="F645" s="1" t="s">
        <v>1639</v>
      </c>
      <c r="G645" s="1">
        <v>3848</v>
      </c>
      <c r="H645" s="1">
        <v>15789</v>
      </c>
      <c r="I645" s="1">
        <v>9416</v>
      </c>
      <c r="J645" s="1">
        <v>386781</v>
      </c>
      <c r="K645" s="1">
        <v>2.93</v>
      </c>
      <c r="L645" s="1">
        <v>19</v>
      </c>
      <c r="M645" s="1">
        <v>8.59</v>
      </c>
      <c r="N645" s="1">
        <v>0.09</v>
      </c>
      <c r="O645" s="1">
        <v>32.979999999999997</v>
      </c>
      <c r="P645" s="1">
        <v>2.4</v>
      </c>
      <c r="Q645" s="1">
        <v>16169</v>
      </c>
      <c r="R645" s="1">
        <v>1132</v>
      </c>
      <c r="S645" s="1">
        <v>3</v>
      </c>
      <c r="T645" s="1">
        <f>(Table1[[#This Row],[Selling_Price_per_Unit]]-Table1[[#This Row],[Manufacturing_Cost_per_Unit]])*Table1[[#This Row],[Units_Sold]]-Table1[[#This Row],[Marketing_Spend]]-Table1[[#This Row],[Discount_%]]</f>
        <v>24136522.91</v>
      </c>
      <c r="U645" s="3">
        <f>Table1[[#This Row],[profit]]/(Table1[[#This Row],[Units_Sold]]*Table1[[#This Row],[Selling_Price_per_Unit]])*100</f>
        <v>39.726931178170965</v>
      </c>
      <c r="V645" s="6">
        <f>Table1[[#This Row],[Units_Sold]]*Table1[[#This Row],[Selling_Price_per_Unit]]</f>
        <v>60756072</v>
      </c>
      <c r="W645" s="7">
        <f>(Table1[[#This Row],[Units_Sold]]/$Z$1)</f>
        <v>0.77037839032558497</v>
      </c>
      <c r="X645" s="8">
        <f>((Table1[[#This Row],[Units_Sold]]*(Table1[[#This Row],[Selling_Price_per_Unit]]-Table1[[#This Row],[Manufacturing_Cost_per_Unit]]))-Table1[[#This Row],[Marketing_Spend]])/Table1[[#This Row],[Marketing_Spend]]</f>
        <v>62.403590145327719</v>
      </c>
    </row>
    <row r="646" spans="1:24" x14ac:dyDescent="0.3">
      <c r="A646" s="1" t="s">
        <v>20</v>
      </c>
      <c r="B646" s="1" t="s">
        <v>1020</v>
      </c>
      <c r="C646" s="1" t="s">
        <v>1633</v>
      </c>
      <c r="D646" s="1" t="s">
        <v>1636</v>
      </c>
      <c r="E646" s="1">
        <v>2023</v>
      </c>
      <c r="F646" s="1" t="s">
        <v>1639</v>
      </c>
      <c r="G646" s="1">
        <v>3822</v>
      </c>
      <c r="H646" s="1">
        <v>14990</v>
      </c>
      <c r="I646" s="1">
        <v>8670</v>
      </c>
      <c r="J646" s="1">
        <v>426742</v>
      </c>
      <c r="K646" s="1">
        <v>10.4</v>
      </c>
      <c r="L646" s="1">
        <v>5</v>
      </c>
      <c r="M646" s="1">
        <v>4.74</v>
      </c>
      <c r="N646" s="1">
        <v>22.65</v>
      </c>
      <c r="O646" s="1">
        <v>11.99</v>
      </c>
      <c r="P646" s="1">
        <v>1.4</v>
      </c>
      <c r="Q646" s="1">
        <v>20164</v>
      </c>
      <c r="R646" s="1">
        <v>9362</v>
      </c>
      <c r="S646" s="1">
        <v>5</v>
      </c>
      <c r="T646" s="1">
        <f>(Table1[[#This Row],[Selling_Price_per_Unit]]-Table1[[#This Row],[Manufacturing_Cost_per_Unit]])*Table1[[#This Row],[Units_Sold]]-Table1[[#This Row],[Marketing_Spend]]-Table1[[#This Row],[Discount_%]]</f>
        <v>23728275.350000001</v>
      </c>
      <c r="U646" s="3">
        <f>Table1[[#This Row],[profit]]/(Table1[[#This Row],[Units_Sold]]*Table1[[#This Row],[Selling_Price_per_Unit]])*100</f>
        <v>41.416544135999963</v>
      </c>
      <c r="V646" s="6">
        <f>Table1[[#This Row],[Units_Sold]]*Table1[[#This Row],[Selling_Price_per_Unit]]</f>
        <v>57291780</v>
      </c>
      <c r="W646" s="7">
        <f>(Table1[[#This Row],[Units_Sold]]/$Z$1)</f>
        <v>0.76517313093149308</v>
      </c>
      <c r="X646" s="8">
        <f>((Table1[[#This Row],[Units_Sold]]*(Table1[[#This Row],[Selling_Price_per_Unit]]-Table1[[#This Row],[Manufacturing_Cost_per_Unit]]))-Table1[[#This Row],[Marketing_Spend]])/Table1[[#This Row],[Marketing_Spend]]</f>
        <v>55.603380965548268</v>
      </c>
    </row>
    <row r="647" spans="1:24" hidden="1" x14ac:dyDescent="0.3">
      <c r="A647" s="1" t="s">
        <v>664</v>
      </c>
      <c r="B647" s="1" t="s">
        <v>1477</v>
      </c>
      <c r="C647" s="1" t="s">
        <v>1633</v>
      </c>
      <c r="D647" s="1" t="s">
        <v>1638</v>
      </c>
      <c r="E647" s="1">
        <v>2023</v>
      </c>
      <c r="F647" s="1" t="s">
        <v>1642</v>
      </c>
      <c r="G647" s="1">
        <v>1873</v>
      </c>
      <c r="H647" s="1">
        <v>2558</v>
      </c>
      <c r="I647" s="1">
        <v>14737</v>
      </c>
      <c r="J647" s="1">
        <v>224037</v>
      </c>
      <c r="K647" s="1">
        <v>1.95</v>
      </c>
      <c r="L647" s="1">
        <v>17</v>
      </c>
      <c r="M647" s="1">
        <v>9.42</v>
      </c>
      <c r="N647" s="1">
        <v>20.63</v>
      </c>
      <c r="O647" s="1">
        <v>20.25</v>
      </c>
      <c r="P647" s="1">
        <v>4.5</v>
      </c>
      <c r="Q647" s="1">
        <v>1658</v>
      </c>
      <c r="R647" s="1">
        <v>9693</v>
      </c>
      <c r="S647" s="1">
        <v>8</v>
      </c>
      <c r="T647" s="1">
        <f>(Table1[[#This Row],[Selling_Price_per_Unit]]-Table1[[#This Row],[Manufacturing_Cost_per_Unit]])*Table1[[#This Row],[Units_Sold]]-Table1[[#This Row],[Marketing_Spend]]-Table1[[#This Row],[Discount_%]]</f>
        <v>-23035324.629999999</v>
      </c>
      <c r="U647" s="3">
        <f>Table1[[#This Row],[profit]]/(Table1[[#This Row],[Units_Sold]]*Table1[[#This Row],[Selling_Price_per_Unit]])*100</f>
        <v>-480.79065686745554</v>
      </c>
      <c r="V647" s="6">
        <f>Table1[[#This Row],[Units_Sold]]*Table1[[#This Row],[Selling_Price_per_Unit]]</f>
        <v>4791134</v>
      </c>
      <c r="W647" s="7">
        <f>(Table1[[#This Row],[Units_Sold]]/$Z$1)</f>
        <v>0.37497887865899704</v>
      </c>
      <c r="X647" s="8">
        <f>((Table1[[#This Row],[Units_Sold]]*(Table1[[#This Row],[Selling_Price_per_Unit]]-Table1[[#This Row],[Manufacturing_Cost_per_Unit]]))-Table1[[#This Row],[Marketing_Spend]])/Table1[[#This Row],[Marketing_Spend]]</f>
        <v>-102.81919504367582</v>
      </c>
    </row>
    <row r="648" spans="1:24" hidden="1" x14ac:dyDescent="0.3">
      <c r="A648" s="1" t="s">
        <v>754</v>
      </c>
      <c r="B648" s="1" t="s">
        <v>1167</v>
      </c>
      <c r="C648" s="1" t="s">
        <v>1634</v>
      </c>
      <c r="D648" s="1" t="s">
        <v>1635</v>
      </c>
      <c r="E648" s="1">
        <v>2023</v>
      </c>
      <c r="F648" s="1" t="s">
        <v>1639</v>
      </c>
      <c r="G648" s="1">
        <v>2105</v>
      </c>
      <c r="H648" s="1">
        <v>19324</v>
      </c>
      <c r="I648" s="1">
        <v>7896</v>
      </c>
      <c r="J648" s="1">
        <v>386851</v>
      </c>
      <c r="K648" s="1">
        <v>3.95</v>
      </c>
      <c r="L648" s="1">
        <v>7</v>
      </c>
      <c r="M648" s="1">
        <v>9.86</v>
      </c>
      <c r="N648" s="1">
        <v>15.45</v>
      </c>
      <c r="O648" s="1">
        <v>77.44</v>
      </c>
      <c r="P648" s="1">
        <v>2.7</v>
      </c>
      <c r="Q648" s="1">
        <v>5425</v>
      </c>
      <c r="R648" s="1">
        <v>1585</v>
      </c>
      <c r="S648" s="1">
        <v>13</v>
      </c>
      <c r="T648" s="1">
        <f>(Table1[[#This Row],[Selling_Price_per_Unit]]-Table1[[#This Row],[Manufacturing_Cost_per_Unit]])*Table1[[#This Row],[Units_Sold]]-Table1[[#This Row],[Marketing_Spend]]-Table1[[#This Row],[Discount_%]]</f>
        <v>23669073.550000001</v>
      </c>
      <c r="U648" s="3">
        <f>Table1[[#This Row],[profit]]/(Table1[[#This Row],[Units_Sold]]*Table1[[#This Row],[Selling_Price_per_Unit]])*100</f>
        <v>58.187825828932404</v>
      </c>
      <c r="V648" s="6">
        <f>Table1[[#This Row],[Units_Sold]]*Table1[[#This Row],[Selling_Price_per_Unit]]</f>
        <v>40677020</v>
      </c>
      <c r="W648" s="7">
        <f>(Table1[[#This Row],[Units_Sold]]/$Z$1)</f>
        <v>0.42142580863704687</v>
      </c>
      <c r="X648" s="8">
        <f>((Table1[[#This Row],[Units_Sold]]*(Table1[[#This Row],[Selling_Price_per_Unit]]-Table1[[#This Row],[Manufacturing_Cost_per_Unit]]))-Table1[[#This Row],[Marketing_Spend]])/Table1[[#This Row],[Marketing_Spend]]</f>
        <v>61.183993320425692</v>
      </c>
    </row>
    <row r="649" spans="1:24" hidden="1" x14ac:dyDescent="0.3">
      <c r="A649" s="1" t="s">
        <v>666</v>
      </c>
      <c r="B649" s="1" t="s">
        <v>1407</v>
      </c>
      <c r="C649" s="1" t="s">
        <v>1634</v>
      </c>
      <c r="D649" s="1" t="s">
        <v>1635</v>
      </c>
      <c r="E649" s="1">
        <v>2023</v>
      </c>
      <c r="F649" s="1" t="s">
        <v>1640</v>
      </c>
      <c r="G649" s="1">
        <v>3469</v>
      </c>
      <c r="H649" s="1">
        <v>6678</v>
      </c>
      <c r="I649" s="1">
        <v>4935</v>
      </c>
      <c r="J649" s="1">
        <v>482995</v>
      </c>
      <c r="K649" s="1">
        <v>5.33</v>
      </c>
      <c r="L649" s="1">
        <v>10</v>
      </c>
      <c r="M649" s="1">
        <v>0.24</v>
      </c>
      <c r="N649" s="1">
        <v>10.35</v>
      </c>
      <c r="O649" s="1">
        <v>59.57</v>
      </c>
      <c r="P649" s="1">
        <v>3.9</v>
      </c>
      <c r="Q649" s="1">
        <v>6729</v>
      </c>
      <c r="R649" s="1">
        <v>4150</v>
      </c>
      <c r="S649" s="1">
        <v>6</v>
      </c>
      <c r="T649" s="1">
        <f>(Table1[[#This Row],[Selling_Price_per_Unit]]-Table1[[#This Row],[Manufacturing_Cost_per_Unit]])*Table1[[#This Row],[Units_Sold]]-Table1[[#This Row],[Marketing_Spend]]-Table1[[#This Row],[Discount_%]]</f>
        <v>5563461.6500000004</v>
      </c>
      <c r="U649" s="3">
        <f>Table1[[#This Row],[profit]]/(Table1[[#This Row],[Units_Sold]]*Table1[[#This Row],[Selling_Price_per_Unit]])*100</f>
        <v>24.015652131647172</v>
      </c>
      <c r="V649" s="6">
        <f>Table1[[#This Row],[Units_Sold]]*Table1[[#This Row],[Selling_Price_per_Unit]]</f>
        <v>23165982</v>
      </c>
      <c r="W649" s="7">
        <f>(Table1[[#This Row],[Units_Sold]]/$Z$1)</f>
        <v>0.69450172454247772</v>
      </c>
      <c r="X649" s="8">
        <f>((Table1[[#This Row],[Units_Sold]]*(Table1[[#This Row],[Selling_Price_per_Unit]]-Table1[[#This Row],[Manufacturing_Cost_per_Unit]]))-Table1[[#This Row],[Marketing_Spend]])/Table1[[#This Row],[Marketing_Spend]]</f>
        <v>11.518694810505284</v>
      </c>
    </row>
    <row r="650" spans="1:24" hidden="1" x14ac:dyDescent="0.3">
      <c r="A650" s="1" t="s">
        <v>667</v>
      </c>
      <c r="B650" s="1" t="s">
        <v>1479</v>
      </c>
      <c r="C650" s="1" t="s">
        <v>1632</v>
      </c>
      <c r="D650" s="1" t="s">
        <v>1636</v>
      </c>
      <c r="E650" s="1">
        <v>2023</v>
      </c>
      <c r="F650" s="1" t="s">
        <v>1641</v>
      </c>
      <c r="G650" s="1">
        <v>1624</v>
      </c>
      <c r="H650" s="1">
        <v>8480</v>
      </c>
      <c r="I650" s="1">
        <v>7429</v>
      </c>
      <c r="J650" s="1">
        <v>344025</v>
      </c>
      <c r="K650" s="1">
        <v>10.11</v>
      </c>
      <c r="L650" s="1">
        <v>13</v>
      </c>
      <c r="M650" s="1">
        <v>5.34</v>
      </c>
      <c r="N650" s="1">
        <v>17.45</v>
      </c>
      <c r="O650" s="1">
        <v>64.040000000000006</v>
      </c>
      <c r="P650" s="1">
        <v>4.5</v>
      </c>
      <c r="Q650" s="1">
        <v>9456</v>
      </c>
      <c r="R650" s="1">
        <v>8180</v>
      </c>
      <c r="S650" s="1">
        <v>10</v>
      </c>
      <c r="T650" s="1">
        <f>(Table1[[#This Row],[Selling_Price_per_Unit]]-Table1[[#This Row],[Manufacturing_Cost_per_Unit]])*Table1[[#This Row],[Units_Sold]]-Table1[[#This Row],[Marketing_Spend]]-Table1[[#This Row],[Discount_%]]</f>
        <v>1362781.55</v>
      </c>
      <c r="U650" s="3">
        <f>Table1[[#This Row],[profit]]/(Table1[[#This Row],[Units_Sold]]*Table1[[#This Row],[Selling_Price_per_Unit]])*100</f>
        <v>9.8956509521098628</v>
      </c>
      <c r="V650" s="6">
        <f>Table1[[#This Row],[Units_Sold]]*Table1[[#This Row],[Selling_Price_per_Unit]]</f>
        <v>13771520</v>
      </c>
      <c r="W650" s="7">
        <f>(Table1[[#This Row],[Units_Sold]]/$Z$1)</f>
        <v>0.32512850984634872</v>
      </c>
      <c r="X650" s="8">
        <f>((Table1[[#This Row],[Units_Sold]]*(Table1[[#This Row],[Selling_Price_per_Unit]]-Table1[[#This Row],[Manufacturing_Cost_per_Unit]]))-Table1[[#This Row],[Marketing_Spend]])/Table1[[#This Row],[Marketing_Spend]]</f>
        <v>3.9613371121284788</v>
      </c>
    </row>
    <row r="651" spans="1:24" hidden="1" x14ac:dyDescent="0.3">
      <c r="A651" s="1" t="s">
        <v>668</v>
      </c>
      <c r="B651" s="1" t="s">
        <v>1480</v>
      </c>
      <c r="C651" s="1" t="s">
        <v>1632</v>
      </c>
      <c r="D651" s="1" t="s">
        <v>1637</v>
      </c>
      <c r="E651" s="1">
        <v>2024</v>
      </c>
      <c r="F651" s="1" t="s">
        <v>1641</v>
      </c>
      <c r="G651" s="1">
        <v>299</v>
      </c>
      <c r="H651" s="1">
        <v>10700</v>
      </c>
      <c r="I651" s="1">
        <v>11968</v>
      </c>
      <c r="J651" s="1">
        <v>263666</v>
      </c>
      <c r="K651" s="1">
        <v>0.94</v>
      </c>
      <c r="L651" s="1">
        <v>17</v>
      </c>
      <c r="M651" s="1">
        <v>6.88</v>
      </c>
      <c r="N651" s="1">
        <v>6.71</v>
      </c>
      <c r="O651" s="1">
        <v>72.19</v>
      </c>
      <c r="P651" s="1">
        <v>1.4</v>
      </c>
      <c r="Q651" s="1">
        <v>14066</v>
      </c>
      <c r="R651" s="1">
        <v>3560</v>
      </c>
      <c r="S651" s="1">
        <v>7</v>
      </c>
      <c r="T651" s="1">
        <f>(Table1[[#This Row],[Selling_Price_per_Unit]]-Table1[[#This Row],[Manufacturing_Cost_per_Unit]])*Table1[[#This Row],[Units_Sold]]-Table1[[#This Row],[Marketing_Spend]]-Table1[[#This Row],[Discount_%]]</f>
        <v>-642804.71</v>
      </c>
      <c r="U651" s="3">
        <f>Table1[[#This Row],[profit]]/(Table1[[#This Row],[Units_Sold]]*Table1[[#This Row],[Selling_Price_per_Unit]])*100</f>
        <v>-20.092042321757884</v>
      </c>
      <c r="V651" s="6">
        <f>Table1[[#This Row],[Units_Sold]]*Table1[[#This Row],[Selling_Price_per_Unit]]</f>
        <v>3199300</v>
      </c>
      <c r="W651" s="7">
        <f>(Table1[[#This Row],[Units_Sold]]/$Z$1)</f>
        <v>5.9860483032055586E-2</v>
      </c>
      <c r="X651" s="8">
        <f>((Table1[[#This Row],[Units_Sold]]*(Table1[[#This Row],[Selling_Price_per_Unit]]-Table1[[#This Row],[Manufacturing_Cost_per_Unit]]))-Table1[[#This Row],[Marketing_Spend]])/Table1[[#This Row],[Marketing_Spend]]</f>
        <v>-2.4379252539197318</v>
      </c>
    </row>
    <row r="652" spans="1:24" hidden="1" x14ac:dyDescent="0.3">
      <c r="A652" s="1" t="s">
        <v>669</v>
      </c>
      <c r="B652" s="1" t="s">
        <v>1481</v>
      </c>
      <c r="C652" s="1" t="s">
        <v>1632</v>
      </c>
      <c r="D652" s="1" t="s">
        <v>1635</v>
      </c>
      <c r="E652" s="1">
        <v>2024</v>
      </c>
      <c r="F652" s="1" t="s">
        <v>1639</v>
      </c>
      <c r="G652" s="1">
        <v>723</v>
      </c>
      <c r="H652" s="1">
        <v>2729</v>
      </c>
      <c r="I652" s="1">
        <v>11259</v>
      </c>
      <c r="J652" s="1">
        <v>336616</v>
      </c>
      <c r="K652" s="1">
        <v>3.16</v>
      </c>
      <c r="L652" s="1">
        <v>18</v>
      </c>
      <c r="M652" s="1">
        <v>7.49</v>
      </c>
      <c r="N652" s="1">
        <v>24.98</v>
      </c>
      <c r="O652" s="1">
        <v>54.53</v>
      </c>
      <c r="P652" s="1">
        <v>2.7</v>
      </c>
      <c r="Q652" s="1">
        <v>4026</v>
      </c>
      <c r="R652" s="1">
        <v>3935</v>
      </c>
      <c r="S652" s="1">
        <v>11</v>
      </c>
      <c r="T652" s="1">
        <f>(Table1[[#This Row],[Selling_Price_per_Unit]]-Table1[[#This Row],[Manufacturing_Cost_per_Unit]])*Table1[[#This Row],[Units_Sold]]-Table1[[#This Row],[Marketing_Spend]]-Table1[[#This Row],[Discount_%]]</f>
        <v>-6503830.9800000004</v>
      </c>
      <c r="U652" s="3">
        <f>Table1[[#This Row],[profit]]/(Table1[[#This Row],[Units_Sold]]*Table1[[#This Row],[Selling_Price_per_Unit]])*100</f>
        <v>-329.63051837570652</v>
      </c>
      <c r="V652" s="6">
        <f>Table1[[#This Row],[Units_Sold]]*Table1[[#This Row],[Selling_Price_per_Unit]]</f>
        <v>1973067</v>
      </c>
      <c r="W652" s="7">
        <f>(Table1[[#This Row],[Units_Sold]]/$Z$1)</f>
        <v>0.14474625161262938</v>
      </c>
      <c r="X652" s="8">
        <f>((Table1[[#This Row],[Units_Sold]]*(Table1[[#This Row],[Selling_Price_per_Unit]]-Table1[[#This Row],[Manufacturing_Cost_per_Unit]]))-Table1[[#This Row],[Marketing_Spend]])/Table1[[#This Row],[Marketing_Spend]]</f>
        <v>-19.321143379993821</v>
      </c>
    </row>
    <row r="653" spans="1:24" hidden="1" x14ac:dyDescent="0.3">
      <c r="A653" s="1" t="s">
        <v>138</v>
      </c>
      <c r="B653" s="1" t="s">
        <v>1132</v>
      </c>
      <c r="C653" s="1" t="s">
        <v>1632</v>
      </c>
      <c r="D653" s="1" t="s">
        <v>1636</v>
      </c>
      <c r="E653" s="1">
        <v>2023</v>
      </c>
      <c r="F653" s="1" t="s">
        <v>1641</v>
      </c>
      <c r="G653" s="1">
        <v>3292</v>
      </c>
      <c r="H653" s="1">
        <v>18225</v>
      </c>
      <c r="I653" s="1">
        <v>10942</v>
      </c>
      <c r="J653" s="1">
        <v>405691</v>
      </c>
      <c r="K653" s="1">
        <v>0.78</v>
      </c>
      <c r="L653" s="1">
        <v>14</v>
      </c>
      <c r="M653" s="1">
        <v>9.81</v>
      </c>
      <c r="N653" s="1">
        <v>6.09</v>
      </c>
      <c r="O653" s="1">
        <v>57.81</v>
      </c>
      <c r="P653" s="1">
        <v>1.3</v>
      </c>
      <c r="Q653" s="1">
        <v>5310</v>
      </c>
      <c r="R653" s="1">
        <v>379</v>
      </c>
      <c r="S653" s="1">
        <v>4</v>
      </c>
      <c r="T653" s="1">
        <f>(Table1[[#This Row],[Selling_Price_per_Unit]]-Table1[[#This Row],[Manufacturing_Cost_per_Unit]])*Table1[[#This Row],[Units_Sold]]-Table1[[#This Row],[Marketing_Spend]]-Table1[[#This Row],[Discount_%]]</f>
        <v>23569938.91</v>
      </c>
      <c r="U653" s="3">
        <f>Table1[[#This Row],[profit]]/(Table1[[#This Row],[Units_Sold]]*Table1[[#This Row],[Selling_Price_per_Unit]])*100</f>
        <v>39.285392213238396</v>
      </c>
      <c r="V653" s="6">
        <f>Table1[[#This Row],[Units_Sold]]*Table1[[#This Row],[Selling_Price_per_Unit]]</f>
        <v>59996700</v>
      </c>
      <c r="W653" s="7">
        <f>(Table1[[#This Row],[Units_Sold]]/$Z$1)</f>
        <v>0.65906592020577592</v>
      </c>
      <c r="X653" s="8">
        <f>((Table1[[#This Row],[Units_Sold]]*(Table1[[#This Row],[Selling_Price_per_Unit]]-Table1[[#This Row],[Manufacturing_Cost_per_Unit]]))-Table1[[#This Row],[Marketing_Spend]])/Table1[[#This Row],[Marketing_Spend]]</f>
        <v>58.09826937250272</v>
      </c>
    </row>
    <row r="654" spans="1:24" hidden="1" x14ac:dyDescent="0.3">
      <c r="A654" s="1" t="s">
        <v>671</v>
      </c>
      <c r="B654" s="1" t="s">
        <v>1482</v>
      </c>
      <c r="C654" s="1" t="s">
        <v>1634</v>
      </c>
      <c r="D654" s="1" t="s">
        <v>1635</v>
      </c>
      <c r="E654" s="1">
        <v>2024</v>
      </c>
      <c r="F654" s="1" t="s">
        <v>1639</v>
      </c>
      <c r="G654" s="1">
        <v>2215</v>
      </c>
      <c r="H654" s="1">
        <v>3789</v>
      </c>
      <c r="I654" s="1">
        <v>5910</v>
      </c>
      <c r="J654" s="1">
        <v>281440</v>
      </c>
      <c r="K654" s="1">
        <v>2.2000000000000002</v>
      </c>
      <c r="L654" s="1">
        <v>8</v>
      </c>
      <c r="M654" s="1">
        <v>8.67</v>
      </c>
      <c r="N654" s="1">
        <v>0.25</v>
      </c>
      <c r="O654" s="1">
        <v>11.08</v>
      </c>
      <c r="P654" s="1">
        <v>4.3</v>
      </c>
      <c r="Q654" s="1">
        <v>8074</v>
      </c>
      <c r="R654" s="1">
        <v>1944</v>
      </c>
      <c r="S654" s="1">
        <v>11</v>
      </c>
      <c r="T654" s="1">
        <f>(Table1[[#This Row],[Selling_Price_per_Unit]]-Table1[[#This Row],[Manufacturing_Cost_per_Unit]])*Table1[[#This Row],[Units_Sold]]-Table1[[#This Row],[Marketing_Spend]]-Table1[[#This Row],[Discount_%]]</f>
        <v>-4979455.25</v>
      </c>
      <c r="U654" s="3">
        <f>Table1[[#This Row],[profit]]/(Table1[[#This Row],[Units_Sold]]*Table1[[#This Row],[Selling_Price_per_Unit]])*100</f>
        <v>-59.331249959041465</v>
      </c>
      <c r="V654" s="6">
        <f>Table1[[#This Row],[Units_Sold]]*Table1[[#This Row],[Selling_Price_per_Unit]]</f>
        <v>8392635</v>
      </c>
      <c r="W654" s="7">
        <f>(Table1[[#This Row],[Units_Sold]]/$Z$1)</f>
        <v>0.4434480599197429</v>
      </c>
      <c r="X654" s="8">
        <f>((Table1[[#This Row],[Units_Sold]]*(Table1[[#This Row],[Selling_Price_per_Unit]]-Table1[[#This Row],[Manufacturing_Cost_per_Unit]]))-Table1[[#This Row],[Marketing_Spend]])/Table1[[#This Row],[Marketing_Spend]]</f>
        <v>-17.692776435474702</v>
      </c>
    </row>
    <row r="655" spans="1:24" hidden="1" x14ac:dyDescent="0.3">
      <c r="A655" s="1" t="s">
        <v>672</v>
      </c>
      <c r="B655" s="1" t="s">
        <v>1070</v>
      </c>
      <c r="C655" s="1" t="s">
        <v>1633</v>
      </c>
      <c r="D655" s="1" t="s">
        <v>1636</v>
      </c>
      <c r="E655" s="1">
        <v>2023</v>
      </c>
      <c r="F655" s="1" t="s">
        <v>1639</v>
      </c>
      <c r="G655" s="1">
        <v>820</v>
      </c>
      <c r="H655" s="1">
        <v>2739</v>
      </c>
      <c r="I655" s="1">
        <v>7967</v>
      </c>
      <c r="J655" s="1">
        <v>307803</v>
      </c>
      <c r="K655" s="1">
        <v>5.14</v>
      </c>
      <c r="L655" s="1">
        <v>7</v>
      </c>
      <c r="M655" s="1">
        <v>9.56</v>
      </c>
      <c r="N655" s="1">
        <v>3.72</v>
      </c>
      <c r="O655" s="1">
        <v>22.97</v>
      </c>
      <c r="P655" s="1">
        <v>3</v>
      </c>
      <c r="Q655" s="1">
        <v>10233</v>
      </c>
      <c r="R655" s="1">
        <v>171</v>
      </c>
      <c r="S655" s="1">
        <v>5</v>
      </c>
      <c r="T655" s="1">
        <f>(Table1[[#This Row],[Selling_Price_per_Unit]]-Table1[[#This Row],[Manufacturing_Cost_per_Unit]])*Table1[[#This Row],[Units_Sold]]-Table1[[#This Row],[Marketing_Spend]]-Table1[[#This Row],[Discount_%]]</f>
        <v>-4594766.72</v>
      </c>
      <c r="U655" s="3">
        <f>Table1[[#This Row],[profit]]/(Table1[[#This Row],[Units_Sold]]*Table1[[#This Row],[Selling_Price_per_Unit]])*100</f>
        <v>-204.57736578242015</v>
      </c>
      <c r="V655" s="6">
        <f>Table1[[#This Row],[Units_Sold]]*Table1[[#This Row],[Selling_Price_per_Unit]]</f>
        <v>2245980</v>
      </c>
      <c r="W655" s="7">
        <f>(Table1[[#This Row],[Units_Sold]]/$Z$1)</f>
        <v>0.16416587319827952</v>
      </c>
      <c r="X655" s="8">
        <f>((Table1[[#This Row],[Units_Sold]]*(Table1[[#This Row],[Selling_Price_per_Unit]]-Table1[[#This Row],[Manufacturing_Cost_per_Unit]]))-Table1[[#This Row],[Marketing_Spend]])/Table1[[#This Row],[Marketing_Spend]]</f>
        <v>-14.927609542467097</v>
      </c>
    </row>
    <row r="656" spans="1:24" hidden="1" x14ac:dyDescent="0.3">
      <c r="A656" s="1" t="s">
        <v>306</v>
      </c>
      <c r="B656" s="1" t="s">
        <v>1271</v>
      </c>
      <c r="C656" s="1" t="s">
        <v>1633</v>
      </c>
      <c r="D656" s="1" t="s">
        <v>1636</v>
      </c>
      <c r="E656" s="1">
        <v>2023</v>
      </c>
      <c r="F656" s="1" t="s">
        <v>1640</v>
      </c>
      <c r="G656" s="1">
        <v>3470</v>
      </c>
      <c r="H656" s="1">
        <v>9745</v>
      </c>
      <c r="I656" s="1">
        <v>2959</v>
      </c>
      <c r="J656" s="1">
        <v>126021</v>
      </c>
      <c r="K656" s="1">
        <v>13.23</v>
      </c>
      <c r="L656" s="1">
        <v>3</v>
      </c>
      <c r="M656" s="1">
        <v>9.39</v>
      </c>
      <c r="N656" s="1">
        <v>0.36</v>
      </c>
      <c r="O656" s="1">
        <v>13.22</v>
      </c>
      <c r="P656" s="1">
        <v>4.4000000000000004</v>
      </c>
      <c r="Q656" s="1">
        <v>2626</v>
      </c>
      <c r="R656" s="1">
        <v>454</v>
      </c>
      <c r="S656" s="1">
        <v>6</v>
      </c>
      <c r="T656" s="1">
        <f>(Table1[[#This Row],[Selling_Price_per_Unit]]-Table1[[#This Row],[Manufacturing_Cost_per_Unit]])*Table1[[#This Row],[Units_Sold]]-Table1[[#This Row],[Marketing_Spend]]-Table1[[#This Row],[Discount_%]]</f>
        <v>23421398.640000001</v>
      </c>
      <c r="U656" s="3">
        <f>Table1[[#This Row],[profit]]/(Table1[[#This Row],[Units_Sold]]*Table1[[#This Row],[Selling_Price_per_Unit]])*100</f>
        <v>69.263033403666697</v>
      </c>
      <c r="V656" s="6">
        <f>Table1[[#This Row],[Units_Sold]]*Table1[[#This Row],[Selling_Price_per_Unit]]</f>
        <v>33815150</v>
      </c>
      <c r="W656" s="7">
        <f>(Table1[[#This Row],[Units_Sold]]/$Z$1)</f>
        <v>0.69470192682686582</v>
      </c>
      <c r="X656" s="8">
        <f>((Table1[[#This Row],[Units_Sold]]*(Table1[[#This Row],[Selling_Price_per_Unit]]-Table1[[#This Row],[Manufacturing_Cost_per_Unit]]))-Table1[[#This Row],[Marketing_Spend]])/Table1[[#This Row],[Marketing_Spend]]</f>
        <v>185.85314352369844</v>
      </c>
    </row>
    <row r="657" spans="1:24" hidden="1" x14ac:dyDescent="0.3">
      <c r="A657" s="1" t="s">
        <v>860</v>
      </c>
      <c r="B657" s="1" t="s">
        <v>1442</v>
      </c>
      <c r="C657" s="1" t="s">
        <v>1632</v>
      </c>
      <c r="D657" s="1" t="s">
        <v>1635</v>
      </c>
      <c r="E657" s="1">
        <v>2023</v>
      </c>
      <c r="F657" s="1" t="s">
        <v>1641</v>
      </c>
      <c r="G657" s="1">
        <v>2110</v>
      </c>
      <c r="H657" s="1">
        <v>19227</v>
      </c>
      <c r="I657" s="1">
        <v>7955</v>
      </c>
      <c r="J657" s="1">
        <v>474089</v>
      </c>
      <c r="K657" s="1">
        <v>14.52</v>
      </c>
      <c r="L657" s="1">
        <v>10</v>
      </c>
      <c r="M657" s="1">
        <v>9.11</v>
      </c>
      <c r="N657" s="1">
        <v>24.26</v>
      </c>
      <c r="O657" s="1">
        <v>79.989999999999995</v>
      </c>
      <c r="P657" s="1">
        <v>4.3</v>
      </c>
      <c r="Q657" s="1">
        <v>20933</v>
      </c>
      <c r="R657" s="1">
        <v>4821</v>
      </c>
      <c r="S657" s="1">
        <v>6</v>
      </c>
      <c r="T657" s="1">
        <f>(Table1[[#This Row],[Selling_Price_per_Unit]]-Table1[[#This Row],[Manufacturing_Cost_per_Unit]])*Table1[[#This Row],[Units_Sold]]-Table1[[#This Row],[Marketing_Spend]]-Table1[[#This Row],[Discount_%]]</f>
        <v>23309806.739999998</v>
      </c>
      <c r="U657" s="3">
        <f>Table1[[#This Row],[profit]]/(Table1[[#This Row],[Units_Sold]]*Table1[[#This Row],[Selling_Price_per_Unit]])*100</f>
        <v>57.457230834305129</v>
      </c>
      <c r="V657" s="6">
        <f>Table1[[#This Row],[Units_Sold]]*Table1[[#This Row],[Selling_Price_per_Unit]]</f>
        <v>40568970</v>
      </c>
      <c r="W657" s="7">
        <f>(Table1[[#This Row],[Units_Sold]]/$Z$1)</f>
        <v>0.42242682005898757</v>
      </c>
      <c r="X657" s="8">
        <f>((Table1[[#This Row],[Units_Sold]]*(Table1[[#This Row],[Selling_Price_per_Unit]]-Table1[[#This Row],[Manufacturing_Cost_per_Unit]]))-Table1[[#This Row],[Marketing_Spend]])/Table1[[#This Row],[Marketing_Spend]]</f>
        <v>49.167626753626429</v>
      </c>
    </row>
    <row r="658" spans="1:24" hidden="1" x14ac:dyDescent="0.3">
      <c r="A658" s="1" t="s">
        <v>675</v>
      </c>
      <c r="B658" s="1" t="s">
        <v>1052</v>
      </c>
      <c r="C658" s="1" t="s">
        <v>1633</v>
      </c>
      <c r="D658" s="1" t="s">
        <v>1638</v>
      </c>
      <c r="E658" s="1">
        <v>2024</v>
      </c>
      <c r="F658" s="1" t="s">
        <v>1639</v>
      </c>
      <c r="G658" s="1">
        <v>2034</v>
      </c>
      <c r="H658" s="1">
        <v>1625</v>
      </c>
      <c r="I658" s="1">
        <v>4490</v>
      </c>
      <c r="J658" s="1">
        <v>205159</v>
      </c>
      <c r="K658" s="1">
        <v>1.24</v>
      </c>
      <c r="L658" s="1">
        <v>3</v>
      </c>
      <c r="M658" s="1">
        <v>0.97</v>
      </c>
      <c r="N658" s="1">
        <v>11.19</v>
      </c>
      <c r="O658" s="1">
        <v>64.3</v>
      </c>
      <c r="P658" s="1">
        <v>2.4</v>
      </c>
      <c r="Q658" s="1">
        <v>4783</v>
      </c>
      <c r="R658" s="1">
        <v>7440</v>
      </c>
      <c r="S658" s="1">
        <v>2</v>
      </c>
      <c r="T658" s="1">
        <f>(Table1[[#This Row],[Selling_Price_per_Unit]]-Table1[[#This Row],[Manufacturing_Cost_per_Unit]])*Table1[[#This Row],[Units_Sold]]-Table1[[#This Row],[Marketing_Spend]]-Table1[[#This Row],[Discount_%]]</f>
        <v>-6032580.1900000004</v>
      </c>
      <c r="U658" s="3">
        <f>Table1[[#This Row],[profit]]/(Table1[[#This Row],[Units_Sold]]*Table1[[#This Row],[Selling_Price_per_Unit]])*100</f>
        <v>-182.51509537856441</v>
      </c>
      <c r="V658" s="6">
        <f>Table1[[#This Row],[Units_Sold]]*Table1[[#This Row],[Selling_Price_per_Unit]]</f>
        <v>3305250</v>
      </c>
      <c r="W658" s="7">
        <f>(Table1[[#This Row],[Units_Sold]]/$Z$1)</f>
        <v>0.40721144644548851</v>
      </c>
      <c r="X658" s="8">
        <f>((Table1[[#This Row],[Units_Sold]]*(Table1[[#This Row],[Selling_Price_per_Unit]]-Table1[[#This Row],[Manufacturing_Cost_per_Unit]]))-Table1[[#This Row],[Marketing_Spend]])/Table1[[#This Row],[Marketing_Spend]]</f>
        <v>-29.404359545523228</v>
      </c>
    </row>
    <row r="659" spans="1:24" hidden="1" x14ac:dyDescent="0.3">
      <c r="A659" s="1" t="s">
        <v>676</v>
      </c>
      <c r="B659" s="1" t="s">
        <v>1433</v>
      </c>
      <c r="C659" s="1" t="s">
        <v>1633</v>
      </c>
      <c r="D659" s="1" t="s">
        <v>1635</v>
      </c>
      <c r="E659" s="1">
        <v>2024</v>
      </c>
      <c r="F659" s="1" t="s">
        <v>1639</v>
      </c>
      <c r="G659" s="1">
        <v>1127</v>
      </c>
      <c r="H659" s="1">
        <v>14004</v>
      </c>
      <c r="I659" s="1">
        <v>9604</v>
      </c>
      <c r="J659" s="1">
        <v>62828</v>
      </c>
      <c r="K659" s="1">
        <v>7.27</v>
      </c>
      <c r="L659" s="1">
        <v>13</v>
      </c>
      <c r="M659" s="1">
        <v>0.56000000000000005</v>
      </c>
      <c r="N659" s="1">
        <v>23.88</v>
      </c>
      <c r="O659" s="1">
        <v>24.09</v>
      </c>
      <c r="P659" s="1">
        <v>4.5999999999999996</v>
      </c>
      <c r="Q659" s="1">
        <v>17409</v>
      </c>
      <c r="R659" s="1">
        <v>9968</v>
      </c>
      <c r="S659" s="1">
        <v>11</v>
      </c>
      <c r="T659" s="1">
        <f>(Table1[[#This Row],[Selling_Price_per_Unit]]-Table1[[#This Row],[Manufacturing_Cost_per_Unit]])*Table1[[#This Row],[Units_Sold]]-Table1[[#This Row],[Marketing_Spend]]-Table1[[#This Row],[Discount_%]]</f>
        <v>4895948.12</v>
      </c>
      <c r="U659" s="3">
        <f>Table1[[#This Row],[profit]]/(Table1[[#This Row],[Units_Sold]]*Table1[[#This Row],[Selling_Price_per_Unit]])*100</f>
        <v>31.021356808436281</v>
      </c>
      <c r="V659" s="6">
        <f>Table1[[#This Row],[Units_Sold]]*Table1[[#This Row],[Selling_Price_per_Unit]]</f>
        <v>15782508</v>
      </c>
      <c r="W659" s="7">
        <f>(Table1[[#This Row],[Units_Sold]]/$Z$1)</f>
        <v>0.22562797450544028</v>
      </c>
      <c r="X659" s="8">
        <f>((Table1[[#This Row],[Units_Sold]]*(Table1[[#This Row],[Selling_Price_per_Unit]]-Table1[[#This Row],[Manufacturing_Cost_per_Unit]]))-Table1[[#This Row],[Marketing_Spend]])/Table1[[#This Row],[Marketing_Spend]]</f>
        <v>77.926593238683395</v>
      </c>
    </row>
    <row r="660" spans="1:24" hidden="1" x14ac:dyDescent="0.3">
      <c r="A660" s="1" t="s">
        <v>677</v>
      </c>
      <c r="B660" s="1" t="s">
        <v>1484</v>
      </c>
      <c r="C660" s="1" t="s">
        <v>1634</v>
      </c>
      <c r="D660" s="1" t="s">
        <v>1638</v>
      </c>
      <c r="E660" s="1">
        <v>2023</v>
      </c>
      <c r="F660" s="1" t="s">
        <v>1642</v>
      </c>
      <c r="G660" s="1">
        <v>285</v>
      </c>
      <c r="H660" s="1">
        <v>16898</v>
      </c>
      <c r="I660" s="1">
        <v>3107</v>
      </c>
      <c r="J660" s="1">
        <v>408808</v>
      </c>
      <c r="K660" s="1">
        <v>4.54</v>
      </c>
      <c r="L660" s="1">
        <v>1</v>
      </c>
      <c r="M660" s="1">
        <v>1.29</v>
      </c>
      <c r="N660" s="1">
        <v>22.99</v>
      </c>
      <c r="O660" s="1">
        <v>67.34</v>
      </c>
      <c r="P660" s="1">
        <v>2.9</v>
      </c>
      <c r="Q660" s="1">
        <v>13302</v>
      </c>
      <c r="R660" s="1">
        <v>9587</v>
      </c>
      <c r="S660" s="1">
        <v>6</v>
      </c>
      <c r="T660" s="1">
        <f>(Table1[[#This Row],[Selling_Price_per_Unit]]-Table1[[#This Row],[Manufacturing_Cost_per_Unit]])*Table1[[#This Row],[Units_Sold]]-Table1[[#This Row],[Marketing_Spend]]-Table1[[#This Row],[Discount_%]]</f>
        <v>3521604.01</v>
      </c>
      <c r="U660" s="3">
        <f>Table1[[#This Row],[profit]]/(Table1[[#This Row],[Units_Sold]]*Table1[[#This Row],[Selling_Price_per_Unit]])*100</f>
        <v>73.124069702009791</v>
      </c>
      <c r="V660" s="6">
        <f>Table1[[#This Row],[Units_Sold]]*Table1[[#This Row],[Selling_Price_per_Unit]]</f>
        <v>4815930</v>
      </c>
      <c r="W660" s="7">
        <f>(Table1[[#This Row],[Units_Sold]]/$Z$1)</f>
        <v>5.7057651050621543E-2</v>
      </c>
      <c r="X660" s="8">
        <f>((Table1[[#This Row],[Units_Sold]]*(Table1[[#This Row],[Selling_Price_per_Unit]]-Table1[[#This Row],[Manufacturing_Cost_per_Unit]]))-Table1[[#This Row],[Marketing_Spend]])/Table1[[#This Row],[Marketing_Spend]]</f>
        <v>8.6143788771256915</v>
      </c>
    </row>
    <row r="661" spans="1:24" hidden="1" x14ac:dyDescent="0.3">
      <c r="A661" s="1" t="s">
        <v>678</v>
      </c>
      <c r="B661" s="1" t="s">
        <v>1249</v>
      </c>
      <c r="C661" s="1" t="s">
        <v>1633</v>
      </c>
      <c r="D661" s="1" t="s">
        <v>1638</v>
      </c>
      <c r="E661" s="1">
        <v>2024</v>
      </c>
      <c r="F661" s="1" t="s">
        <v>1639</v>
      </c>
      <c r="G661" s="1">
        <v>438</v>
      </c>
      <c r="H661" s="1">
        <v>8138</v>
      </c>
      <c r="I661" s="1">
        <v>7933</v>
      </c>
      <c r="J661" s="1">
        <v>182473</v>
      </c>
      <c r="K661" s="1">
        <v>8.4499999999999993</v>
      </c>
      <c r="L661" s="1">
        <v>15</v>
      </c>
      <c r="M661" s="1">
        <v>0.57999999999999996</v>
      </c>
      <c r="N661" s="1">
        <v>7.78</v>
      </c>
      <c r="O661" s="1">
        <v>66.48</v>
      </c>
      <c r="P661" s="1">
        <v>3.1</v>
      </c>
      <c r="Q661" s="1">
        <v>9396</v>
      </c>
      <c r="R661" s="1">
        <v>7735</v>
      </c>
      <c r="S661" s="1">
        <v>14</v>
      </c>
      <c r="T661" s="1">
        <f>(Table1[[#This Row],[Selling_Price_per_Unit]]-Table1[[#This Row],[Manufacturing_Cost_per_Unit]])*Table1[[#This Row],[Units_Sold]]-Table1[[#This Row],[Marketing_Spend]]-Table1[[#This Row],[Discount_%]]</f>
        <v>-92690.78</v>
      </c>
      <c r="U661" s="3">
        <f>Table1[[#This Row],[profit]]/(Table1[[#This Row],[Units_Sold]]*Table1[[#This Row],[Selling_Price_per_Unit]])*100</f>
        <v>-2.6004274439435715</v>
      </c>
      <c r="V661" s="6">
        <f>Table1[[#This Row],[Units_Sold]]*Table1[[#This Row],[Selling_Price_per_Unit]]</f>
        <v>3564444</v>
      </c>
      <c r="W661" s="7">
        <f>(Table1[[#This Row],[Units_Sold]]/$Z$1)</f>
        <v>8.7688600562007848E-2</v>
      </c>
      <c r="X661" s="8">
        <f>((Table1[[#This Row],[Units_Sold]]*(Table1[[#This Row],[Selling_Price_per_Unit]]-Table1[[#This Row],[Manufacturing_Cost_per_Unit]]))-Table1[[#This Row],[Marketing_Spend]])/Table1[[#This Row],[Marketing_Spend]]</f>
        <v>-0.507927200188521</v>
      </c>
    </row>
    <row r="662" spans="1:24" hidden="1" x14ac:dyDescent="0.3">
      <c r="A662" s="1" t="s">
        <v>679</v>
      </c>
      <c r="B662" s="1" t="s">
        <v>1485</v>
      </c>
      <c r="C662" s="1" t="s">
        <v>1633</v>
      </c>
      <c r="D662" s="1" t="s">
        <v>1638</v>
      </c>
      <c r="E662" s="1">
        <v>2024</v>
      </c>
      <c r="F662" s="1" t="s">
        <v>1641</v>
      </c>
      <c r="G662" s="1">
        <v>3087</v>
      </c>
      <c r="H662" s="1">
        <v>8070</v>
      </c>
      <c r="I662" s="1">
        <v>12005</v>
      </c>
      <c r="J662" s="1">
        <v>327337</v>
      </c>
      <c r="K662" s="1">
        <v>12.06</v>
      </c>
      <c r="L662" s="1">
        <v>2</v>
      </c>
      <c r="M662" s="1">
        <v>8.4499999999999993</v>
      </c>
      <c r="N662" s="1">
        <v>5.23</v>
      </c>
      <c r="O662" s="1">
        <v>28.74</v>
      </c>
      <c r="P662" s="1">
        <v>5</v>
      </c>
      <c r="Q662" s="1">
        <v>20303</v>
      </c>
      <c r="R662" s="1">
        <v>1143</v>
      </c>
      <c r="S662" s="1">
        <v>4</v>
      </c>
      <c r="T662" s="1">
        <f>(Table1[[#This Row],[Selling_Price_per_Unit]]-Table1[[#This Row],[Manufacturing_Cost_per_Unit]])*Table1[[#This Row],[Units_Sold]]-Table1[[#This Row],[Marketing_Spend]]-Table1[[#This Row],[Discount_%]]</f>
        <v>-12474687.23</v>
      </c>
      <c r="U662" s="3">
        <f>Table1[[#This Row],[profit]]/(Table1[[#This Row],[Units_Sold]]*Table1[[#This Row],[Selling_Price_per_Unit]])*100</f>
        <v>-50.074832059453868</v>
      </c>
      <c r="V662" s="6">
        <f>Table1[[#This Row],[Units_Sold]]*Table1[[#This Row],[Selling_Price_per_Unit]]</f>
        <v>24912090</v>
      </c>
      <c r="W662" s="7">
        <f>(Table1[[#This Row],[Units_Sold]]/$Z$1)</f>
        <v>0.61802445190620603</v>
      </c>
      <c r="X662" s="8">
        <f>((Table1[[#This Row],[Units_Sold]]*(Table1[[#This Row],[Selling_Price_per_Unit]]-Table1[[#This Row],[Manufacturing_Cost_per_Unit]]))-Table1[[#This Row],[Marketing_Spend]])/Table1[[#This Row],[Marketing_Spend]]</f>
        <v>-38.109599586970006</v>
      </c>
    </row>
    <row r="663" spans="1:24" x14ac:dyDescent="0.3">
      <c r="A663" s="1" t="s">
        <v>680</v>
      </c>
      <c r="B663" s="1" t="s">
        <v>1486</v>
      </c>
      <c r="C663" s="1" t="s">
        <v>1634</v>
      </c>
      <c r="D663" s="1" t="s">
        <v>1638</v>
      </c>
      <c r="E663" s="1">
        <v>2024</v>
      </c>
      <c r="F663" s="1" t="s">
        <v>1640</v>
      </c>
      <c r="G663" s="1">
        <v>4908</v>
      </c>
      <c r="H663" s="1">
        <v>4749</v>
      </c>
      <c r="I663" s="1">
        <v>7309</v>
      </c>
      <c r="J663" s="1">
        <v>273461</v>
      </c>
      <c r="K663" s="1">
        <v>2.06</v>
      </c>
      <c r="L663" s="1">
        <v>7</v>
      </c>
      <c r="M663" s="1">
        <v>0.59</v>
      </c>
      <c r="N663" s="1">
        <v>21.21</v>
      </c>
      <c r="O663" s="1">
        <v>31.57</v>
      </c>
      <c r="P663" s="1">
        <v>4.4000000000000004</v>
      </c>
      <c r="Q663" s="1">
        <v>15026</v>
      </c>
      <c r="R663" s="1">
        <v>3142</v>
      </c>
      <c r="S663" s="1">
        <v>6</v>
      </c>
      <c r="T663" s="1">
        <f>(Table1[[#This Row],[Selling_Price_per_Unit]]-Table1[[#This Row],[Manufacturing_Cost_per_Unit]])*Table1[[#This Row],[Units_Sold]]-Table1[[#This Row],[Marketing_Spend]]-Table1[[#This Row],[Discount_%]]</f>
        <v>-12837962.210000001</v>
      </c>
      <c r="U663" s="3">
        <f>Table1[[#This Row],[profit]]/(Table1[[#This Row],[Units_Sold]]*Table1[[#This Row],[Selling_Price_per_Unit]])*100</f>
        <v>-55.079421387216087</v>
      </c>
      <c r="V663" s="6">
        <f>Table1[[#This Row],[Units_Sold]]*Table1[[#This Row],[Selling_Price_per_Unit]]</f>
        <v>23308092</v>
      </c>
      <c r="W663" s="7">
        <f>(Table1[[#This Row],[Units_Sold]]/$Z$1)</f>
        <v>0.9825928117770194</v>
      </c>
      <c r="X663" s="8">
        <f>((Table1[[#This Row],[Units_Sold]]*(Table1[[#This Row],[Selling_Price_per_Unit]]-Table1[[#This Row],[Manufacturing_Cost_per_Unit]]))-Table1[[#This Row],[Marketing_Spend]])/Table1[[#This Row],[Marketing_Spend]]</f>
        <v>-46.946149542347904</v>
      </c>
    </row>
    <row r="664" spans="1:24" hidden="1" x14ac:dyDescent="0.3">
      <c r="A664" s="1" t="s">
        <v>681</v>
      </c>
      <c r="B664" s="1" t="s">
        <v>1487</v>
      </c>
      <c r="C664" s="1" t="s">
        <v>1634</v>
      </c>
      <c r="D664" s="1" t="s">
        <v>1638</v>
      </c>
      <c r="E664" s="1">
        <v>2024</v>
      </c>
      <c r="F664" s="1" t="s">
        <v>1641</v>
      </c>
      <c r="G664" s="1">
        <v>1898</v>
      </c>
      <c r="H664" s="1">
        <v>10610</v>
      </c>
      <c r="I664" s="1">
        <v>10773</v>
      </c>
      <c r="J664" s="1">
        <v>488080</v>
      </c>
      <c r="K664" s="1">
        <v>8.7100000000000009</v>
      </c>
      <c r="L664" s="1">
        <v>5</v>
      </c>
      <c r="M664" s="1">
        <v>2.72</v>
      </c>
      <c r="N664" s="1">
        <v>22.65</v>
      </c>
      <c r="O664" s="1">
        <v>62.38</v>
      </c>
      <c r="P664" s="1">
        <v>2.4</v>
      </c>
      <c r="Q664" s="1">
        <v>19640</v>
      </c>
      <c r="R664" s="1">
        <v>914</v>
      </c>
      <c r="S664" s="1">
        <v>6</v>
      </c>
      <c r="T664" s="1">
        <f>(Table1[[#This Row],[Selling_Price_per_Unit]]-Table1[[#This Row],[Manufacturing_Cost_per_Unit]])*Table1[[#This Row],[Units_Sold]]-Table1[[#This Row],[Marketing_Spend]]-Table1[[#This Row],[Discount_%]]</f>
        <v>-797476.65</v>
      </c>
      <c r="U664" s="3">
        <f>Table1[[#This Row],[profit]]/(Table1[[#This Row],[Units_Sold]]*Table1[[#This Row],[Selling_Price_per_Unit]])*100</f>
        <v>-3.9601021065877173</v>
      </c>
      <c r="V664" s="6">
        <f>Table1[[#This Row],[Units_Sold]]*Table1[[#This Row],[Selling_Price_per_Unit]]</f>
        <v>20137780</v>
      </c>
      <c r="W664" s="7">
        <f>(Table1[[#This Row],[Units_Sold]]/$Z$1)</f>
        <v>0.37998393576870065</v>
      </c>
      <c r="X664" s="8">
        <f>((Table1[[#This Row],[Units_Sold]]*(Table1[[#This Row],[Selling_Price_per_Unit]]-Table1[[#This Row],[Manufacturing_Cost_per_Unit]]))-Table1[[#This Row],[Marketing_Spend]])/Table1[[#This Row],[Marketing_Spend]]</f>
        <v>-1.6338592034092771</v>
      </c>
    </row>
    <row r="665" spans="1:24" x14ac:dyDescent="0.3">
      <c r="A665" s="1" t="s">
        <v>682</v>
      </c>
      <c r="B665" s="1" t="s">
        <v>1488</v>
      </c>
      <c r="C665" s="1" t="s">
        <v>1633</v>
      </c>
      <c r="D665" s="1" t="s">
        <v>1635</v>
      </c>
      <c r="E665" s="1">
        <v>2023</v>
      </c>
      <c r="F665" s="1" t="s">
        <v>1642</v>
      </c>
      <c r="G665" s="1">
        <v>4769</v>
      </c>
      <c r="H665" s="1">
        <v>9095</v>
      </c>
      <c r="I665" s="1">
        <v>6706</v>
      </c>
      <c r="J665" s="1">
        <v>463523</v>
      </c>
      <c r="K665" s="1">
        <v>7.58</v>
      </c>
      <c r="L665" s="1">
        <v>15</v>
      </c>
      <c r="M665" s="1">
        <v>1.04</v>
      </c>
      <c r="N665" s="1">
        <v>13.54</v>
      </c>
      <c r="O665" s="1">
        <v>41.21</v>
      </c>
      <c r="P665" s="1">
        <v>1</v>
      </c>
      <c r="Q665" s="1">
        <v>12778</v>
      </c>
      <c r="R665" s="1">
        <v>5722</v>
      </c>
      <c r="S665" s="1">
        <v>2</v>
      </c>
      <c r="T665" s="1">
        <f>(Table1[[#This Row],[Selling_Price_per_Unit]]-Table1[[#This Row],[Manufacturing_Cost_per_Unit]])*Table1[[#This Row],[Units_Sold]]-Table1[[#This Row],[Marketing_Spend]]-Table1[[#This Row],[Discount_%]]</f>
        <v>10929604.460000001</v>
      </c>
      <c r="U665" s="3">
        <f>Table1[[#This Row],[profit]]/(Table1[[#This Row],[Units_Sold]]*Table1[[#This Row],[Selling_Price_per_Unit]])*100</f>
        <v>25.198484347382326</v>
      </c>
      <c r="V665" s="6">
        <f>Table1[[#This Row],[Units_Sold]]*Table1[[#This Row],[Selling_Price_per_Unit]]</f>
        <v>43374055</v>
      </c>
      <c r="W665" s="7">
        <f>(Table1[[#This Row],[Units_Sold]]/$Z$1)</f>
        <v>0.95476469424706722</v>
      </c>
      <c r="X665" s="8">
        <f>((Table1[[#This Row],[Units_Sold]]*(Table1[[#This Row],[Selling_Price_per_Unit]]-Table1[[#This Row],[Manufacturing_Cost_per_Unit]]))-Table1[[#This Row],[Marketing_Spend]])/Table1[[#This Row],[Marketing_Spend]]</f>
        <v>23.579451289364282</v>
      </c>
    </row>
    <row r="666" spans="1:24" hidden="1" x14ac:dyDescent="0.3">
      <c r="A666" s="1" t="s">
        <v>594</v>
      </c>
      <c r="B666" s="1" t="s">
        <v>1441</v>
      </c>
      <c r="C666" s="1" t="s">
        <v>1634</v>
      </c>
      <c r="D666" s="1" t="s">
        <v>1638</v>
      </c>
      <c r="E666" s="1">
        <v>2024</v>
      </c>
      <c r="F666" s="1" t="s">
        <v>1640</v>
      </c>
      <c r="G666" s="1">
        <v>3426</v>
      </c>
      <c r="H666" s="1">
        <v>12671</v>
      </c>
      <c r="I666" s="1">
        <v>5855</v>
      </c>
      <c r="J666" s="1">
        <v>317986</v>
      </c>
      <c r="K666" s="1">
        <v>10.58</v>
      </c>
      <c r="L666" s="1">
        <v>6</v>
      </c>
      <c r="M666" s="1">
        <v>2.0099999999999998</v>
      </c>
      <c r="N666" s="1">
        <v>24.04</v>
      </c>
      <c r="O666" s="1">
        <v>15.74</v>
      </c>
      <c r="P666" s="1">
        <v>3.6</v>
      </c>
      <c r="Q666" s="1">
        <v>6222</v>
      </c>
      <c r="R666" s="1">
        <v>7924</v>
      </c>
      <c r="S666" s="1">
        <v>8</v>
      </c>
      <c r="T666" s="1">
        <f>(Table1[[#This Row],[Selling_Price_per_Unit]]-Table1[[#This Row],[Manufacturing_Cost_per_Unit]])*Table1[[#This Row],[Units_Sold]]-Table1[[#This Row],[Marketing_Spend]]-Table1[[#This Row],[Discount_%]]</f>
        <v>23033605.960000001</v>
      </c>
      <c r="U666" s="3">
        <f>Table1[[#This Row],[profit]]/(Table1[[#This Row],[Units_Sold]]*Table1[[#This Row],[Selling_Price_per_Unit]])*100</f>
        <v>53.059564791711267</v>
      </c>
      <c r="V666" s="6">
        <f>Table1[[#This Row],[Units_Sold]]*Table1[[#This Row],[Selling_Price_per_Unit]]</f>
        <v>43410846</v>
      </c>
      <c r="W666" s="7">
        <f>(Table1[[#This Row],[Units_Sold]]/$Z$1)</f>
        <v>0.68589302631378746</v>
      </c>
      <c r="X666" s="8">
        <f>((Table1[[#This Row],[Units_Sold]]*(Table1[[#This Row],[Selling_Price_per_Unit]]-Table1[[#This Row],[Manufacturing_Cost_per_Unit]]))-Table1[[#This Row],[Marketing_Spend]])/Table1[[#This Row],[Marketing_Spend]]</f>
        <v>72.435987747888277</v>
      </c>
    </row>
    <row r="667" spans="1:24" hidden="1" x14ac:dyDescent="0.3">
      <c r="A667" s="1" t="s">
        <v>684</v>
      </c>
      <c r="B667" s="1" t="s">
        <v>1489</v>
      </c>
      <c r="C667" s="1" t="s">
        <v>1634</v>
      </c>
      <c r="D667" s="1" t="s">
        <v>1638</v>
      </c>
      <c r="E667" s="1">
        <v>2024</v>
      </c>
      <c r="F667" s="1" t="s">
        <v>1641</v>
      </c>
      <c r="G667" s="1">
        <v>3424</v>
      </c>
      <c r="H667" s="1">
        <v>13615</v>
      </c>
      <c r="I667" s="1">
        <v>11688</v>
      </c>
      <c r="J667" s="1">
        <v>331755</v>
      </c>
      <c r="K667" s="1">
        <v>9.36</v>
      </c>
      <c r="L667" s="1">
        <v>6</v>
      </c>
      <c r="M667" s="1">
        <v>0.91</v>
      </c>
      <c r="N667" s="1">
        <v>6.42</v>
      </c>
      <c r="O667" s="1">
        <v>68.53</v>
      </c>
      <c r="P667" s="1">
        <v>3.8</v>
      </c>
      <c r="Q667" s="1">
        <v>20190</v>
      </c>
      <c r="R667" s="1">
        <v>409</v>
      </c>
      <c r="S667" s="1">
        <v>6</v>
      </c>
      <c r="T667" s="1">
        <f>(Table1[[#This Row],[Selling_Price_per_Unit]]-Table1[[#This Row],[Manufacturing_Cost_per_Unit]])*Table1[[#This Row],[Units_Sold]]-Table1[[#This Row],[Marketing_Spend]]-Table1[[#This Row],[Discount_%]]</f>
        <v>6266286.5800000001</v>
      </c>
      <c r="U667" s="3">
        <f>Table1[[#This Row],[profit]]/(Table1[[#This Row],[Units_Sold]]*Table1[[#This Row],[Selling_Price_per_Unit]])*100</f>
        <v>13.441844009664985</v>
      </c>
      <c r="V667" s="6">
        <f>Table1[[#This Row],[Units_Sold]]*Table1[[#This Row],[Selling_Price_per_Unit]]</f>
        <v>46617760</v>
      </c>
      <c r="W667" s="7">
        <f>(Table1[[#This Row],[Units_Sold]]/$Z$1)</f>
        <v>0.68549262174501113</v>
      </c>
      <c r="X667" s="8">
        <f>((Table1[[#This Row],[Units_Sold]]*(Table1[[#This Row],[Selling_Price_per_Unit]]-Table1[[#This Row],[Manufacturing_Cost_per_Unit]]))-Table1[[#This Row],[Marketing_Spend]])/Table1[[#This Row],[Marketing_Spend]]</f>
        <v>18.888315172341034</v>
      </c>
    </row>
    <row r="668" spans="1:24" hidden="1" x14ac:dyDescent="0.3">
      <c r="A668" s="1" t="s">
        <v>685</v>
      </c>
      <c r="B668" s="1" t="s">
        <v>1259</v>
      </c>
      <c r="C668" s="1" t="s">
        <v>1634</v>
      </c>
      <c r="D668" s="1" t="s">
        <v>1636</v>
      </c>
      <c r="E668" s="1">
        <v>2024</v>
      </c>
      <c r="F668" s="1" t="s">
        <v>1641</v>
      </c>
      <c r="G668" s="1">
        <v>3328</v>
      </c>
      <c r="H668" s="1">
        <v>7794</v>
      </c>
      <c r="I668" s="1">
        <v>14635</v>
      </c>
      <c r="J668" s="1">
        <v>224863</v>
      </c>
      <c r="K668" s="1">
        <v>4.0999999999999996</v>
      </c>
      <c r="L668" s="1">
        <v>12</v>
      </c>
      <c r="M668" s="1">
        <v>6.68</v>
      </c>
      <c r="N668" s="1">
        <v>20.02</v>
      </c>
      <c r="O668" s="1">
        <v>22.33</v>
      </c>
      <c r="P668" s="1">
        <v>3.6</v>
      </c>
      <c r="Q668" s="1">
        <v>4070</v>
      </c>
      <c r="R668" s="1">
        <v>6761</v>
      </c>
      <c r="S668" s="1">
        <v>6</v>
      </c>
      <c r="T668" s="1">
        <f>(Table1[[#This Row],[Selling_Price_per_Unit]]-Table1[[#This Row],[Manufacturing_Cost_per_Unit]])*Table1[[#This Row],[Units_Sold]]-Table1[[#This Row],[Marketing_Spend]]-Table1[[#This Row],[Discount_%]]</f>
        <v>-22991731.02</v>
      </c>
      <c r="U668" s="3">
        <f>Table1[[#This Row],[profit]]/(Table1[[#This Row],[Units_Sold]]*Table1[[#This Row],[Selling_Price_per_Unit]])*100</f>
        <v>-88.639633344066439</v>
      </c>
      <c r="V668" s="6">
        <f>Table1[[#This Row],[Units_Sold]]*Table1[[#This Row],[Selling_Price_per_Unit]]</f>
        <v>25938432</v>
      </c>
      <c r="W668" s="7">
        <f>(Table1[[#This Row],[Units_Sold]]/$Z$1)</f>
        <v>0.6662732024437491</v>
      </c>
      <c r="X668" s="8">
        <f>((Table1[[#This Row],[Units_Sold]]*(Table1[[#This Row],[Selling_Price_per_Unit]]-Table1[[#This Row],[Manufacturing_Cost_per_Unit]]))-Table1[[#This Row],[Marketing_Spend]])/Table1[[#This Row],[Marketing_Spend]]</f>
        <v>-102.2476396739348</v>
      </c>
    </row>
    <row r="669" spans="1:24" hidden="1" x14ac:dyDescent="0.3">
      <c r="A669" s="1" t="s">
        <v>686</v>
      </c>
      <c r="B669" s="1" t="s">
        <v>1490</v>
      </c>
      <c r="C669" s="1" t="s">
        <v>1632</v>
      </c>
      <c r="D669" s="1" t="s">
        <v>1637</v>
      </c>
      <c r="E669" s="1">
        <v>2023</v>
      </c>
      <c r="F669" s="1" t="s">
        <v>1641</v>
      </c>
      <c r="G669" s="1">
        <v>1302</v>
      </c>
      <c r="H669" s="1">
        <v>7257</v>
      </c>
      <c r="I669" s="1">
        <v>12950</v>
      </c>
      <c r="J669" s="1">
        <v>455166</v>
      </c>
      <c r="K669" s="1">
        <v>7.32</v>
      </c>
      <c r="L669" s="1">
        <v>12</v>
      </c>
      <c r="M669" s="1">
        <v>1.33</v>
      </c>
      <c r="N669" s="1">
        <v>15.8</v>
      </c>
      <c r="O669" s="1">
        <v>78.45</v>
      </c>
      <c r="P669" s="1">
        <v>4.9000000000000004</v>
      </c>
      <c r="Q669" s="1">
        <v>1824</v>
      </c>
      <c r="R669" s="1">
        <v>4327</v>
      </c>
      <c r="S669" s="1">
        <v>10</v>
      </c>
      <c r="T669" s="1">
        <f>(Table1[[#This Row],[Selling_Price_per_Unit]]-Table1[[#This Row],[Manufacturing_Cost_per_Unit]])*Table1[[#This Row],[Units_Sold]]-Table1[[#This Row],[Marketing_Spend]]-Table1[[#This Row],[Discount_%]]</f>
        <v>-7867467.7999999998</v>
      </c>
      <c r="U669" s="3">
        <f>Table1[[#This Row],[profit]]/(Table1[[#This Row],[Units_Sold]]*Table1[[#This Row],[Selling_Price_per_Unit]])*100</f>
        <v>-83.265839836403515</v>
      </c>
      <c r="V669" s="6">
        <f>Table1[[#This Row],[Units_Sold]]*Table1[[#This Row],[Selling_Price_per_Unit]]</f>
        <v>9448614</v>
      </c>
      <c r="W669" s="7">
        <f>(Table1[[#This Row],[Units_Sold]]/$Z$1)</f>
        <v>0.26066337427336578</v>
      </c>
      <c r="X669" s="8">
        <f>((Table1[[#This Row],[Units_Sold]]*(Table1[[#This Row],[Selling_Price_per_Unit]]-Table1[[#This Row],[Manufacturing_Cost_per_Unit]]))-Table1[[#This Row],[Marketing_Spend]])/Table1[[#This Row],[Marketing_Spend]]</f>
        <v>-17.284797194869565</v>
      </c>
    </row>
    <row r="670" spans="1:24" hidden="1" x14ac:dyDescent="0.3">
      <c r="A670" s="1" t="s">
        <v>321</v>
      </c>
      <c r="B670" s="1" t="s">
        <v>1086</v>
      </c>
      <c r="C670" s="1" t="s">
        <v>1634</v>
      </c>
      <c r="D670" s="1" t="s">
        <v>1637</v>
      </c>
      <c r="E670" s="1">
        <v>2024</v>
      </c>
      <c r="F670" s="1" t="s">
        <v>1639</v>
      </c>
      <c r="G670" s="1">
        <v>2115</v>
      </c>
      <c r="H670" s="1">
        <v>19264</v>
      </c>
      <c r="I670" s="1">
        <v>8344</v>
      </c>
      <c r="J670" s="1">
        <v>175074</v>
      </c>
      <c r="K670" s="1">
        <v>14.29</v>
      </c>
      <c r="L670" s="1">
        <v>7</v>
      </c>
      <c r="M670" s="1">
        <v>5.55</v>
      </c>
      <c r="N670" s="1">
        <v>21.5</v>
      </c>
      <c r="O670" s="1">
        <v>41.36</v>
      </c>
      <c r="P670" s="1">
        <v>2.4</v>
      </c>
      <c r="Q670" s="1">
        <v>16341</v>
      </c>
      <c r="R670" s="1">
        <v>1880</v>
      </c>
      <c r="S670" s="1">
        <v>14</v>
      </c>
      <c r="T670" s="1">
        <f>(Table1[[#This Row],[Selling_Price_per_Unit]]-Table1[[#This Row],[Manufacturing_Cost_per_Unit]])*Table1[[#This Row],[Units_Sold]]-Table1[[#This Row],[Marketing_Spend]]-Table1[[#This Row],[Discount_%]]</f>
        <v>22920704.5</v>
      </c>
      <c r="U670" s="3">
        <f>Table1[[#This Row],[profit]]/(Table1[[#This Row],[Units_Sold]]*Table1[[#This Row],[Selling_Price_per_Unit]])*100</f>
        <v>56.256294277153387</v>
      </c>
      <c r="V670" s="6">
        <f>Table1[[#This Row],[Units_Sold]]*Table1[[#This Row],[Selling_Price_per_Unit]]</f>
        <v>40743360</v>
      </c>
      <c r="W670" s="7">
        <f>(Table1[[#This Row],[Units_Sold]]/$Z$1)</f>
        <v>0.42342783148092833</v>
      </c>
      <c r="X670" s="8">
        <f>((Table1[[#This Row],[Units_Sold]]*(Table1[[#This Row],[Selling_Price_per_Unit]]-Table1[[#This Row],[Manufacturing_Cost_per_Unit]]))-Table1[[#This Row],[Marketing_Spend]])/Table1[[#This Row],[Marketing_Spend]]</f>
        <v>130.92021659412592</v>
      </c>
    </row>
    <row r="671" spans="1:24" x14ac:dyDescent="0.3">
      <c r="A671" s="1" t="s">
        <v>688</v>
      </c>
      <c r="B671" s="1" t="s">
        <v>1043</v>
      </c>
      <c r="C671" s="1" t="s">
        <v>1632</v>
      </c>
      <c r="D671" s="1" t="s">
        <v>1635</v>
      </c>
      <c r="E671" s="1">
        <v>2023</v>
      </c>
      <c r="F671" s="1" t="s">
        <v>1641</v>
      </c>
      <c r="G671" s="1">
        <v>4723</v>
      </c>
      <c r="H671" s="1">
        <v>3469</v>
      </c>
      <c r="I671" s="1">
        <v>6048</v>
      </c>
      <c r="J671" s="1">
        <v>289719</v>
      </c>
      <c r="K671" s="1">
        <v>6.89</v>
      </c>
      <c r="L671" s="1">
        <v>19</v>
      </c>
      <c r="M671" s="1">
        <v>8.17</v>
      </c>
      <c r="N671" s="1">
        <v>1.5</v>
      </c>
      <c r="O671" s="1">
        <v>18.46</v>
      </c>
      <c r="P671" s="1">
        <v>2.8</v>
      </c>
      <c r="Q671" s="1">
        <v>7145</v>
      </c>
      <c r="R671" s="1">
        <v>2586</v>
      </c>
      <c r="S671" s="1">
        <v>14</v>
      </c>
      <c r="T671" s="1">
        <f>(Table1[[#This Row],[Selling_Price_per_Unit]]-Table1[[#This Row],[Manufacturing_Cost_per_Unit]])*Table1[[#This Row],[Units_Sold]]-Table1[[#This Row],[Marketing_Spend]]-Table1[[#This Row],[Discount_%]]</f>
        <v>-12470337.5</v>
      </c>
      <c r="U671" s="3">
        <f>Table1[[#This Row],[profit]]/(Table1[[#This Row],[Units_Sold]]*Table1[[#This Row],[Selling_Price_per_Unit]])*100</f>
        <v>-76.112495618461978</v>
      </c>
      <c r="V671" s="6">
        <f>Table1[[#This Row],[Units_Sold]]*Table1[[#This Row],[Selling_Price_per_Unit]]</f>
        <v>16384087</v>
      </c>
      <c r="W671" s="7">
        <f>(Table1[[#This Row],[Units_Sold]]/$Z$1)</f>
        <v>0.94555538916521242</v>
      </c>
      <c r="X671" s="8">
        <f>((Table1[[#This Row],[Units_Sold]]*(Table1[[#This Row],[Selling_Price_per_Unit]]-Table1[[#This Row],[Manufacturing_Cost_per_Unit]]))-Table1[[#This Row],[Marketing_Spend]])/Table1[[#This Row],[Marketing_Spend]]</f>
        <v>-43.042865673290329</v>
      </c>
    </row>
    <row r="672" spans="1:24" hidden="1" x14ac:dyDescent="0.3">
      <c r="A672" s="1" t="s">
        <v>689</v>
      </c>
      <c r="B672" s="1" t="s">
        <v>1492</v>
      </c>
      <c r="C672" s="1" t="s">
        <v>1633</v>
      </c>
      <c r="D672" s="1" t="s">
        <v>1635</v>
      </c>
      <c r="E672" s="1">
        <v>2023</v>
      </c>
      <c r="F672" s="1" t="s">
        <v>1639</v>
      </c>
      <c r="G672" s="1">
        <v>2172</v>
      </c>
      <c r="H672" s="1">
        <v>12485</v>
      </c>
      <c r="I672" s="1">
        <v>9566</v>
      </c>
      <c r="J672" s="1">
        <v>258475</v>
      </c>
      <c r="K672" s="1">
        <v>4.5999999999999996</v>
      </c>
      <c r="L672" s="1">
        <v>17</v>
      </c>
      <c r="M672" s="1">
        <v>0.14000000000000001</v>
      </c>
      <c r="N672" s="1">
        <v>22.9</v>
      </c>
      <c r="O672" s="1">
        <v>65.53</v>
      </c>
      <c r="P672" s="1">
        <v>1.3</v>
      </c>
      <c r="Q672" s="1">
        <v>19829</v>
      </c>
      <c r="R672" s="1">
        <v>6986</v>
      </c>
      <c r="S672" s="1">
        <v>2</v>
      </c>
      <c r="T672" s="1">
        <f>(Table1[[#This Row],[Selling_Price_per_Unit]]-Table1[[#This Row],[Manufacturing_Cost_per_Unit]])*Table1[[#This Row],[Units_Sold]]-Table1[[#This Row],[Marketing_Spend]]-Table1[[#This Row],[Discount_%]]</f>
        <v>6081570.0999999996</v>
      </c>
      <c r="U672" s="3">
        <f>Table1[[#This Row],[profit]]/(Table1[[#This Row],[Units_Sold]]*Table1[[#This Row],[Selling_Price_per_Unit]])*100</f>
        <v>22.426802033526787</v>
      </c>
      <c r="V672" s="6">
        <f>Table1[[#This Row],[Units_Sold]]*Table1[[#This Row],[Selling_Price_per_Unit]]</f>
        <v>27117420</v>
      </c>
      <c r="W672" s="7">
        <f>(Table1[[#This Row],[Units_Sold]]/$Z$1)</f>
        <v>0.43483936169105264</v>
      </c>
      <c r="X672" s="8">
        <f>((Table1[[#This Row],[Units_Sold]]*(Table1[[#This Row],[Selling_Price_per_Unit]]-Table1[[#This Row],[Manufacturing_Cost_per_Unit]]))-Table1[[#This Row],[Marketing_Spend]])/Table1[[#This Row],[Marketing_Spend]]</f>
        <v>23.528747461069734</v>
      </c>
    </row>
    <row r="673" spans="1:24" x14ac:dyDescent="0.3">
      <c r="A673" s="1" t="s">
        <v>980</v>
      </c>
      <c r="B673" s="1" t="s">
        <v>1310</v>
      </c>
      <c r="C673" s="1" t="s">
        <v>1634</v>
      </c>
      <c r="D673" s="1" t="s">
        <v>1635</v>
      </c>
      <c r="E673" s="1">
        <v>2024</v>
      </c>
      <c r="F673" s="1" t="s">
        <v>1642</v>
      </c>
      <c r="G673" s="1">
        <v>3926</v>
      </c>
      <c r="H673" s="1">
        <v>9467</v>
      </c>
      <c r="I673" s="1">
        <v>3600</v>
      </c>
      <c r="J673" s="1">
        <v>116668</v>
      </c>
      <c r="K673" s="1">
        <v>1.75</v>
      </c>
      <c r="L673" s="1">
        <v>14</v>
      </c>
      <c r="M673" s="1">
        <v>3.43</v>
      </c>
      <c r="N673" s="1">
        <v>8.98</v>
      </c>
      <c r="O673" s="1">
        <v>68.099999999999994</v>
      </c>
      <c r="P673" s="1">
        <v>4.9000000000000004</v>
      </c>
      <c r="Q673" s="1">
        <v>20559</v>
      </c>
      <c r="R673" s="1">
        <v>4531</v>
      </c>
      <c r="S673" s="1">
        <v>3</v>
      </c>
      <c r="T673" s="1">
        <f>(Table1[[#This Row],[Selling_Price_per_Unit]]-Table1[[#This Row],[Manufacturing_Cost_per_Unit]])*Table1[[#This Row],[Units_Sold]]-Table1[[#This Row],[Marketing_Spend]]-Table1[[#This Row],[Discount_%]]</f>
        <v>22917165.02</v>
      </c>
      <c r="U673" s="3">
        <f>Table1[[#This Row],[profit]]/(Table1[[#This Row],[Units_Sold]]*Table1[[#This Row],[Selling_Price_per_Unit]])*100</f>
        <v>61.659247413367858</v>
      </c>
      <c r="V673" s="6">
        <f>Table1[[#This Row],[Units_Sold]]*Table1[[#This Row],[Selling_Price_per_Unit]]</f>
        <v>37167442</v>
      </c>
      <c r="W673" s="7">
        <f>(Table1[[#This Row],[Units_Sold]]/$Z$1)</f>
        <v>0.7859941685078603</v>
      </c>
      <c r="X673" s="8">
        <f>((Table1[[#This Row],[Units_Sold]]*(Table1[[#This Row],[Selling_Price_per_Unit]]-Table1[[#This Row],[Manufacturing_Cost_per_Unit]]))-Table1[[#This Row],[Marketing_Spend]])/Table1[[#This Row],[Marketing_Spend]]</f>
        <v>196.4306750779991</v>
      </c>
    </row>
    <row r="674" spans="1:24" hidden="1" x14ac:dyDescent="0.3">
      <c r="A674" s="1" t="s">
        <v>691</v>
      </c>
      <c r="B674" s="1" t="s">
        <v>1493</v>
      </c>
      <c r="C674" s="1" t="s">
        <v>1632</v>
      </c>
      <c r="D674" s="1" t="s">
        <v>1635</v>
      </c>
      <c r="E674" s="1">
        <v>2023</v>
      </c>
      <c r="F674" s="1" t="s">
        <v>1641</v>
      </c>
      <c r="G674" s="1">
        <v>2200</v>
      </c>
      <c r="H674" s="1">
        <v>5970</v>
      </c>
      <c r="I674" s="1">
        <v>5908</v>
      </c>
      <c r="J674" s="1">
        <v>367387</v>
      </c>
      <c r="K674" s="1">
        <v>0.85</v>
      </c>
      <c r="L674" s="1">
        <v>17</v>
      </c>
      <c r="M674" s="1">
        <v>0.28999999999999998</v>
      </c>
      <c r="N674" s="1">
        <v>4.82</v>
      </c>
      <c r="O674" s="1">
        <v>33.840000000000003</v>
      </c>
      <c r="P674" s="1">
        <v>3.8</v>
      </c>
      <c r="Q674" s="1">
        <v>5986</v>
      </c>
      <c r="R674" s="1">
        <v>894</v>
      </c>
      <c r="S674" s="1">
        <v>13</v>
      </c>
      <c r="T674" s="1">
        <f>(Table1[[#This Row],[Selling_Price_per_Unit]]-Table1[[#This Row],[Manufacturing_Cost_per_Unit]])*Table1[[#This Row],[Units_Sold]]-Table1[[#This Row],[Marketing_Spend]]-Table1[[#This Row],[Discount_%]]</f>
        <v>-230991.82</v>
      </c>
      <c r="U674" s="3">
        <f>Table1[[#This Row],[profit]]/(Table1[[#This Row],[Units_Sold]]*Table1[[#This Row],[Selling_Price_per_Unit]])*100</f>
        <v>-1.7587316887467643</v>
      </c>
      <c r="V674" s="6">
        <f>Table1[[#This Row],[Units_Sold]]*Table1[[#This Row],[Selling_Price_per_Unit]]</f>
        <v>13134000</v>
      </c>
      <c r="W674" s="7">
        <f>(Table1[[#This Row],[Units_Sold]]/$Z$1)</f>
        <v>0.44044502565392069</v>
      </c>
      <c r="X674" s="8">
        <f>((Table1[[#This Row],[Units_Sold]]*(Table1[[#This Row],[Selling_Price_per_Unit]]-Table1[[#This Row],[Manufacturing_Cost_per_Unit]]))-Table1[[#This Row],[Marketing_Spend]])/Table1[[#This Row],[Marketing_Spend]]</f>
        <v>-0.62872937801283113</v>
      </c>
    </row>
    <row r="675" spans="1:24" x14ac:dyDescent="0.3">
      <c r="A675" s="1" t="s">
        <v>753</v>
      </c>
      <c r="B675" s="1" t="s">
        <v>1079</v>
      </c>
      <c r="C675" s="1" t="s">
        <v>1634</v>
      </c>
      <c r="D675" s="1" t="s">
        <v>1637</v>
      </c>
      <c r="E675" s="1">
        <v>2023</v>
      </c>
      <c r="F675" s="1" t="s">
        <v>1642</v>
      </c>
      <c r="G675" s="1">
        <v>4482</v>
      </c>
      <c r="H675" s="1">
        <v>7092</v>
      </c>
      <c r="I675" s="1">
        <v>1898</v>
      </c>
      <c r="J675" s="1">
        <v>469639</v>
      </c>
      <c r="K675" s="1">
        <v>3.75</v>
      </c>
      <c r="L675" s="1">
        <v>14</v>
      </c>
      <c r="M675" s="1">
        <v>4.92</v>
      </c>
      <c r="N675" s="1">
        <v>1.89</v>
      </c>
      <c r="O675" s="1">
        <v>75.41</v>
      </c>
      <c r="P675" s="1">
        <v>3</v>
      </c>
      <c r="Q675" s="1">
        <v>10230</v>
      </c>
      <c r="R675" s="1">
        <v>1317</v>
      </c>
      <c r="S675" s="1">
        <v>3</v>
      </c>
      <c r="T675" s="1">
        <f>(Table1[[#This Row],[Selling_Price_per_Unit]]-Table1[[#This Row],[Manufacturing_Cost_per_Unit]])*Table1[[#This Row],[Units_Sold]]-Table1[[#This Row],[Marketing_Spend]]-Table1[[#This Row],[Discount_%]]</f>
        <v>22809867.109999999</v>
      </c>
      <c r="U675" s="3">
        <f>Table1[[#This Row],[profit]]/(Table1[[#This Row],[Units_Sold]]*Table1[[#This Row],[Selling_Price_per_Unit]])*100</f>
        <v>71.75995801844968</v>
      </c>
      <c r="V675" s="6">
        <f>Table1[[#This Row],[Units_Sold]]*Table1[[#This Row],[Selling_Price_per_Unit]]</f>
        <v>31786344</v>
      </c>
      <c r="W675" s="7">
        <f>(Table1[[#This Row],[Units_Sold]]/$Z$1)</f>
        <v>0.89730663862766935</v>
      </c>
      <c r="X675" s="8">
        <f>((Table1[[#This Row],[Units_Sold]]*(Table1[[#This Row],[Selling_Price_per_Unit]]-Table1[[#This Row],[Manufacturing_Cost_per_Unit]]))-Table1[[#This Row],[Marketing_Spend]])/Table1[[#This Row],[Marketing_Spend]]</f>
        <v>48.568941250620156</v>
      </c>
    </row>
    <row r="676" spans="1:24" hidden="1" x14ac:dyDescent="0.3">
      <c r="A676" s="1" t="s">
        <v>693</v>
      </c>
      <c r="B676" s="1" t="s">
        <v>1332</v>
      </c>
      <c r="C676" s="1" t="s">
        <v>1632</v>
      </c>
      <c r="D676" s="1" t="s">
        <v>1635</v>
      </c>
      <c r="E676" s="1">
        <v>2023</v>
      </c>
      <c r="F676" s="1" t="s">
        <v>1641</v>
      </c>
      <c r="G676" s="1">
        <v>1379</v>
      </c>
      <c r="H676" s="1">
        <v>11056</v>
      </c>
      <c r="I676" s="1">
        <v>1469</v>
      </c>
      <c r="J676" s="1">
        <v>213317</v>
      </c>
      <c r="K676" s="1">
        <v>6.88</v>
      </c>
      <c r="L676" s="1">
        <v>9</v>
      </c>
      <c r="M676" s="1">
        <v>0.32</v>
      </c>
      <c r="N676" s="1">
        <v>16.940000000000001</v>
      </c>
      <c r="O676" s="1">
        <v>33.869999999999997</v>
      </c>
      <c r="P676" s="1">
        <v>3.2</v>
      </c>
      <c r="Q676" s="1">
        <v>18729</v>
      </c>
      <c r="R676" s="1">
        <v>4114</v>
      </c>
      <c r="S676" s="1">
        <v>2</v>
      </c>
      <c r="T676" s="1">
        <f>(Table1[[#This Row],[Selling_Price_per_Unit]]-Table1[[#This Row],[Manufacturing_Cost_per_Unit]])*Table1[[#This Row],[Units_Sold]]-Table1[[#This Row],[Marketing_Spend]]-Table1[[#This Row],[Discount_%]]</f>
        <v>13007139.060000001</v>
      </c>
      <c r="U676" s="3">
        <f>Table1[[#This Row],[profit]]/(Table1[[#This Row],[Units_Sold]]*Table1[[#This Row],[Selling_Price_per_Unit]])*100</f>
        <v>85.313839413614815</v>
      </c>
      <c r="V676" s="6">
        <f>Table1[[#This Row],[Units_Sold]]*Table1[[#This Row],[Selling_Price_per_Unit]]</f>
        <v>15246224</v>
      </c>
      <c r="W676" s="7">
        <f>(Table1[[#This Row],[Units_Sold]]/$Z$1)</f>
        <v>0.276078950171253</v>
      </c>
      <c r="X676" s="8">
        <f>((Table1[[#This Row],[Units_Sold]]*(Table1[[#This Row],[Selling_Price_per_Unit]]-Table1[[#This Row],[Manufacturing_Cost_per_Unit]]))-Table1[[#This Row],[Marketing_Spend]])/Table1[[#This Row],[Marketing_Spend]]</f>
        <v>60.975712202965539</v>
      </c>
    </row>
    <row r="677" spans="1:24" hidden="1" x14ac:dyDescent="0.3">
      <c r="A677" s="1" t="s">
        <v>694</v>
      </c>
      <c r="B677" s="1" t="s">
        <v>1323</v>
      </c>
      <c r="C677" s="1" t="s">
        <v>1633</v>
      </c>
      <c r="D677" s="1" t="s">
        <v>1635</v>
      </c>
      <c r="E677" s="1">
        <v>2023</v>
      </c>
      <c r="F677" s="1" t="s">
        <v>1642</v>
      </c>
      <c r="G677" s="1">
        <v>1408</v>
      </c>
      <c r="H677" s="1">
        <v>10706</v>
      </c>
      <c r="I677" s="1">
        <v>5164</v>
      </c>
      <c r="J677" s="1">
        <v>487940</v>
      </c>
      <c r="K677" s="1">
        <v>10.88</v>
      </c>
      <c r="L677" s="1">
        <v>12</v>
      </c>
      <c r="M677" s="1">
        <v>3.36</v>
      </c>
      <c r="N677" s="1">
        <v>13.14</v>
      </c>
      <c r="O677" s="1">
        <v>31.04</v>
      </c>
      <c r="P677" s="1">
        <v>2.9</v>
      </c>
      <c r="Q677" s="1">
        <v>14656</v>
      </c>
      <c r="R677" s="1">
        <v>7492</v>
      </c>
      <c r="S677" s="1">
        <v>2</v>
      </c>
      <c r="T677" s="1">
        <f>(Table1[[#This Row],[Selling_Price_per_Unit]]-Table1[[#This Row],[Manufacturing_Cost_per_Unit]])*Table1[[#This Row],[Units_Sold]]-Table1[[#This Row],[Marketing_Spend]]-Table1[[#This Row],[Discount_%]]</f>
        <v>7315182.8600000003</v>
      </c>
      <c r="U677" s="3">
        <f>Table1[[#This Row],[profit]]/(Table1[[#This Row],[Units_Sold]]*Table1[[#This Row],[Selling_Price_per_Unit]])*100</f>
        <v>48.528324044078943</v>
      </c>
      <c r="V677" s="6">
        <f>Table1[[#This Row],[Units_Sold]]*Table1[[#This Row],[Selling_Price_per_Unit]]</f>
        <v>15074048</v>
      </c>
      <c r="W677" s="7">
        <f>(Table1[[#This Row],[Units_Sold]]/$Z$1)</f>
        <v>0.28188481641850927</v>
      </c>
      <c r="X677" s="8">
        <f>((Table1[[#This Row],[Units_Sold]]*(Table1[[#This Row],[Selling_Price_per_Unit]]-Table1[[#This Row],[Manufacturing_Cost_per_Unit]]))-Table1[[#This Row],[Marketing_Spend]])/Table1[[#This Row],[Marketing_Spend]]</f>
        <v>14.991999016272493</v>
      </c>
    </row>
    <row r="678" spans="1:24" hidden="1" x14ac:dyDescent="0.3">
      <c r="A678" s="1" t="s">
        <v>695</v>
      </c>
      <c r="B678" s="1" t="s">
        <v>1425</v>
      </c>
      <c r="C678" s="1" t="s">
        <v>1634</v>
      </c>
      <c r="D678" s="1" t="s">
        <v>1637</v>
      </c>
      <c r="E678" s="1">
        <v>2024</v>
      </c>
      <c r="F678" s="1" t="s">
        <v>1640</v>
      </c>
      <c r="G678" s="1">
        <v>2532</v>
      </c>
      <c r="H678" s="1">
        <v>11491</v>
      </c>
      <c r="I678" s="1">
        <v>8129</v>
      </c>
      <c r="J678" s="1">
        <v>440825</v>
      </c>
      <c r="K678" s="1">
        <v>8.61</v>
      </c>
      <c r="L678" s="1">
        <v>17</v>
      </c>
      <c r="M678" s="1">
        <v>5.14</v>
      </c>
      <c r="N678" s="1">
        <v>17.95</v>
      </c>
      <c r="O678" s="1">
        <v>23.09</v>
      </c>
      <c r="P678" s="1">
        <v>2.2000000000000002</v>
      </c>
      <c r="Q678" s="1">
        <v>2067</v>
      </c>
      <c r="R678" s="1">
        <v>5453</v>
      </c>
      <c r="S678" s="1">
        <v>6</v>
      </c>
      <c r="T678" s="1">
        <f>(Table1[[#This Row],[Selling_Price_per_Unit]]-Table1[[#This Row],[Manufacturing_Cost_per_Unit]])*Table1[[#This Row],[Units_Sold]]-Table1[[#This Row],[Marketing_Spend]]-Table1[[#This Row],[Discount_%]]</f>
        <v>8071741.0499999998</v>
      </c>
      <c r="U678" s="3">
        <f>Table1[[#This Row],[profit]]/(Table1[[#This Row],[Units_Sold]]*Table1[[#This Row],[Selling_Price_per_Unit]])*100</f>
        <v>27.742506395897713</v>
      </c>
      <c r="V678" s="6">
        <f>Table1[[#This Row],[Units_Sold]]*Table1[[#This Row],[Selling_Price_per_Unit]]</f>
        <v>29095212</v>
      </c>
      <c r="W678" s="7">
        <f>(Table1[[#This Row],[Units_Sold]]/$Z$1)</f>
        <v>0.50691218407078509</v>
      </c>
      <c r="X678" s="8">
        <f>((Table1[[#This Row],[Units_Sold]]*(Table1[[#This Row],[Selling_Price_per_Unit]]-Table1[[#This Row],[Manufacturing_Cost_per_Unit]]))-Table1[[#This Row],[Marketing_Spend]])/Table1[[#This Row],[Marketing_Spend]]</f>
        <v>18.310574491011174</v>
      </c>
    </row>
    <row r="679" spans="1:24" hidden="1" x14ac:dyDescent="0.3">
      <c r="A679" s="1" t="s">
        <v>603</v>
      </c>
      <c r="B679" s="1" t="s">
        <v>1239</v>
      </c>
      <c r="C679" s="1" t="s">
        <v>1632</v>
      </c>
      <c r="D679" s="1" t="s">
        <v>1637</v>
      </c>
      <c r="E679" s="1">
        <v>2024</v>
      </c>
      <c r="F679" s="1" t="s">
        <v>1639</v>
      </c>
      <c r="G679" s="1">
        <v>2833</v>
      </c>
      <c r="H679" s="1">
        <v>15410</v>
      </c>
      <c r="I679" s="1">
        <v>7319</v>
      </c>
      <c r="J679" s="1">
        <v>116914</v>
      </c>
      <c r="K679" s="1">
        <v>12.57</v>
      </c>
      <c r="L679" s="1">
        <v>6</v>
      </c>
      <c r="M679" s="1">
        <v>4.5</v>
      </c>
      <c r="N679" s="1">
        <v>9.6</v>
      </c>
      <c r="O679" s="1">
        <v>52.2</v>
      </c>
      <c r="P679" s="1">
        <v>4.2</v>
      </c>
      <c r="Q679" s="1">
        <v>2021</v>
      </c>
      <c r="R679" s="1">
        <v>9504</v>
      </c>
      <c r="S679" s="1">
        <v>8</v>
      </c>
      <c r="T679" s="1">
        <f>(Table1[[#This Row],[Selling_Price_per_Unit]]-Table1[[#This Row],[Manufacturing_Cost_per_Unit]])*Table1[[#This Row],[Units_Sold]]-Table1[[#This Row],[Marketing_Spend]]-Table1[[#This Row],[Discount_%]]</f>
        <v>22804879.399999999</v>
      </c>
      <c r="U679" s="3">
        <f>Table1[[#This Row],[profit]]/(Table1[[#This Row],[Units_Sold]]*Table1[[#This Row],[Selling_Price_per_Unit]])*100</f>
        <v>52.237040827569203</v>
      </c>
      <c r="V679" s="6">
        <f>Table1[[#This Row],[Units_Sold]]*Table1[[#This Row],[Selling_Price_per_Unit]]</f>
        <v>43656530</v>
      </c>
      <c r="W679" s="7">
        <f>(Table1[[#This Row],[Units_Sold]]/$Z$1)</f>
        <v>0.56717307167161701</v>
      </c>
      <c r="X679" s="8">
        <f>((Table1[[#This Row],[Units_Sold]]*(Table1[[#This Row],[Selling_Price_per_Unit]]-Table1[[#This Row],[Manufacturing_Cost_per_Unit]]))-Table1[[#This Row],[Marketing_Spend]])/Table1[[#This Row],[Marketing_Spend]]</f>
        <v>195.0569563952991</v>
      </c>
    </row>
    <row r="680" spans="1:24" hidden="1" x14ac:dyDescent="0.3">
      <c r="A680" s="1" t="s">
        <v>576</v>
      </c>
      <c r="B680" s="1" t="s">
        <v>1087</v>
      </c>
      <c r="C680" s="1" t="s">
        <v>1633</v>
      </c>
      <c r="D680" s="1" t="s">
        <v>1637</v>
      </c>
      <c r="E680" s="1">
        <v>2023</v>
      </c>
      <c r="F680" s="1" t="s">
        <v>1640</v>
      </c>
      <c r="G680" s="1">
        <v>1581</v>
      </c>
      <c r="H680" s="1">
        <v>15536</v>
      </c>
      <c r="I680" s="1">
        <v>897</v>
      </c>
      <c r="J680" s="1">
        <v>383998</v>
      </c>
      <c r="K680" s="1">
        <v>10.73</v>
      </c>
      <c r="L680" s="1">
        <v>17</v>
      </c>
      <c r="M680" s="1">
        <v>1.1100000000000001</v>
      </c>
      <c r="N680" s="1">
        <v>22.94</v>
      </c>
      <c r="O680" s="1">
        <v>88.57</v>
      </c>
      <c r="P680" s="1">
        <v>1.7</v>
      </c>
      <c r="Q680" s="1">
        <v>11445</v>
      </c>
      <c r="R680" s="1">
        <v>2999</v>
      </c>
      <c r="S680" s="1">
        <v>3</v>
      </c>
      <c r="T680" s="1">
        <f>(Table1[[#This Row],[Selling_Price_per_Unit]]-Table1[[#This Row],[Manufacturing_Cost_per_Unit]])*Table1[[#This Row],[Units_Sold]]-Table1[[#This Row],[Marketing_Spend]]-Table1[[#This Row],[Discount_%]]</f>
        <v>22760238.059999999</v>
      </c>
      <c r="U680" s="3">
        <f>Table1[[#This Row],[profit]]/(Table1[[#This Row],[Units_Sold]]*Table1[[#This Row],[Selling_Price_per_Unit]])*100</f>
        <v>92.662863702007158</v>
      </c>
      <c r="V680" s="6">
        <f>Table1[[#This Row],[Units_Sold]]*Table1[[#This Row],[Selling_Price_per_Unit]]</f>
        <v>24562416</v>
      </c>
      <c r="W680" s="7">
        <f>(Table1[[#This Row],[Units_Sold]]/$Z$1)</f>
        <v>0.31651981161765846</v>
      </c>
      <c r="X680" s="8">
        <f>((Table1[[#This Row],[Units_Sold]]*(Table1[[#This Row],[Selling_Price_per_Unit]]-Table1[[#This Row],[Manufacturing_Cost_per_Unit]]))-Table1[[#This Row],[Marketing_Spend]])/Table1[[#This Row],[Marketing_Spend]]</f>
        <v>59.271821728238166</v>
      </c>
    </row>
    <row r="681" spans="1:24" hidden="1" x14ac:dyDescent="0.3">
      <c r="A681" s="1" t="s">
        <v>698</v>
      </c>
      <c r="B681" s="1" t="s">
        <v>1496</v>
      </c>
      <c r="C681" s="1" t="s">
        <v>1634</v>
      </c>
      <c r="D681" s="1" t="s">
        <v>1636</v>
      </c>
      <c r="E681" s="1">
        <v>2024</v>
      </c>
      <c r="F681" s="1" t="s">
        <v>1639</v>
      </c>
      <c r="G681" s="1">
        <v>1381</v>
      </c>
      <c r="H681" s="1">
        <v>6112</v>
      </c>
      <c r="I681" s="1">
        <v>1925</v>
      </c>
      <c r="J681" s="1">
        <v>164397</v>
      </c>
      <c r="K681" s="1">
        <v>12.93</v>
      </c>
      <c r="L681" s="1">
        <v>14</v>
      </c>
      <c r="M681" s="1">
        <v>7.05</v>
      </c>
      <c r="N681" s="1">
        <v>1.34</v>
      </c>
      <c r="O681" s="1">
        <v>64.67</v>
      </c>
      <c r="P681" s="1">
        <v>1.6</v>
      </c>
      <c r="Q681" s="1">
        <v>17419</v>
      </c>
      <c r="R681" s="1">
        <v>9339</v>
      </c>
      <c r="S681" s="1">
        <v>11</v>
      </c>
      <c r="T681" s="1">
        <f>(Table1[[#This Row],[Selling_Price_per_Unit]]-Table1[[#This Row],[Manufacturing_Cost_per_Unit]])*Table1[[#This Row],[Units_Sold]]-Table1[[#This Row],[Marketing_Spend]]-Table1[[#This Row],[Discount_%]]</f>
        <v>5617848.6600000001</v>
      </c>
      <c r="U681" s="3">
        <f>Table1[[#This Row],[profit]]/(Table1[[#This Row],[Units_Sold]]*Table1[[#This Row],[Selling_Price_per_Unit]])*100</f>
        <v>66.556888598443351</v>
      </c>
      <c r="V681" s="6">
        <f>Table1[[#This Row],[Units_Sold]]*Table1[[#This Row],[Selling_Price_per_Unit]]</f>
        <v>8440672</v>
      </c>
      <c r="W681" s="7">
        <f>(Table1[[#This Row],[Units_Sold]]/$Z$1)</f>
        <v>0.27647935474002933</v>
      </c>
      <c r="X681" s="8">
        <f>((Table1[[#This Row],[Units_Sold]]*(Table1[[#This Row],[Selling_Price_per_Unit]]-Table1[[#This Row],[Manufacturing_Cost_per_Unit]]))-Table1[[#This Row],[Marketing_Spend]])/Table1[[#This Row],[Marketing_Spend]]</f>
        <v>34.172460568015232</v>
      </c>
    </row>
    <row r="682" spans="1:24" x14ac:dyDescent="0.3">
      <c r="A682" s="1" t="s">
        <v>429</v>
      </c>
      <c r="B682" s="1" t="s">
        <v>1355</v>
      </c>
      <c r="C682" s="1" t="s">
        <v>1634</v>
      </c>
      <c r="D682" s="1" t="s">
        <v>1638</v>
      </c>
      <c r="E682" s="1">
        <v>2023</v>
      </c>
      <c r="F682" s="1" t="s">
        <v>1639</v>
      </c>
      <c r="G682" s="1">
        <v>3780</v>
      </c>
      <c r="H682" s="1">
        <v>11896</v>
      </c>
      <c r="I682" s="1">
        <v>5868</v>
      </c>
      <c r="J682" s="1">
        <v>196110</v>
      </c>
      <c r="K682" s="1">
        <v>6.5</v>
      </c>
      <c r="L682" s="1">
        <v>10</v>
      </c>
      <c r="M682" s="1">
        <v>8.69</v>
      </c>
      <c r="N682" s="1">
        <v>14.58</v>
      </c>
      <c r="O682" s="1">
        <v>67.92</v>
      </c>
      <c r="P682" s="1">
        <v>3.7</v>
      </c>
      <c r="Q682" s="1">
        <v>2661</v>
      </c>
      <c r="R682" s="1">
        <v>6487</v>
      </c>
      <c r="S682" s="1">
        <v>14</v>
      </c>
      <c r="T682" s="1">
        <f>(Table1[[#This Row],[Selling_Price_per_Unit]]-Table1[[#This Row],[Manufacturing_Cost_per_Unit]])*Table1[[#This Row],[Units_Sold]]-Table1[[#This Row],[Marketing_Spend]]-Table1[[#This Row],[Discount_%]]</f>
        <v>22589715.420000002</v>
      </c>
      <c r="U682" s="3">
        <f>Table1[[#This Row],[profit]]/(Table1[[#This Row],[Units_Sold]]*Table1[[#This Row],[Selling_Price_per_Unit]])*100</f>
        <v>50.236341547378871</v>
      </c>
      <c r="V682" s="6">
        <f>Table1[[#This Row],[Units_Sold]]*Table1[[#This Row],[Selling_Price_per_Unit]]</f>
        <v>44966880</v>
      </c>
      <c r="W682" s="7">
        <f>(Table1[[#This Row],[Units_Sold]]/$Z$1)</f>
        <v>0.75676463498719104</v>
      </c>
      <c r="X682" s="8">
        <f>((Table1[[#This Row],[Units_Sold]]*(Table1[[#This Row],[Selling_Price_per_Unit]]-Table1[[#This Row],[Manufacturing_Cost_per_Unit]]))-Table1[[#This Row],[Marketing_Spend]])/Table1[[#This Row],[Marketing_Spend]]</f>
        <v>115.18907755851308</v>
      </c>
    </row>
    <row r="683" spans="1:24" hidden="1" x14ac:dyDescent="0.3">
      <c r="A683" s="1" t="s">
        <v>344</v>
      </c>
      <c r="B683" s="1" t="s">
        <v>1298</v>
      </c>
      <c r="C683" s="1" t="s">
        <v>1632</v>
      </c>
      <c r="D683" s="1" t="s">
        <v>1637</v>
      </c>
      <c r="E683" s="1">
        <v>2023</v>
      </c>
      <c r="F683" s="1" t="s">
        <v>1639</v>
      </c>
      <c r="G683" s="1">
        <v>3000</v>
      </c>
      <c r="H683" s="1">
        <v>10487</v>
      </c>
      <c r="I683" s="1">
        <v>2823</v>
      </c>
      <c r="J683" s="1">
        <v>473602</v>
      </c>
      <c r="K683" s="1">
        <v>1.76</v>
      </c>
      <c r="L683" s="1">
        <v>7</v>
      </c>
      <c r="M683" s="1">
        <v>1.93</v>
      </c>
      <c r="N683" s="1">
        <v>19.11</v>
      </c>
      <c r="O683" s="1">
        <v>42.15</v>
      </c>
      <c r="P683" s="1">
        <v>4</v>
      </c>
      <c r="Q683" s="1">
        <v>5304</v>
      </c>
      <c r="R683" s="1">
        <v>9576</v>
      </c>
      <c r="S683" s="1">
        <v>8</v>
      </c>
      <c r="T683" s="1">
        <f>(Table1[[#This Row],[Selling_Price_per_Unit]]-Table1[[#This Row],[Manufacturing_Cost_per_Unit]])*Table1[[#This Row],[Units_Sold]]-Table1[[#This Row],[Marketing_Spend]]-Table1[[#This Row],[Discount_%]]</f>
        <v>22518378.890000001</v>
      </c>
      <c r="U683" s="3">
        <f>Table1[[#This Row],[profit]]/(Table1[[#This Row],[Units_Sold]]*Table1[[#This Row],[Selling_Price_per_Unit]])*100</f>
        <v>71.575534439464732</v>
      </c>
      <c r="V683" s="6">
        <f>Table1[[#This Row],[Units_Sold]]*Table1[[#This Row],[Selling_Price_per_Unit]]</f>
        <v>31461000</v>
      </c>
      <c r="W683" s="7">
        <f>(Table1[[#This Row],[Units_Sold]]/$Z$1)</f>
        <v>0.60060685316443729</v>
      </c>
      <c r="X683" s="8">
        <f>((Table1[[#This Row],[Units_Sold]]*(Table1[[#This Row],[Selling_Price_per_Unit]]-Table1[[#This Row],[Manufacturing_Cost_per_Unit]]))-Table1[[#This Row],[Marketing_Spend]])/Table1[[#This Row],[Marketing_Spend]]</f>
        <v>47.547092284238666</v>
      </c>
    </row>
    <row r="684" spans="1:24" hidden="1" x14ac:dyDescent="0.3">
      <c r="A684" s="1" t="s">
        <v>701</v>
      </c>
      <c r="B684" s="1" t="s">
        <v>1493</v>
      </c>
      <c r="C684" s="1" t="s">
        <v>1633</v>
      </c>
      <c r="D684" s="1" t="s">
        <v>1636</v>
      </c>
      <c r="E684" s="1">
        <v>2024</v>
      </c>
      <c r="F684" s="1" t="s">
        <v>1640</v>
      </c>
      <c r="G684" s="1">
        <v>1408</v>
      </c>
      <c r="H684" s="1">
        <v>17052</v>
      </c>
      <c r="I684" s="1">
        <v>10586</v>
      </c>
      <c r="J684" s="1">
        <v>473332</v>
      </c>
      <c r="K684" s="1">
        <v>12.6</v>
      </c>
      <c r="L684" s="1">
        <v>14</v>
      </c>
      <c r="M684" s="1">
        <v>2.36</v>
      </c>
      <c r="N684" s="1">
        <v>17.25</v>
      </c>
      <c r="O684" s="1">
        <v>72.239999999999995</v>
      </c>
      <c r="P684" s="1">
        <v>3.3</v>
      </c>
      <c r="Q684" s="1">
        <v>5409</v>
      </c>
      <c r="R684" s="1">
        <v>4469</v>
      </c>
      <c r="S684" s="1">
        <v>10</v>
      </c>
      <c r="T684" s="1">
        <f>(Table1[[#This Row],[Selling_Price_per_Unit]]-Table1[[#This Row],[Manufacturing_Cost_per_Unit]])*Table1[[#This Row],[Units_Sold]]-Table1[[#This Row],[Marketing_Spend]]-Table1[[#This Row],[Discount_%]]</f>
        <v>8630778.75</v>
      </c>
      <c r="U684" s="3">
        <f>Table1[[#This Row],[profit]]/(Table1[[#This Row],[Units_Sold]]*Table1[[#This Row],[Selling_Price_per_Unit]])*100</f>
        <v>35.94777417971499</v>
      </c>
      <c r="V684" s="6">
        <f>Table1[[#This Row],[Units_Sold]]*Table1[[#This Row],[Selling_Price_per_Unit]]</f>
        <v>24009216</v>
      </c>
      <c r="W684" s="7">
        <f>(Table1[[#This Row],[Units_Sold]]/$Z$1)</f>
        <v>0.28188481641850927</v>
      </c>
      <c r="X684" s="8">
        <f>((Table1[[#This Row],[Units_Sold]]*(Table1[[#This Row],[Selling_Price_per_Unit]]-Table1[[#This Row],[Manufacturing_Cost_per_Unit]]))-Table1[[#This Row],[Marketing_Spend]])/Table1[[#This Row],[Marketing_Spend]]</f>
        <v>18.23412742007724</v>
      </c>
    </row>
    <row r="685" spans="1:24" x14ac:dyDescent="0.3">
      <c r="A685" s="1" t="s">
        <v>83</v>
      </c>
      <c r="B685" s="1" t="s">
        <v>1080</v>
      </c>
      <c r="C685" s="1" t="s">
        <v>1632</v>
      </c>
      <c r="D685" s="1" t="s">
        <v>1638</v>
      </c>
      <c r="E685" s="1">
        <v>2023</v>
      </c>
      <c r="F685" s="1" t="s">
        <v>1642</v>
      </c>
      <c r="G685" s="1">
        <v>4347</v>
      </c>
      <c r="H685" s="1">
        <v>16649</v>
      </c>
      <c r="I685" s="1">
        <v>11436</v>
      </c>
      <c r="J685" s="1">
        <v>398264</v>
      </c>
      <c r="K685" s="1">
        <v>13.81</v>
      </c>
      <c r="L685" s="1">
        <v>13</v>
      </c>
      <c r="M685" s="1">
        <v>7.83</v>
      </c>
      <c r="N685" s="1">
        <v>23.82</v>
      </c>
      <c r="O685" s="1">
        <v>87.8</v>
      </c>
      <c r="P685" s="1">
        <v>4.5</v>
      </c>
      <c r="Q685" s="1">
        <v>14112</v>
      </c>
      <c r="R685" s="1">
        <v>779</v>
      </c>
      <c r="S685" s="1">
        <v>6</v>
      </c>
      <c r="T685" s="1">
        <f>(Table1[[#This Row],[Selling_Price_per_Unit]]-Table1[[#This Row],[Manufacturing_Cost_per_Unit]])*Table1[[#This Row],[Units_Sold]]-Table1[[#This Row],[Marketing_Spend]]-Table1[[#This Row],[Discount_%]]</f>
        <v>22262623.18</v>
      </c>
      <c r="U685" s="3">
        <f>Table1[[#This Row],[profit]]/(Table1[[#This Row],[Units_Sold]]*Table1[[#This Row],[Selling_Price_per_Unit]])*100</f>
        <v>30.760864874254633</v>
      </c>
      <c r="V685" s="6">
        <f>Table1[[#This Row],[Units_Sold]]*Table1[[#This Row],[Selling_Price_per_Unit]]</f>
        <v>72373203</v>
      </c>
      <c r="W685" s="7">
        <f>(Table1[[#This Row],[Units_Sold]]/$Z$1)</f>
        <v>0.87027933023526971</v>
      </c>
      <c r="X685" s="8">
        <f>((Table1[[#This Row],[Units_Sold]]*(Table1[[#This Row],[Selling_Price_per_Unit]]-Table1[[#This Row],[Manufacturing_Cost_per_Unit]]))-Table1[[#This Row],[Marketing_Spend]])/Table1[[#This Row],[Marketing_Spend]]</f>
        <v>55.899220115300402</v>
      </c>
    </row>
    <row r="686" spans="1:24" x14ac:dyDescent="0.3">
      <c r="A686" s="1" t="s">
        <v>703</v>
      </c>
      <c r="B686" s="1" t="s">
        <v>1498</v>
      </c>
      <c r="C686" s="1" t="s">
        <v>1632</v>
      </c>
      <c r="D686" s="1" t="s">
        <v>1638</v>
      </c>
      <c r="E686" s="1">
        <v>2023</v>
      </c>
      <c r="F686" s="1" t="s">
        <v>1641</v>
      </c>
      <c r="G686" s="1">
        <v>4904</v>
      </c>
      <c r="H686" s="1">
        <v>6738</v>
      </c>
      <c r="I686" s="1">
        <v>4511</v>
      </c>
      <c r="J686" s="1">
        <v>405718</v>
      </c>
      <c r="K686" s="1">
        <v>13.34</v>
      </c>
      <c r="L686" s="1">
        <v>18</v>
      </c>
      <c r="M686" s="1">
        <v>1.85</v>
      </c>
      <c r="N686" s="1">
        <v>22.3</v>
      </c>
      <c r="O686" s="1">
        <v>56.38</v>
      </c>
      <c r="P686" s="1">
        <v>4.3</v>
      </c>
      <c r="Q686" s="1">
        <v>4920</v>
      </c>
      <c r="R686" s="1">
        <v>564</v>
      </c>
      <c r="S686" s="1">
        <v>6</v>
      </c>
      <c r="T686" s="1">
        <f>(Table1[[#This Row],[Selling_Price_per_Unit]]-Table1[[#This Row],[Manufacturing_Cost_per_Unit]])*Table1[[#This Row],[Units_Sold]]-Table1[[#This Row],[Marketing_Spend]]-Table1[[#This Row],[Discount_%]]</f>
        <v>10515467.699999999</v>
      </c>
      <c r="U686" s="3">
        <f>Table1[[#This Row],[profit]]/(Table1[[#This Row],[Units_Sold]]*Table1[[#This Row],[Selling_Price_per_Unit]])*100</f>
        <v>31.823440148809045</v>
      </c>
      <c r="V686" s="6">
        <f>Table1[[#This Row],[Units_Sold]]*Table1[[#This Row],[Selling_Price_per_Unit]]</f>
        <v>33043152</v>
      </c>
      <c r="W686" s="7">
        <f>(Table1[[#This Row],[Units_Sold]]/$Z$1)</f>
        <v>0.98179200263946687</v>
      </c>
      <c r="X686" s="8">
        <f>((Table1[[#This Row],[Units_Sold]]*(Table1[[#This Row],[Selling_Price_per_Unit]]-Table1[[#This Row],[Manufacturing_Cost_per_Unit]]))-Table1[[#This Row],[Marketing_Spend]])/Table1[[#This Row],[Marketing_Spend]]</f>
        <v>25.918223988090251</v>
      </c>
    </row>
    <row r="687" spans="1:24" hidden="1" x14ac:dyDescent="0.3">
      <c r="A687" s="1" t="s">
        <v>115</v>
      </c>
      <c r="B687" s="1" t="s">
        <v>1110</v>
      </c>
      <c r="C687" s="1" t="s">
        <v>1634</v>
      </c>
      <c r="D687" s="1" t="s">
        <v>1638</v>
      </c>
      <c r="E687" s="1">
        <v>2023</v>
      </c>
      <c r="F687" s="1" t="s">
        <v>1641</v>
      </c>
      <c r="G687" s="1">
        <v>3154</v>
      </c>
      <c r="H687" s="1">
        <v>17017</v>
      </c>
      <c r="I687" s="1">
        <v>9847</v>
      </c>
      <c r="J687" s="1">
        <v>379678</v>
      </c>
      <c r="K687" s="1">
        <v>0.78</v>
      </c>
      <c r="L687" s="1">
        <v>15</v>
      </c>
      <c r="M687" s="1">
        <v>6.74</v>
      </c>
      <c r="N687" s="1">
        <v>15.75</v>
      </c>
      <c r="O687" s="1">
        <v>30.37</v>
      </c>
      <c r="P687" s="1">
        <v>1.6</v>
      </c>
      <c r="Q687" s="1">
        <v>17201</v>
      </c>
      <c r="R687" s="1">
        <v>2753</v>
      </c>
      <c r="S687" s="1">
        <v>9</v>
      </c>
      <c r="T687" s="1">
        <f>(Table1[[#This Row],[Selling_Price_per_Unit]]-Table1[[#This Row],[Manufacturing_Cost_per_Unit]])*Table1[[#This Row],[Units_Sold]]-Table1[[#This Row],[Marketing_Spend]]-Table1[[#This Row],[Discount_%]]</f>
        <v>22234486.25</v>
      </c>
      <c r="U687" s="3">
        <f>Table1[[#This Row],[profit]]/(Table1[[#This Row],[Units_Sold]]*Table1[[#This Row],[Selling_Price_per_Unit]])*100</f>
        <v>41.426897638897344</v>
      </c>
      <c r="V687" s="6">
        <f>Table1[[#This Row],[Units_Sold]]*Table1[[#This Row],[Selling_Price_per_Unit]]</f>
        <v>53671618</v>
      </c>
      <c r="W687" s="7">
        <f>(Table1[[#This Row],[Units_Sold]]/$Z$1)</f>
        <v>0.63143800496021174</v>
      </c>
      <c r="X687" s="8">
        <f>((Table1[[#This Row],[Units_Sold]]*(Table1[[#This Row],[Selling_Price_per_Unit]]-Table1[[#This Row],[Manufacturing_Cost_per_Unit]]))-Table1[[#This Row],[Marketing_Spend]])/Table1[[#This Row],[Marketing_Spend]]</f>
        <v>58.561470509220975</v>
      </c>
    </row>
    <row r="688" spans="1:24" hidden="1" x14ac:dyDescent="0.3">
      <c r="A688" s="1" t="s">
        <v>705</v>
      </c>
      <c r="B688" s="1" t="s">
        <v>1500</v>
      </c>
      <c r="C688" s="1" t="s">
        <v>1634</v>
      </c>
      <c r="D688" s="1" t="s">
        <v>1638</v>
      </c>
      <c r="E688" s="1">
        <v>2024</v>
      </c>
      <c r="F688" s="1" t="s">
        <v>1640</v>
      </c>
      <c r="G688" s="1">
        <v>2178</v>
      </c>
      <c r="H688" s="1">
        <v>17004</v>
      </c>
      <c r="I688" s="1">
        <v>10552</v>
      </c>
      <c r="J688" s="1">
        <v>342575</v>
      </c>
      <c r="K688" s="1">
        <v>2.93</v>
      </c>
      <c r="L688" s="1">
        <v>6</v>
      </c>
      <c r="M688" s="1">
        <v>5.13</v>
      </c>
      <c r="N688" s="1">
        <v>12.71</v>
      </c>
      <c r="O688" s="1">
        <v>32.630000000000003</v>
      </c>
      <c r="P688" s="1">
        <v>3.7</v>
      </c>
      <c r="Q688" s="1">
        <v>18240</v>
      </c>
      <c r="R688" s="1">
        <v>5515</v>
      </c>
      <c r="S688" s="1">
        <v>13</v>
      </c>
      <c r="T688" s="1">
        <f>(Table1[[#This Row],[Selling_Price_per_Unit]]-Table1[[#This Row],[Manufacturing_Cost_per_Unit]])*Table1[[#This Row],[Units_Sold]]-Table1[[#This Row],[Marketing_Spend]]-Table1[[#This Row],[Discount_%]]</f>
        <v>13709868.289999999</v>
      </c>
      <c r="U688" s="3">
        <f>Table1[[#This Row],[profit]]/(Table1[[#This Row],[Units_Sold]]*Table1[[#This Row],[Selling_Price_per_Unit]])*100</f>
        <v>37.018968285753104</v>
      </c>
      <c r="V688" s="6">
        <f>Table1[[#This Row],[Units_Sold]]*Table1[[#This Row],[Selling_Price_per_Unit]]</f>
        <v>37034712</v>
      </c>
      <c r="W688" s="7">
        <f>(Table1[[#This Row],[Units_Sold]]/$Z$1)</f>
        <v>0.4360405753973815</v>
      </c>
      <c r="X688" s="8">
        <f>((Table1[[#This Row],[Units_Sold]]*(Table1[[#This Row],[Selling_Price_per_Unit]]-Table1[[#This Row],[Manufacturing_Cost_per_Unit]]))-Table1[[#This Row],[Marketing_Spend]])/Table1[[#This Row],[Marketing_Spend]]</f>
        <v>40.020086112530102</v>
      </c>
    </row>
    <row r="689" spans="1:24" hidden="1" x14ac:dyDescent="0.3">
      <c r="A689" s="1" t="s">
        <v>706</v>
      </c>
      <c r="B689" s="1" t="s">
        <v>1313</v>
      </c>
      <c r="C689" s="1" t="s">
        <v>1634</v>
      </c>
      <c r="D689" s="1" t="s">
        <v>1637</v>
      </c>
      <c r="E689" s="1">
        <v>2023</v>
      </c>
      <c r="F689" s="1" t="s">
        <v>1639</v>
      </c>
      <c r="G689" s="1">
        <v>2230</v>
      </c>
      <c r="H689" s="1">
        <v>5219</v>
      </c>
      <c r="I689" s="1">
        <v>7074</v>
      </c>
      <c r="J689" s="1">
        <v>461124</v>
      </c>
      <c r="K689" s="1">
        <v>7.34</v>
      </c>
      <c r="L689" s="1">
        <v>13</v>
      </c>
      <c r="M689" s="1">
        <v>8.4499999999999993</v>
      </c>
      <c r="N689" s="1">
        <v>24.8</v>
      </c>
      <c r="O689" s="1">
        <v>81.59</v>
      </c>
      <c r="P689" s="1">
        <v>3.8</v>
      </c>
      <c r="Q689" s="1">
        <v>8985</v>
      </c>
      <c r="R689" s="1">
        <v>8215</v>
      </c>
      <c r="S689" s="1">
        <v>4</v>
      </c>
      <c r="T689" s="1">
        <f>(Table1[[#This Row],[Selling_Price_per_Unit]]-Table1[[#This Row],[Manufacturing_Cost_per_Unit]])*Table1[[#This Row],[Units_Sold]]-Table1[[#This Row],[Marketing_Spend]]-Table1[[#This Row],[Discount_%]]</f>
        <v>-4597798.8</v>
      </c>
      <c r="U689" s="3">
        <f>Table1[[#This Row],[profit]]/(Table1[[#This Row],[Units_Sold]]*Table1[[#This Row],[Selling_Price_per_Unit]])*100</f>
        <v>-39.505521821354705</v>
      </c>
      <c r="V689" s="6">
        <f>Table1[[#This Row],[Units_Sold]]*Table1[[#This Row],[Selling_Price_per_Unit]]</f>
        <v>11638370</v>
      </c>
      <c r="W689" s="7">
        <f>(Table1[[#This Row],[Units_Sold]]/$Z$1)</f>
        <v>0.44645109418556506</v>
      </c>
      <c r="X689" s="8">
        <f>((Table1[[#This Row],[Units_Sold]]*(Table1[[#This Row],[Selling_Price_per_Unit]]-Table1[[#This Row],[Manufacturing_Cost_per_Unit]]))-Table1[[#This Row],[Marketing_Spend]])/Table1[[#This Row],[Marketing_Spend]]</f>
        <v>-9.9707974427702748</v>
      </c>
    </row>
    <row r="690" spans="1:24" x14ac:dyDescent="0.3">
      <c r="A690" s="1" t="s">
        <v>707</v>
      </c>
      <c r="B690" s="1" t="s">
        <v>1170</v>
      </c>
      <c r="C690" s="1" t="s">
        <v>1634</v>
      </c>
      <c r="D690" s="1" t="s">
        <v>1635</v>
      </c>
      <c r="E690" s="1">
        <v>2024</v>
      </c>
      <c r="F690" s="1" t="s">
        <v>1640</v>
      </c>
      <c r="G690" s="1">
        <v>4942</v>
      </c>
      <c r="H690" s="1">
        <v>1802</v>
      </c>
      <c r="I690" s="1">
        <v>11392</v>
      </c>
      <c r="J690" s="1">
        <v>79336</v>
      </c>
      <c r="K690" s="1">
        <v>11.12</v>
      </c>
      <c r="L690" s="1">
        <v>13</v>
      </c>
      <c r="M690" s="1">
        <v>0.8</v>
      </c>
      <c r="N690" s="1">
        <v>6.65</v>
      </c>
      <c r="O690" s="1">
        <v>11.94</v>
      </c>
      <c r="P690" s="1">
        <v>2.2000000000000002</v>
      </c>
      <c r="Q690" s="1">
        <v>20965</v>
      </c>
      <c r="R690" s="1">
        <v>387</v>
      </c>
      <c r="S690" s="1">
        <v>7</v>
      </c>
      <c r="T690" s="1">
        <f>(Table1[[#This Row],[Selling_Price_per_Unit]]-Table1[[#This Row],[Manufacturing_Cost_per_Unit]])*Table1[[#This Row],[Units_Sold]]-Table1[[#This Row],[Marketing_Spend]]-Table1[[#This Row],[Discount_%]]</f>
        <v>-47473122.649999999</v>
      </c>
      <c r="U690" s="3">
        <f>Table1[[#This Row],[profit]]/(Table1[[#This Row],[Units_Sold]]*Table1[[#This Row],[Selling_Price_per_Unit]])*100</f>
        <v>-533.07740095878</v>
      </c>
      <c r="V690" s="6">
        <f>Table1[[#This Row],[Units_Sold]]*Table1[[#This Row],[Selling_Price_per_Unit]]</f>
        <v>8905484</v>
      </c>
      <c r="W690" s="7">
        <f>(Table1[[#This Row],[Units_Sold]]/$Z$1)</f>
        <v>0.98939968944621637</v>
      </c>
      <c r="X690" s="8">
        <f>((Table1[[#This Row],[Units_Sold]]*(Table1[[#This Row],[Selling_Price_per_Unit]]-Table1[[#This Row],[Manufacturing_Cost_per_Unit]]))-Table1[[#This Row],[Marketing_Spend]])/Table1[[#This Row],[Marketing_Spend]]</f>
        <v>-598.38050821821116</v>
      </c>
    </row>
    <row r="691" spans="1:24" hidden="1" x14ac:dyDescent="0.3">
      <c r="A691" s="1" t="s">
        <v>708</v>
      </c>
      <c r="B691" s="1" t="s">
        <v>1501</v>
      </c>
      <c r="C691" s="1" t="s">
        <v>1632</v>
      </c>
      <c r="D691" s="1" t="s">
        <v>1636</v>
      </c>
      <c r="E691" s="1">
        <v>2024</v>
      </c>
      <c r="F691" s="1" t="s">
        <v>1639</v>
      </c>
      <c r="G691" s="1">
        <v>187</v>
      </c>
      <c r="H691" s="1">
        <v>13644</v>
      </c>
      <c r="I691" s="1">
        <v>11235</v>
      </c>
      <c r="J691" s="1">
        <v>353136</v>
      </c>
      <c r="K691" s="1">
        <v>7.39</v>
      </c>
      <c r="L691" s="1">
        <v>12</v>
      </c>
      <c r="M691" s="1">
        <v>7.07</v>
      </c>
      <c r="N691" s="1">
        <v>20.83</v>
      </c>
      <c r="O691" s="1">
        <v>37.89</v>
      </c>
      <c r="P691" s="1">
        <v>2.9</v>
      </c>
      <c r="Q691" s="1">
        <v>20164</v>
      </c>
      <c r="R691" s="1">
        <v>3295</v>
      </c>
      <c r="S691" s="1">
        <v>14</v>
      </c>
      <c r="T691" s="1">
        <f>(Table1[[#This Row],[Selling_Price_per_Unit]]-Table1[[#This Row],[Manufacturing_Cost_per_Unit]])*Table1[[#This Row],[Units_Sold]]-Table1[[#This Row],[Marketing_Spend]]-Table1[[#This Row],[Discount_%]]</f>
        <v>97326.17</v>
      </c>
      <c r="U691" s="3">
        <f>Table1[[#This Row],[profit]]/(Table1[[#This Row],[Units_Sold]]*Table1[[#This Row],[Selling_Price_per_Unit]])*100</f>
        <v>3.8145763862433117</v>
      </c>
      <c r="V691" s="6">
        <f>Table1[[#This Row],[Units_Sold]]*Table1[[#This Row],[Selling_Price_per_Unit]]</f>
        <v>2551428</v>
      </c>
      <c r="W691" s="7">
        <f>(Table1[[#This Row],[Units_Sold]]/$Z$1)</f>
        <v>3.7437827180583257E-2</v>
      </c>
      <c r="X691" s="8">
        <f>((Table1[[#This Row],[Units_Sold]]*(Table1[[#This Row],[Selling_Price_per_Unit]]-Table1[[#This Row],[Manufacturing_Cost_per_Unit]]))-Table1[[#This Row],[Marketing_Spend]])/Table1[[#This Row],[Marketing_Spend]]</f>
        <v>0.27566433328802503</v>
      </c>
    </row>
    <row r="692" spans="1:24" hidden="1" x14ac:dyDescent="0.3">
      <c r="A692" s="1" t="s">
        <v>206</v>
      </c>
      <c r="B692" s="1" t="s">
        <v>1188</v>
      </c>
      <c r="C692" s="1" t="s">
        <v>1632</v>
      </c>
      <c r="D692" s="1" t="s">
        <v>1635</v>
      </c>
      <c r="E692" s="1">
        <v>2024</v>
      </c>
      <c r="F692" s="1" t="s">
        <v>1642</v>
      </c>
      <c r="G692" s="1">
        <v>3322</v>
      </c>
      <c r="H692" s="1">
        <v>13418</v>
      </c>
      <c r="I692" s="1">
        <v>6584</v>
      </c>
      <c r="J692" s="1">
        <v>480442</v>
      </c>
      <c r="K692" s="1">
        <v>1.59</v>
      </c>
      <c r="L692" s="1">
        <v>2</v>
      </c>
      <c r="M692" s="1">
        <v>1.99</v>
      </c>
      <c r="N692" s="1">
        <v>7.27</v>
      </c>
      <c r="O692" s="1">
        <v>18.5</v>
      </c>
      <c r="P692" s="1">
        <v>2.5</v>
      </c>
      <c r="Q692" s="1">
        <v>2030</v>
      </c>
      <c r="R692" s="1">
        <v>1942</v>
      </c>
      <c r="S692" s="1">
        <v>9</v>
      </c>
      <c r="T692" s="1">
        <f>(Table1[[#This Row],[Selling_Price_per_Unit]]-Table1[[#This Row],[Manufacturing_Cost_per_Unit]])*Table1[[#This Row],[Units_Sold]]-Table1[[#This Row],[Marketing_Spend]]-Table1[[#This Row],[Discount_%]]</f>
        <v>22222098.73</v>
      </c>
      <c r="U692" s="3">
        <f>Table1[[#This Row],[profit]]/(Table1[[#This Row],[Units_Sold]]*Table1[[#This Row],[Selling_Price_per_Unit]])*100</f>
        <v>49.85372998108609</v>
      </c>
      <c r="V692" s="6">
        <f>Table1[[#This Row],[Units_Sold]]*Table1[[#This Row],[Selling_Price_per_Unit]]</f>
        <v>44574596</v>
      </c>
      <c r="W692" s="7">
        <f>(Table1[[#This Row],[Units_Sold]]/$Z$1)</f>
        <v>0.66507198873742024</v>
      </c>
      <c r="X692" s="8">
        <f>((Table1[[#This Row],[Units_Sold]]*(Table1[[#This Row],[Selling_Price_per_Unit]]-Table1[[#This Row],[Manufacturing_Cost_per_Unit]]))-Table1[[#This Row],[Marketing_Spend]])/Table1[[#This Row],[Marketing_Spend]]</f>
        <v>46.253462436672898</v>
      </c>
    </row>
    <row r="693" spans="1:24" hidden="1" x14ac:dyDescent="0.3">
      <c r="A693" s="1" t="s">
        <v>710</v>
      </c>
      <c r="B693" s="1" t="s">
        <v>1196</v>
      </c>
      <c r="C693" s="1" t="s">
        <v>1634</v>
      </c>
      <c r="D693" s="1" t="s">
        <v>1635</v>
      </c>
      <c r="E693" s="1">
        <v>2023</v>
      </c>
      <c r="F693" s="1" t="s">
        <v>1641</v>
      </c>
      <c r="G693" s="1">
        <v>2882</v>
      </c>
      <c r="H693" s="1">
        <v>11555</v>
      </c>
      <c r="I693" s="1">
        <v>10931</v>
      </c>
      <c r="J693" s="1">
        <v>119561</v>
      </c>
      <c r="K693" s="1">
        <v>12.57</v>
      </c>
      <c r="L693" s="1">
        <v>8</v>
      </c>
      <c r="M693" s="1">
        <v>8.73</v>
      </c>
      <c r="N693" s="1">
        <v>16.22</v>
      </c>
      <c r="O693" s="1">
        <v>16.41</v>
      </c>
      <c r="P693" s="1">
        <v>4.0999999999999996</v>
      </c>
      <c r="Q693" s="1">
        <v>12152</v>
      </c>
      <c r="R693" s="1">
        <v>2092</v>
      </c>
      <c r="S693" s="1">
        <v>14</v>
      </c>
      <c r="T693" s="1">
        <f>(Table1[[#This Row],[Selling_Price_per_Unit]]-Table1[[#This Row],[Manufacturing_Cost_per_Unit]])*Table1[[#This Row],[Units_Sold]]-Table1[[#This Row],[Marketing_Spend]]-Table1[[#This Row],[Discount_%]]</f>
        <v>1678790.78</v>
      </c>
      <c r="U693" s="3">
        <f>Table1[[#This Row],[profit]]/(Table1[[#This Row],[Units_Sold]]*Table1[[#This Row],[Selling_Price_per_Unit]])*100</f>
        <v>5.0411851594717474</v>
      </c>
      <c r="V693" s="6">
        <f>Table1[[#This Row],[Units_Sold]]*Table1[[#This Row],[Selling_Price_per_Unit]]</f>
        <v>33301510</v>
      </c>
      <c r="W693" s="7">
        <f>(Table1[[#This Row],[Units_Sold]]/$Z$1)</f>
        <v>0.57698298360663614</v>
      </c>
      <c r="X693" s="8">
        <f>((Table1[[#This Row],[Units_Sold]]*(Table1[[#This Row],[Selling_Price_per_Unit]]-Table1[[#This Row],[Manufacturing_Cost_per_Unit]]))-Table1[[#This Row],[Marketing_Spend]])/Table1[[#This Row],[Marketing_Spend]]</f>
        <v>14.041426552136567</v>
      </c>
    </row>
    <row r="694" spans="1:24" hidden="1" x14ac:dyDescent="0.3">
      <c r="A694" s="1" t="s">
        <v>711</v>
      </c>
      <c r="B694" s="1" t="s">
        <v>1328</v>
      </c>
      <c r="C694" s="1" t="s">
        <v>1633</v>
      </c>
      <c r="D694" s="1" t="s">
        <v>1638</v>
      </c>
      <c r="E694" s="1">
        <v>2024</v>
      </c>
      <c r="F694" s="1" t="s">
        <v>1639</v>
      </c>
      <c r="G694" s="1">
        <v>3629</v>
      </c>
      <c r="H694" s="1">
        <v>5940</v>
      </c>
      <c r="I694" s="1">
        <v>14017</v>
      </c>
      <c r="J694" s="1">
        <v>364099</v>
      </c>
      <c r="K694" s="1">
        <v>5.42</v>
      </c>
      <c r="L694" s="1">
        <v>0</v>
      </c>
      <c r="M694" s="1">
        <v>2.44</v>
      </c>
      <c r="N694" s="1">
        <v>18.18</v>
      </c>
      <c r="O694" s="1">
        <v>24.65</v>
      </c>
      <c r="P694" s="1">
        <v>4.9000000000000004</v>
      </c>
      <c r="Q694" s="1">
        <v>15879</v>
      </c>
      <c r="R694" s="1">
        <v>7550</v>
      </c>
      <c r="S694" s="1">
        <v>13</v>
      </c>
      <c r="T694" s="1">
        <f>(Table1[[#This Row],[Selling_Price_per_Unit]]-Table1[[#This Row],[Manufacturing_Cost_per_Unit]])*Table1[[#This Row],[Units_Sold]]-Table1[[#This Row],[Marketing_Spend]]-Table1[[#This Row],[Discount_%]]</f>
        <v>-29675550.18</v>
      </c>
      <c r="U694" s="3">
        <f>Table1[[#This Row],[profit]]/(Table1[[#This Row],[Units_Sold]]*Table1[[#This Row],[Selling_Price_per_Unit]])*100</f>
        <v>-137.66557918674204</v>
      </c>
      <c r="V694" s="6">
        <f>Table1[[#This Row],[Units_Sold]]*Table1[[#This Row],[Selling_Price_per_Unit]]</f>
        <v>21556260</v>
      </c>
      <c r="W694" s="7">
        <f>(Table1[[#This Row],[Units_Sold]]/$Z$1)</f>
        <v>0.72653409004458103</v>
      </c>
      <c r="X694" s="8">
        <f>((Table1[[#This Row],[Units_Sold]]*(Table1[[#This Row],[Selling_Price_per_Unit]]-Table1[[#This Row],[Manufacturing_Cost_per_Unit]]))-Table1[[#This Row],[Marketing_Spend]])/Table1[[#This Row],[Marketing_Spend]]</f>
        <v>-81.504019511176907</v>
      </c>
    </row>
    <row r="695" spans="1:24" hidden="1" x14ac:dyDescent="0.3">
      <c r="A695" s="1" t="s">
        <v>712</v>
      </c>
      <c r="B695" s="1" t="s">
        <v>1216</v>
      </c>
      <c r="C695" s="1" t="s">
        <v>1632</v>
      </c>
      <c r="D695" s="1" t="s">
        <v>1635</v>
      </c>
      <c r="E695" s="1">
        <v>2024</v>
      </c>
      <c r="F695" s="1" t="s">
        <v>1642</v>
      </c>
      <c r="G695" s="1">
        <v>3081</v>
      </c>
      <c r="H695" s="1">
        <v>4572</v>
      </c>
      <c r="I695" s="1">
        <v>8633</v>
      </c>
      <c r="J695" s="1">
        <v>111240</v>
      </c>
      <c r="K695" s="1">
        <v>12.9</v>
      </c>
      <c r="L695" s="1">
        <v>18</v>
      </c>
      <c r="M695" s="1">
        <v>4.5</v>
      </c>
      <c r="N695" s="1">
        <v>15.84</v>
      </c>
      <c r="O695" s="1">
        <v>57.14</v>
      </c>
      <c r="P695" s="1">
        <v>4</v>
      </c>
      <c r="Q695" s="1">
        <v>16403</v>
      </c>
      <c r="R695" s="1">
        <v>3025</v>
      </c>
      <c r="S695" s="1">
        <v>11</v>
      </c>
      <c r="T695" s="1">
        <f>(Table1[[#This Row],[Selling_Price_per_Unit]]-Table1[[#This Row],[Manufacturing_Cost_per_Unit]])*Table1[[#This Row],[Units_Sold]]-Table1[[#This Row],[Marketing_Spend]]-Table1[[#This Row],[Discount_%]]</f>
        <v>-12623196.84</v>
      </c>
      <c r="U695" s="3">
        <f>Table1[[#This Row],[profit]]/(Table1[[#This Row],[Units_Sold]]*Table1[[#This Row],[Selling_Price_per_Unit]])*100</f>
        <v>-89.613086217192659</v>
      </c>
      <c r="V695" s="6">
        <f>Table1[[#This Row],[Units_Sold]]*Table1[[#This Row],[Selling_Price_per_Unit]]</f>
        <v>14086332</v>
      </c>
      <c r="W695" s="7">
        <f>(Table1[[#This Row],[Units_Sold]]/$Z$1)</f>
        <v>0.61682323819987717</v>
      </c>
      <c r="X695" s="8">
        <f>((Table1[[#This Row],[Units_Sold]]*(Table1[[#This Row],[Selling_Price_per_Unit]]-Table1[[#This Row],[Manufacturing_Cost_per_Unit]]))-Table1[[#This Row],[Marketing_Spend]])/Table1[[#This Row],[Marketing_Spend]]</f>
        <v>-113.47699568500539</v>
      </c>
    </row>
    <row r="696" spans="1:24" x14ac:dyDescent="0.3">
      <c r="A696" s="1" t="s">
        <v>713</v>
      </c>
      <c r="B696" s="1" t="s">
        <v>1503</v>
      </c>
      <c r="C696" s="1" t="s">
        <v>1633</v>
      </c>
      <c r="D696" s="1" t="s">
        <v>1637</v>
      </c>
      <c r="E696" s="1">
        <v>2024</v>
      </c>
      <c r="F696" s="1" t="s">
        <v>1641</v>
      </c>
      <c r="G696" s="1">
        <v>4214</v>
      </c>
      <c r="H696" s="1">
        <v>15098</v>
      </c>
      <c r="I696" s="1">
        <v>12061</v>
      </c>
      <c r="J696" s="1">
        <v>201165</v>
      </c>
      <c r="K696" s="1">
        <v>6.1</v>
      </c>
      <c r="L696" s="1">
        <v>10</v>
      </c>
      <c r="M696" s="1">
        <v>9.26</v>
      </c>
      <c r="N696" s="1">
        <v>3.51</v>
      </c>
      <c r="O696" s="1">
        <v>54.8</v>
      </c>
      <c r="P696" s="1">
        <v>1.7</v>
      </c>
      <c r="Q696" s="1">
        <v>17413</v>
      </c>
      <c r="R696" s="1">
        <v>1220</v>
      </c>
      <c r="S696" s="1">
        <v>3</v>
      </c>
      <c r="T696" s="1">
        <f>(Table1[[#This Row],[Selling_Price_per_Unit]]-Table1[[#This Row],[Manufacturing_Cost_per_Unit]])*Table1[[#This Row],[Units_Sold]]-Table1[[#This Row],[Marketing_Spend]]-Table1[[#This Row],[Discount_%]]</f>
        <v>12596749.49</v>
      </c>
      <c r="U696" s="3">
        <f>Table1[[#This Row],[profit]]/(Table1[[#This Row],[Units_Sold]]*Table1[[#This Row],[Selling_Price_per_Unit]])*100</f>
        <v>19.799058569599673</v>
      </c>
      <c r="V696" s="6">
        <f>Table1[[#This Row],[Units_Sold]]*Table1[[#This Row],[Selling_Price_per_Unit]]</f>
        <v>63622972</v>
      </c>
      <c r="W696" s="7">
        <f>(Table1[[#This Row],[Units_Sold]]/$Z$1)</f>
        <v>0.84365242641164628</v>
      </c>
      <c r="X696" s="8">
        <f>((Table1[[#This Row],[Units_Sold]]*(Table1[[#This Row],[Selling_Price_per_Unit]]-Table1[[#This Row],[Manufacturing_Cost_per_Unit]]))-Table1[[#This Row],[Marketing_Spend]])/Table1[[#This Row],[Marketing_Spend]]</f>
        <v>62.619009270996443</v>
      </c>
    </row>
    <row r="697" spans="1:24" hidden="1" x14ac:dyDescent="0.3">
      <c r="A697" s="1" t="s">
        <v>364</v>
      </c>
      <c r="B697" s="1" t="s">
        <v>1271</v>
      </c>
      <c r="C697" s="1" t="s">
        <v>1633</v>
      </c>
      <c r="D697" s="1" t="s">
        <v>1636</v>
      </c>
      <c r="E697" s="1">
        <v>2023</v>
      </c>
      <c r="F697" s="1" t="s">
        <v>1640</v>
      </c>
      <c r="G697" s="1">
        <v>1765</v>
      </c>
      <c r="H697" s="1">
        <v>17606</v>
      </c>
      <c r="I697" s="1">
        <v>4759</v>
      </c>
      <c r="J697" s="1">
        <v>458288</v>
      </c>
      <c r="K697" s="1">
        <v>3.51</v>
      </c>
      <c r="L697" s="1">
        <v>0</v>
      </c>
      <c r="M697" s="1">
        <v>0.25</v>
      </c>
      <c r="N697" s="1">
        <v>11.33</v>
      </c>
      <c r="O697" s="1">
        <v>16.27</v>
      </c>
      <c r="P697" s="1">
        <v>4</v>
      </c>
      <c r="Q697" s="1">
        <v>9040</v>
      </c>
      <c r="R697" s="1">
        <v>4360</v>
      </c>
      <c r="S697" s="1">
        <v>5</v>
      </c>
      <c r="T697" s="1">
        <f>(Table1[[#This Row],[Selling_Price_per_Unit]]-Table1[[#This Row],[Manufacturing_Cost_per_Unit]])*Table1[[#This Row],[Units_Sold]]-Table1[[#This Row],[Marketing_Spend]]-Table1[[#This Row],[Discount_%]]</f>
        <v>22216655.670000002</v>
      </c>
      <c r="U697" s="3">
        <f>Table1[[#This Row],[profit]]/(Table1[[#This Row],[Units_Sold]]*Table1[[#This Row],[Selling_Price_per_Unit]])*100</f>
        <v>71.494605946530598</v>
      </c>
      <c r="V697" s="6">
        <f>Table1[[#This Row],[Units_Sold]]*Table1[[#This Row],[Selling_Price_per_Unit]]</f>
        <v>31074590</v>
      </c>
      <c r="W697" s="7">
        <f>(Table1[[#This Row],[Units_Sold]]/$Z$1)</f>
        <v>0.35335703194507728</v>
      </c>
      <c r="X697" s="8">
        <f>((Table1[[#This Row],[Units_Sold]]*(Table1[[#This Row],[Selling_Price_per_Unit]]-Table1[[#This Row],[Manufacturing_Cost_per_Unit]]))-Table1[[#This Row],[Marketing_Spend]])/Table1[[#This Row],[Marketing_Spend]]</f>
        <v>48.477522867716374</v>
      </c>
    </row>
    <row r="698" spans="1:24" hidden="1" x14ac:dyDescent="0.3">
      <c r="A698" s="1" t="s">
        <v>348</v>
      </c>
      <c r="B698" s="1" t="s">
        <v>1302</v>
      </c>
      <c r="C698" s="1" t="s">
        <v>1633</v>
      </c>
      <c r="D698" s="1" t="s">
        <v>1635</v>
      </c>
      <c r="E698" s="1">
        <v>2023</v>
      </c>
      <c r="F698" s="1" t="s">
        <v>1641</v>
      </c>
      <c r="G698" s="1">
        <v>2418</v>
      </c>
      <c r="H698" s="1">
        <v>16059</v>
      </c>
      <c r="I698" s="1">
        <v>6691</v>
      </c>
      <c r="J698" s="1">
        <v>464299</v>
      </c>
      <c r="K698" s="1">
        <v>10.99</v>
      </c>
      <c r="L698" s="1">
        <v>0</v>
      </c>
      <c r="M698" s="1">
        <v>1.01</v>
      </c>
      <c r="N698" s="1">
        <v>0.4</v>
      </c>
      <c r="O698" s="1">
        <v>10.23</v>
      </c>
      <c r="P698" s="1">
        <v>4.3</v>
      </c>
      <c r="Q698" s="1">
        <v>5432</v>
      </c>
      <c r="R698" s="1">
        <v>8935</v>
      </c>
      <c r="S698" s="1">
        <v>14</v>
      </c>
      <c r="T698" s="1">
        <f>(Table1[[#This Row],[Selling_Price_per_Unit]]-Table1[[#This Row],[Manufacturing_Cost_per_Unit]])*Table1[[#This Row],[Units_Sold]]-Table1[[#This Row],[Marketing_Spend]]-Table1[[#This Row],[Discount_%]]</f>
        <v>22187524.600000001</v>
      </c>
      <c r="U698" s="3">
        <f>Table1[[#This Row],[profit]]/(Table1[[#This Row],[Units_Sold]]*Table1[[#This Row],[Selling_Price_per_Unit]])*100</f>
        <v>57.139187068198837</v>
      </c>
      <c r="V698" s="6">
        <f>Table1[[#This Row],[Units_Sold]]*Table1[[#This Row],[Selling_Price_per_Unit]]</f>
        <v>38830662</v>
      </c>
      <c r="W698" s="7">
        <f>(Table1[[#This Row],[Units_Sold]]/$Z$1)</f>
        <v>0.48408912365053647</v>
      </c>
      <c r="X698" s="8">
        <f>((Table1[[#This Row],[Units_Sold]]*(Table1[[#This Row],[Selling_Price_per_Unit]]-Table1[[#This Row],[Manufacturing_Cost_per_Unit]]))-Table1[[#This Row],[Marketing_Spend]])/Table1[[#This Row],[Marketing_Spend]]</f>
        <v>47.787147936997492</v>
      </c>
    </row>
    <row r="699" spans="1:24" x14ac:dyDescent="0.3">
      <c r="A699" s="1" t="s">
        <v>716</v>
      </c>
      <c r="B699" s="1" t="s">
        <v>1504</v>
      </c>
      <c r="C699" s="1" t="s">
        <v>1632</v>
      </c>
      <c r="D699" s="1" t="s">
        <v>1636</v>
      </c>
      <c r="E699" s="1">
        <v>2024</v>
      </c>
      <c r="F699" s="1" t="s">
        <v>1639</v>
      </c>
      <c r="G699" s="1">
        <v>3868</v>
      </c>
      <c r="H699" s="1">
        <v>11019</v>
      </c>
      <c r="I699" s="1">
        <v>12539</v>
      </c>
      <c r="J699" s="1">
        <v>476703</v>
      </c>
      <c r="K699" s="1">
        <v>11.44</v>
      </c>
      <c r="L699" s="1">
        <v>11</v>
      </c>
      <c r="M699" s="1">
        <v>1.31</v>
      </c>
      <c r="N699" s="1">
        <v>21.23</v>
      </c>
      <c r="O699" s="1">
        <v>20.29</v>
      </c>
      <c r="P699" s="1">
        <v>2.4</v>
      </c>
      <c r="Q699" s="1">
        <v>18349</v>
      </c>
      <c r="R699" s="1">
        <v>6727</v>
      </c>
      <c r="S699" s="1">
        <v>10</v>
      </c>
      <c r="T699" s="1">
        <f>(Table1[[#This Row],[Selling_Price_per_Unit]]-Table1[[#This Row],[Manufacturing_Cost_per_Unit]])*Table1[[#This Row],[Units_Sold]]-Table1[[#This Row],[Marketing_Spend]]-Table1[[#This Row],[Discount_%]]</f>
        <v>-6356084.2300000004</v>
      </c>
      <c r="U699" s="3">
        <f>Table1[[#This Row],[profit]]/(Table1[[#This Row],[Units_Sold]]*Table1[[#This Row],[Selling_Price_per_Unit]])*100</f>
        <v>-14.912861872597047</v>
      </c>
      <c r="V699" s="6">
        <f>Table1[[#This Row],[Units_Sold]]*Table1[[#This Row],[Selling_Price_per_Unit]]</f>
        <v>42621492</v>
      </c>
      <c r="W699" s="7">
        <f>(Table1[[#This Row],[Units_Sold]]/$Z$1)</f>
        <v>0.77438243601334789</v>
      </c>
      <c r="X699" s="8">
        <f>((Table1[[#This Row],[Units_Sold]]*(Table1[[#This Row],[Selling_Price_per_Unit]]-Table1[[#This Row],[Manufacturing_Cost_per_Unit]]))-Table1[[#This Row],[Marketing_Spend]])/Table1[[#This Row],[Marketing_Spend]]</f>
        <v>-13.333381581403936</v>
      </c>
    </row>
    <row r="700" spans="1:24" hidden="1" x14ac:dyDescent="0.3">
      <c r="A700" s="1" t="s">
        <v>106</v>
      </c>
      <c r="B700" s="1" t="s">
        <v>1101</v>
      </c>
      <c r="C700" s="1" t="s">
        <v>1632</v>
      </c>
      <c r="D700" s="1" t="s">
        <v>1637</v>
      </c>
      <c r="E700" s="1">
        <v>2023</v>
      </c>
      <c r="F700" s="1" t="s">
        <v>1641</v>
      </c>
      <c r="G700" s="1">
        <v>1545</v>
      </c>
      <c r="H700" s="1">
        <v>16096</v>
      </c>
      <c r="I700" s="1">
        <v>1575</v>
      </c>
      <c r="J700" s="1">
        <v>253047</v>
      </c>
      <c r="K700" s="1">
        <v>0.17</v>
      </c>
      <c r="L700" s="1">
        <v>18</v>
      </c>
      <c r="M700" s="1">
        <v>9.77</v>
      </c>
      <c r="N700" s="1">
        <v>4.43</v>
      </c>
      <c r="O700" s="1">
        <v>85.3</v>
      </c>
      <c r="P700" s="1">
        <v>4.4000000000000004</v>
      </c>
      <c r="Q700" s="1">
        <v>15046</v>
      </c>
      <c r="R700" s="1">
        <v>8197</v>
      </c>
      <c r="S700" s="1">
        <v>2</v>
      </c>
      <c r="T700" s="1">
        <f>(Table1[[#This Row],[Selling_Price_per_Unit]]-Table1[[#This Row],[Manufacturing_Cost_per_Unit]])*Table1[[#This Row],[Units_Sold]]-Table1[[#This Row],[Marketing_Spend]]-Table1[[#This Row],[Discount_%]]</f>
        <v>22181893.57</v>
      </c>
      <c r="U700" s="3">
        <f>Table1[[#This Row],[profit]]/(Table1[[#This Row],[Units_Sold]]*Table1[[#This Row],[Selling_Price_per_Unit]])*100</f>
        <v>89.197394797879397</v>
      </c>
      <c r="V700" s="6">
        <f>Table1[[#This Row],[Units_Sold]]*Table1[[#This Row],[Selling_Price_per_Unit]]</f>
        <v>24868320</v>
      </c>
      <c r="W700" s="7">
        <f>(Table1[[#This Row],[Units_Sold]]/$Z$1)</f>
        <v>0.30931252937968523</v>
      </c>
      <c r="X700" s="8">
        <f>((Table1[[#This Row],[Units_Sold]]*(Table1[[#This Row],[Selling_Price_per_Unit]]-Table1[[#This Row],[Manufacturing_Cost_per_Unit]]))-Table1[[#This Row],[Marketing_Spend]])/Table1[[#This Row],[Marketing_Spend]]</f>
        <v>87.659201650286306</v>
      </c>
    </row>
    <row r="701" spans="1:24" x14ac:dyDescent="0.3">
      <c r="A701" s="1" t="s">
        <v>718</v>
      </c>
      <c r="B701" s="1" t="s">
        <v>1505</v>
      </c>
      <c r="C701" s="1" t="s">
        <v>1633</v>
      </c>
      <c r="D701" s="1" t="s">
        <v>1637</v>
      </c>
      <c r="E701" s="1">
        <v>2024</v>
      </c>
      <c r="F701" s="1" t="s">
        <v>1639</v>
      </c>
      <c r="G701" s="1">
        <v>3873</v>
      </c>
      <c r="H701" s="1">
        <v>13365</v>
      </c>
      <c r="I701" s="1">
        <v>10387</v>
      </c>
      <c r="J701" s="1">
        <v>464179</v>
      </c>
      <c r="K701" s="1">
        <v>2.95</v>
      </c>
      <c r="L701" s="1">
        <v>18</v>
      </c>
      <c r="M701" s="1">
        <v>5.81</v>
      </c>
      <c r="N701" s="1">
        <v>22.97</v>
      </c>
      <c r="O701" s="1">
        <v>65.17</v>
      </c>
      <c r="P701" s="1">
        <v>4.2</v>
      </c>
      <c r="Q701" s="1">
        <v>19371</v>
      </c>
      <c r="R701" s="1">
        <v>821</v>
      </c>
      <c r="S701" s="1">
        <v>12</v>
      </c>
      <c r="T701" s="1">
        <f>(Table1[[#This Row],[Selling_Price_per_Unit]]-Table1[[#This Row],[Manufacturing_Cost_per_Unit]])*Table1[[#This Row],[Units_Sold]]-Table1[[#This Row],[Marketing_Spend]]-Table1[[#This Row],[Discount_%]]</f>
        <v>11069592.029999999</v>
      </c>
      <c r="U701" s="3">
        <f>Table1[[#This Row],[profit]]/(Table1[[#This Row],[Units_Sold]]*Table1[[#This Row],[Selling_Price_per_Unit]])*100</f>
        <v>21.385290550743687</v>
      </c>
      <c r="V701" s="6">
        <f>Table1[[#This Row],[Units_Sold]]*Table1[[#This Row],[Selling_Price_per_Unit]]</f>
        <v>51762645</v>
      </c>
      <c r="W701" s="7">
        <f>(Table1[[#This Row],[Units_Sold]]/$Z$1)</f>
        <v>0.77538344743528853</v>
      </c>
      <c r="X701" s="8">
        <f>((Table1[[#This Row],[Units_Sold]]*(Table1[[#This Row],[Selling_Price_per_Unit]]-Table1[[#This Row],[Manufacturing_Cost_per_Unit]]))-Table1[[#This Row],[Marketing_Spend]])/Table1[[#This Row],[Marketing_Spend]]</f>
        <v>23.84772900109656</v>
      </c>
    </row>
    <row r="702" spans="1:24" x14ac:dyDescent="0.3">
      <c r="A702" s="1" t="s">
        <v>719</v>
      </c>
      <c r="B702" s="1" t="s">
        <v>1316</v>
      </c>
      <c r="C702" s="1" t="s">
        <v>1632</v>
      </c>
      <c r="D702" s="1" t="s">
        <v>1637</v>
      </c>
      <c r="E702" s="1">
        <v>2023</v>
      </c>
      <c r="F702" s="1" t="s">
        <v>1639</v>
      </c>
      <c r="G702" s="1">
        <v>4092</v>
      </c>
      <c r="H702" s="1">
        <v>9625</v>
      </c>
      <c r="I702" s="1">
        <v>12549</v>
      </c>
      <c r="J702" s="1">
        <v>231196</v>
      </c>
      <c r="K702" s="1">
        <v>14.27</v>
      </c>
      <c r="L702" s="1">
        <v>19</v>
      </c>
      <c r="M702" s="1">
        <v>7.18</v>
      </c>
      <c r="N702" s="1">
        <v>11.01</v>
      </c>
      <c r="O702" s="1">
        <v>34.11</v>
      </c>
      <c r="P702" s="1">
        <v>2.5</v>
      </c>
      <c r="Q702" s="1">
        <v>6097</v>
      </c>
      <c r="R702" s="1">
        <v>2263</v>
      </c>
      <c r="S702" s="1">
        <v>10</v>
      </c>
      <c r="T702" s="1">
        <f>(Table1[[#This Row],[Selling_Price_per_Unit]]-Table1[[#This Row],[Manufacturing_Cost_per_Unit]])*Table1[[#This Row],[Units_Sold]]-Table1[[#This Row],[Marketing_Spend]]-Table1[[#This Row],[Discount_%]]</f>
        <v>-12196215.01</v>
      </c>
      <c r="U702" s="3">
        <f>Table1[[#This Row],[profit]]/(Table1[[#This Row],[Units_Sold]]*Table1[[#This Row],[Selling_Price_per_Unit]])*100</f>
        <v>-30.966256642673063</v>
      </c>
      <c r="V702" s="6">
        <f>Table1[[#This Row],[Units_Sold]]*Table1[[#This Row],[Selling_Price_per_Unit]]</f>
        <v>39385500</v>
      </c>
      <c r="W702" s="7">
        <f>(Table1[[#This Row],[Units_Sold]]/$Z$1)</f>
        <v>0.81922774771629248</v>
      </c>
      <c r="X702" s="8">
        <f>((Table1[[#This Row],[Units_Sold]]*(Table1[[#This Row],[Selling_Price_per_Unit]]-Table1[[#This Row],[Manufacturing_Cost_per_Unit]]))-Table1[[#This Row],[Marketing_Spend]])/Table1[[#This Row],[Marketing_Spend]]</f>
        <v>-52.752660080624231</v>
      </c>
    </row>
    <row r="703" spans="1:24" hidden="1" x14ac:dyDescent="0.3">
      <c r="A703" s="1" t="s">
        <v>720</v>
      </c>
      <c r="B703" s="1" t="s">
        <v>1506</v>
      </c>
      <c r="C703" s="1" t="s">
        <v>1632</v>
      </c>
      <c r="D703" s="1" t="s">
        <v>1638</v>
      </c>
      <c r="E703" s="1">
        <v>2024</v>
      </c>
      <c r="F703" s="1" t="s">
        <v>1642</v>
      </c>
      <c r="G703" s="1">
        <v>1956</v>
      </c>
      <c r="H703" s="1">
        <v>4791</v>
      </c>
      <c r="I703" s="1">
        <v>14545</v>
      </c>
      <c r="J703" s="1">
        <v>365014</v>
      </c>
      <c r="K703" s="1">
        <v>2.63</v>
      </c>
      <c r="L703" s="1">
        <v>16</v>
      </c>
      <c r="M703" s="1">
        <v>1.24</v>
      </c>
      <c r="N703" s="1">
        <v>13.72</v>
      </c>
      <c r="O703" s="1">
        <v>60.08</v>
      </c>
      <c r="P703" s="1">
        <v>2.2999999999999998</v>
      </c>
      <c r="Q703" s="1">
        <v>6036</v>
      </c>
      <c r="R703" s="1">
        <v>9643</v>
      </c>
      <c r="S703" s="1">
        <v>7</v>
      </c>
      <c r="T703" s="1">
        <f>(Table1[[#This Row],[Selling_Price_per_Unit]]-Table1[[#This Row],[Manufacturing_Cost_per_Unit]])*Table1[[#This Row],[Units_Sold]]-Table1[[#This Row],[Marketing_Spend]]-Table1[[#This Row],[Discount_%]]</f>
        <v>-19443851.719999999</v>
      </c>
      <c r="U703" s="3">
        <f>Table1[[#This Row],[profit]]/(Table1[[#This Row],[Units_Sold]]*Table1[[#This Row],[Selling_Price_per_Unit]])*100</f>
        <v>-207.48527423820821</v>
      </c>
      <c r="V703" s="6">
        <f>Table1[[#This Row],[Units_Sold]]*Table1[[#This Row],[Selling_Price_per_Unit]]</f>
        <v>9371196</v>
      </c>
      <c r="W703" s="7">
        <f>(Table1[[#This Row],[Units_Sold]]/$Z$1)</f>
        <v>0.39159566826321313</v>
      </c>
      <c r="X703" s="8">
        <f>((Table1[[#This Row],[Units_Sold]]*(Table1[[#This Row],[Selling_Price_per_Unit]]-Table1[[#This Row],[Manufacturing_Cost_per_Unit]]))-Table1[[#This Row],[Marketing_Spend]])/Table1[[#This Row],[Marketing_Spend]]</f>
        <v>-53.268745856323321</v>
      </c>
    </row>
    <row r="704" spans="1:24" hidden="1" x14ac:dyDescent="0.3">
      <c r="A704" s="1" t="s">
        <v>721</v>
      </c>
      <c r="B704" s="1" t="s">
        <v>1032</v>
      </c>
      <c r="C704" s="1" t="s">
        <v>1633</v>
      </c>
      <c r="D704" s="1" t="s">
        <v>1638</v>
      </c>
      <c r="E704" s="1">
        <v>2024</v>
      </c>
      <c r="F704" s="1" t="s">
        <v>1641</v>
      </c>
      <c r="G704" s="1">
        <v>810</v>
      </c>
      <c r="H704" s="1">
        <v>5533</v>
      </c>
      <c r="I704" s="1">
        <v>1445</v>
      </c>
      <c r="J704" s="1">
        <v>499763</v>
      </c>
      <c r="K704" s="1">
        <v>8.52</v>
      </c>
      <c r="L704" s="1">
        <v>4</v>
      </c>
      <c r="M704" s="1">
        <v>6</v>
      </c>
      <c r="N704" s="1">
        <v>19.91</v>
      </c>
      <c r="O704" s="1">
        <v>22.04</v>
      </c>
      <c r="P704" s="1">
        <v>4.4000000000000004</v>
      </c>
      <c r="Q704" s="1">
        <v>18209</v>
      </c>
      <c r="R704" s="1">
        <v>4080</v>
      </c>
      <c r="S704" s="1">
        <v>11</v>
      </c>
      <c r="T704" s="1">
        <f>(Table1[[#This Row],[Selling_Price_per_Unit]]-Table1[[#This Row],[Manufacturing_Cost_per_Unit]])*Table1[[#This Row],[Units_Sold]]-Table1[[#This Row],[Marketing_Spend]]-Table1[[#This Row],[Discount_%]]</f>
        <v>2811497.09</v>
      </c>
      <c r="U704" s="3">
        <f>Table1[[#This Row],[profit]]/(Table1[[#This Row],[Units_Sold]]*Table1[[#This Row],[Selling_Price_per_Unit]])*100</f>
        <v>62.732406682241006</v>
      </c>
      <c r="V704" s="6">
        <f>Table1[[#This Row],[Units_Sold]]*Table1[[#This Row],[Selling_Price_per_Unit]]</f>
        <v>4481730</v>
      </c>
      <c r="W704" s="7">
        <f>(Table1[[#This Row],[Units_Sold]]/$Z$1)</f>
        <v>0.16216385035439806</v>
      </c>
      <c r="X704" s="8">
        <f>((Table1[[#This Row],[Units_Sold]]*(Table1[[#This Row],[Selling_Price_per_Unit]]-Table1[[#This Row],[Manufacturing_Cost_per_Unit]]))-Table1[[#This Row],[Marketing_Spend]])/Table1[[#This Row],[Marketing_Spend]]</f>
        <v>5.6257005820759041</v>
      </c>
    </row>
    <row r="705" spans="1:24" hidden="1" x14ac:dyDescent="0.3">
      <c r="A705" s="1" t="s">
        <v>722</v>
      </c>
      <c r="B705" s="1" t="s">
        <v>1507</v>
      </c>
      <c r="C705" s="1" t="s">
        <v>1632</v>
      </c>
      <c r="D705" s="1" t="s">
        <v>1637</v>
      </c>
      <c r="E705" s="1">
        <v>2024</v>
      </c>
      <c r="F705" s="1" t="s">
        <v>1639</v>
      </c>
      <c r="G705" s="1">
        <v>3495</v>
      </c>
      <c r="H705" s="1">
        <v>6605</v>
      </c>
      <c r="I705" s="1">
        <v>8344</v>
      </c>
      <c r="J705" s="1">
        <v>114110</v>
      </c>
      <c r="K705" s="1">
        <v>8.69</v>
      </c>
      <c r="L705" s="1">
        <v>2</v>
      </c>
      <c r="M705" s="1">
        <v>5.5</v>
      </c>
      <c r="N705" s="1">
        <v>14.58</v>
      </c>
      <c r="O705" s="1">
        <v>47.52</v>
      </c>
      <c r="P705" s="1">
        <v>4.4000000000000004</v>
      </c>
      <c r="Q705" s="1">
        <v>11457</v>
      </c>
      <c r="R705" s="1">
        <v>4602</v>
      </c>
      <c r="S705" s="1">
        <v>11</v>
      </c>
      <c r="T705" s="1">
        <f>(Table1[[#This Row],[Selling_Price_per_Unit]]-Table1[[#This Row],[Manufacturing_Cost_per_Unit]])*Table1[[#This Row],[Units_Sold]]-Table1[[#This Row],[Marketing_Spend]]-Table1[[#This Row],[Discount_%]]</f>
        <v>-6191929.5800000001</v>
      </c>
      <c r="U705" s="3">
        <f>Table1[[#This Row],[profit]]/(Table1[[#This Row],[Units_Sold]]*Table1[[#This Row],[Selling_Price_per_Unit]])*100</f>
        <v>-26.822917047063015</v>
      </c>
      <c r="V705" s="6">
        <f>Table1[[#This Row],[Units_Sold]]*Table1[[#This Row],[Selling_Price_per_Unit]]</f>
        <v>23084475</v>
      </c>
      <c r="W705" s="7">
        <f>(Table1[[#This Row],[Units_Sold]]/$Z$1)</f>
        <v>0.69970698393656949</v>
      </c>
      <c r="X705" s="8">
        <f>((Table1[[#This Row],[Units_Sold]]*(Table1[[#This Row],[Selling_Price_per_Unit]]-Table1[[#This Row],[Manufacturing_Cost_per_Unit]]))-Table1[[#This Row],[Marketing_Spend]])/Table1[[#This Row],[Marketing_Spend]]</f>
        <v>-54.262685128384895</v>
      </c>
    </row>
    <row r="706" spans="1:24" hidden="1" x14ac:dyDescent="0.3">
      <c r="A706" s="1" t="s">
        <v>723</v>
      </c>
      <c r="B706" s="1" t="s">
        <v>1262</v>
      </c>
      <c r="C706" s="1" t="s">
        <v>1632</v>
      </c>
      <c r="D706" s="1" t="s">
        <v>1637</v>
      </c>
      <c r="E706" s="1">
        <v>2024</v>
      </c>
      <c r="F706" s="1" t="s">
        <v>1639</v>
      </c>
      <c r="G706" s="1">
        <v>949</v>
      </c>
      <c r="H706" s="1">
        <v>18587</v>
      </c>
      <c r="I706" s="1">
        <v>14506</v>
      </c>
      <c r="J706" s="1">
        <v>234626</v>
      </c>
      <c r="K706" s="1">
        <v>7.34</v>
      </c>
      <c r="L706" s="1">
        <v>1</v>
      </c>
      <c r="M706" s="1">
        <v>5.14</v>
      </c>
      <c r="N706" s="1">
        <v>24.01</v>
      </c>
      <c r="O706" s="1">
        <v>50.35</v>
      </c>
      <c r="P706" s="1">
        <v>2.4</v>
      </c>
      <c r="Q706" s="1">
        <v>5662</v>
      </c>
      <c r="R706" s="1">
        <v>1825</v>
      </c>
      <c r="S706" s="1">
        <v>10</v>
      </c>
      <c r="T706" s="1">
        <f>(Table1[[#This Row],[Selling_Price_per_Unit]]-Table1[[#This Row],[Manufacturing_Cost_per_Unit]])*Table1[[#This Row],[Units_Sold]]-Table1[[#This Row],[Marketing_Spend]]-Table1[[#This Row],[Discount_%]]</f>
        <v>3638218.99</v>
      </c>
      <c r="U706" s="3">
        <f>Table1[[#This Row],[profit]]/(Table1[[#This Row],[Units_Sold]]*Table1[[#This Row],[Selling_Price_per_Unit]])*100</f>
        <v>20.625919812180502</v>
      </c>
      <c r="V706" s="6">
        <f>Table1[[#This Row],[Units_Sold]]*Table1[[#This Row],[Selling_Price_per_Unit]]</f>
        <v>17639063</v>
      </c>
      <c r="W706" s="7">
        <f>(Table1[[#This Row],[Units_Sold]]/$Z$1)</f>
        <v>0.18999196788435033</v>
      </c>
      <c r="X706" s="8">
        <f>((Table1[[#This Row],[Units_Sold]]*(Table1[[#This Row],[Selling_Price_per_Unit]]-Table1[[#This Row],[Manufacturing_Cost_per_Unit]]))-Table1[[#This Row],[Marketing_Spend]])/Table1[[#This Row],[Marketing_Spend]]</f>
        <v>15.506563637448535</v>
      </c>
    </row>
    <row r="707" spans="1:24" x14ac:dyDescent="0.3">
      <c r="A707" s="1" t="s">
        <v>724</v>
      </c>
      <c r="B707" s="1" t="s">
        <v>1508</v>
      </c>
      <c r="C707" s="1" t="s">
        <v>1632</v>
      </c>
      <c r="D707" s="1" t="s">
        <v>1637</v>
      </c>
      <c r="E707" s="1">
        <v>2024</v>
      </c>
      <c r="F707" s="1" t="s">
        <v>1641</v>
      </c>
      <c r="G707" s="1">
        <v>4505</v>
      </c>
      <c r="H707" s="1">
        <v>9633</v>
      </c>
      <c r="I707" s="1">
        <v>6369</v>
      </c>
      <c r="J707" s="1">
        <v>202008</v>
      </c>
      <c r="K707" s="1">
        <v>9.67</v>
      </c>
      <c r="L707" s="1">
        <v>2</v>
      </c>
      <c r="M707" s="1">
        <v>6.9</v>
      </c>
      <c r="N707" s="1">
        <v>16.510000000000002</v>
      </c>
      <c r="O707" s="1">
        <v>56.81</v>
      </c>
      <c r="P707" s="1">
        <v>4.3</v>
      </c>
      <c r="Q707" s="1">
        <v>1803</v>
      </c>
      <c r="R707" s="1">
        <v>8985</v>
      </c>
      <c r="S707" s="1">
        <v>5</v>
      </c>
      <c r="T707" s="1">
        <f>(Table1[[#This Row],[Selling_Price_per_Unit]]-Table1[[#This Row],[Manufacturing_Cost_per_Unit]])*Table1[[#This Row],[Units_Sold]]-Table1[[#This Row],[Marketing_Spend]]-Table1[[#This Row],[Discount_%]]</f>
        <v>14502295.49</v>
      </c>
      <c r="U707" s="3">
        <f>Table1[[#This Row],[profit]]/(Table1[[#This Row],[Units_Sold]]*Table1[[#This Row],[Selling_Price_per_Unit]])*100</f>
        <v>33.417995345955731</v>
      </c>
      <c r="V707" s="6">
        <f>Table1[[#This Row],[Units_Sold]]*Table1[[#This Row],[Selling_Price_per_Unit]]</f>
        <v>43396665</v>
      </c>
      <c r="W707" s="7">
        <f>(Table1[[#This Row],[Units_Sold]]/$Z$1)</f>
        <v>0.9019112911685967</v>
      </c>
      <c r="X707" s="8">
        <f>((Table1[[#This Row],[Units_Sold]]*(Table1[[#This Row],[Selling_Price_per_Unit]]-Table1[[#This Row],[Manufacturing_Cost_per_Unit]]))-Table1[[#This Row],[Marketing_Spend]])/Table1[[#This Row],[Marketing_Spend]]</f>
        <v>71.790780563146015</v>
      </c>
    </row>
    <row r="708" spans="1:24" hidden="1" x14ac:dyDescent="0.3">
      <c r="A708" s="1" t="s">
        <v>427</v>
      </c>
      <c r="B708" s="1" t="s">
        <v>1353</v>
      </c>
      <c r="C708" s="1" t="s">
        <v>1634</v>
      </c>
      <c r="D708" s="1" t="s">
        <v>1637</v>
      </c>
      <c r="E708" s="1">
        <v>2024</v>
      </c>
      <c r="F708" s="1" t="s">
        <v>1641</v>
      </c>
      <c r="G708" s="1">
        <v>2899</v>
      </c>
      <c r="H708" s="1">
        <v>10578</v>
      </c>
      <c r="I708" s="1">
        <v>2897</v>
      </c>
      <c r="J708" s="1">
        <v>406898</v>
      </c>
      <c r="K708" s="1">
        <v>5.63</v>
      </c>
      <c r="L708" s="1">
        <v>10</v>
      </c>
      <c r="M708" s="1">
        <v>4.04</v>
      </c>
      <c r="N708" s="1">
        <v>3.09</v>
      </c>
      <c r="O708" s="1">
        <v>52.24</v>
      </c>
      <c r="P708" s="1">
        <v>1.8</v>
      </c>
      <c r="Q708" s="1">
        <v>2549</v>
      </c>
      <c r="R708" s="1">
        <v>3171</v>
      </c>
      <c r="S708" s="1">
        <v>5</v>
      </c>
      <c r="T708" s="1">
        <f>(Table1[[#This Row],[Selling_Price_per_Unit]]-Table1[[#This Row],[Manufacturing_Cost_per_Unit]])*Table1[[#This Row],[Units_Sold]]-Table1[[#This Row],[Marketing_Spend]]-Table1[[#This Row],[Discount_%]]</f>
        <v>21860317.91</v>
      </c>
      <c r="U708" s="3">
        <f>Table1[[#This Row],[profit]]/(Table1[[#This Row],[Units_Sold]]*Table1[[#This Row],[Selling_Price_per_Unit]])*100</f>
        <v>71.286073734294391</v>
      </c>
      <c r="V708" s="6">
        <f>Table1[[#This Row],[Units_Sold]]*Table1[[#This Row],[Selling_Price_per_Unit]]</f>
        <v>30665622</v>
      </c>
      <c r="W708" s="7">
        <f>(Table1[[#This Row],[Units_Sold]]/$Z$1)</f>
        <v>0.58038642244123462</v>
      </c>
      <c r="X708" s="8">
        <f>((Table1[[#This Row],[Units_Sold]]*(Table1[[#This Row],[Selling_Price_per_Unit]]-Table1[[#This Row],[Manufacturing_Cost_per_Unit]]))-Table1[[#This Row],[Marketing_Spend]])/Table1[[#This Row],[Marketing_Spend]]</f>
        <v>53.724326489685374</v>
      </c>
    </row>
    <row r="709" spans="1:24" hidden="1" x14ac:dyDescent="0.3">
      <c r="A709" s="1" t="s">
        <v>726</v>
      </c>
      <c r="B709" s="1" t="s">
        <v>1248</v>
      </c>
      <c r="C709" s="1" t="s">
        <v>1633</v>
      </c>
      <c r="D709" s="1" t="s">
        <v>1636</v>
      </c>
      <c r="E709" s="1">
        <v>2023</v>
      </c>
      <c r="F709" s="1" t="s">
        <v>1642</v>
      </c>
      <c r="G709" s="1">
        <v>1769</v>
      </c>
      <c r="H709" s="1">
        <v>7204</v>
      </c>
      <c r="I709" s="1">
        <v>14475</v>
      </c>
      <c r="J709" s="1">
        <v>54426</v>
      </c>
      <c r="K709" s="1">
        <v>8.2899999999999991</v>
      </c>
      <c r="L709" s="1">
        <v>15</v>
      </c>
      <c r="M709" s="1">
        <v>3.23</v>
      </c>
      <c r="N709" s="1">
        <v>0.59</v>
      </c>
      <c r="O709" s="1">
        <v>49.66</v>
      </c>
      <c r="P709" s="1">
        <v>2.7</v>
      </c>
      <c r="Q709" s="1">
        <v>6524</v>
      </c>
      <c r="R709" s="1">
        <v>594</v>
      </c>
      <c r="S709" s="1">
        <v>6</v>
      </c>
      <c r="T709" s="1">
        <f>(Table1[[#This Row],[Selling_Price_per_Unit]]-Table1[[#This Row],[Manufacturing_Cost_per_Unit]])*Table1[[#This Row],[Units_Sold]]-Table1[[#This Row],[Marketing_Spend]]-Table1[[#This Row],[Discount_%]]</f>
        <v>-12916825.59</v>
      </c>
      <c r="U709" s="3">
        <f>Table1[[#This Row],[profit]]/(Table1[[#This Row],[Units_Sold]]*Table1[[#This Row],[Selling_Price_per_Unit]])*100</f>
        <v>-101.35711921553536</v>
      </c>
      <c r="V709" s="6">
        <f>Table1[[#This Row],[Units_Sold]]*Table1[[#This Row],[Selling_Price_per_Unit]]</f>
        <v>12743876</v>
      </c>
      <c r="W709" s="7">
        <f>(Table1[[#This Row],[Units_Sold]]/$Z$1)</f>
        <v>0.35415784108262988</v>
      </c>
      <c r="X709" s="8">
        <f>((Table1[[#This Row],[Units_Sold]]*(Table1[[#This Row],[Selling_Price_per_Unit]]-Table1[[#This Row],[Manufacturing_Cost_per_Unit]]))-Table1[[#This Row],[Marketing_Spend]])/Table1[[#This Row],[Marketing_Spend]]</f>
        <v>-237.32820710689745</v>
      </c>
    </row>
    <row r="710" spans="1:24" hidden="1" x14ac:dyDescent="0.3">
      <c r="A710" s="1" t="s">
        <v>727</v>
      </c>
      <c r="B710" s="1" t="s">
        <v>1509</v>
      </c>
      <c r="C710" s="1" t="s">
        <v>1633</v>
      </c>
      <c r="D710" s="1" t="s">
        <v>1635</v>
      </c>
      <c r="E710" s="1">
        <v>2023</v>
      </c>
      <c r="F710" s="1" t="s">
        <v>1642</v>
      </c>
      <c r="G710" s="1">
        <v>330</v>
      </c>
      <c r="H710" s="1">
        <v>9348</v>
      </c>
      <c r="I710" s="1">
        <v>10891</v>
      </c>
      <c r="J710" s="1">
        <v>269911</v>
      </c>
      <c r="K710" s="1">
        <v>5.58</v>
      </c>
      <c r="L710" s="1">
        <v>5</v>
      </c>
      <c r="M710" s="1">
        <v>8.89</v>
      </c>
      <c r="N710" s="1">
        <v>10.34</v>
      </c>
      <c r="O710" s="1">
        <v>36.619999999999997</v>
      </c>
      <c r="P710" s="1">
        <v>1.3</v>
      </c>
      <c r="Q710" s="1">
        <v>9215</v>
      </c>
      <c r="R710" s="1">
        <v>1047</v>
      </c>
      <c r="S710" s="1">
        <v>11</v>
      </c>
      <c r="T710" s="1">
        <f>(Table1[[#This Row],[Selling_Price_per_Unit]]-Table1[[#This Row],[Manufacturing_Cost_per_Unit]])*Table1[[#This Row],[Units_Sold]]-Table1[[#This Row],[Marketing_Spend]]-Table1[[#This Row],[Discount_%]]</f>
        <v>-779111.34</v>
      </c>
      <c r="U710" s="3">
        <f>Table1[[#This Row],[profit]]/(Table1[[#This Row],[Units_Sold]]*Table1[[#This Row],[Selling_Price_per_Unit]])*100</f>
        <v>-25.256134515890611</v>
      </c>
      <c r="V710" s="6">
        <f>Table1[[#This Row],[Units_Sold]]*Table1[[#This Row],[Selling_Price_per_Unit]]</f>
        <v>3084840</v>
      </c>
      <c r="W710" s="7">
        <f>(Table1[[#This Row],[Units_Sold]]/$Z$1)</f>
        <v>6.6066753848088106E-2</v>
      </c>
      <c r="X710" s="8">
        <f>((Table1[[#This Row],[Units_Sold]]*(Table1[[#This Row],[Selling_Price_per_Unit]]-Table1[[#This Row],[Manufacturing_Cost_per_Unit]]))-Table1[[#This Row],[Marketing_Spend]])/Table1[[#This Row],[Marketing_Spend]]</f>
        <v>-2.8865107387249873</v>
      </c>
    </row>
    <row r="711" spans="1:24" hidden="1" x14ac:dyDescent="0.3">
      <c r="A711" s="1" t="s">
        <v>925</v>
      </c>
      <c r="B711" s="1" t="s">
        <v>1598</v>
      </c>
      <c r="C711" s="1" t="s">
        <v>1633</v>
      </c>
      <c r="D711" s="1" t="s">
        <v>1638</v>
      </c>
      <c r="E711" s="1">
        <v>2024</v>
      </c>
      <c r="F711" s="1" t="s">
        <v>1639</v>
      </c>
      <c r="G711" s="1">
        <v>1252</v>
      </c>
      <c r="H711" s="1">
        <v>18896</v>
      </c>
      <c r="I711" s="1">
        <v>1142</v>
      </c>
      <c r="J711" s="1">
        <v>440642</v>
      </c>
      <c r="K711" s="1">
        <v>7.98</v>
      </c>
      <c r="L711" s="1">
        <v>12</v>
      </c>
      <c r="M711" s="1">
        <v>1.4</v>
      </c>
      <c r="N711" s="1">
        <v>6.46</v>
      </c>
      <c r="O711" s="1">
        <v>77.81</v>
      </c>
      <c r="P711" s="1">
        <v>3.5</v>
      </c>
      <c r="Q711" s="1">
        <v>3107</v>
      </c>
      <c r="R711" s="1">
        <v>6718</v>
      </c>
      <c r="S711" s="1">
        <v>13</v>
      </c>
      <c r="T711" s="1">
        <f>(Table1[[#This Row],[Selling_Price_per_Unit]]-Table1[[#This Row],[Manufacturing_Cost_per_Unit]])*Table1[[#This Row],[Units_Sold]]-Table1[[#This Row],[Marketing_Spend]]-Table1[[#This Row],[Discount_%]]</f>
        <v>21787359.539999999</v>
      </c>
      <c r="U711" s="3">
        <f>Table1[[#This Row],[profit]]/(Table1[[#This Row],[Units_Sold]]*Table1[[#This Row],[Selling_Price_per_Unit]])*100</f>
        <v>92.09379953970344</v>
      </c>
      <c r="V711" s="6">
        <f>Table1[[#This Row],[Units_Sold]]*Table1[[#This Row],[Selling_Price_per_Unit]]</f>
        <v>23657792</v>
      </c>
      <c r="W711" s="7">
        <f>(Table1[[#This Row],[Units_Sold]]/$Z$1)</f>
        <v>0.25065326005395849</v>
      </c>
      <c r="X711" s="8">
        <f>((Table1[[#This Row],[Units_Sold]]*(Table1[[#This Row],[Selling_Price_per_Unit]]-Table1[[#This Row],[Manufacturing_Cost_per_Unit]]))-Table1[[#This Row],[Marketing_Spend]])/Table1[[#This Row],[Marketing_Spend]]</f>
        <v>49.444596747473007</v>
      </c>
    </row>
    <row r="712" spans="1:24" hidden="1" x14ac:dyDescent="0.3">
      <c r="A712" s="1" t="s">
        <v>729</v>
      </c>
      <c r="B712" s="1" t="s">
        <v>1510</v>
      </c>
      <c r="C712" s="1" t="s">
        <v>1634</v>
      </c>
      <c r="D712" s="1" t="s">
        <v>1637</v>
      </c>
      <c r="E712" s="1">
        <v>2023</v>
      </c>
      <c r="F712" s="1" t="s">
        <v>1639</v>
      </c>
      <c r="G712" s="1">
        <v>1937</v>
      </c>
      <c r="H712" s="1">
        <v>8424</v>
      </c>
      <c r="I712" s="1">
        <v>11764</v>
      </c>
      <c r="J712" s="1">
        <v>491048</v>
      </c>
      <c r="K712" s="1">
        <v>2.12</v>
      </c>
      <c r="L712" s="1">
        <v>15</v>
      </c>
      <c r="M712" s="1">
        <v>1.73</v>
      </c>
      <c r="N712" s="1">
        <v>18.7</v>
      </c>
      <c r="O712" s="1">
        <v>17.16</v>
      </c>
      <c r="P712" s="1">
        <v>3.1</v>
      </c>
      <c r="Q712" s="1">
        <v>4131</v>
      </c>
      <c r="R712" s="1">
        <v>1228</v>
      </c>
      <c r="S712" s="1">
        <v>14</v>
      </c>
      <c r="T712" s="1">
        <f>(Table1[[#This Row],[Selling_Price_per_Unit]]-Table1[[#This Row],[Manufacturing_Cost_per_Unit]])*Table1[[#This Row],[Units_Sold]]-Table1[[#This Row],[Marketing_Spend]]-Table1[[#This Row],[Discount_%]]</f>
        <v>-6960646.7000000002</v>
      </c>
      <c r="U712" s="3">
        <f>Table1[[#This Row],[profit]]/(Table1[[#This Row],[Units_Sold]]*Table1[[#This Row],[Selling_Price_per_Unit]])*100</f>
        <v>-42.658110220276804</v>
      </c>
      <c r="V712" s="6">
        <f>Table1[[#This Row],[Units_Sold]]*Table1[[#This Row],[Selling_Price_per_Unit]]</f>
        <v>16317288</v>
      </c>
      <c r="W712" s="7">
        <f>(Table1[[#This Row],[Units_Sold]]/$Z$1)</f>
        <v>0.38779182485983837</v>
      </c>
      <c r="X712" s="8">
        <f>((Table1[[#This Row],[Units_Sold]]*(Table1[[#This Row],[Selling_Price_per_Unit]]-Table1[[#This Row],[Manufacturing_Cost_per_Unit]]))-Table1[[#This Row],[Marketing_Spend]])/Table1[[#This Row],[Marketing_Spend]]</f>
        <v>-14.175046024013946</v>
      </c>
    </row>
    <row r="713" spans="1:24" hidden="1" x14ac:dyDescent="0.3">
      <c r="A713" s="1" t="s">
        <v>730</v>
      </c>
      <c r="B713" s="1" t="s">
        <v>1461</v>
      </c>
      <c r="C713" s="1" t="s">
        <v>1633</v>
      </c>
      <c r="D713" s="1" t="s">
        <v>1635</v>
      </c>
      <c r="E713" s="1">
        <v>2023</v>
      </c>
      <c r="F713" s="1" t="s">
        <v>1642</v>
      </c>
      <c r="G713" s="1">
        <v>3316</v>
      </c>
      <c r="H713" s="1">
        <v>1988</v>
      </c>
      <c r="I713" s="1">
        <v>14337</v>
      </c>
      <c r="J713" s="1">
        <v>78151</v>
      </c>
      <c r="K713" s="1">
        <v>8.56</v>
      </c>
      <c r="L713" s="1">
        <v>15</v>
      </c>
      <c r="M713" s="1">
        <v>2.67</v>
      </c>
      <c r="N713" s="1">
        <v>5.21</v>
      </c>
      <c r="O713" s="1">
        <v>44.7</v>
      </c>
      <c r="P713" s="1">
        <v>2.4</v>
      </c>
      <c r="Q713" s="1">
        <v>14912</v>
      </c>
      <c r="R713" s="1">
        <v>657</v>
      </c>
      <c r="S713" s="1">
        <v>10</v>
      </c>
      <c r="T713" s="1">
        <f>(Table1[[#This Row],[Selling_Price_per_Unit]]-Table1[[#This Row],[Manufacturing_Cost_per_Unit]])*Table1[[#This Row],[Units_Sold]]-Table1[[#This Row],[Marketing_Spend]]-Table1[[#This Row],[Discount_%]]</f>
        <v>-41027440.210000001</v>
      </c>
      <c r="U713" s="3">
        <f>Table1[[#This Row],[profit]]/(Table1[[#This Row],[Units_Sold]]*Table1[[#This Row],[Selling_Price_per_Unit]])*100</f>
        <v>-622.36264708273768</v>
      </c>
      <c r="V713" s="6">
        <f>Table1[[#This Row],[Units_Sold]]*Table1[[#This Row],[Selling_Price_per_Unit]]</f>
        <v>6592208</v>
      </c>
      <c r="W713" s="7">
        <f>(Table1[[#This Row],[Units_Sold]]/$Z$1)</f>
        <v>0.66387077503109138</v>
      </c>
      <c r="X713" s="8">
        <f>((Table1[[#This Row],[Units_Sold]]*(Table1[[#This Row],[Selling_Price_per_Unit]]-Table1[[#This Row],[Manufacturing_Cost_per_Unit]]))-Table1[[#This Row],[Marketing_Spend]])/Table1[[#This Row],[Marketing_Spend]]</f>
        <v>-524.97645583549797</v>
      </c>
    </row>
    <row r="714" spans="1:24" hidden="1" x14ac:dyDescent="0.3">
      <c r="A714" s="1" t="s">
        <v>731</v>
      </c>
      <c r="B714" s="1" t="s">
        <v>1511</v>
      </c>
      <c r="C714" s="1" t="s">
        <v>1632</v>
      </c>
      <c r="D714" s="1" t="s">
        <v>1638</v>
      </c>
      <c r="E714" s="1">
        <v>2024</v>
      </c>
      <c r="F714" s="1" t="s">
        <v>1639</v>
      </c>
      <c r="G714" s="1">
        <v>716</v>
      </c>
      <c r="H714" s="1">
        <v>8614</v>
      </c>
      <c r="I714" s="1">
        <v>14069</v>
      </c>
      <c r="J714" s="1">
        <v>323452</v>
      </c>
      <c r="K714" s="1">
        <v>2.78</v>
      </c>
      <c r="L714" s="1">
        <v>2</v>
      </c>
      <c r="M714" s="1">
        <v>1.2</v>
      </c>
      <c r="N714" s="1">
        <v>5.13</v>
      </c>
      <c r="O714" s="1">
        <v>38.46</v>
      </c>
      <c r="P714" s="1">
        <v>5</v>
      </c>
      <c r="Q714" s="1">
        <v>16537</v>
      </c>
      <c r="R714" s="1">
        <v>9908</v>
      </c>
      <c r="S714" s="1">
        <v>14</v>
      </c>
      <c r="T714" s="1">
        <f>(Table1[[#This Row],[Selling_Price_per_Unit]]-Table1[[#This Row],[Manufacturing_Cost_per_Unit]])*Table1[[#This Row],[Units_Sold]]-Table1[[#This Row],[Marketing_Spend]]-Table1[[#This Row],[Discount_%]]</f>
        <v>-4229237.13</v>
      </c>
      <c r="U714" s="3">
        <f>Table1[[#This Row],[profit]]/(Table1[[#This Row],[Units_Sold]]*Table1[[#This Row],[Selling_Price_per_Unit]])*100</f>
        <v>-68.571578455495981</v>
      </c>
      <c r="V714" s="6">
        <f>Table1[[#This Row],[Units_Sold]]*Table1[[#This Row],[Selling_Price_per_Unit]]</f>
        <v>6167624</v>
      </c>
      <c r="W714" s="7">
        <f>(Table1[[#This Row],[Units_Sold]]/$Z$1)</f>
        <v>0.14334483562191236</v>
      </c>
      <c r="X714" s="8">
        <f>((Table1[[#This Row],[Units_Sold]]*(Table1[[#This Row],[Selling_Price_per_Unit]]-Table1[[#This Row],[Manufacturing_Cost_per_Unit]]))-Table1[[#This Row],[Marketing_Spend]])/Table1[[#This Row],[Marketing_Spend]]</f>
        <v>-13.075300199102186</v>
      </c>
    </row>
    <row r="715" spans="1:24" hidden="1" x14ac:dyDescent="0.3">
      <c r="A715" s="1" t="s">
        <v>131</v>
      </c>
      <c r="B715" s="1" t="s">
        <v>1125</v>
      </c>
      <c r="C715" s="1" t="s">
        <v>1633</v>
      </c>
      <c r="D715" s="1" t="s">
        <v>1637</v>
      </c>
      <c r="E715" s="1">
        <v>2023</v>
      </c>
      <c r="F715" s="1" t="s">
        <v>1640</v>
      </c>
      <c r="G715" s="1">
        <v>1534</v>
      </c>
      <c r="H715" s="1">
        <v>17958</v>
      </c>
      <c r="I715" s="1">
        <v>3511</v>
      </c>
      <c r="J715" s="1">
        <v>479484</v>
      </c>
      <c r="K715" s="1">
        <v>3.76</v>
      </c>
      <c r="L715" s="1">
        <v>16</v>
      </c>
      <c r="M715" s="1">
        <v>4.83</v>
      </c>
      <c r="N715" s="1">
        <v>3.44</v>
      </c>
      <c r="O715" s="1">
        <v>14.36</v>
      </c>
      <c r="P715" s="1">
        <v>3.5</v>
      </c>
      <c r="Q715" s="1">
        <v>18424</v>
      </c>
      <c r="R715" s="1">
        <v>8749</v>
      </c>
      <c r="S715" s="1">
        <v>8</v>
      </c>
      <c r="T715" s="1">
        <f>(Table1[[#This Row],[Selling_Price_per_Unit]]-Table1[[#This Row],[Manufacturing_Cost_per_Unit]])*Table1[[#This Row],[Units_Sold]]-Table1[[#This Row],[Marketing_Spend]]-Table1[[#This Row],[Discount_%]]</f>
        <v>21682210.559999999</v>
      </c>
      <c r="U715" s="3">
        <f>Table1[[#This Row],[profit]]/(Table1[[#This Row],[Units_Sold]]*Table1[[#This Row],[Selling_Price_per_Unit]])*100</f>
        <v>78.708245358247893</v>
      </c>
      <c r="V715" s="6">
        <f>Table1[[#This Row],[Units_Sold]]*Table1[[#This Row],[Selling_Price_per_Unit]]</f>
        <v>27547572</v>
      </c>
      <c r="W715" s="7">
        <f>(Table1[[#This Row],[Units_Sold]]/$Z$1)</f>
        <v>0.30711030425141561</v>
      </c>
      <c r="X715" s="8">
        <f>((Table1[[#This Row],[Units_Sold]]*(Table1[[#This Row],[Selling_Price_per_Unit]]-Table1[[#This Row],[Manufacturing_Cost_per_Unit]]))-Table1[[#This Row],[Marketing_Spend]])/Table1[[#This Row],[Marketing_Spend]]</f>
        <v>45.219890549006848</v>
      </c>
    </row>
    <row r="716" spans="1:24" hidden="1" x14ac:dyDescent="0.3">
      <c r="A716" s="1" t="s">
        <v>733</v>
      </c>
      <c r="B716" s="1" t="s">
        <v>1211</v>
      </c>
      <c r="C716" s="1" t="s">
        <v>1632</v>
      </c>
      <c r="D716" s="1" t="s">
        <v>1637</v>
      </c>
      <c r="E716" s="1">
        <v>2023</v>
      </c>
      <c r="F716" s="1" t="s">
        <v>1639</v>
      </c>
      <c r="G716" s="1">
        <v>721</v>
      </c>
      <c r="H716" s="1">
        <v>4673</v>
      </c>
      <c r="I716" s="1">
        <v>1387</v>
      </c>
      <c r="J716" s="1">
        <v>304595</v>
      </c>
      <c r="K716" s="1">
        <v>3.28</v>
      </c>
      <c r="L716" s="1">
        <v>13</v>
      </c>
      <c r="M716" s="1">
        <v>1.06</v>
      </c>
      <c r="N716" s="1">
        <v>3.14</v>
      </c>
      <c r="O716" s="1">
        <v>34.39</v>
      </c>
      <c r="P716" s="1">
        <v>4</v>
      </c>
      <c r="Q716" s="1">
        <v>14069</v>
      </c>
      <c r="R716" s="1">
        <v>5441</v>
      </c>
      <c r="S716" s="1">
        <v>9</v>
      </c>
      <c r="T716" s="1">
        <f>(Table1[[#This Row],[Selling_Price_per_Unit]]-Table1[[#This Row],[Manufacturing_Cost_per_Unit]])*Table1[[#This Row],[Units_Sold]]-Table1[[#This Row],[Marketing_Spend]]-Table1[[#This Row],[Discount_%]]</f>
        <v>2064607.86</v>
      </c>
      <c r="U716" s="3">
        <f>Table1[[#This Row],[profit]]/(Table1[[#This Row],[Units_Sold]]*Table1[[#This Row],[Selling_Price_per_Unit]])*100</f>
        <v>61.278274907078256</v>
      </c>
      <c r="V716" s="6">
        <f>Table1[[#This Row],[Units_Sold]]*Table1[[#This Row],[Selling_Price_per_Unit]]</f>
        <v>3369233</v>
      </c>
      <c r="W716" s="7">
        <f>(Table1[[#This Row],[Units_Sold]]/$Z$1)</f>
        <v>0.14434584704385309</v>
      </c>
      <c r="X716" s="8">
        <f>((Table1[[#This Row],[Units_Sold]]*(Table1[[#This Row],[Selling_Price_per_Unit]]-Table1[[#This Row],[Manufacturing_Cost_per_Unit]]))-Table1[[#This Row],[Marketing_Spend]])/Table1[[#This Row],[Marketing_Spend]]</f>
        <v>6.7782169766411133</v>
      </c>
    </row>
    <row r="717" spans="1:24" hidden="1" x14ac:dyDescent="0.3">
      <c r="A717" s="1" t="s">
        <v>734</v>
      </c>
      <c r="B717" s="1" t="s">
        <v>1189</v>
      </c>
      <c r="C717" s="1" t="s">
        <v>1632</v>
      </c>
      <c r="D717" s="1" t="s">
        <v>1638</v>
      </c>
      <c r="E717" s="1">
        <v>2024</v>
      </c>
      <c r="F717" s="1" t="s">
        <v>1642</v>
      </c>
      <c r="G717" s="1">
        <v>2019</v>
      </c>
      <c r="H717" s="1">
        <v>3167</v>
      </c>
      <c r="I717" s="1">
        <v>13563</v>
      </c>
      <c r="J717" s="1">
        <v>226743</v>
      </c>
      <c r="K717" s="1">
        <v>2.74</v>
      </c>
      <c r="L717" s="1">
        <v>7</v>
      </c>
      <c r="M717" s="1">
        <v>8.2200000000000006</v>
      </c>
      <c r="N717" s="1">
        <v>7.78</v>
      </c>
      <c r="O717" s="1">
        <v>65.03</v>
      </c>
      <c r="P717" s="1">
        <v>4.8</v>
      </c>
      <c r="Q717" s="1">
        <v>3869</v>
      </c>
      <c r="R717" s="1">
        <v>7098</v>
      </c>
      <c r="S717" s="1">
        <v>12</v>
      </c>
      <c r="T717" s="1">
        <f>(Table1[[#This Row],[Selling_Price_per_Unit]]-Table1[[#This Row],[Manufacturing_Cost_per_Unit]])*Table1[[#This Row],[Units_Sold]]-Table1[[#This Row],[Marketing_Spend]]-Table1[[#This Row],[Discount_%]]</f>
        <v>-21216274.780000001</v>
      </c>
      <c r="U717" s="3">
        <f>Table1[[#This Row],[profit]]/(Table1[[#This Row],[Units_Sold]]*Table1[[#This Row],[Selling_Price_per_Unit]])*100</f>
        <v>-331.80639278918477</v>
      </c>
      <c r="V717" s="6">
        <f>Table1[[#This Row],[Units_Sold]]*Table1[[#This Row],[Selling_Price_per_Unit]]</f>
        <v>6394173</v>
      </c>
      <c r="W717" s="7">
        <f>(Table1[[#This Row],[Units_Sold]]/$Z$1)</f>
        <v>0.4042084121796663</v>
      </c>
      <c r="X717" s="8">
        <f>((Table1[[#This Row],[Units_Sold]]*(Table1[[#This Row],[Selling_Price_per_Unit]]-Table1[[#This Row],[Manufacturing_Cost_per_Unit]]))-Table1[[#This Row],[Marketing_Spend]])/Table1[[#This Row],[Marketing_Spend]]</f>
        <v>-93.569666979796509</v>
      </c>
    </row>
    <row r="718" spans="1:24" x14ac:dyDescent="0.3">
      <c r="A718" s="1" t="s">
        <v>735</v>
      </c>
      <c r="B718" s="1" t="s">
        <v>1512</v>
      </c>
      <c r="C718" s="1" t="s">
        <v>1632</v>
      </c>
      <c r="D718" s="1" t="s">
        <v>1635</v>
      </c>
      <c r="E718" s="1">
        <v>2024</v>
      </c>
      <c r="F718" s="1" t="s">
        <v>1639</v>
      </c>
      <c r="G718" s="1">
        <v>4206</v>
      </c>
      <c r="H718" s="1">
        <v>5614</v>
      </c>
      <c r="I718" s="1">
        <v>10813</v>
      </c>
      <c r="J718" s="1">
        <v>140306</v>
      </c>
      <c r="K718" s="1">
        <v>12.39</v>
      </c>
      <c r="L718" s="1">
        <v>11</v>
      </c>
      <c r="M718" s="1">
        <v>1.39</v>
      </c>
      <c r="N718" s="1">
        <v>22.15</v>
      </c>
      <c r="O718" s="1">
        <v>79.12</v>
      </c>
      <c r="P718" s="1">
        <v>4.5999999999999996</v>
      </c>
      <c r="Q718" s="1">
        <v>13159</v>
      </c>
      <c r="R718" s="1">
        <v>7282</v>
      </c>
      <c r="S718" s="1">
        <v>2</v>
      </c>
      <c r="T718" s="1">
        <f>(Table1[[#This Row],[Selling_Price_per_Unit]]-Table1[[#This Row],[Manufacturing_Cost_per_Unit]])*Table1[[#This Row],[Units_Sold]]-Table1[[#This Row],[Marketing_Spend]]-Table1[[#This Row],[Discount_%]]</f>
        <v>-22007322.149999999</v>
      </c>
      <c r="U718" s="3">
        <f>Table1[[#This Row],[profit]]/(Table1[[#This Row],[Units_Sold]]*Table1[[#This Row],[Selling_Price_per_Unit]])*100</f>
        <v>-93.202062730884222</v>
      </c>
      <c r="V718" s="6">
        <f>Table1[[#This Row],[Units_Sold]]*Table1[[#This Row],[Selling_Price_per_Unit]]</f>
        <v>23612484</v>
      </c>
      <c r="W718" s="7">
        <f>(Table1[[#This Row],[Units_Sold]]/$Z$1)</f>
        <v>0.8420508081365411</v>
      </c>
      <c r="X718" s="8">
        <f>((Table1[[#This Row],[Units_Sold]]*(Table1[[#This Row],[Selling_Price_per_Unit]]-Table1[[#This Row],[Manufacturing_Cost_per_Unit]]))-Table1[[#This Row],[Marketing_Spend]])/Table1[[#This Row],[Marketing_Spend]]</f>
        <v>-156.85216598007213</v>
      </c>
    </row>
    <row r="719" spans="1:24" hidden="1" x14ac:dyDescent="0.3">
      <c r="A719" s="1" t="s">
        <v>736</v>
      </c>
      <c r="B719" s="1" t="s">
        <v>1513</v>
      </c>
      <c r="C719" s="1" t="s">
        <v>1634</v>
      </c>
      <c r="D719" s="1" t="s">
        <v>1635</v>
      </c>
      <c r="E719" s="1">
        <v>2024</v>
      </c>
      <c r="F719" s="1" t="s">
        <v>1642</v>
      </c>
      <c r="G719" s="1">
        <v>3172</v>
      </c>
      <c r="H719" s="1">
        <v>5053</v>
      </c>
      <c r="I719" s="1">
        <v>9977</v>
      </c>
      <c r="J719" s="1">
        <v>275180</v>
      </c>
      <c r="K719" s="1">
        <v>4.29</v>
      </c>
      <c r="L719" s="1">
        <v>7</v>
      </c>
      <c r="M719" s="1">
        <v>7.47</v>
      </c>
      <c r="N719" s="1">
        <v>19.37</v>
      </c>
      <c r="O719" s="1">
        <v>33.909999999999997</v>
      </c>
      <c r="P719" s="1">
        <v>2.2999999999999998</v>
      </c>
      <c r="Q719" s="1">
        <v>2028</v>
      </c>
      <c r="R719" s="1">
        <v>7134</v>
      </c>
      <c r="S719" s="1">
        <v>6</v>
      </c>
      <c r="T719" s="1">
        <f>(Table1[[#This Row],[Selling_Price_per_Unit]]-Table1[[#This Row],[Manufacturing_Cost_per_Unit]])*Table1[[#This Row],[Units_Sold]]-Table1[[#This Row],[Marketing_Spend]]-Table1[[#This Row],[Discount_%]]</f>
        <v>-15894127.369999999</v>
      </c>
      <c r="U719" s="3">
        <f>Table1[[#This Row],[profit]]/(Table1[[#This Row],[Units_Sold]]*Table1[[#This Row],[Selling_Price_per_Unit]])*100</f>
        <v>-99.164040053116651</v>
      </c>
      <c r="V719" s="6">
        <f>Table1[[#This Row],[Units_Sold]]*Table1[[#This Row],[Selling_Price_per_Unit]]</f>
        <v>16028116</v>
      </c>
      <c r="W719" s="7">
        <f>(Table1[[#This Row],[Units_Sold]]/$Z$1)</f>
        <v>0.63504164607919833</v>
      </c>
      <c r="X719" s="8">
        <f>((Table1[[#This Row],[Units_Sold]]*(Table1[[#This Row],[Selling_Price_per_Unit]]-Table1[[#This Row],[Manufacturing_Cost_per_Unit]]))-Table1[[#This Row],[Marketing_Spend]])/Table1[[#This Row],[Marketing_Spend]]</f>
        <v>-57.75895050512392</v>
      </c>
    </row>
    <row r="720" spans="1:24" x14ac:dyDescent="0.3">
      <c r="A720" s="1" t="s">
        <v>673</v>
      </c>
      <c r="B720" s="1" t="s">
        <v>1309</v>
      </c>
      <c r="C720" s="1" t="s">
        <v>1634</v>
      </c>
      <c r="D720" s="1" t="s">
        <v>1635</v>
      </c>
      <c r="E720" s="1">
        <v>2023</v>
      </c>
      <c r="F720" s="1" t="s">
        <v>1640</v>
      </c>
      <c r="G720" s="1">
        <v>4012</v>
      </c>
      <c r="H720" s="1">
        <v>6870</v>
      </c>
      <c r="I720" s="1">
        <v>1412</v>
      </c>
      <c r="J720" s="1">
        <v>217093</v>
      </c>
      <c r="K720" s="1">
        <v>12.97</v>
      </c>
      <c r="L720" s="1">
        <v>19</v>
      </c>
      <c r="M720" s="1">
        <v>2.37</v>
      </c>
      <c r="N720" s="1">
        <v>19.399999999999999</v>
      </c>
      <c r="O720" s="1">
        <v>88.79</v>
      </c>
      <c r="P720" s="1">
        <v>4.0999999999999996</v>
      </c>
      <c r="Q720" s="1">
        <v>19022</v>
      </c>
      <c r="R720" s="1">
        <v>7486</v>
      </c>
      <c r="S720" s="1">
        <v>14</v>
      </c>
      <c r="T720" s="1">
        <f>(Table1[[#This Row],[Selling_Price_per_Unit]]-Table1[[#This Row],[Manufacturing_Cost_per_Unit]])*Table1[[#This Row],[Units_Sold]]-Table1[[#This Row],[Marketing_Spend]]-Table1[[#This Row],[Discount_%]]</f>
        <v>21680383.600000001</v>
      </c>
      <c r="U720" s="3">
        <f>Table1[[#This Row],[profit]]/(Table1[[#This Row],[Units_Sold]]*Table1[[#This Row],[Selling_Price_per_Unit]])*100</f>
        <v>78.659159348736907</v>
      </c>
      <c r="V720" s="6">
        <f>Table1[[#This Row],[Units_Sold]]*Table1[[#This Row],[Selling_Price_per_Unit]]</f>
        <v>27562440</v>
      </c>
      <c r="W720" s="7">
        <f>(Table1[[#This Row],[Units_Sold]]/$Z$1)</f>
        <v>0.80321156496524082</v>
      </c>
      <c r="X720" s="8">
        <f>((Table1[[#This Row],[Units_Sold]]*(Table1[[#This Row],[Selling_Price_per_Unit]]-Table1[[#This Row],[Manufacturing_Cost_per_Unit]]))-Table1[[#This Row],[Marketing_Spend]])/Table1[[#This Row],[Marketing_Spend]]</f>
        <v>99.866891148033332</v>
      </c>
    </row>
    <row r="721" spans="1:24" x14ac:dyDescent="0.3">
      <c r="A721" s="1" t="s">
        <v>738</v>
      </c>
      <c r="B721" s="1" t="s">
        <v>1514</v>
      </c>
      <c r="C721" s="1" t="s">
        <v>1633</v>
      </c>
      <c r="D721" s="1" t="s">
        <v>1635</v>
      </c>
      <c r="E721" s="1">
        <v>2024</v>
      </c>
      <c r="F721" s="1" t="s">
        <v>1640</v>
      </c>
      <c r="G721" s="1">
        <v>4827</v>
      </c>
      <c r="H721" s="1">
        <v>2500</v>
      </c>
      <c r="I721" s="1">
        <v>4148</v>
      </c>
      <c r="J721" s="1">
        <v>52204</v>
      </c>
      <c r="K721" s="1">
        <v>14.55</v>
      </c>
      <c r="L721" s="1">
        <v>0</v>
      </c>
      <c r="M721" s="1">
        <v>9.49</v>
      </c>
      <c r="N721" s="1">
        <v>19.93</v>
      </c>
      <c r="O721" s="1">
        <v>19.29</v>
      </c>
      <c r="P721" s="1">
        <v>4</v>
      </c>
      <c r="Q721" s="1">
        <v>6175</v>
      </c>
      <c r="R721" s="1">
        <v>4273</v>
      </c>
      <c r="S721" s="1">
        <v>2</v>
      </c>
      <c r="T721" s="1">
        <f>(Table1[[#This Row],[Selling_Price_per_Unit]]-Table1[[#This Row],[Manufacturing_Cost_per_Unit]])*Table1[[#This Row],[Units_Sold]]-Table1[[#This Row],[Marketing_Spend]]-Table1[[#This Row],[Discount_%]]</f>
        <v>-8007119.9299999997</v>
      </c>
      <c r="U721" s="3">
        <f>Table1[[#This Row],[profit]]/(Table1[[#This Row],[Units_Sold]]*Table1[[#This Row],[Selling_Price_per_Unit]])*100</f>
        <v>-66.352765112906567</v>
      </c>
      <c r="V721" s="6">
        <f>Table1[[#This Row],[Units_Sold]]*Table1[[#This Row],[Selling_Price_per_Unit]]</f>
        <v>12067500</v>
      </c>
      <c r="W721" s="7">
        <f>(Table1[[#This Row],[Units_Sold]]/$Z$1)</f>
        <v>0.96637642674157964</v>
      </c>
      <c r="X721" s="8">
        <f>((Table1[[#This Row],[Units_Sold]]*(Table1[[#This Row],[Selling_Price_per_Unit]]-Table1[[#This Row],[Manufacturing_Cost_per_Unit]]))-Table1[[#This Row],[Marketing_Spend]])/Table1[[#This Row],[Marketing_Spend]]</f>
        <v>-153.38096697571066</v>
      </c>
    </row>
    <row r="722" spans="1:24" hidden="1" x14ac:dyDescent="0.3">
      <c r="A722" s="1" t="s">
        <v>59</v>
      </c>
      <c r="B722" s="1" t="s">
        <v>1059</v>
      </c>
      <c r="C722" s="1" t="s">
        <v>1634</v>
      </c>
      <c r="D722" s="1" t="s">
        <v>1638</v>
      </c>
      <c r="E722" s="1">
        <v>2023</v>
      </c>
      <c r="F722" s="1" t="s">
        <v>1641</v>
      </c>
      <c r="G722" s="1">
        <v>2413</v>
      </c>
      <c r="H722" s="1">
        <v>14587</v>
      </c>
      <c r="I722" s="1">
        <v>5595</v>
      </c>
      <c r="J722" s="1">
        <v>117411</v>
      </c>
      <c r="K722" s="1">
        <v>8.86</v>
      </c>
      <c r="L722" s="1">
        <v>15</v>
      </c>
      <c r="M722" s="1">
        <v>7.11</v>
      </c>
      <c r="N722" s="1">
        <v>10.77</v>
      </c>
      <c r="O722" s="1">
        <v>21.43</v>
      </c>
      <c r="P722" s="1">
        <v>1.7</v>
      </c>
      <c r="Q722" s="1">
        <v>4565</v>
      </c>
      <c r="R722" s="1">
        <v>1485</v>
      </c>
      <c r="S722" s="1">
        <v>3</v>
      </c>
      <c r="T722" s="1">
        <f>(Table1[[#This Row],[Selling_Price_per_Unit]]-Table1[[#This Row],[Manufacturing_Cost_per_Unit]])*Table1[[#This Row],[Units_Sold]]-Table1[[#This Row],[Marketing_Spend]]-Table1[[#This Row],[Discount_%]]</f>
        <v>21580274.23</v>
      </c>
      <c r="U722" s="3">
        <f>Table1[[#This Row],[profit]]/(Table1[[#This Row],[Units_Sold]]*Table1[[#This Row],[Selling_Price_per_Unit]])*100</f>
        <v>61.31033008261079</v>
      </c>
      <c r="V722" s="6">
        <f>Table1[[#This Row],[Units_Sold]]*Table1[[#This Row],[Selling_Price_per_Unit]]</f>
        <v>35198431</v>
      </c>
      <c r="W722" s="7">
        <f>(Table1[[#This Row],[Units_Sold]]/$Z$1)</f>
        <v>0.48308811222859577</v>
      </c>
      <c r="X722" s="8">
        <f>((Table1[[#This Row],[Units_Sold]]*(Table1[[#This Row],[Selling_Price_per_Unit]]-Table1[[#This Row],[Manufacturing_Cost_per_Unit]]))-Table1[[#This Row],[Marketing_Spend]])/Table1[[#This Row],[Marketing_Spend]]</f>
        <v>183.80121964722215</v>
      </c>
    </row>
    <row r="723" spans="1:24" hidden="1" x14ac:dyDescent="0.3">
      <c r="A723" s="1" t="s">
        <v>740</v>
      </c>
      <c r="B723" s="1" t="s">
        <v>1515</v>
      </c>
      <c r="C723" s="1" t="s">
        <v>1632</v>
      </c>
      <c r="D723" s="1" t="s">
        <v>1638</v>
      </c>
      <c r="E723" s="1">
        <v>2024</v>
      </c>
      <c r="F723" s="1" t="s">
        <v>1642</v>
      </c>
      <c r="G723" s="1">
        <v>573</v>
      </c>
      <c r="H723" s="1">
        <v>19272</v>
      </c>
      <c r="I723" s="1">
        <v>4631</v>
      </c>
      <c r="J723" s="1">
        <v>137265</v>
      </c>
      <c r="K723" s="1">
        <v>2.15</v>
      </c>
      <c r="L723" s="1">
        <v>18</v>
      </c>
      <c r="M723" s="1">
        <v>7.0000000000000007E-2</v>
      </c>
      <c r="N723" s="1">
        <v>22.19</v>
      </c>
      <c r="O723" s="1">
        <v>45.51</v>
      </c>
      <c r="P723" s="1">
        <v>2.9</v>
      </c>
      <c r="Q723" s="1">
        <v>3841</v>
      </c>
      <c r="R723" s="1">
        <v>9098</v>
      </c>
      <c r="S723" s="1">
        <v>7</v>
      </c>
      <c r="T723" s="1">
        <f>(Table1[[#This Row],[Selling_Price_per_Unit]]-Table1[[#This Row],[Manufacturing_Cost_per_Unit]])*Table1[[#This Row],[Units_Sold]]-Table1[[#This Row],[Marketing_Spend]]-Table1[[#This Row],[Discount_%]]</f>
        <v>8252005.8099999996</v>
      </c>
      <c r="U723" s="3">
        <f>Table1[[#This Row],[profit]]/(Table1[[#This Row],[Units_Sold]]*Table1[[#This Row],[Selling_Price_per_Unit]])*100</f>
        <v>74.727097863089043</v>
      </c>
      <c r="V723" s="6">
        <f>Table1[[#This Row],[Units_Sold]]*Table1[[#This Row],[Selling_Price_per_Unit]]</f>
        <v>11042856</v>
      </c>
      <c r="W723" s="7">
        <f>(Table1[[#This Row],[Units_Sold]]/$Z$1)</f>
        <v>0.11471590895440753</v>
      </c>
      <c r="X723" s="8">
        <f>((Table1[[#This Row],[Units_Sold]]*(Table1[[#This Row],[Selling_Price_per_Unit]]-Table1[[#This Row],[Manufacturing_Cost_per_Unit]]))-Table1[[#This Row],[Marketing_Spend]])/Table1[[#This Row],[Marketing_Spend]]</f>
        <v>60.117495355698829</v>
      </c>
    </row>
    <row r="724" spans="1:24" hidden="1" x14ac:dyDescent="0.3">
      <c r="A724" s="1" t="s">
        <v>741</v>
      </c>
      <c r="B724" s="1" t="s">
        <v>1312</v>
      </c>
      <c r="C724" s="1" t="s">
        <v>1632</v>
      </c>
      <c r="D724" s="1" t="s">
        <v>1636</v>
      </c>
      <c r="E724" s="1">
        <v>2023</v>
      </c>
      <c r="F724" s="1" t="s">
        <v>1640</v>
      </c>
      <c r="G724" s="1">
        <v>2443</v>
      </c>
      <c r="H724" s="1">
        <v>6950</v>
      </c>
      <c r="I724" s="1">
        <v>10233</v>
      </c>
      <c r="J724" s="1">
        <v>343275</v>
      </c>
      <c r="K724" s="1">
        <v>5.62</v>
      </c>
      <c r="L724" s="1">
        <v>10</v>
      </c>
      <c r="M724" s="1">
        <v>7.64</v>
      </c>
      <c r="N724" s="1">
        <v>3.43</v>
      </c>
      <c r="O724" s="1">
        <v>25.04</v>
      </c>
      <c r="P724" s="1">
        <v>3.5</v>
      </c>
      <c r="Q724" s="1">
        <v>15419</v>
      </c>
      <c r="R724" s="1">
        <v>3412</v>
      </c>
      <c r="S724" s="1">
        <v>8</v>
      </c>
      <c r="T724" s="1">
        <f>(Table1[[#This Row],[Selling_Price_per_Unit]]-Table1[[#This Row],[Manufacturing_Cost_per_Unit]])*Table1[[#This Row],[Units_Sold]]-Table1[[#This Row],[Marketing_Spend]]-Table1[[#This Row],[Discount_%]]</f>
        <v>-8363647.4299999997</v>
      </c>
      <c r="U724" s="3">
        <f>Table1[[#This Row],[profit]]/(Table1[[#This Row],[Units_Sold]]*Table1[[#This Row],[Selling_Price_per_Unit]])*100</f>
        <v>-49.259210311652438</v>
      </c>
      <c r="V724" s="6">
        <f>Table1[[#This Row],[Units_Sold]]*Table1[[#This Row],[Selling_Price_per_Unit]]</f>
        <v>16978850</v>
      </c>
      <c r="W724" s="7">
        <f>(Table1[[#This Row],[Units_Sold]]/$Z$1)</f>
        <v>0.48909418076024014</v>
      </c>
      <c r="X724" s="8">
        <f>((Table1[[#This Row],[Units_Sold]]*(Table1[[#This Row],[Selling_Price_per_Unit]]-Table1[[#This Row],[Manufacturing_Cost_per_Unit]]))-Table1[[#This Row],[Marketing_Spend]])/Table1[[#This Row],[Marketing_Spend]]</f>
        <v>-24.364267715388536</v>
      </c>
    </row>
    <row r="725" spans="1:24" hidden="1" x14ac:dyDescent="0.3">
      <c r="A725" s="1" t="s">
        <v>742</v>
      </c>
      <c r="B725" s="1" t="s">
        <v>1382</v>
      </c>
      <c r="C725" s="1" t="s">
        <v>1633</v>
      </c>
      <c r="D725" s="1" t="s">
        <v>1635</v>
      </c>
      <c r="E725" s="1">
        <v>2023</v>
      </c>
      <c r="F725" s="1" t="s">
        <v>1642</v>
      </c>
      <c r="G725" s="1">
        <v>3167</v>
      </c>
      <c r="H725" s="1">
        <v>5212</v>
      </c>
      <c r="I725" s="1">
        <v>9181</v>
      </c>
      <c r="J725" s="1">
        <v>102428</v>
      </c>
      <c r="K725" s="1">
        <v>11.97</v>
      </c>
      <c r="L725" s="1">
        <v>10</v>
      </c>
      <c r="M725" s="1">
        <v>5.14</v>
      </c>
      <c r="N725" s="1">
        <v>8.41</v>
      </c>
      <c r="O725" s="1">
        <v>62.25</v>
      </c>
      <c r="P725" s="1">
        <v>4.5999999999999996</v>
      </c>
      <c r="Q725" s="1">
        <v>16230</v>
      </c>
      <c r="R725" s="1">
        <v>8745</v>
      </c>
      <c r="S725" s="1">
        <v>13</v>
      </c>
      <c r="T725" s="1">
        <f>(Table1[[#This Row],[Selling_Price_per_Unit]]-Table1[[#This Row],[Manufacturing_Cost_per_Unit]])*Table1[[#This Row],[Units_Sold]]-Table1[[#This Row],[Marketing_Spend]]-Table1[[#This Row],[Discount_%]]</f>
        <v>-12672259.41</v>
      </c>
      <c r="U725" s="3">
        <f>Table1[[#This Row],[profit]]/(Table1[[#This Row],[Units_Sold]]*Table1[[#This Row],[Selling_Price_per_Unit]])*100</f>
        <v>-76.771775427282648</v>
      </c>
      <c r="V725" s="6">
        <f>Table1[[#This Row],[Units_Sold]]*Table1[[#This Row],[Selling_Price_per_Unit]]</f>
        <v>16506404</v>
      </c>
      <c r="W725" s="7">
        <f>(Table1[[#This Row],[Units_Sold]]/$Z$1)</f>
        <v>0.63404063465725768</v>
      </c>
      <c r="X725" s="8">
        <f>((Table1[[#This Row],[Units_Sold]]*(Table1[[#This Row],[Selling_Price_per_Unit]]-Table1[[#This Row],[Manufacturing_Cost_per_Unit]]))-Table1[[#This Row],[Marketing_Spend]])/Table1[[#This Row],[Marketing_Spend]]</f>
        <v>-123.71862186120983</v>
      </c>
    </row>
    <row r="726" spans="1:24" hidden="1" x14ac:dyDescent="0.3">
      <c r="A726" s="1" t="s">
        <v>743</v>
      </c>
      <c r="B726" s="1" t="s">
        <v>1045</v>
      </c>
      <c r="C726" s="1" t="s">
        <v>1634</v>
      </c>
      <c r="D726" s="1" t="s">
        <v>1636</v>
      </c>
      <c r="E726" s="1">
        <v>2023</v>
      </c>
      <c r="F726" s="1" t="s">
        <v>1640</v>
      </c>
      <c r="G726" s="1">
        <v>2643</v>
      </c>
      <c r="H726" s="1">
        <v>2867</v>
      </c>
      <c r="I726" s="1">
        <v>14528</v>
      </c>
      <c r="J726" s="1">
        <v>83870</v>
      </c>
      <c r="K726" s="1">
        <v>5.51</v>
      </c>
      <c r="L726" s="1">
        <v>12</v>
      </c>
      <c r="M726" s="1">
        <v>7.79</v>
      </c>
      <c r="N726" s="1">
        <v>14.67</v>
      </c>
      <c r="O726" s="1">
        <v>21.88</v>
      </c>
      <c r="P726" s="1">
        <v>2.7</v>
      </c>
      <c r="Q726" s="1">
        <v>16756</v>
      </c>
      <c r="R726" s="1">
        <v>2424</v>
      </c>
      <c r="S726" s="1">
        <v>6</v>
      </c>
      <c r="T726" s="1">
        <f>(Table1[[#This Row],[Selling_Price_per_Unit]]-Table1[[#This Row],[Manufacturing_Cost_per_Unit]])*Table1[[#This Row],[Units_Sold]]-Table1[[#This Row],[Marketing_Spend]]-Table1[[#This Row],[Discount_%]]</f>
        <v>-30903907.670000002</v>
      </c>
      <c r="U726" s="3">
        <f>Table1[[#This Row],[profit]]/(Table1[[#This Row],[Units_Sold]]*Table1[[#This Row],[Selling_Price_per_Unit]])*100</f>
        <v>-407.8388011794421</v>
      </c>
      <c r="V726" s="6">
        <f>Table1[[#This Row],[Units_Sold]]*Table1[[#This Row],[Selling_Price_per_Unit]]</f>
        <v>7577481</v>
      </c>
      <c r="W726" s="7">
        <f>(Table1[[#This Row],[Units_Sold]]/$Z$1)</f>
        <v>0.52913463763786928</v>
      </c>
      <c r="X726" s="8">
        <f>((Table1[[#This Row],[Units_Sold]]*(Table1[[#This Row],[Selling_Price_per_Unit]]-Table1[[#This Row],[Manufacturing_Cost_per_Unit]]))-Table1[[#This Row],[Marketing_Spend]])/Table1[[#This Row],[Marketing_Spend]]</f>
        <v>-368.473745081674</v>
      </c>
    </row>
    <row r="727" spans="1:24" hidden="1" x14ac:dyDescent="0.3">
      <c r="A727" s="1" t="s">
        <v>744</v>
      </c>
      <c r="B727" s="1" t="s">
        <v>1516</v>
      </c>
      <c r="C727" s="1" t="s">
        <v>1632</v>
      </c>
      <c r="D727" s="1" t="s">
        <v>1637</v>
      </c>
      <c r="E727" s="1">
        <v>2024</v>
      </c>
      <c r="F727" s="1" t="s">
        <v>1640</v>
      </c>
      <c r="G727" s="1">
        <v>2018</v>
      </c>
      <c r="H727" s="1">
        <v>9689</v>
      </c>
      <c r="I727" s="1">
        <v>9972</v>
      </c>
      <c r="J727" s="1">
        <v>153547</v>
      </c>
      <c r="K727" s="1">
        <v>1.31</v>
      </c>
      <c r="L727" s="1">
        <v>10</v>
      </c>
      <c r="M727" s="1">
        <v>5.22</v>
      </c>
      <c r="N727" s="1">
        <v>2.57</v>
      </c>
      <c r="O727" s="1">
        <v>54.34</v>
      </c>
      <c r="P727" s="1">
        <v>4.0999999999999996</v>
      </c>
      <c r="Q727" s="1">
        <v>6405</v>
      </c>
      <c r="R727" s="1">
        <v>9739</v>
      </c>
      <c r="S727" s="1">
        <v>2</v>
      </c>
      <c r="T727" s="1">
        <f>(Table1[[#This Row],[Selling_Price_per_Unit]]-Table1[[#This Row],[Manufacturing_Cost_per_Unit]])*Table1[[#This Row],[Units_Sold]]-Table1[[#This Row],[Marketing_Spend]]-Table1[[#This Row],[Discount_%]]</f>
        <v>-724643.57</v>
      </c>
      <c r="U727" s="3">
        <f>Table1[[#This Row],[profit]]/(Table1[[#This Row],[Units_Sold]]*Table1[[#This Row],[Selling_Price_per_Unit]])*100</f>
        <v>-3.7061613708637946</v>
      </c>
      <c r="V727" s="6">
        <f>Table1[[#This Row],[Units_Sold]]*Table1[[#This Row],[Selling_Price_per_Unit]]</f>
        <v>19552402</v>
      </c>
      <c r="W727" s="7">
        <f>(Table1[[#This Row],[Units_Sold]]/$Z$1)</f>
        <v>0.40400820989527814</v>
      </c>
      <c r="X727" s="8">
        <f>((Table1[[#This Row],[Units_Sold]]*(Table1[[#This Row],[Selling_Price_per_Unit]]-Table1[[#This Row],[Manufacturing_Cost_per_Unit]]))-Table1[[#This Row],[Marketing_Spend]])/Table1[[#This Row],[Marketing_Spend]]</f>
        <v>-4.7193432629748546</v>
      </c>
    </row>
    <row r="728" spans="1:24" hidden="1" x14ac:dyDescent="0.3">
      <c r="A728" s="1" t="s">
        <v>745</v>
      </c>
      <c r="B728" s="1" t="s">
        <v>1517</v>
      </c>
      <c r="C728" s="1" t="s">
        <v>1634</v>
      </c>
      <c r="D728" s="1" t="s">
        <v>1636</v>
      </c>
      <c r="E728" s="1">
        <v>2023</v>
      </c>
      <c r="F728" s="1" t="s">
        <v>1639</v>
      </c>
      <c r="G728" s="1">
        <v>1803</v>
      </c>
      <c r="H728" s="1">
        <v>10513</v>
      </c>
      <c r="I728" s="1">
        <v>10690</v>
      </c>
      <c r="J728" s="1">
        <v>285990</v>
      </c>
      <c r="K728" s="1">
        <v>8.35</v>
      </c>
      <c r="L728" s="1">
        <v>17</v>
      </c>
      <c r="M728" s="1">
        <v>6.41</v>
      </c>
      <c r="N728" s="1">
        <v>18.25</v>
      </c>
      <c r="O728" s="1">
        <v>52.17</v>
      </c>
      <c r="P728" s="1">
        <v>2.1</v>
      </c>
      <c r="Q728" s="1">
        <v>17039</v>
      </c>
      <c r="R728" s="1">
        <v>5695</v>
      </c>
      <c r="S728" s="1">
        <v>7</v>
      </c>
      <c r="T728" s="1">
        <f>(Table1[[#This Row],[Selling_Price_per_Unit]]-Table1[[#This Row],[Manufacturing_Cost_per_Unit]])*Table1[[#This Row],[Units_Sold]]-Table1[[#This Row],[Marketing_Spend]]-Table1[[#This Row],[Discount_%]]</f>
        <v>-605139.25</v>
      </c>
      <c r="U728" s="3">
        <f>Table1[[#This Row],[profit]]/(Table1[[#This Row],[Units_Sold]]*Table1[[#This Row],[Selling_Price_per_Unit]])*100</f>
        <v>-3.1925148901824478</v>
      </c>
      <c r="V728" s="6">
        <f>Table1[[#This Row],[Units_Sold]]*Table1[[#This Row],[Selling_Price_per_Unit]]</f>
        <v>18954939</v>
      </c>
      <c r="W728" s="7">
        <f>(Table1[[#This Row],[Units_Sold]]/$Z$1)</f>
        <v>0.36096471875182684</v>
      </c>
      <c r="X728" s="8">
        <f>((Table1[[#This Row],[Units_Sold]]*(Table1[[#This Row],[Selling_Price_per_Unit]]-Table1[[#This Row],[Manufacturing_Cost_per_Unit]]))-Table1[[#This Row],[Marketing_Spend]])/Table1[[#This Row],[Marketing_Spend]]</f>
        <v>-2.1158816741844122</v>
      </c>
    </row>
    <row r="729" spans="1:24" hidden="1" x14ac:dyDescent="0.3">
      <c r="A729" s="1" t="s">
        <v>487</v>
      </c>
      <c r="B729" s="1" t="s">
        <v>1105</v>
      </c>
      <c r="C729" s="1" t="s">
        <v>1634</v>
      </c>
      <c r="D729" s="1" t="s">
        <v>1636</v>
      </c>
      <c r="E729" s="1">
        <v>2024</v>
      </c>
      <c r="F729" s="1" t="s">
        <v>1639</v>
      </c>
      <c r="G729" s="1">
        <v>2193</v>
      </c>
      <c r="H729" s="1">
        <v>19273</v>
      </c>
      <c r="I729" s="1">
        <v>9261</v>
      </c>
      <c r="J729" s="1">
        <v>436328</v>
      </c>
      <c r="K729" s="1">
        <v>12.33</v>
      </c>
      <c r="L729" s="1">
        <v>5</v>
      </c>
      <c r="M729" s="1">
        <v>9.52</v>
      </c>
      <c r="N729" s="1">
        <v>14.16</v>
      </c>
      <c r="O729" s="1">
        <v>70.5</v>
      </c>
      <c r="P729" s="1">
        <v>1.4</v>
      </c>
      <c r="Q729" s="1">
        <v>7247</v>
      </c>
      <c r="R729" s="1">
        <v>2457</v>
      </c>
      <c r="S729" s="1">
        <v>14</v>
      </c>
      <c r="T729" s="1">
        <f>(Table1[[#This Row],[Selling_Price_per_Unit]]-Table1[[#This Row],[Manufacturing_Cost_per_Unit]])*Table1[[#This Row],[Units_Sold]]-Table1[[#This Row],[Marketing_Spend]]-Table1[[#This Row],[Discount_%]]</f>
        <v>21519973.84</v>
      </c>
      <c r="U729" s="3">
        <f>Table1[[#This Row],[profit]]/(Table1[[#This Row],[Units_Sold]]*Table1[[#This Row],[Selling_Price_per_Unit]])*100</f>
        <v>50.915942338003759</v>
      </c>
      <c r="V729" s="6">
        <f>Table1[[#This Row],[Units_Sold]]*Table1[[#This Row],[Selling_Price_per_Unit]]</f>
        <v>42265689</v>
      </c>
      <c r="W729" s="7">
        <f>(Table1[[#This Row],[Units_Sold]]/$Z$1)</f>
        <v>0.43904360966320366</v>
      </c>
      <c r="X729" s="8">
        <f>((Table1[[#This Row],[Units_Sold]]*(Table1[[#This Row],[Selling_Price_per_Unit]]-Table1[[#This Row],[Manufacturing_Cost_per_Unit]]))-Table1[[#This Row],[Marketing_Spend]])/Table1[[#This Row],[Marketing_Spend]]</f>
        <v>49.320667021140061</v>
      </c>
    </row>
    <row r="730" spans="1:24" hidden="1" x14ac:dyDescent="0.3">
      <c r="A730" s="1" t="s">
        <v>747</v>
      </c>
      <c r="B730" s="1" t="s">
        <v>1371</v>
      </c>
      <c r="C730" s="1" t="s">
        <v>1633</v>
      </c>
      <c r="D730" s="1" t="s">
        <v>1637</v>
      </c>
      <c r="E730" s="1">
        <v>2023</v>
      </c>
      <c r="F730" s="1" t="s">
        <v>1641</v>
      </c>
      <c r="G730" s="1">
        <v>2311</v>
      </c>
      <c r="H730" s="1">
        <v>5226</v>
      </c>
      <c r="I730" s="1">
        <v>11585</v>
      </c>
      <c r="J730" s="1">
        <v>288083</v>
      </c>
      <c r="K730" s="1">
        <v>11.94</v>
      </c>
      <c r="L730" s="1">
        <v>0</v>
      </c>
      <c r="M730" s="1">
        <v>4.05</v>
      </c>
      <c r="N730" s="1">
        <v>19.61</v>
      </c>
      <c r="O730" s="1">
        <v>14.41</v>
      </c>
      <c r="P730" s="1">
        <v>1</v>
      </c>
      <c r="Q730" s="1">
        <v>10384</v>
      </c>
      <c r="R730" s="1">
        <v>2611</v>
      </c>
      <c r="S730" s="1">
        <v>6</v>
      </c>
      <c r="T730" s="1">
        <f>(Table1[[#This Row],[Selling_Price_per_Unit]]-Table1[[#This Row],[Manufacturing_Cost_per_Unit]])*Table1[[#This Row],[Units_Sold]]-Table1[[#This Row],[Marketing_Spend]]-Table1[[#This Row],[Discount_%]]</f>
        <v>-14983751.609999999</v>
      </c>
      <c r="U730" s="3">
        <f>Table1[[#This Row],[profit]]/(Table1[[#This Row],[Units_Sold]]*Table1[[#This Row],[Selling_Price_per_Unit]])*100</f>
        <v>-124.06555255874538</v>
      </c>
      <c r="V730" s="6">
        <f>Table1[[#This Row],[Units_Sold]]*Table1[[#This Row],[Selling_Price_per_Unit]]</f>
        <v>12077286</v>
      </c>
      <c r="W730" s="7">
        <f>(Table1[[#This Row],[Units_Sold]]/$Z$1)</f>
        <v>0.46266747922100487</v>
      </c>
      <c r="X730" s="8">
        <f>((Table1[[#This Row],[Units_Sold]]*(Table1[[#This Row],[Selling_Price_per_Unit]]-Table1[[#This Row],[Manufacturing_Cost_per_Unit]]))-Table1[[#This Row],[Marketing_Spend]])/Table1[[#This Row],[Marketing_Spend]]</f>
        <v>-52.011857693789636</v>
      </c>
    </row>
    <row r="731" spans="1:24" hidden="1" x14ac:dyDescent="0.3">
      <c r="A731" s="1" t="s">
        <v>748</v>
      </c>
      <c r="B731" s="1" t="s">
        <v>1519</v>
      </c>
      <c r="C731" s="1" t="s">
        <v>1633</v>
      </c>
      <c r="D731" s="1" t="s">
        <v>1638</v>
      </c>
      <c r="E731" s="1">
        <v>2024</v>
      </c>
      <c r="F731" s="1" t="s">
        <v>1641</v>
      </c>
      <c r="G731" s="1">
        <v>2336</v>
      </c>
      <c r="H731" s="1">
        <v>6306</v>
      </c>
      <c r="I731" s="1">
        <v>13128</v>
      </c>
      <c r="J731" s="1">
        <v>162217</v>
      </c>
      <c r="K731" s="1">
        <v>2.63</v>
      </c>
      <c r="L731" s="1">
        <v>6</v>
      </c>
      <c r="M731" s="1">
        <v>0.03</v>
      </c>
      <c r="N731" s="1">
        <v>12.32</v>
      </c>
      <c r="O731" s="1">
        <v>81.03</v>
      </c>
      <c r="P731" s="1">
        <v>4.5</v>
      </c>
      <c r="Q731" s="1">
        <v>10643</v>
      </c>
      <c r="R731" s="1">
        <v>462</v>
      </c>
      <c r="S731" s="1">
        <v>7</v>
      </c>
      <c r="T731" s="1">
        <f>(Table1[[#This Row],[Selling_Price_per_Unit]]-Table1[[#This Row],[Manufacturing_Cost_per_Unit]])*Table1[[#This Row],[Units_Sold]]-Table1[[#This Row],[Marketing_Spend]]-Table1[[#This Row],[Discount_%]]</f>
        <v>-16098421.32</v>
      </c>
      <c r="U731" s="3">
        <f>Table1[[#This Row],[profit]]/(Table1[[#This Row],[Units_Sold]]*Table1[[#This Row],[Selling_Price_per_Unit]])*100</f>
        <v>-109.28397530727423</v>
      </c>
      <c r="V731" s="6">
        <f>Table1[[#This Row],[Units_Sold]]*Table1[[#This Row],[Selling_Price_per_Unit]]</f>
        <v>14730816</v>
      </c>
      <c r="W731" s="7">
        <f>(Table1[[#This Row],[Units_Sold]]/$Z$1)</f>
        <v>0.46767253633070854</v>
      </c>
      <c r="X731" s="8">
        <f>((Table1[[#This Row],[Units_Sold]]*(Table1[[#This Row],[Selling_Price_per_Unit]]-Table1[[#This Row],[Manufacturing_Cost_per_Unit]]))-Table1[[#This Row],[Marketing_Spend]])/Table1[[#This Row],[Marketing_Spend]]</f>
        <v>-99.239962519341375</v>
      </c>
    </row>
    <row r="732" spans="1:24" x14ac:dyDescent="0.3">
      <c r="A732" s="1" t="s">
        <v>749</v>
      </c>
      <c r="B732" s="1" t="s">
        <v>1520</v>
      </c>
      <c r="C732" s="1" t="s">
        <v>1633</v>
      </c>
      <c r="D732" s="1" t="s">
        <v>1637</v>
      </c>
      <c r="E732" s="1">
        <v>2023</v>
      </c>
      <c r="F732" s="1" t="s">
        <v>1641</v>
      </c>
      <c r="G732" s="1">
        <v>4252</v>
      </c>
      <c r="H732" s="1">
        <v>3690</v>
      </c>
      <c r="I732" s="1">
        <v>7250</v>
      </c>
      <c r="J732" s="1">
        <v>464823</v>
      </c>
      <c r="K732" s="1">
        <v>10.09</v>
      </c>
      <c r="L732" s="1">
        <v>12</v>
      </c>
      <c r="M732" s="1">
        <v>8.5</v>
      </c>
      <c r="N732" s="1">
        <v>4.5199999999999996</v>
      </c>
      <c r="O732" s="1">
        <v>66.239999999999995</v>
      </c>
      <c r="P732" s="1">
        <v>1.1000000000000001</v>
      </c>
      <c r="Q732" s="1">
        <v>7450</v>
      </c>
      <c r="R732" s="1">
        <v>3554</v>
      </c>
      <c r="S732" s="1">
        <v>12</v>
      </c>
      <c r="T732" s="1">
        <f>(Table1[[#This Row],[Selling_Price_per_Unit]]-Table1[[#This Row],[Manufacturing_Cost_per_Unit]])*Table1[[#This Row],[Units_Sold]]-Table1[[#This Row],[Marketing_Spend]]-Table1[[#This Row],[Discount_%]]</f>
        <v>-15601947.52</v>
      </c>
      <c r="U732" s="3">
        <f>Table1[[#This Row],[profit]]/(Table1[[#This Row],[Units_Sold]]*Table1[[#This Row],[Selling_Price_per_Unit]])*100</f>
        <v>-99.439559257304708</v>
      </c>
      <c r="V732" s="6">
        <f>Table1[[#This Row],[Units_Sold]]*Table1[[#This Row],[Selling_Price_per_Unit]]</f>
        <v>15689880</v>
      </c>
      <c r="W732" s="7">
        <f>(Table1[[#This Row],[Units_Sold]]/$Z$1)</f>
        <v>0.85126011321839579</v>
      </c>
      <c r="X732" s="8">
        <f>((Table1[[#This Row],[Units_Sold]]*(Table1[[#This Row],[Selling_Price_per_Unit]]-Table1[[#This Row],[Manufacturing_Cost_per_Unit]]))-Table1[[#This Row],[Marketing_Spend]])/Table1[[#This Row],[Marketing_Spend]]</f>
        <v>-33.565342076446306</v>
      </c>
    </row>
    <row r="733" spans="1:24" hidden="1" x14ac:dyDescent="0.3">
      <c r="A733" s="1" t="s">
        <v>750</v>
      </c>
      <c r="B733" s="1" t="s">
        <v>1521</v>
      </c>
      <c r="C733" s="1" t="s">
        <v>1633</v>
      </c>
      <c r="D733" s="1" t="s">
        <v>1635</v>
      </c>
      <c r="E733" s="1">
        <v>2023</v>
      </c>
      <c r="F733" s="1" t="s">
        <v>1639</v>
      </c>
      <c r="G733" s="1">
        <v>2928</v>
      </c>
      <c r="H733" s="1">
        <v>10608</v>
      </c>
      <c r="I733" s="1">
        <v>14030</v>
      </c>
      <c r="J733" s="1">
        <v>468184</v>
      </c>
      <c r="K733" s="1">
        <v>3.31</v>
      </c>
      <c r="L733" s="1">
        <v>11</v>
      </c>
      <c r="M733" s="1">
        <v>3.81</v>
      </c>
      <c r="N733" s="1">
        <v>18.37</v>
      </c>
      <c r="O733" s="1">
        <v>27.29</v>
      </c>
      <c r="P733" s="1">
        <v>3.9</v>
      </c>
      <c r="Q733" s="1">
        <v>2860</v>
      </c>
      <c r="R733" s="1">
        <v>2898</v>
      </c>
      <c r="S733" s="1">
        <v>11</v>
      </c>
      <c r="T733" s="1">
        <f>(Table1[[#This Row],[Selling_Price_per_Unit]]-Table1[[#This Row],[Manufacturing_Cost_per_Unit]])*Table1[[#This Row],[Units_Sold]]-Table1[[#This Row],[Marketing_Spend]]-Table1[[#This Row],[Discount_%]]</f>
        <v>-10487818.369999999</v>
      </c>
      <c r="U733" s="3">
        <f>Table1[[#This Row],[profit]]/(Table1[[#This Row],[Units_Sold]]*Table1[[#This Row],[Selling_Price_per_Unit]])*100</f>
        <v>-33.766074481626404</v>
      </c>
      <c r="V733" s="6">
        <f>Table1[[#This Row],[Units_Sold]]*Table1[[#This Row],[Selling_Price_per_Unit]]</f>
        <v>31060224</v>
      </c>
      <c r="W733" s="7">
        <f>(Table1[[#This Row],[Units_Sold]]/$Z$1)</f>
        <v>0.58619228868849083</v>
      </c>
      <c r="X733" s="8">
        <f>((Table1[[#This Row],[Units_Sold]]*(Table1[[#This Row],[Selling_Price_per_Unit]]-Table1[[#This Row],[Manufacturing_Cost_per_Unit]]))-Table1[[#This Row],[Marketing_Spend]])/Table1[[#This Row],[Marketing_Spend]]</f>
        <v>-22.401021820480835</v>
      </c>
    </row>
    <row r="734" spans="1:24" x14ac:dyDescent="0.3">
      <c r="A734" s="1" t="s">
        <v>751</v>
      </c>
      <c r="B734" s="1" t="s">
        <v>1373</v>
      </c>
      <c r="C734" s="1" t="s">
        <v>1633</v>
      </c>
      <c r="D734" s="1" t="s">
        <v>1637</v>
      </c>
      <c r="E734" s="1">
        <v>2023</v>
      </c>
      <c r="F734" s="1" t="s">
        <v>1639</v>
      </c>
      <c r="G734" s="1">
        <v>4193</v>
      </c>
      <c r="H734" s="1">
        <v>13678</v>
      </c>
      <c r="I734" s="1">
        <v>13425</v>
      </c>
      <c r="J734" s="1">
        <v>148934</v>
      </c>
      <c r="K734" s="1">
        <v>3.27</v>
      </c>
      <c r="L734" s="1">
        <v>17</v>
      </c>
      <c r="M734" s="1">
        <v>4.96</v>
      </c>
      <c r="N734" s="1">
        <v>6.3</v>
      </c>
      <c r="O734" s="1">
        <v>24.67</v>
      </c>
      <c r="P734" s="1">
        <v>1.2</v>
      </c>
      <c r="Q734" s="1">
        <v>6627</v>
      </c>
      <c r="R734" s="1">
        <v>4720</v>
      </c>
      <c r="S734" s="1">
        <v>8</v>
      </c>
      <c r="T734" s="1">
        <f>(Table1[[#This Row],[Selling_Price_per_Unit]]-Table1[[#This Row],[Manufacturing_Cost_per_Unit]])*Table1[[#This Row],[Units_Sold]]-Table1[[#This Row],[Marketing_Spend]]-Table1[[#This Row],[Discount_%]]</f>
        <v>911888.7</v>
      </c>
      <c r="U734" s="3">
        <f>Table1[[#This Row],[profit]]/(Table1[[#This Row],[Units_Sold]]*Table1[[#This Row],[Selling_Price_per_Unit]])*100</f>
        <v>1.5899899243013136</v>
      </c>
      <c r="V734" s="6">
        <f>Table1[[#This Row],[Units_Sold]]*Table1[[#This Row],[Selling_Price_per_Unit]]</f>
        <v>57351854</v>
      </c>
      <c r="W734" s="7">
        <f>(Table1[[#This Row],[Units_Sold]]/$Z$1)</f>
        <v>0.83944817843949526</v>
      </c>
      <c r="X734" s="8">
        <f>((Table1[[#This Row],[Units_Sold]]*(Table1[[#This Row],[Selling_Price_per_Unit]]-Table1[[#This Row],[Manufacturing_Cost_per_Unit]]))-Table1[[#This Row],[Marketing_Spend]])/Table1[[#This Row],[Marketing_Spend]]</f>
        <v>6.1228127895577904</v>
      </c>
    </row>
    <row r="735" spans="1:24" x14ac:dyDescent="0.3">
      <c r="A735" s="1" t="s">
        <v>752</v>
      </c>
      <c r="B735" s="1" t="s">
        <v>1522</v>
      </c>
      <c r="C735" s="1" t="s">
        <v>1633</v>
      </c>
      <c r="D735" s="1" t="s">
        <v>1637</v>
      </c>
      <c r="E735" s="1">
        <v>2024</v>
      </c>
      <c r="F735" s="1" t="s">
        <v>1642</v>
      </c>
      <c r="G735" s="1">
        <v>3694</v>
      </c>
      <c r="H735" s="1">
        <v>4375</v>
      </c>
      <c r="I735" s="1">
        <v>6233</v>
      </c>
      <c r="J735" s="1">
        <v>192980</v>
      </c>
      <c r="K735" s="1">
        <v>13.11</v>
      </c>
      <c r="L735" s="1">
        <v>18</v>
      </c>
      <c r="M735" s="1">
        <v>0.08</v>
      </c>
      <c r="N735" s="1">
        <v>12.27</v>
      </c>
      <c r="O735" s="1">
        <v>44.53</v>
      </c>
      <c r="P735" s="1">
        <v>2.1</v>
      </c>
      <c r="Q735" s="1">
        <v>15752</v>
      </c>
      <c r="R735" s="1">
        <v>3355</v>
      </c>
      <c r="S735" s="1">
        <v>8</v>
      </c>
      <c r="T735" s="1">
        <f>(Table1[[#This Row],[Selling_Price_per_Unit]]-Table1[[#This Row],[Manufacturing_Cost_per_Unit]])*Table1[[#This Row],[Units_Sold]]-Table1[[#This Row],[Marketing_Spend]]-Table1[[#This Row],[Discount_%]]</f>
        <v>-7056444.2699999996</v>
      </c>
      <c r="U735" s="3">
        <f>Table1[[#This Row],[profit]]/(Table1[[#This Row],[Units_Sold]]*Table1[[#This Row],[Selling_Price_per_Unit]])*100</f>
        <v>-43.662738154536314</v>
      </c>
      <c r="V735" s="6">
        <f>Table1[[#This Row],[Units_Sold]]*Table1[[#This Row],[Selling_Price_per_Unit]]</f>
        <v>16161250</v>
      </c>
      <c r="W735" s="7">
        <f>(Table1[[#This Row],[Units_Sold]]/$Z$1)</f>
        <v>0.73954723852981052</v>
      </c>
      <c r="X735" s="8">
        <f>((Table1[[#This Row],[Units_Sold]]*(Table1[[#This Row],[Selling_Price_per_Unit]]-Table1[[#This Row],[Manufacturing_Cost_per_Unit]]))-Table1[[#This Row],[Marketing_Spend]])/Table1[[#This Row],[Marketing_Spend]]</f>
        <v>-36.565613016892939</v>
      </c>
    </row>
    <row r="736" spans="1:24" hidden="1" x14ac:dyDescent="0.3">
      <c r="A736" s="1" t="s">
        <v>775</v>
      </c>
      <c r="B736" s="1" t="s">
        <v>1532</v>
      </c>
      <c r="C736" s="1" t="s">
        <v>1632</v>
      </c>
      <c r="D736" s="1" t="s">
        <v>1637</v>
      </c>
      <c r="E736" s="1">
        <v>2024</v>
      </c>
      <c r="F736" s="1" t="s">
        <v>1639</v>
      </c>
      <c r="G736" s="1">
        <v>3136</v>
      </c>
      <c r="H736" s="1">
        <v>9734</v>
      </c>
      <c r="I736" s="1">
        <v>2758</v>
      </c>
      <c r="J736" s="1">
        <v>438455</v>
      </c>
      <c r="K736" s="1">
        <v>7.31</v>
      </c>
      <c r="L736" s="1">
        <v>8</v>
      </c>
      <c r="M736" s="1">
        <v>5.09</v>
      </c>
      <c r="N736" s="1">
        <v>1.56</v>
      </c>
      <c r="O736" s="1">
        <v>33.26</v>
      </c>
      <c r="P736" s="1">
        <v>4</v>
      </c>
      <c r="Q736" s="1">
        <v>6099</v>
      </c>
      <c r="R736" s="1">
        <v>5151</v>
      </c>
      <c r="S736" s="1">
        <v>9</v>
      </c>
      <c r="T736" s="1">
        <f>(Table1[[#This Row],[Selling_Price_per_Unit]]-Table1[[#This Row],[Manufacturing_Cost_per_Unit]])*Table1[[#This Row],[Units_Sold]]-Table1[[#This Row],[Marketing_Spend]]-Table1[[#This Row],[Discount_%]]</f>
        <v>21438279.440000001</v>
      </c>
      <c r="U736" s="3">
        <f>Table1[[#This Row],[profit]]/(Table1[[#This Row],[Units_Sold]]*Table1[[#This Row],[Selling_Price_per_Unit]])*100</f>
        <v>70.22997787054004</v>
      </c>
      <c r="V736" s="6">
        <f>Table1[[#This Row],[Units_Sold]]*Table1[[#This Row],[Selling_Price_per_Unit]]</f>
        <v>30525824</v>
      </c>
      <c r="W736" s="7">
        <f>(Table1[[#This Row],[Units_Sold]]/$Z$1)</f>
        <v>0.62783436384122515</v>
      </c>
      <c r="X736" s="8">
        <f>((Table1[[#This Row],[Units_Sold]]*(Table1[[#This Row],[Selling_Price_per_Unit]]-Table1[[#This Row],[Manufacturing_Cost_per_Unit]]))-Table1[[#This Row],[Marketing_Spend]])/Table1[[#This Row],[Marketing_Spend]]</f>
        <v>48.895054224492824</v>
      </c>
    </row>
    <row r="737" spans="1:24" hidden="1" x14ac:dyDescent="0.3">
      <c r="A737" s="1" t="s">
        <v>258</v>
      </c>
      <c r="B737" s="1" t="s">
        <v>1230</v>
      </c>
      <c r="C737" s="1" t="s">
        <v>1634</v>
      </c>
      <c r="D737" s="1" t="s">
        <v>1637</v>
      </c>
      <c r="E737" s="1">
        <v>2024</v>
      </c>
      <c r="F737" s="1" t="s">
        <v>1642</v>
      </c>
      <c r="G737" s="1">
        <v>2250</v>
      </c>
      <c r="H737" s="1">
        <v>14484</v>
      </c>
      <c r="I737" s="1">
        <v>4882</v>
      </c>
      <c r="J737" s="1">
        <v>237954</v>
      </c>
      <c r="K737" s="1">
        <v>12.58</v>
      </c>
      <c r="L737" s="1">
        <v>0</v>
      </c>
      <c r="M737" s="1">
        <v>4.3099999999999996</v>
      </c>
      <c r="N737" s="1">
        <v>15.88</v>
      </c>
      <c r="O737" s="1">
        <v>70.58</v>
      </c>
      <c r="P737" s="1">
        <v>4.5999999999999996</v>
      </c>
      <c r="Q737" s="1">
        <v>6419</v>
      </c>
      <c r="R737" s="1">
        <v>9845</v>
      </c>
      <c r="S737" s="1">
        <v>4</v>
      </c>
      <c r="T737" s="1">
        <f>(Table1[[#This Row],[Selling_Price_per_Unit]]-Table1[[#This Row],[Manufacturing_Cost_per_Unit]])*Table1[[#This Row],[Units_Sold]]-Table1[[#This Row],[Marketing_Spend]]-Table1[[#This Row],[Discount_%]]</f>
        <v>21366530.120000001</v>
      </c>
      <c r="U737" s="3">
        <f>Table1[[#This Row],[profit]]/(Table1[[#This Row],[Units_Sold]]*Table1[[#This Row],[Selling_Price_per_Unit]])*100</f>
        <v>65.56362613151677</v>
      </c>
      <c r="V737" s="6">
        <f>Table1[[#This Row],[Units_Sold]]*Table1[[#This Row],[Selling_Price_per_Unit]]</f>
        <v>32589000</v>
      </c>
      <c r="W737" s="7">
        <f>(Table1[[#This Row],[Units_Sold]]/$Z$1)</f>
        <v>0.45045513987332797</v>
      </c>
      <c r="X737" s="8">
        <f>((Table1[[#This Row],[Units_Sold]]*(Table1[[#This Row],[Selling_Price_per_Unit]]-Table1[[#This Row],[Manufacturing_Cost_per_Unit]]))-Table1[[#This Row],[Marketing_Spend]])/Table1[[#This Row],[Marketing_Spend]]</f>
        <v>89.79275826420232</v>
      </c>
    </row>
    <row r="738" spans="1:24" hidden="1" x14ac:dyDescent="0.3">
      <c r="A738" s="1" t="s">
        <v>714</v>
      </c>
      <c r="B738" s="1" t="s">
        <v>1252</v>
      </c>
      <c r="C738" s="1" t="s">
        <v>1632</v>
      </c>
      <c r="D738" s="1" t="s">
        <v>1638</v>
      </c>
      <c r="E738" s="1">
        <v>2024</v>
      </c>
      <c r="F738" s="1" t="s">
        <v>1642</v>
      </c>
      <c r="G738" s="1">
        <v>2643</v>
      </c>
      <c r="H738" s="1">
        <v>15787</v>
      </c>
      <c r="I738" s="1">
        <v>7588</v>
      </c>
      <c r="J738" s="1">
        <v>449371</v>
      </c>
      <c r="K738" s="1">
        <v>4.92</v>
      </c>
      <c r="L738" s="1">
        <v>18</v>
      </c>
      <c r="M738" s="1">
        <v>6.6</v>
      </c>
      <c r="N738" s="1">
        <v>11.07</v>
      </c>
      <c r="O738" s="1">
        <v>69.11</v>
      </c>
      <c r="P738" s="1">
        <v>1.3</v>
      </c>
      <c r="Q738" s="1">
        <v>20671</v>
      </c>
      <c r="R738" s="1">
        <v>5410</v>
      </c>
      <c r="S738" s="1">
        <v>14</v>
      </c>
      <c r="T738" s="1">
        <f>(Table1[[#This Row],[Selling_Price_per_Unit]]-Table1[[#This Row],[Manufacturing_Cost_per_Unit]])*Table1[[#This Row],[Units_Sold]]-Table1[[#This Row],[Marketing_Spend]]-Table1[[#This Row],[Discount_%]]</f>
        <v>21220574.93</v>
      </c>
      <c r="U738" s="3">
        <f>Table1[[#This Row],[profit]]/(Table1[[#This Row],[Units_Sold]]*Table1[[#This Row],[Selling_Price_per_Unit]])*100</f>
        <v>50.858128407830684</v>
      </c>
      <c r="V738" s="6">
        <f>Table1[[#This Row],[Units_Sold]]*Table1[[#This Row],[Selling_Price_per_Unit]]</f>
        <v>41725041</v>
      </c>
      <c r="W738" s="7">
        <f>(Table1[[#This Row],[Units_Sold]]/$Z$1)</f>
        <v>0.52913463763786928</v>
      </c>
      <c r="X738" s="8">
        <f>((Table1[[#This Row],[Units_Sold]]*(Table1[[#This Row],[Selling_Price_per_Unit]]-Table1[[#This Row],[Manufacturing_Cost_per_Unit]]))-Table1[[#This Row],[Marketing_Spend]])/Table1[[#This Row],[Marketing_Spend]]</f>
        <v>47.222864848866529</v>
      </c>
    </row>
    <row r="739" spans="1:24" hidden="1" x14ac:dyDescent="0.3">
      <c r="A739" s="1" t="s">
        <v>756</v>
      </c>
      <c r="B739" s="1" t="s">
        <v>1361</v>
      </c>
      <c r="C739" s="1" t="s">
        <v>1632</v>
      </c>
      <c r="D739" s="1" t="s">
        <v>1636</v>
      </c>
      <c r="E739" s="1">
        <v>2024</v>
      </c>
      <c r="F739" s="1" t="s">
        <v>1639</v>
      </c>
      <c r="G739" s="1">
        <v>1326</v>
      </c>
      <c r="H739" s="1">
        <v>10427</v>
      </c>
      <c r="I739" s="1">
        <v>12239</v>
      </c>
      <c r="J739" s="1">
        <v>307354</v>
      </c>
      <c r="K739" s="1">
        <v>13.06</v>
      </c>
      <c r="L739" s="1">
        <v>9</v>
      </c>
      <c r="M739" s="1">
        <v>3.95</v>
      </c>
      <c r="N739" s="1">
        <v>9.4700000000000006</v>
      </c>
      <c r="O739" s="1">
        <v>78.86</v>
      </c>
      <c r="P739" s="1">
        <v>2.2999999999999998</v>
      </c>
      <c r="Q739" s="1">
        <v>18912</v>
      </c>
      <c r="R739" s="1">
        <v>7295</v>
      </c>
      <c r="S739" s="1">
        <v>13</v>
      </c>
      <c r="T739" s="1">
        <f>(Table1[[#This Row],[Selling_Price_per_Unit]]-Table1[[#This Row],[Manufacturing_Cost_per_Unit]])*Table1[[#This Row],[Units_Sold]]-Table1[[#This Row],[Marketing_Spend]]-Table1[[#This Row],[Discount_%]]</f>
        <v>-2710075.47</v>
      </c>
      <c r="U739" s="3">
        <f>Table1[[#This Row],[profit]]/(Table1[[#This Row],[Units_Sold]]*Table1[[#This Row],[Selling_Price_per_Unit]])*100</f>
        <v>-19.601011687808413</v>
      </c>
      <c r="V739" s="6">
        <f>Table1[[#This Row],[Units_Sold]]*Table1[[#This Row],[Selling_Price_per_Unit]]</f>
        <v>13826202</v>
      </c>
      <c r="W739" s="7">
        <f>(Table1[[#This Row],[Units_Sold]]/$Z$1)</f>
        <v>0.26546822909868129</v>
      </c>
      <c r="X739" s="8">
        <f>((Table1[[#This Row],[Units_Sold]]*(Table1[[#This Row],[Selling_Price_per_Unit]]-Table1[[#This Row],[Manufacturing_Cost_per_Unit]]))-Table1[[#This Row],[Marketing_Spend]])/Table1[[#This Row],[Marketing_Spend]]</f>
        <v>-8.8174092414609859</v>
      </c>
    </row>
    <row r="740" spans="1:24" hidden="1" x14ac:dyDescent="0.3">
      <c r="A740" s="1" t="s">
        <v>757</v>
      </c>
      <c r="B740" s="1" t="s">
        <v>1281</v>
      </c>
      <c r="C740" s="1" t="s">
        <v>1632</v>
      </c>
      <c r="D740" s="1" t="s">
        <v>1636</v>
      </c>
      <c r="E740" s="1">
        <v>2023</v>
      </c>
      <c r="F740" s="1" t="s">
        <v>1640</v>
      </c>
      <c r="G740" s="1">
        <v>2816</v>
      </c>
      <c r="H740" s="1">
        <v>15937</v>
      </c>
      <c r="I740" s="1">
        <v>9887</v>
      </c>
      <c r="J740" s="1">
        <v>111215</v>
      </c>
      <c r="K740" s="1">
        <v>11.89</v>
      </c>
      <c r="L740" s="1">
        <v>6</v>
      </c>
      <c r="M740" s="1">
        <v>6.87</v>
      </c>
      <c r="N740" s="1">
        <v>23.86</v>
      </c>
      <c r="O740" s="1">
        <v>10.44</v>
      </c>
      <c r="P740" s="1">
        <v>3.9</v>
      </c>
      <c r="Q740" s="1">
        <v>2742</v>
      </c>
      <c r="R740" s="1">
        <v>7850</v>
      </c>
      <c r="S740" s="1">
        <v>7</v>
      </c>
      <c r="T740" s="1">
        <f>(Table1[[#This Row],[Selling_Price_per_Unit]]-Table1[[#This Row],[Manufacturing_Cost_per_Unit]])*Table1[[#This Row],[Units_Sold]]-Table1[[#This Row],[Marketing_Spend]]-Table1[[#This Row],[Discount_%]]</f>
        <v>16925561.140000001</v>
      </c>
      <c r="U740" s="3">
        <f>Table1[[#This Row],[profit]]/(Table1[[#This Row],[Units_Sold]]*Table1[[#This Row],[Selling_Price_per_Unit]])*100</f>
        <v>37.71410907900141</v>
      </c>
      <c r="V740" s="6">
        <f>Table1[[#This Row],[Units_Sold]]*Table1[[#This Row],[Selling_Price_per_Unit]]</f>
        <v>44878592</v>
      </c>
      <c r="W740" s="7">
        <f>(Table1[[#This Row],[Units_Sold]]/$Z$1)</f>
        <v>0.56376963283701853</v>
      </c>
      <c r="X740" s="8">
        <f>((Table1[[#This Row],[Units_Sold]]*(Table1[[#This Row],[Selling_Price_per_Unit]]-Table1[[#This Row],[Manufacturing_Cost_per_Unit]]))-Table1[[#This Row],[Marketing_Spend]])/Table1[[#This Row],[Marketing_Spend]]</f>
        <v>152.18796924875241</v>
      </c>
    </row>
    <row r="741" spans="1:24" hidden="1" x14ac:dyDescent="0.3">
      <c r="A741" s="1" t="s">
        <v>758</v>
      </c>
      <c r="B741" s="1" t="s">
        <v>1223</v>
      </c>
      <c r="C741" s="1" t="s">
        <v>1633</v>
      </c>
      <c r="D741" s="1" t="s">
        <v>1637</v>
      </c>
      <c r="E741" s="1">
        <v>2024</v>
      </c>
      <c r="F741" s="1" t="s">
        <v>1640</v>
      </c>
      <c r="G741" s="1">
        <v>352</v>
      </c>
      <c r="H741" s="1">
        <v>13030</v>
      </c>
      <c r="I741" s="1">
        <v>7216</v>
      </c>
      <c r="J741" s="1">
        <v>236907</v>
      </c>
      <c r="K741" s="1">
        <v>9.41</v>
      </c>
      <c r="L741" s="1">
        <v>17</v>
      </c>
      <c r="M741" s="1">
        <v>8.15</v>
      </c>
      <c r="N741" s="1">
        <v>21.85</v>
      </c>
      <c r="O741" s="1">
        <v>12.81</v>
      </c>
      <c r="P741" s="1">
        <v>3.7</v>
      </c>
      <c r="Q741" s="1">
        <v>10284</v>
      </c>
      <c r="R741" s="1">
        <v>6179</v>
      </c>
      <c r="S741" s="1">
        <v>4</v>
      </c>
      <c r="T741" s="1">
        <f>(Table1[[#This Row],[Selling_Price_per_Unit]]-Table1[[#This Row],[Manufacturing_Cost_per_Unit]])*Table1[[#This Row],[Units_Sold]]-Table1[[#This Row],[Marketing_Spend]]-Table1[[#This Row],[Discount_%]]</f>
        <v>1809599.15</v>
      </c>
      <c r="U741" s="3">
        <f>Table1[[#This Row],[profit]]/(Table1[[#This Row],[Units_Sold]]*Table1[[#This Row],[Selling_Price_per_Unit]])*100</f>
        <v>39.454387384008925</v>
      </c>
      <c r="V741" s="6">
        <f>Table1[[#This Row],[Units_Sold]]*Table1[[#This Row],[Selling_Price_per_Unit]]</f>
        <v>4586560</v>
      </c>
      <c r="W741" s="7">
        <f>(Table1[[#This Row],[Units_Sold]]/$Z$1)</f>
        <v>7.0471204104627316E-2</v>
      </c>
      <c r="X741" s="8">
        <f>((Table1[[#This Row],[Units_Sold]]*(Table1[[#This Row],[Selling_Price_per_Unit]]-Table1[[#This Row],[Manufacturing_Cost_per_Unit]]))-Table1[[#This Row],[Marketing_Spend]])/Table1[[#This Row],[Marketing_Spend]]</f>
        <v>7.6385290430422064</v>
      </c>
    </row>
    <row r="742" spans="1:24" hidden="1" x14ac:dyDescent="0.3">
      <c r="A742" s="1" t="s">
        <v>759</v>
      </c>
      <c r="B742" s="1" t="s">
        <v>1524</v>
      </c>
      <c r="C742" s="1" t="s">
        <v>1634</v>
      </c>
      <c r="D742" s="1" t="s">
        <v>1638</v>
      </c>
      <c r="E742" s="1">
        <v>2023</v>
      </c>
      <c r="F742" s="1" t="s">
        <v>1640</v>
      </c>
      <c r="G742" s="1">
        <v>688</v>
      </c>
      <c r="H742" s="1">
        <v>8510</v>
      </c>
      <c r="I742" s="1">
        <v>7780</v>
      </c>
      <c r="J742" s="1">
        <v>361573</v>
      </c>
      <c r="K742" s="1">
        <v>11.25</v>
      </c>
      <c r="L742" s="1">
        <v>15</v>
      </c>
      <c r="M742" s="1">
        <v>4.17</v>
      </c>
      <c r="N742" s="1">
        <v>17.7</v>
      </c>
      <c r="O742" s="1">
        <v>82.95</v>
      </c>
      <c r="P742" s="1">
        <v>1.3</v>
      </c>
      <c r="Q742" s="1">
        <v>11297</v>
      </c>
      <c r="R742" s="1">
        <v>9499</v>
      </c>
      <c r="S742" s="1">
        <v>3</v>
      </c>
      <c r="T742" s="1">
        <f>(Table1[[#This Row],[Selling_Price_per_Unit]]-Table1[[#This Row],[Manufacturing_Cost_per_Unit]])*Table1[[#This Row],[Units_Sold]]-Table1[[#This Row],[Marketing_Spend]]-Table1[[#This Row],[Discount_%]]</f>
        <v>140649.29999999999</v>
      </c>
      <c r="U742" s="3">
        <f>Table1[[#This Row],[profit]]/(Table1[[#This Row],[Units_Sold]]*Table1[[#This Row],[Selling_Price_per_Unit]])*100</f>
        <v>2.4022576039133168</v>
      </c>
      <c r="V742" s="6">
        <f>Table1[[#This Row],[Units_Sold]]*Table1[[#This Row],[Selling_Price_per_Unit]]</f>
        <v>5854880</v>
      </c>
      <c r="W742" s="7">
        <f>(Table1[[#This Row],[Units_Sold]]/$Z$1)</f>
        <v>0.13773917165904428</v>
      </c>
      <c r="X742" s="8">
        <f>((Table1[[#This Row],[Units_Sold]]*(Table1[[#This Row],[Selling_Price_per_Unit]]-Table1[[#This Row],[Manufacturing_Cost_per_Unit]]))-Table1[[#This Row],[Marketing_Spend]])/Table1[[#This Row],[Marketing_Spend]]</f>
        <v>0.38904177026492576</v>
      </c>
    </row>
    <row r="743" spans="1:24" hidden="1" x14ac:dyDescent="0.3">
      <c r="A743" s="1" t="s">
        <v>760</v>
      </c>
      <c r="B743" s="1" t="s">
        <v>1434</v>
      </c>
      <c r="C743" s="1" t="s">
        <v>1633</v>
      </c>
      <c r="D743" s="1" t="s">
        <v>1637</v>
      </c>
      <c r="E743" s="1">
        <v>2024</v>
      </c>
      <c r="F743" s="1" t="s">
        <v>1641</v>
      </c>
      <c r="G743" s="1">
        <v>105</v>
      </c>
      <c r="H743" s="1">
        <v>12707</v>
      </c>
      <c r="I743" s="1">
        <v>7563</v>
      </c>
      <c r="J743" s="1">
        <v>394296</v>
      </c>
      <c r="K743" s="1">
        <v>2.2799999999999998</v>
      </c>
      <c r="L743" s="1">
        <v>19</v>
      </c>
      <c r="M743" s="1">
        <v>3.1</v>
      </c>
      <c r="N743" s="1">
        <v>17.84</v>
      </c>
      <c r="O743" s="1">
        <v>72.03</v>
      </c>
      <c r="P743" s="1">
        <v>4</v>
      </c>
      <c r="Q743" s="1">
        <v>7906</v>
      </c>
      <c r="R743" s="1">
        <v>9740</v>
      </c>
      <c r="S743" s="1">
        <v>5</v>
      </c>
      <c r="T743" s="1">
        <f>(Table1[[#This Row],[Selling_Price_per_Unit]]-Table1[[#This Row],[Manufacturing_Cost_per_Unit]])*Table1[[#This Row],[Units_Sold]]-Table1[[#This Row],[Marketing_Spend]]-Table1[[#This Row],[Discount_%]]</f>
        <v>145806.16</v>
      </c>
      <c r="U743" s="3">
        <f>Table1[[#This Row],[profit]]/(Table1[[#This Row],[Units_Sold]]*Table1[[#This Row],[Selling_Price_per_Unit]])*100</f>
        <v>10.928071891383452</v>
      </c>
      <c r="V743" s="6">
        <f>Table1[[#This Row],[Units_Sold]]*Table1[[#This Row],[Selling_Price_per_Unit]]</f>
        <v>1334235</v>
      </c>
      <c r="W743" s="7">
        <f>(Table1[[#This Row],[Units_Sold]]/$Z$1)</f>
        <v>2.1021239860755304E-2</v>
      </c>
      <c r="X743" s="8">
        <f>((Table1[[#This Row],[Units_Sold]]*(Table1[[#This Row],[Selling_Price_per_Unit]]-Table1[[#This Row],[Manufacturing_Cost_per_Unit]]))-Table1[[#This Row],[Marketing_Spend]])/Table1[[#This Row],[Marketing_Spend]]</f>
        <v>0.36983383042181506</v>
      </c>
    </row>
    <row r="744" spans="1:24" x14ac:dyDescent="0.3">
      <c r="A744" s="1" t="s">
        <v>761</v>
      </c>
      <c r="B744" s="1" t="s">
        <v>1525</v>
      </c>
      <c r="C744" s="1" t="s">
        <v>1632</v>
      </c>
      <c r="D744" s="1" t="s">
        <v>1636</v>
      </c>
      <c r="E744" s="1">
        <v>2023</v>
      </c>
      <c r="F744" s="1" t="s">
        <v>1641</v>
      </c>
      <c r="G744" s="1">
        <v>4871</v>
      </c>
      <c r="H744" s="1">
        <v>4489</v>
      </c>
      <c r="I744" s="1">
        <v>2474</v>
      </c>
      <c r="J744" s="1">
        <v>158048</v>
      </c>
      <c r="K744" s="1">
        <v>6.87</v>
      </c>
      <c r="L744" s="1">
        <v>5</v>
      </c>
      <c r="M744" s="1">
        <v>9.3800000000000008</v>
      </c>
      <c r="N744" s="1">
        <v>6.31</v>
      </c>
      <c r="O744" s="1">
        <v>46.06</v>
      </c>
      <c r="P744" s="1">
        <v>1.2</v>
      </c>
      <c r="Q744" s="1">
        <v>15465</v>
      </c>
      <c r="R744" s="1">
        <v>8135</v>
      </c>
      <c r="S744" s="1">
        <v>6</v>
      </c>
      <c r="T744" s="1">
        <f>(Table1[[#This Row],[Selling_Price_per_Unit]]-Table1[[#This Row],[Manufacturing_Cost_per_Unit]])*Table1[[#This Row],[Units_Sold]]-Table1[[#This Row],[Marketing_Spend]]-Table1[[#This Row],[Discount_%]]</f>
        <v>9657010.6899999995</v>
      </c>
      <c r="U744" s="3">
        <f>Table1[[#This Row],[profit]]/(Table1[[#This Row],[Units_Sold]]*Table1[[#This Row],[Selling_Price_per_Unit]])*100</f>
        <v>44.164668724877281</v>
      </c>
      <c r="V744" s="6">
        <f>Table1[[#This Row],[Units_Sold]]*Table1[[#This Row],[Selling_Price_per_Unit]]</f>
        <v>21865919</v>
      </c>
      <c r="W744" s="7">
        <f>(Table1[[#This Row],[Units_Sold]]/$Z$1)</f>
        <v>0.97518532725465801</v>
      </c>
      <c r="X744" s="8">
        <f>((Table1[[#This Row],[Units_Sold]]*(Table1[[#This Row],[Selling_Price_per_Unit]]-Table1[[#This Row],[Manufacturing_Cost_per_Unit]]))-Table1[[#This Row],[Marketing_Spend]])/Table1[[#This Row],[Marketing_Spend]]</f>
        <v>61.101798187892285</v>
      </c>
    </row>
    <row r="745" spans="1:24" hidden="1" x14ac:dyDescent="0.3">
      <c r="A745" s="1" t="s">
        <v>762</v>
      </c>
      <c r="B745" s="1" t="s">
        <v>1526</v>
      </c>
      <c r="C745" s="1" t="s">
        <v>1634</v>
      </c>
      <c r="D745" s="1" t="s">
        <v>1635</v>
      </c>
      <c r="E745" s="1">
        <v>2024</v>
      </c>
      <c r="F745" s="1" t="s">
        <v>1642</v>
      </c>
      <c r="G745" s="1">
        <v>575</v>
      </c>
      <c r="H745" s="1">
        <v>13540</v>
      </c>
      <c r="I745" s="1">
        <v>11901</v>
      </c>
      <c r="J745" s="1">
        <v>219530</v>
      </c>
      <c r="K745" s="1">
        <v>5.27</v>
      </c>
      <c r="L745" s="1">
        <v>8</v>
      </c>
      <c r="M745" s="1">
        <v>6.77</v>
      </c>
      <c r="N745" s="1">
        <v>16.420000000000002</v>
      </c>
      <c r="O745" s="1">
        <v>70.290000000000006</v>
      </c>
      <c r="P745" s="1">
        <v>3.2</v>
      </c>
      <c r="Q745" s="1">
        <v>15233</v>
      </c>
      <c r="R745" s="1">
        <v>1607</v>
      </c>
      <c r="S745" s="1">
        <v>12</v>
      </c>
      <c r="T745" s="1">
        <f>(Table1[[#This Row],[Selling_Price_per_Unit]]-Table1[[#This Row],[Manufacturing_Cost_per_Unit]])*Table1[[#This Row],[Units_Sold]]-Table1[[#This Row],[Marketing_Spend]]-Table1[[#This Row],[Discount_%]]</f>
        <v>722878.58</v>
      </c>
      <c r="U745" s="3">
        <f>Table1[[#This Row],[profit]]/(Table1[[#This Row],[Units_Sold]]*Table1[[#This Row],[Selling_Price_per_Unit]])*100</f>
        <v>9.2849345578318676</v>
      </c>
      <c r="V745" s="6">
        <f>Table1[[#This Row],[Units_Sold]]*Table1[[#This Row],[Selling_Price_per_Unit]]</f>
        <v>7785500</v>
      </c>
      <c r="W745" s="7">
        <f>(Table1[[#This Row],[Units_Sold]]/$Z$1)</f>
        <v>0.11511631352318381</v>
      </c>
      <c r="X745" s="8">
        <f>((Table1[[#This Row],[Units_Sold]]*(Table1[[#This Row],[Selling_Price_per_Unit]]-Table1[[#This Row],[Manufacturing_Cost_per_Unit]]))-Table1[[#This Row],[Marketing_Spend]])/Table1[[#This Row],[Marketing_Spend]]</f>
        <v>3.2929212408326882</v>
      </c>
    </row>
    <row r="746" spans="1:24" x14ac:dyDescent="0.3">
      <c r="A746" s="1" t="s">
        <v>763</v>
      </c>
      <c r="B746" s="1" t="s">
        <v>1186</v>
      </c>
      <c r="C746" s="1" t="s">
        <v>1632</v>
      </c>
      <c r="D746" s="1" t="s">
        <v>1637</v>
      </c>
      <c r="E746" s="1">
        <v>2024</v>
      </c>
      <c r="F746" s="1" t="s">
        <v>1639</v>
      </c>
      <c r="G746" s="1">
        <v>4619</v>
      </c>
      <c r="H746" s="1">
        <v>10718</v>
      </c>
      <c r="I746" s="1">
        <v>8750</v>
      </c>
      <c r="J746" s="1">
        <v>227241</v>
      </c>
      <c r="K746" s="1">
        <v>1.41</v>
      </c>
      <c r="L746" s="1">
        <v>12</v>
      </c>
      <c r="M746" s="1">
        <v>1.19</v>
      </c>
      <c r="N746" s="1">
        <v>4.96</v>
      </c>
      <c r="O746" s="1">
        <v>86.45</v>
      </c>
      <c r="P746" s="1">
        <v>2</v>
      </c>
      <c r="Q746" s="1">
        <v>19324</v>
      </c>
      <c r="R746" s="1">
        <v>1103</v>
      </c>
      <c r="S746" s="1">
        <v>11</v>
      </c>
      <c r="T746" s="1">
        <f>(Table1[[#This Row],[Selling_Price_per_Unit]]-Table1[[#This Row],[Manufacturing_Cost_per_Unit]])*Table1[[#This Row],[Units_Sold]]-Table1[[#This Row],[Marketing_Spend]]-Table1[[#This Row],[Discount_%]]</f>
        <v>8862946.0399999991</v>
      </c>
      <c r="U746" s="3">
        <f>Table1[[#This Row],[profit]]/(Table1[[#This Row],[Units_Sold]]*Table1[[#This Row],[Selling_Price_per_Unit]])*100</f>
        <v>17.902611623755956</v>
      </c>
      <c r="V746" s="6">
        <f>Table1[[#This Row],[Units_Sold]]*Table1[[#This Row],[Selling_Price_per_Unit]]</f>
        <v>49506442</v>
      </c>
      <c r="W746" s="7">
        <f>(Table1[[#This Row],[Units_Sold]]/$Z$1)</f>
        <v>0.92473435158884532</v>
      </c>
      <c r="X746" s="8">
        <f>((Table1[[#This Row],[Units_Sold]]*(Table1[[#This Row],[Selling_Price_per_Unit]]-Table1[[#This Row],[Manufacturing_Cost_per_Unit]]))-Table1[[#This Row],[Marketing_Spend]])/Table1[[#This Row],[Marketing_Spend]]</f>
        <v>39.002429139107818</v>
      </c>
    </row>
    <row r="747" spans="1:24" x14ac:dyDescent="0.3">
      <c r="A747" s="1" t="s">
        <v>764</v>
      </c>
      <c r="B747" s="1" t="s">
        <v>1527</v>
      </c>
      <c r="C747" s="1" t="s">
        <v>1634</v>
      </c>
      <c r="D747" s="1" t="s">
        <v>1635</v>
      </c>
      <c r="E747" s="1">
        <v>2023</v>
      </c>
      <c r="F747" s="1" t="s">
        <v>1641</v>
      </c>
      <c r="G747" s="1">
        <v>4173</v>
      </c>
      <c r="H747" s="1">
        <v>7971</v>
      </c>
      <c r="I747" s="1">
        <v>9922</v>
      </c>
      <c r="J747" s="1">
        <v>188731</v>
      </c>
      <c r="K747" s="1">
        <v>7.29</v>
      </c>
      <c r="L747" s="1">
        <v>7</v>
      </c>
      <c r="M747" s="1">
        <v>0.69</v>
      </c>
      <c r="N747" s="1">
        <v>3.6</v>
      </c>
      <c r="O747" s="1">
        <v>71.77</v>
      </c>
      <c r="P747" s="1">
        <v>3.4</v>
      </c>
      <c r="Q747" s="1">
        <v>5126</v>
      </c>
      <c r="R747" s="1">
        <v>6503</v>
      </c>
      <c r="S747" s="1">
        <v>10</v>
      </c>
      <c r="T747" s="1">
        <f>(Table1[[#This Row],[Selling_Price_per_Unit]]-Table1[[#This Row],[Manufacturing_Cost_per_Unit]])*Table1[[#This Row],[Units_Sold]]-Table1[[#This Row],[Marketing_Spend]]-Table1[[#This Row],[Discount_%]]</f>
        <v>-8330257.5999999996</v>
      </c>
      <c r="U747" s="3">
        <f>Table1[[#This Row],[profit]]/(Table1[[#This Row],[Units_Sold]]*Table1[[#This Row],[Selling_Price_per_Unit]])*100</f>
        <v>-25.043627626542094</v>
      </c>
      <c r="V747" s="6">
        <f>Table1[[#This Row],[Units_Sold]]*Table1[[#This Row],[Selling_Price_per_Unit]]</f>
        <v>33262983</v>
      </c>
      <c r="W747" s="7">
        <f>(Table1[[#This Row],[Units_Sold]]/$Z$1)</f>
        <v>0.83544413275173235</v>
      </c>
      <c r="X747" s="8">
        <f>((Table1[[#This Row],[Units_Sold]]*(Table1[[#This Row],[Selling_Price_per_Unit]]-Table1[[#This Row],[Manufacturing_Cost_per_Unit]]))-Table1[[#This Row],[Marketing_Spend]])/Table1[[#This Row],[Marketing_Spend]]</f>
        <v>-44.138239081020075</v>
      </c>
    </row>
    <row r="748" spans="1:24" hidden="1" x14ac:dyDescent="0.3">
      <c r="A748" s="1" t="s">
        <v>765</v>
      </c>
      <c r="B748" s="1" t="s">
        <v>1129</v>
      </c>
      <c r="C748" s="1" t="s">
        <v>1632</v>
      </c>
      <c r="D748" s="1" t="s">
        <v>1636</v>
      </c>
      <c r="E748" s="1">
        <v>2023</v>
      </c>
      <c r="F748" s="1" t="s">
        <v>1641</v>
      </c>
      <c r="G748" s="1">
        <v>2175</v>
      </c>
      <c r="H748" s="1">
        <v>4363</v>
      </c>
      <c r="I748" s="1">
        <v>13376</v>
      </c>
      <c r="J748" s="1">
        <v>289977</v>
      </c>
      <c r="K748" s="1">
        <v>13.81</v>
      </c>
      <c r="L748" s="1">
        <v>15</v>
      </c>
      <c r="M748" s="1">
        <v>4.84</v>
      </c>
      <c r="N748" s="1">
        <v>24.99</v>
      </c>
      <c r="O748" s="1">
        <v>77.39</v>
      </c>
      <c r="P748" s="1">
        <v>2</v>
      </c>
      <c r="Q748" s="1">
        <v>11574</v>
      </c>
      <c r="R748" s="1">
        <v>1025</v>
      </c>
      <c r="S748" s="1">
        <v>4</v>
      </c>
      <c r="T748" s="1">
        <f>(Table1[[#This Row],[Selling_Price_per_Unit]]-Table1[[#This Row],[Manufacturing_Cost_per_Unit]])*Table1[[#This Row],[Units_Sold]]-Table1[[#This Row],[Marketing_Spend]]-Table1[[#This Row],[Discount_%]]</f>
        <v>-19893276.989999998</v>
      </c>
      <c r="U748" s="3">
        <f>Table1[[#This Row],[profit]]/(Table1[[#This Row],[Units_Sold]]*Table1[[#This Row],[Selling_Price_per_Unit]])*100</f>
        <v>-209.63406482410866</v>
      </c>
      <c r="V748" s="6">
        <f>Table1[[#This Row],[Units_Sold]]*Table1[[#This Row],[Selling_Price_per_Unit]]</f>
        <v>9489525</v>
      </c>
      <c r="W748" s="7">
        <f>(Table1[[#This Row],[Units_Sold]]/$Z$1)</f>
        <v>0.43543996854421707</v>
      </c>
      <c r="X748" s="8">
        <f>((Table1[[#This Row],[Units_Sold]]*(Table1[[#This Row],[Selling_Price_per_Unit]]-Table1[[#This Row],[Manufacturing_Cost_per_Unit]]))-Table1[[#This Row],[Marketing_Spend]])/Table1[[#This Row],[Marketing_Spend]]</f>
        <v>-68.602861606265321</v>
      </c>
    </row>
    <row r="749" spans="1:24" hidden="1" x14ac:dyDescent="0.3">
      <c r="A749" s="1" t="s">
        <v>766</v>
      </c>
      <c r="B749" s="1" t="s">
        <v>1033</v>
      </c>
      <c r="C749" s="1" t="s">
        <v>1632</v>
      </c>
      <c r="D749" s="1" t="s">
        <v>1635</v>
      </c>
      <c r="E749" s="1">
        <v>2024</v>
      </c>
      <c r="F749" s="1" t="s">
        <v>1641</v>
      </c>
      <c r="G749" s="1">
        <v>3337</v>
      </c>
      <c r="H749" s="1">
        <v>12193</v>
      </c>
      <c r="I749" s="1">
        <v>9715</v>
      </c>
      <c r="J749" s="1">
        <v>389384</v>
      </c>
      <c r="K749" s="1">
        <v>0.6</v>
      </c>
      <c r="L749" s="1">
        <v>12</v>
      </c>
      <c r="M749" s="1">
        <v>2.2000000000000002</v>
      </c>
      <c r="N749" s="1">
        <v>15.56</v>
      </c>
      <c r="O749" s="1">
        <v>70.849999999999994</v>
      </c>
      <c r="P749" s="1">
        <v>4.9000000000000004</v>
      </c>
      <c r="Q749" s="1">
        <v>18068</v>
      </c>
      <c r="R749" s="1">
        <v>8375</v>
      </c>
      <c r="S749" s="1">
        <v>4</v>
      </c>
      <c r="T749" s="1">
        <f>(Table1[[#This Row],[Selling_Price_per_Unit]]-Table1[[#This Row],[Manufacturing_Cost_per_Unit]])*Table1[[#This Row],[Units_Sold]]-Table1[[#This Row],[Marketing_Spend]]-Table1[[#This Row],[Discount_%]]</f>
        <v>7879686.4400000004</v>
      </c>
      <c r="U749" s="3">
        <f>Table1[[#This Row],[profit]]/(Table1[[#This Row],[Units_Sold]]*Table1[[#This Row],[Selling_Price_per_Unit]])*100</f>
        <v>19.366099341081576</v>
      </c>
      <c r="V749" s="6">
        <f>Table1[[#This Row],[Units_Sold]]*Table1[[#This Row],[Selling_Price_per_Unit]]</f>
        <v>40688041</v>
      </c>
      <c r="W749" s="7">
        <f>(Table1[[#This Row],[Units_Sold]]/$Z$1)</f>
        <v>0.6680750230032424</v>
      </c>
      <c r="X749" s="8">
        <f>((Table1[[#This Row],[Units_Sold]]*(Table1[[#This Row],[Selling_Price_per_Unit]]-Table1[[#This Row],[Manufacturing_Cost_per_Unit]]))-Table1[[#This Row],[Marketing_Spend]])/Table1[[#This Row],[Marketing_Spend]]</f>
        <v>20.236327121812916</v>
      </c>
    </row>
    <row r="750" spans="1:24" hidden="1" x14ac:dyDescent="0.3">
      <c r="A750" s="1" t="s">
        <v>767</v>
      </c>
      <c r="B750" s="1" t="s">
        <v>1169</v>
      </c>
      <c r="C750" s="1" t="s">
        <v>1634</v>
      </c>
      <c r="D750" s="1" t="s">
        <v>1638</v>
      </c>
      <c r="E750" s="1">
        <v>2024</v>
      </c>
      <c r="F750" s="1" t="s">
        <v>1640</v>
      </c>
      <c r="G750" s="1">
        <v>414</v>
      </c>
      <c r="H750" s="1">
        <v>2677</v>
      </c>
      <c r="I750" s="1">
        <v>11932</v>
      </c>
      <c r="J750" s="1">
        <v>476009</v>
      </c>
      <c r="K750" s="1">
        <v>4.37</v>
      </c>
      <c r="L750" s="1">
        <v>12</v>
      </c>
      <c r="M750" s="1">
        <v>2.54</v>
      </c>
      <c r="N750" s="1">
        <v>10.77</v>
      </c>
      <c r="O750" s="1">
        <v>23.46</v>
      </c>
      <c r="P750" s="1">
        <v>2.2000000000000002</v>
      </c>
      <c r="Q750" s="1">
        <v>9531</v>
      </c>
      <c r="R750" s="1">
        <v>6683</v>
      </c>
      <c r="S750" s="1">
        <v>7</v>
      </c>
      <c r="T750" s="1">
        <f>(Table1[[#This Row],[Selling_Price_per_Unit]]-Table1[[#This Row],[Manufacturing_Cost_per_Unit]])*Table1[[#This Row],[Units_Sold]]-Table1[[#This Row],[Marketing_Spend]]-Table1[[#This Row],[Discount_%]]</f>
        <v>-4307589.7699999996</v>
      </c>
      <c r="U750" s="3">
        <f>Table1[[#This Row],[profit]]/(Table1[[#This Row],[Units_Sold]]*Table1[[#This Row],[Selling_Price_per_Unit]])*100</f>
        <v>-388.67412057263607</v>
      </c>
      <c r="V750" s="6">
        <f>Table1[[#This Row],[Units_Sold]]*Table1[[#This Row],[Selling_Price_per_Unit]]</f>
        <v>1108278</v>
      </c>
      <c r="W750" s="7">
        <f>(Table1[[#This Row],[Units_Sold]]/$Z$1)</f>
        <v>8.2883745736692355E-2</v>
      </c>
      <c r="X750" s="8">
        <f>((Table1[[#This Row],[Units_Sold]]*(Table1[[#This Row],[Selling_Price_per_Unit]]-Table1[[#This Row],[Manufacturing_Cost_per_Unit]]))-Table1[[#This Row],[Marketing_Spend]])/Table1[[#This Row],[Marketing_Spend]]</f>
        <v>-9.0493646128539584</v>
      </c>
    </row>
    <row r="751" spans="1:24" x14ac:dyDescent="0.3">
      <c r="A751" s="1" t="s">
        <v>768</v>
      </c>
      <c r="B751" s="1" t="s">
        <v>1457</v>
      </c>
      <c r="C751" s="1" t="s">
        <v>1632</v>
      </c>
      <c r="D751" s="1" t="s">
        <v>1636</v>
      </c>
      <c r="E751" s="1">
        <v>2023</v>
      </c>
      <c r="F751" s="1" t="s">
        <v>1642</v>
      </c>
      <c r="G751" s="1">
        <v>4671</v>
      </c>
      <c r="H751" s="1">
        <v>6260</v>
      </c>
      <c r="I751" s="1">
        <v>6849</v>
      </c>
      <c r="J751" s="1">
        <v>163688</v>
      </c>
      <c r="K751" s="1">
        <v>3.11</v>
      </c>
      <c r="L751" s="1">
        <v>16</v>
      </c>
      <c r="M751" s="1">
        <v>8.7799999999999994</v>
      </c>
      <c r="N751" s="1">
        <v>7.2</v>
      </c>
      <c r="O751" s="1">
        <v>76.69</v>
      </c>
      <c r="P751" s="1">
        <v>2</v>
      </c>
      <c r="Q751" s="1">
        <v>4688</v>
      </c>
      <c r="R751" s="1">
        <v>4027</v>
      </c>
      <c r="S751" s="1">
        <v>6</v>
      </c>
      <c r="T751" s="1">
        <f>(Table1[[#This Row],[Selling_Price_per_Unit]]-Table1[[#This Row],[Manufacturing_Cost_per_Unit]])*Table1[[#This Row],[Units_Sold]]-Table1[[#This Row],[Marketing_Spend]]-Table1[[#This Row],[Discount_%]]</f>
        <v>-2914914.2</v>
      </c>
      <c r="U751" s="3">
        <f>Table1[[#This Row],[profit]]/(Table1[[#This Row],[Units_Sold]]*Table1[[#This Row],[Selling_Price_per_Unit]])*100</f>
        <v>-9.968769985150713</v>
      </c>
      <c r="V751" s="6">
        <f>Table1[[#This Row],[Units_Sold]]*Table1[[#This Row],[Selling_Price_per_Unit]]</f>
        <v>29240460</v>
      </c>
      <c r="W751" s="7">
        <f>(Table1[[#This Row],[Units_Sold]]/$Z$1)</f>
        <v>0.93514487037702887</v>
      </c>
      <c r="X751" s="8">
        <f>((Table1[[#This Row],[Units_Sold]]*(Table1[[#This Row],[Selling_Price_per_Unit]]-Table1[[#This Row],[Manufacturing_Cost_per_Unit]]))-Table1[[#This Row],[Marketing_Spend]])/Table1[[#This Row],[Marketing_Spend]]</f>
        <v>-17.807701236498705</v>
      </c>
    </row>
    <row r="752" spans="1:24" hidden="1" x14ac:dyDescent="0.3">
      <c r="A752" s="1" t="s">
        <v>769</v>
      </c>
      <c r="B752" s="1" t="s">
        <v>1528</v>
      </c>
      <c r="C752" s="1" t="s">
        <v>1632</v>
      </c>
      <c r="D752" s="1" t="s">
        <v>1636</v>
      </c>
      <c r="E752" s="1">
        <v>2024</v>
      </c>
      <c r="F752" s="1" t="s">
        <v>1642</v>
      </c>
      <c r="G752" s="1">
        <v>1696</v>
      </c>
      <c r="H752" s="1">
        <v>1511</v>
      </c>
      <c r="I752" s="1">
        <v>1889</v>
      </c>
      <c r="J752" s="1">
        <v>358617</v>
      </c>
      <c r="K752" s="1">
        <v>3.57</v>
      </c>
      <c r="L752" s="1">
        <v>19</v>
      </c>
      <c r="M752" s="1">
        <v>0.9</v>
      </c>
      <c r="N752" s="1">
        <v>15.1</v>
      </c>
      <c r="O752" s="1">
        <v>25.61</v>
      </c>
      <c r="P752" s="1">
        <v>2.1</v>
      </c>
      <c r="Q752" s="1">
        <v>4445</v>
      </c>
      <c r="R752" s="1">
        <v>9834</v>
      </c>
      <c r="S752" s="1">
        <v>7</v>
      </c>
      <c r="T752" s="1">
        <f>(Table1[[#This Row],[Selling_Price_per_Unit]]-Table1[[#This Row],[Manufacturing_Cost_per_Unit]])*Table1[[#This Row],[Units_Sold]]-Table1[[#This Row],[Marketing_Spend]]-Table1[[#This Row],[Discount_%]]</f>
        <v>-999720.1</v>
      </c>
      <c r="U752" s="3">
        <f>Table1[[#This Row],[profit]]/(Table1[[#This Row],[Units_Sold]]*Table1[[#This Row],[Selling_Price_per_Unit]])*100</f>
        <v>-39.01109239788719</v>
      </c>
      <c r="V752" s="6">
        <f>Table1[[#This Row],[Units_Sold]]*Table1[[#This Row],[Selling_Price_per_Unit]]</f>
        <v>2562656</v>
      </c>
      <c r="W752" s="7">
        <f>(Table1[[#This Row],[Units_Sold]]/$Z$1)</f>
        <v>0.33954307432229525</v>
      </c>
      <c r="X752" s="8">
        <f>((Table1[[#This Row],[Units_Sold]]*(Table1[[#This Row],[Selling_Price_per_Unit]]-Table1[[#This Row],[Manufacturing_Cost_per_Unit]]))-Table1[[#This Row],[Marketing_Spend]])/Table1[[#This Row],[Marketing_Spend]]</f>
        <v>-2.7876676231188147</v>
      </c>
    </row>
    <row r="753" spans="1:24" hidden="1" x14ac:dyDescent="0.3">
      <c r="A753" s="1" t="s">
        <v>770</v>
      </c>
      <c r="B753" s="1" t="s">
        <v>1529</v>
      </c>
      <c r="C753" s="1" t="s">
        <v>1633</v>
      </c>
      <c r="D753" s="1" t="s">
        <v>1637</v>
      </c>
      <c r="E753" s="1">
        <v>2023</v>
      </c>
      <c r="F753" s="1" t="s">
        <v>1641</v>
      </c>
      <c r="G753" s="1">
        <v>968</v>
      </c>
      <c r="H753" s="1">
        <v>17853</v>
      </c>
      <c r="I753" s="1">
        <v>5378</v>
      </c>
      <c r="J753" s="1">
        <v>408906</v>
      </c>
      <c r="K753" s="1">
        <v>13.63</v>
      </c>
      <c r="L753" s="1">
        <v>4</v>
      </c>
      <c r="M753" s="1">
        <v>7.15</v>
      </c>
      <c r="N753" s="1">
        <v>1.24</v>
      </c>
      <c r="O753" s="1">
        <v>81.41</v>
      </c>
      <c r="P753" s="1">
        <v>4.5999999999999996</v>
      </c>
      <c r="Q753" s="1">
        <v>8265</v>
      </c>
      <c r="R753" s="1">
        <v>1085</v>
      </c>
      <c r="S753" s="1">
        <v>8</v>
      </c>
      <c r="T753" s="1">
        <f>(Table1[[#This Row],[Selling_Price_per_Unit]]-Table1[[#This Row],[Manufacturing_Cost_per_Unit]])*Table1[[#This Row],[Units_Sold]]-Table1[[#This Row],[Marketing_Spend]]-Table1[[#This Row],[Discount_%]]</f>
        <v>11666892.76</v>
      </c>
      <c r="U753" s="3">
        <f>Table1[[#This Row],[profit]]/(Table1[[#This Row],[Units_Sold]]*Table1[[#This Row],[Selling_Price_per_Unit]])*100</f>
        <v>67.510083264937307</v>
      </c>
      <c r="V753" s="6">
        <f>Table1[[#This Row],[Units_Sold]]*Table1[[#This Row],[Selling_Price_per_Unit]]</f>
        <v>17281704</v>
      </c>
      <c r="W753" s="7">
        <f>(Table1[[#This Row],[Units_Sold]]/$Z$1)</f>
        <v>0.19379581128772511</v>
      </c>
      <c r="X753" s="8">
        <f>((Table1[[#This Row],[Units_Sold]]*(Table1[[#This Row],[Selling_Price_per_Unit]]-Table1[[#This Row],[Manufacturing_Cost_per_Unit]]))-Table1[[#This Row],[Marketing_Spend]])/Table1[[#This Row],[Marketing_Spend]]</f>
        <v>28.531970672966402</v>
      </c>
    </row>
    <row r="754" spans="1:24" hidden="1" x14ac:dyDescent="0.3">
      <c r="A754" s="1" t="s">
        <v>771</v>
      </c>
      <c r="B754" s="1" t="s">
        <v>1530</v>
      </c>
      <c r="C754" s="1" t="s">
        <v>1634</v>
      </c>
      <c r="D754" s="1" t="s">
        <v>1635</v>
      </c>
      <c r="E754" s="1">
        <v>2023</v>
      </c>
      <c r="F754" s="1" t="s">
        <v>1640</v>
      </c>
      <c r="G754" s="1">
        <v>2847</v>
      </c>
      <c r="H754" s="1">
        <v>13056</v>
      </c>
      <c r="I754" s="1">
        <v>9927</v>
      </c>
      <c r="J754" s="1">
        <v>270460</v>
      </c>
      <c r="K754" s="1">
        <v>7.02</v>
      </c>
      <c r="L754" s="1">
        <v>16</v>
      </c>
      <c r="M754" s="1">
        <v>2.71</v>
      </c>
      <c r="N754" s="1">
        <v>2.37</v>
      </c>
      <c r="O754" s="1">
        <v>46.69</v>
      </c>
      <c r="P754" s="1">
        <v>3.5</v>
      </c>
      <c r="Q754" s="1">
        <v>20358</v>
      </c>
      <c r="R754" s="1">
        <v>4331</v>
      </c>
      <c r="S754" s="1">
        <v>12</v>
      </c>
      <c r="T754" s="1">
        <f>(Table1[[#This Row],[Selling_Price_per_Unit]]-Table1[[#This Row],[Manufacturing_Cost_per_Unit]])*Table1[[#This Row],[Units_Sold]]-Table1[[#This Row],[Marketing_Spend]]-Table1[[#This Row],[Discount_%]]</f>
        <v>8637800.6300000008</v>
      </c>
      <c r="U754" s="3">
        <f>Table1[[#This Row],[profit]]/(Table1[[#This Row],[Units_Sold]]*Table1[[#This Row],[Selling_Price_per_Unit]])*100</f>
        <v>23.238364918653627</v>
      </c>
      <c r="V754" s="6">
        <f>Table1[[#This Row],[Units_Sold]]*Table1[[#This Row],[Selling_Price_per_Unit]]</f>
        <v>37170432</v>
      </c>
      <c r="W754" s="7">
        <f>(Table1[[#This Row],[Units_Sold]]/$Z$1)</f>
        <v>0.56997590365305095</v>
      </c>
      <c r="X754" s="8">
        <f>((Table1[[#This Row],[Units_Sold]]*(Table1[[#This Row],[Selling_Price_per_Unit]]-Table1[[#This Row],[Manufacturing_Cost_per_Unit]]))-Table1[[#This Row],[Marketing_Spend]])/Table1[[#This Row],[Marketing_Spend]]</f>
        <v>31.937451009391406</v>
      </c>
    </row>
    <row r="755" spans="1:24" hidden="1" x14ac:dyDescent="0.3">
      <c r="A755" s="1" t="s">
        <v>772</v>
      </c>
      <c r="B755" s="1" t="s">
        <v>1531</v>
      </c>
      <c r="C755" s="1" t="s">
        <v>1634</v>
      </c>
      <c r="D755" s="1" t="s">
        <v>1637</v>
      </c>
      <c r="E755" s="1">
        <v>2023</v>
      </c>
      <c r="F755" s="1" t="s">
        <v>1641</v>
      </c>
      <c r="G755" s="1">
        <v>1581</v>
      </c>
      <c r="H755" s="1">
        <v>13063</v>
      </c>
      <c r="I755" s="1">
        <v>11287</v>
      </c>
      <c r="J755" s="1">
        <v>419100</v>
      </c>
      <c r="K755" s="1">
        <v>6.99</v>
      </c>
      <c r="L755" s="1">
        <v>8</v>
      </c>
      <c r="M755" s="1">
        <v>7.6</v>
      </c>
      <c r="N755" s="1">
        <v>0.82</v>
      </c>
      <c r="O755" s="1">
        <v>64.16</v>
      </c>
      <c r="P755" s="1">
        <v>3.9</v>
      </c>
      <c r="Q755" s="1">
        <v>12307</v>
      </c>
      <c r="R755" s="1">
        <v>5402</v>
      </c>
      <c r="S755" s="1">
        <v>4</v>
      </c>
      <c r="T755" s="1">
        <f>(Table1[[#This Row],[Selling_Price_per_Unit]]-Table1[[#This Row],[Manufacturing_Cost_per_Unit]])*Table1[[#This Row],[Units_Sold]]-Table1[[#This Row],[Marketing_Spend]]-Table1[[#This Row],[Discount_%]]</f>
        <v>2388755.1800000002</v>
      </c>
      <c r="U755" s="3">
        <f>Table1[[#This Row],[profit]]/(Table1[[#This Row],[Units_Sold]]*Table1[[#This Row],[Selling_Price_per_Unit]])*100</f>
        <v>11.566363716961007</v>
      </c>
      <c r="V755" s="6">
        <f>Table1[[#This Row],[Units_Sold]]*Table1[[#This Row],[Selling_Price_per_Unit]]</f>
        <v>20652603</v>
      </c>
      <c r="W755" s="7">
        <f>(Table1[[#This Row],[Units_Sold]]/$Z$1)</f>
        <v>0.31651981161765846</v>
      </c>
      <c r="X755" s="8">
        <f>((Table1[[#This Row],[Units_Sold]]*(Table1[[#This Row],[Selling_Price_per_Unit]]-Table1[[#This Row],[Manufacturing_Cost_per_Unit]]))-Table1[[#This Row],[Marketing_Spend]])/Table1[[#This Row],[Marketing_Spend]]</f>
        <v>5.6997279885468863</v>
      </c>
    </row>
    <row r="756" spans="1:24" hidden="1" x14ac:dyDescent="0.3">
      <c r="A756" s="1" t="s">
        <v>926</v>
      </c>
      <c r="B756" s="1" t="s">
        <v>1352</v>
      </c>
      <c r="C756" s="1" t="s">
        <v>1634</v>
      </c>
      <c r="D756" s="1" t="s">
        <v>1638</v>
      </c>
      <c r="E756" s="1">
        <v>2024</v>
      </c>
      <c r="F756" s="1" t="s">
        <v>1641</v>
      </c>
      <c r="G756" s="1">
        <v>2085</v>
      </c>
      <c r="H756" s="1">
        <v>12523</v>
      </c>
      <c r="I756" s="1">
        <v>2247</v>
      </c>
      <c r="J756" s="1">
        <v>248784</v>
      </c>
      <c r="K756" s="1">
        <v>1.55</v>
      </c>
      <c r="L756" s="1">
        <v>6</v>
      </c>
      <c r="M756" s="1">
        <v>7.16</v>
      </c>
      <c r="N756" s="1">
        <v>20.46</v>
      </c>
      <c r="O756" s="1">
        <v>71.73</v>
      </c>
      <c r="P756" s="1">
        <v>1.3</v>
      </c>
      <c r="Q756" s="1">
        <v>13209</v>
      </c>
      <c r="R756" s="1">
        <v>4823</v>
      </c>
      <c r="S756" s="1">
        <v>9</v>
      </c>
      <c r="T756" s="1">
        <f>(Table1[[#This Row],[Selling_Price_per_Unit]]-Table1[[#This Row],[Manufacturing_Cost_per_Unit]])*Table1[[#This Row],[Units_Sold]]-Table1[[#This Row],[Marketing_Spend]]-Table1[[#This Row],[Discount_%]]</f>
        <v>21176655.539999999</v>
      </c>
      <c r="U756" s="3">
        <f>Table1[[#This Row],[profit]]/(Table1[[#This Row],[Units_Sold]]*Table1[[#This Row],[Selling_Price_per_Unit]])*100</f>
        <v>81.10412300360143</v>
      </c>
      <c r="V756" s="6">
        <f>Table1[[#This Row],[Units_Sold]]*Table1[[#This Row],[Selling_Price_per_Unit]]</f>
        <v>26110455</v>
      </c>
      <c r="W756" s="7">
        <f>(Table1[[#This Row],[Units_Sold]]/$Z$1)</f>
        <v>0.4174217629492839</v>
      </c>
      <c r="X756" s="8">
        <f>((Table1[[#This Row],[Units_Sold]]*(Table1[[#This Row],[Selling_Price_per_Unit]]-Table1[[#This Row],[Manufacturing_Cost_per_Unit]]))-Table1[[#This Row],[Marketing_Spend]])/Table1[[#This Row],[Marketing_Spend]]</f>
        <v>85.12073123673548</v>
      </c>
    </row>
    <row r="757" spans="1:24" hidden="1" x14ac:dyDescent="0.3">
      <c r="A757" s="1" t="s">
        <v>774</v>
      </c>
      <c r="B757" s="1" t="s">
        <v>1282</v>
      </c>
      <c r="C757" s="1" t="s">
        <v>1633</v>
      </c>
      <c r="D757" s="1" t="s">
        <v>1637</v>
      </c>
      <c r="E757" s="1">
        <v>2023</v>
      </c>
      <c r="F757" s="1" t="s">
        <v>1639</v>
      </c>
      <c r="G757" s="1">
        <v>1956</v>
      </c>
      <c r="H757" s="1">
        <v>12522</v>
      </c>
      <c r="I757" s="1">
        <v>10062</v>
      </c>
      <c r="J757" s="1">
        <v>236823</v>
      </c>
      <c r="K757" s="1">
        <v>2.3199999999999998</v>
      </c>
      <c r="L757" s="1">
        <v>17</v>
      </c>
      <c r="M757" s="1">
        <v>7.0000000000000007E-2</v>
      </c>
      <c r="N757" s="1">
        <v>15.02</v>
      </c>
      <c r="O757" s="1">
        <v>17.52</v>
      </c>
      <c r="P757" s="1">
        <v>4.5999999999999996</v>
      </c>
      <c r="Q757" s="1">
        <v>10852</v>
      </c>
      <c r="R757" s="1">
        <v>1008</v>
      </c>
      <c r="S757" s="1">
        <v>6</v>
      </c>
      <c r="T757" s="1">
        <f>(Table1[[#This Row],[Selling_Price_per_Unit]]-Table1[[#This Row],[Manufacturing_Cost_per_Unit]])*Table1[[#This Row],[Units_Sold]]-Table1[[#This Row],[Marketing_Spend]]-Table1[[#This Row],[Discount_%]]</f>
        <v>4574921.9800000004</v>
      </c>
      <c r="U757" s="3">
        <f>Table1[[#This Row],[profit]]/(Table1[[#This Row],[Units_Sold]]*Table1[[#This Row],[Selling_Price_per_Unit]])*100</f>
        <v>18.678463246199982</v>
      </c>
      <c r="V757" s="6">
        <f>Table1[[#This Row],[Units_Sold]]*Table1[[#This Row],[Selling_Price_per_Unit]]</f>
        <v>24493032</v>
      </c>
      <c r="W757" s="7">
        <f>(Table1[[#This Row],[Units_Sold]]/$Z$1)</f>
        <v>0.39159566826321313</v>
      </c>
      <c r="X757" s="8">
        <f>((Table1[[#This Row],[Units_Sold]]*(Table1[[#This Row],[Selling_Price_per_Unit]]-Table1[[#This Row],[Manufacturing_Cost_per_Unit]]))-Table1[[#This Row],[Marketing_Spend]])/Table1[[#This Row],[Marketing_Spend]]</f>
        <v>19.31795898202455</v>
      </c>
    </row>
    <row r="758" spans="1:24" hidden="1" x14ac:dyDescent="0.3">
      <c r="A758" s="1" t="s">
        <v>168</v>
      </c>
      <c r="B758" s="1" t="s">
        <v>1156</v>
      </c>
      <c r="C758" s="1" t="s">
        <v>1632</v>
      </c>
      <c r="D758" s="1" t="s">
        <v>1638</v>
      </c>
      <c r="E758" s="1">
        <v>2023</v>
      </c>
      <c r="F758" s="1" t="s">
        <v>1642</v>
      </c>
      <c r="G758" s="1">
        <v>2048</v>
      </c>
      <c r="H758" s="1">
        <v>14152</v>
      </c>
      <c r="I758" s="1">
        <v>3809</v>
      </c>
      <c r="J758" s="1">
        <v>252514</v>
      </c>
      <c r="K758" s="1">
        <v>7.78</v>
      </c>
      <c r="L758" s="1">
        <v>18</v>
      </c>
      <c r="M758" s="1">
        <v>8.2899999999999991</v>
      </c>
      <c r="N758" s="1">
        <v>15.55</v>
      </c>
      <c r="O758" s="1">
        <v>42.1</v>
      </c>
      <c r="P758" s="1">
        <v>4.7</v>
      </c>
      <c r="Q758" s="1">
        <v>4560</v>
      </c>
      <c r="R758" s="1">
        <v>8196</v>
      </c>
      <c r="S758" s="1">
        <v>8</v>
      </c>
      <c r="T758" s="1">
        <f>(Table1[[#This Row],[Selling_Price_per_Unit]]-Table1[[#This Row],[Manufacturing_Cost_per_Unit]])*Table1[[#This Row],[Units_Sold]]-Table1[[#This Row],[Marketing_Spend]]-Table1[[#This Row],[Discount_%]]</f>
        <v>20929934.449999999</v>
      </c>
      <c r="U758" s="3">
        <f>Table1[[#This Row],[profit]]/(Table1[[#This Row],[Units_Sold]]*Table1[[#This Row],[Selling_Price_per_Unit]])*100</f>
        <v>72.213782897569686</v>
      </c>
      <c r="V758" s="6">
        <f>Table1[[#This Row],[Units_Sold]]*Table1[[#This Row],[Selling_Price_per_Unit]]</f>
        <v>28983296</v>
      </c>
      <c r="W758" s="7">
        <f>(Table1[[#This Row],[Units_Sold]]/$Z$1)</f>
        <v>0.41001427842692256</v>
      </c>
      <c r="X758" s="8">
        <f>((Table1[[#This Row],[Units_Sold]]*(Table1[[#This Row],[Selling_Price_per_Unit]]-Table1[[#This Row],[Manufacturing_Cost_per_Unit]]))-Table1[[#This Row],[Marketing_Spend]])/Table1[[#This Row],[Marketing_Spend]]</f>
        <v>82.886295413323623</v>
      </c>
    </row>
    <row r="759" spans="1:24" x14ac:dyDescent="0.3">
      <c r="A759" s="1" t="s">
        <v>562</v>
      </c>
      <c r="B759" s="1" t="s">
        <v>1141</v>
      </c>
      <c r="C759" s="1" t="s">
        <v>1632</v>
      </c>
      <c r="D759" s="1" t="s">
        <v>1635</v>
      </c>
      <c r="E759" s="1">
        <v>2023</v>
      </c>
      <c r="F759" s="1" t="s">
        <v>1641</v>
      </c>
      <c r="G759" s="1">
        <v>4899</v>
      </c>
      <c r="H759" s="1">
        <v>17582</v>
      </c>
      <c r="I759" s="1">
        <v>13264</v>
      </c>
      <c r="J759" s="1">
        <v>229767</v>
      </c>
      <c r="K759" s="1">
        <v>6.63</v>
      </c>
      <c r="L759" s="1">
        <v>6</v>
      </c>
      <c r="M759" s="1">
        <v>8.57</v>
      </c>
      <c r="N759" s="1">
        <v>18.23</v>
      </c>
      <c r="O759" s="1">
        <v>57.99</v>
      </c>
      <c r="P759" s="1">
        <v>3.9</v>
      </c>
      <c r="Q759" s="1">
        <v>10877</v>
      </c>
      <c r="R759" s="1">
        <v>2222</v>
      </c>
      <c r="S759" s="1">
        <v>2</v>
      </c>
      <c r="T759" s="1">
        <f>(Table1[[#This Row],[Selling_Price_per_Unit]]-Table1[[#This Row],[Manufacturing_Cost_per_Unit]])*Table1[[#This Row],[Units_Sold]]-Table1[[#This Row],[Marketing_Spend]]-Table1[[#This Row],[Discount_%]]</f>
        <v>20924096.77</v>
      </c>
      <c r="U759" s="3">
        <f>Table1[[#This Row],[profit]]/(Table1[[#This Row],[Units_Sold]]*Table1[[#This Row],[Selling_Price_per_Unit]])*100</f>
        <v>24.29243250342158</v>
      </c>
      <c r="V759" s="6">
        <f>Table1[[#This Row],[Units_Sold]]*Table1[[#This Row],[Selling_Price_per_Unit]]</f>
        <v>86134218</v>
      </c>
      <c r="W759" s="7">
        <f>(Table1[[#This Row],[Units_Sold]]/$Z$1)</f>
        <v>0.98079099121752611</v>
      </c>
      <c r="X759" s="8">
        <f>((Table1[[#This Row],[Units_Sold]]*(Table1[[#This Row],[Selling_Price_per_Unit]]-Table1[[#This Row],[Manufacturing_Cost_per_Unit]]))-Table1[[#This Row],[Marketing_Spend]])/Table1[[#This Row],[Marketing_Spend]]</f>
        <v>91.066667537113688</v>
      </c>
    </row>
    <row r="760" spans="1:24" hidden="1" x14ac:dyDescent="0.3">
      <c r="A760" s="1" t="s">
        <v>777</v>
      </c>
      <c r="B760" s="1" t="s">
        <v>1534</v>
      </c>
      <c r="C760" s="1" t="s">
        <v>1632</v>
      </c>
      <c r="D760" s="1" t="s">
        <v>1637</v>
      </c>
      <c r="E760" s="1">
        <v>2023</v>
      </c>
      <c r="F760" s="1" t="s">
        <v>1640</v>
      </c>
      <c r="G760" s="1">
        <v>2125</v>
      </c>
      <c r="H760" s="1">
        <v>14678</v>
      </c>
      <c r="I760" s="1">
        <v>7144</v>
      </c>
      <c r="J760" s="1">
        <v>497470</v>
      </c>
      <c r="K760" s="1">
        <v>8.9499999999999993</v>
      </c>
      <c r="L760" s="1">
        <v>10</v>
      </c>
      <c r="M760" s="1">
        <v>8.66</v>
      </c>
      <c r="N760" s="1">
        <v>5.76</v>
      </c>
      <c r="O760" s="1">
        <v>86.86</v>
      </c>
      <c r="P760" s="1">
        <v>4.4000000000000004</v>
      </c>
      <c r="Q760" s="1">
        <v>3718</v>
      </c>
      <c r="R760" s="1">
        <v>9435</v>
      </c>
      <c r="S760" s="1">
        <v>11</v>
      </c>
      <c r="T760" s="1">
        <f>(Table1[[#This Row],[Selling_Price_per_Unit]]-Table1[[#This Row],[Manufacturing_Cost_per_Unit]])*Table1[[#This Row],[Units_Sold]]-Table1[[#This Row],[Marketing_Spend]]-Table1[[#This Row],[Discount_%]]</f>
        <v>15512274.24</v>
      </c>
      <c r="U760" s="3">
        <f>Table1[[#This Row],[profit]]/(Table1[[#This Row],[Units_Sold]]*Table1[[#This Row],[Selling_Price_per_Unit]])*100</f>
        <v>49.733572421310804</v>
      </c>
      <c r="V760" s="6">
        <f>Table1[[#This Row],[Units_Sold]]*Table1[[#This Row],[Selling_Price_per_Unit]]</f>
        <v>31190750</v>
      </c>
      <c r="W760" s="7">
        <f>(Table1[[#This Row],[Units_Sold]]/$Z$1)</f>
        <v>0.42542985432480979</v>
      </c>
      <c r="X760" s="8">
        <f>((Table1[[#This Row],[Units_Sold]]*(Table1[[#This Row],[Selling_Price_per_Unit]]-Table1[[#This Row],[Manufacturing_Cost_per_Unit]]))-Table1[[#This Row],[Marketing_Spend]])/Table1[[#This Row],[Marketing_Spend]]</f>
        <v>31.182342653828371</v>
      </c>
    </row>
    <row r="761" spans="1:24" hidden="1" x14ac:dyDescent="0.3">
      <c r="A761" s="1" t="s">
        <v>778</v>
      </c>
      <c r="B761" s="1" t="s">
        <v>1257</v>
      </c>
      <c r="C761" s="1" t="s">
        <v>1634</v>
      </c>
      <c r="D761" s="1" t="s">
        <v>1635</v>
      </c>
      <c r="E761" s="1">
        <v>2024</v>
      </c>
      <c r="F761" s="1" t="s">
        <v>1639</v>
      </c>
      <c r="G761" s="1">
        <v>763</v>
      </c>
      <c r="H761" s="1">
        <v>8070</v>
      </c>
      <c r="I761" s="1">
        <v>6579</v>
      </c>
      <c r="J761" s="1">
        <v>319150</v>
      </c>
      <c r="K761" s="1">
        <v>14.99</v>
      </c>
      <c r="L761" s="1">
        <v>5</v>
      </c>
      <c r="M761" s="1">
        <v>8.7200000000000006</v>
      </c>
      <c r="N761" s="1">
        <v>17.13</v>
      </c>
      <c r="O761" s="1">
        <v>35.64</v>
      </c>
      <c r="P761" s="1">
        <v>1.8</v>
      </c>
      <c r="Q761" s="1">
        <v>15286</v>
      </c>
      <c r="R761" s="1">
        <v>1431</v>
      </c>
      <c r="S761" s="1">
        <v>3</v>
      </c>
      <c r="T761" s="1">
        <f>(Table1[[#This Row],[Selling_Price_per_Unit]]-Table1[[#This Row],[Manufacturing_Cost_per_Unit]])*Table1[[#This Row],[Units_Sold]]-Table1[[#This Row],[Marketing_Spend]]-Table1[[#This Row],[Discount_%]]</f>
        <v>818465.87</v>
      </c>
      <c r="U761" s="3">
        <f>Table1[[#This Row],[profit]]/(Table1[[#This Row],[Units_Sold]]*Table1[[#This Row],[Selling_Price_per_Unit]])*100</f>
        <v>13.292372442309347</v>
      </c>
      <c r="V761" s="6">
        <f>Table1[[#This Row],[Units_Sold]]*Table1[[#This Row],[Selling_Price_per_Unit]]</f>
        <v>6157410</v>
      </c>
      <c r="W761" s="7">
        <f>(Table1[[#This Row],[Units_Sold]]/$Z$1)</f>
        <v>0.15275434298815521</v>
      </c>
      <c r="X761" s="8">
        <f>((Table1[[#This Row],[Units_Sold]]*(Table1[[#This Row],[Selling_Price_per_Unit]]-Table1[[#This Row],[Manufacturing_Cost_per_Unit]]))-Table1[[#This Row],[Marketing_Spend]])/Table1[[#This Row],[Marketing_Spend]]</f>
        <v>2.5645715180949398</v>
      </c>
    </row>
    <row r="762" spans="1:24" hidden="1" x14ac:dyDescent="0.3">
      <c r="A762" s="1" t="s">
        <v>779</v>
      </c>
      <c r="B762" s="1" t="s">
        <v>1353</v>
      </c>
      <c r="C762" s="1" t="s">
        <v>1632</v>
      </c>
      <c r="D762" s="1" t="s">
        <v>1637</v>
      </c>
      <c r="E762" s="1">
        <v>2023</v>
      </c>
      <c r="F762" s="1" t="s">
        <v>1641</v>
      </c>
      <c r="G762" s="1">
        <v>1112</v>
      </c>
      <c r="H762" s="1">
        <v>1906</v>
      </c>
      <c r="I762" s="1">
        <v>13211</v>
      </c>
      <c r="J762" s="1">
        <v>299243</v>
      </c>
      <c r="K762" s="1">
        <v>11.54</v>
      </c>
      <c r="L762" s="1">
        <v>5</v>
      </c>
      <c r="M762" s="1">
        <v>4.18</v>
      </c>
      <c r="N762" s="1">
        <v>24.55</v>
      </c>
      <c r="O762" s="1">
        <v>89.7</v>
      </c>
      <c r="P762" s="1">
        <v>4</v>
      </c>
      <c r="Q762" s="1">
        <v>19036</v>
      </c>
      <c r="R762" s="1">
        <v>6951</v>
      </c>
      <c r="S762" s="1">
        <v>5</v>
      </c>
      <c r="T762" s="1">
        <f>(Table1[[#This Row],[Selling_Price_per_Unit]]-Table1[[#This Row],[Manufacturing_Cost_per_Unit]])*Table1[[#This Row],[Units_Sold]]-Table1[[#This Row],[Marketing_Spend]]-Table1[[#This Row],[Discount_%]]</f>
        <v>-12870427.550000001</v>
      </c>
      <c r="U762" s="3">
        <f>Table1[[#This Row],[profit]]/(Table1[[#This Row],[Units_Sold]]*Table1[[#This Row],[Selling_Price_per_Unit]])*100</f>
        <v>-607.2468779960293</v>
      </c>
      <c r="V762" s="6">
        <f>Table1[[#This Row],[Units_Sold]]*Table1[[#This Row],[Selling_Price_per_Unit]]</f>
        <v>2119472</v>
      </c>
      <c r="W762" s="7">
        <f>(Table1[[#This Row],[Units_Sold]]/$Z$1)</f>
        <v>0.2226249402396181</v>
      </c>
      <c r="X762" s="8">
        <f>((Table1[[#This Row],[Units_Sold]]*(Table1[[#This Row],[Selling_Price_per_Unit]]-Table1[[#This Row],[Manufacturing_Cost_per_Unit]]))-Table1[[#This Row],[Marketing_Spend]])/Table1[[#This Row],[Marketing_Spend]]</f>
        <v>-43.009871575943293</v>
      </c>
    </row>
    <row r="763" spans="1:24" hidden="1" x14ac:dyDescent="0.3">
      <c r="A763" s="1" t="s">
        <v>780</v>
      </c>
      <c r="B763" s="1" t="s">
        <v>1386</v>
      </c>
      <c r="C763" s="1" t="s">
        <v>1632</v>
      </c>
      <c r="D763" s="1" t="s">
        <v>1636</v>
      </c>
      <c r="E763" s="1">
        <v>2023</v>
      </c>
      <c r="F763" s="1" t="s">
        <v>1641</v>
      </c>
      <c r="G763" s="1">
        <v>2026</v>
      </c>
      <c r="H763" s="1">
        <v>10706</v>
      </c>
      <c r="I763" s="1">
        <v>6944</v>
      </c>
      <c r="J763" s="1">
        <v>124218</v>
      </c>
      <c r="K763" s="1">
        <v>5.97</v>
      </c>
      <c r="L763" s="1">
        <v>12</v>
      </c>
      <c r="M763" s="1">
        <v>4.4400000000000004</v>
      </c>
      <c r="N763" s="1">
        <v>17.28</v>
      </c>
      <c r="O763" s="1">
        <v>77.64</v>
      </c>
      <c r="P763" s="1">
        <v>3.7</v>
      </c>
      <c r="Q763" s="1">
        <v>1556</v>
      </c>
      <c r="R763" s="1">
        <v>9845</v>
      </c>
      <c r="S763" s="1">
        <v>3</v>
      </c>
      <c r="T763" s="1">
        <f>(Table1[[#This Row],[Selling_Price_per_Unit]]-Table1[[#This Row],[Manufacturing_Cost_per_Unit]])*Table1[[#This Row],[Units_Sold]]-Table1[[#This Row],[Marketing_Spend]]-Table1[[#This Row],[Discount_%]]</f>
        <v>7497576.7199999997</v>
      </c>
      <c r="U763" s="3">
        <f>Table1[[#This Row],[profit]]/(Table1[[#This Row],[Units_Sold]]*Table1[[#This Row],[Selling_Price_per_Unit]])*100</f>
        <v>34.566406932186823</v>
      </c>
      <c r="V763" s="6">
        <f>Table1[[#This Row],[Units_Sold]]*Table1[[#This Row],[Selling_Price_per_Unit]]</f>
        <v>21690356</v>
      </c>
      <c r="W763" s="7">
        <f>(Table1[[#This Row],[Units_Sold]]/$Z$1)</f>
        <v>0.40560982817038332</v>
      </c>
      <c r="X763" s="8">
        <f>((Table1[[#This Row],[Units_Sold]]*(Table1[[#This Row],[Selling_Price_per_Unit]]-Table1[[#This Row],[Manufacturing_Cost_per_Unit]]))-Table1[[#This Row],[Marketing_Spend]])/Table1[[#This Row],[Marketing_Spend]]</f>
        <v>60.358353861759163</v>
      </c>
    </row>
    <row r="764" spans="1:24" hidden="1" x14ac:dyDescent="0.3">
      <c r="A764" s="1" t="s">
        <v>781</v>
      </c>
      <c r="B764" s="1" t="s">
        <v>1535</v>
      </c>
      <c r="C764" s="1" t="s">
        <v>1634</v>
      </c>
      <c r="D764" s="1" t="s">
        <v>1636</v>
      </c>
      <c r="E764" s="1">
        <v>2023</v>
      </c>
      <c r="F764" s="1" t="s">
        <v>1642</v>
      </c>
      <c r="G764" s="1">
        <v>1346</v>
      </c>
      <c r="H764" s="1">
        <v>5931</v>
      </c>
      <c r="I764" s="1">
        <v>5863</v>
      </c>
      <c r="J764" s="1">
        <v>246416</v>
      </c>
      <c r="K764" s="1">
        <v>12.41</v>
      </c>
      <c r="L764" s="1">
        <v>10</v>
      </c>
      <c r="M764" s="1">
        <v>3.03</v>
      </c>
      <c r="N764" s="1">
        <v>22.08</v>
      </c>
      <c r="O764" s="1">
        <v>58.88</v>
      </c>
      <c r="P764" s="1">
        <v>4</v>
      </c>
      <c r="Q764" s="1">
        <v>14033</v>
      </c>
      <c r="R764" s="1">
        <v>1906</v>
      </c>
      <c r="S764" s="1">
        <v>4</v>
      </c>
      <c r="T764" s="1">
        <f>(Table1[[#This Row],[Selling_Price_per_Unit]]-Table1[[#This Row],[Manufacturing_Cost_per_Unit]])*Table1[[#This Row],[Units_Sold]]-Table1[[#This Row],[Marketing_Spend]]-Table1[[#This Row],[Discount_%]]</f>
        <v>-154910.07999999999</v>
      </c>
      <c r="U764" s="3">
        <f>Table1[[#This Row],[profit]]/(Table1[[#This Row],[Units_Sold]]*Table1[[#This Row],[Selling_Price_per_Unit]])*100</f>
        <v>-1.9404689340992487</v>
      </c>
      <c r="V764" s="6">
        <f>Table1[[#This Row],[Units_Sold]]*Table1[[#This Row],[Selling_Price_per_Unit]]</f>
        <v>7983126</v>
      </c>
      <c r="W764" s="7">
        <f>(Table1[[#This Row],[Units_Sold]]/$Z$1)</f>
        <v>0.2694722747864442</v>
      </c>
      <c r="X764" s="8">
        <f>((Table1[[#This Row],[Units_Sold]]*(Table1[[#This Row],[Selling_Price_per_Unit]]-Table1[[#This Row],[Manufacturing_Cost_per_Unit]]))-Table1[[#This Row],[Marketing_Spend]])/Table1[[#This Row],[Marketing_Spend]]</f>
        <v>-0.62856308031945973</v>
      </c>
    </row>
    <row r="765" spans="1:24" hidden="1" x14ac:dyDescent="0.3">
      <c r="A765" s="1" t="s">
        <v>782</v>
      </c>
      <c r="B765" s="1" t="s">
        <v>1299</v>
      </c>
      <c r="C765" s="1" t="s">
        <v>1632</v>
      </c>
      <c r="D765" s="1" t="s">
        <v>1636</v>
      </c>
      <c r="E765" s="1">
        <v>2023</v>
      </c>
      <c r="F765" s="1" t="s">
        <v>1641</v>
      </c>
      <c r="G765" s="1">
        <v>175</v>
      </c>
      <c r="H765" s="1">
        <v>8042</v>
      </c>
      <c r="I765" s="1">
        <v>4630</v>
      </c>
      <c r="J765" s="1">
        <v>477056</v>
      </c>
      <c r="K765" s="1">
        <v>2.56</v>
      </c>
      <c r="L765" s="1">
        <v>13</v>
      </c>
      <c r="M765" s="1">
        <v>7.17</v>
      </c>
      <c r="N765" s="1">
        <v>23.7</v>
      </c>
      <c r="O765" s="1">
        <v>13.21</v>
      </c>
      <c r="P765" s="1">
        <v>3.1</v>
      </c>
      <c r="Q765" s="1">
        <v>1643</v>
      </c>
      <c r="R765" s="1">
        <v>905</v>
      </c>
      <c r="S765" s="1">
        <v>5</v>
      </c>
      <c r="T765" s="1">
        <f>(Table1[[#This Row],[Selling_Price_per_Unit]]-Table1[[#This Row],[Manufacturing_Cost_per_Unit]])*Table1[[#This Row],[Units_Sold]]-Table1[[#This Row],[Marketing_Spend]]-Table1[[#This Row],[Discount_%]]</f>
        <v>120020.3</v>
      </c>
      <c r="U765" s="3">
        <f>Table1[[#This Row],[profit]]/(Table1[[#This Row],[Units_Sold]]*Table1[[#This Row],[Selling_Price_per_Unit]])*100</f>
        <v>8.5281060148506054</v>
      </c>
      <c r="V765" s="6">
        <f>Table1[[#This Row],[Units_Sold]]*Table1[[#This Row],[Selling_Price_per_Unit]]</f>
        <v>1407350</v>
      </c>
      <c r="W765" s="7">
        <f>(Table1[[#This Row],[Units_Sold]]/$Z$1)</f>
        <v>3.503539976792551E-2</v>
      </c>
      <c r="X765" s="8">
        <f>((Table1[[#This Row],[Units_Sold]]*(Table1[[#This Row],[Selling_Price_per_Unit]]-Table1[[#This Row],[Manufacturing_Cost_per_Unit]]))-Table1[[#This Row],[Marketing_Spend]])/Table1[[#This Row],[Marketing_Spend]]</f>
        <v>0.25163502817279315</v>
      </c>
    </row>
    <row r="766" spans="1:24" x14ac:dyDescent="0.3">
      <c r="A766" s="1" t="s">
        <v>783</v>
      </c>
      <c r="B766" s="1" t="s">
        <v>1536</v>
      </c>
      <c r="C766" s="1" t="s">
        <v>1633</v>
      </c>
      <c r="D766" s="1" t="s">
        <v>1638</v>
      </c>
      <c r="E766" s="1">
        <v>2023</v>
      </c>
      <c r="F766" s="1" t="s">
        <v>1639</v>
      </c>
      <c r="G766" s="1">
        <v>4682</v>
      </c>
      <c r="H766" s="1">
        <v>10406</v>
      </c>
      <c r="I766" s="1">
        <v>9846</v>
      </c>
      <c r="J766" s="1">
        <v>82430</v>
      </c>
      <c r="K766" s="1">
        <v>0.46</v>
      </c>
      <c r="L766" s="1">
        <v>1</v>
      </c>
      <c r="M766" s="1">
        <v>3.59</v>
      </c>
      <c r="N766" s="1">
        <v>12.17</v>
      </c>
      <c r="O766" s="1">
        <v>82.12</v>
      </c>
      <c r="P766" s="1">
        <v>3.6</v>
      </c>
      <c r="Q766" s="1">
        <v>8718</v>
      </c>
      <c r="R766" s="1">
        <v>4247</v>
      </c>
      <c r="S766" s="1">
        <v>5</v>
      </c>
      <c r="T766" s="1">
        <f>(Table1[[#This Row],[Selling_Price_per_Unit]]-Table1[[#This Row],[Manufacturing_Cost_per_Unit]])*Table1[[#This Row],[Units_Sold]]-Table1[[#This Row],[Marketing_Spend]]-Table1[[#This Row],[Discount_%]]</f>
        <v>2539477.83</v>
      </c>
      <c r="U766" s="3">
        <f>Table1[[#This Row],[profit]]/(Table1[[#This Row],[Units_Sold]]*Table1[[#This Row],[Selling_Price_per_Unit]])*100</f>
        <v>5.2122974883136379</v>
      </c>
      <c r="V766" s="6">
        <f>Table1[[#This Row],[Units_Sold]]*Table1[[#This Row],[Selling_Price_per_Unit]]</f>
        <v>48720892</v>
      </c>
      <c r="W766" s="7">
        <f>(Table1[[#This Row],[Units_Sold]]/$Z$1)</f>
        <v>0.93734709550529849</v>
      </c>
      <c r="X766" s="8">
        <f>((Table1[[#This Row],[Units_Sold]]*(Table1[[#This Row],[Selling_Price_per_Unit]]-Table1[[#This Row],[Manufacturing_Cost_per_Unit]]))-Table1[[#This Row],[Marketing_Spend]])/Table1[[#This Row],[Marketing_Spend]]</f>
        <v>30.807836952565815</v>
      </c>
    </row>
    <row r="767" spans="1:24" hidden="1" x14ac:dyDescent="0.3">
      <c r="A767" s="1" t="s">
        <v>784</v>
      </c>
      <c r="B767" s="1" t="s">
        <v>1537</v>
      </c>
      <c r="C767" s="1" t="s">
        <v>1633</v>
      </c>
      <c r="D767" s="1" t="s">
        <v>1637</v>
      </c>
      <c r="E767" s="1">
        <v>2023</v>
      </c>
      <c r="F767" s="1" t="s">
        <v>1641</v>
      </c>
      <c r="G767" s="1">
        <v>3646</v>
      </c>
      <c r="H767" s="1">
        <v>5646</v>
      </c>
      <c r="I767" s="1">
        <v>9631</v>
      </c>
      <c r="J767" s="1">
        <v>73091</v>
      </c>
      <c r="K767" s="1">
        <v>3.07</v>
      </c>
      <c r="L767" s="1">
        <v>7</v>
      </c>
      <c r="M767" s="1">
        <v>2.68</v>
      </c>
      <c r="N767" s="1">
        <v>17.559999999999999</v>
      </c>
      <c r="O767" s="1">
        <v>54.59</v>
      </c>
      <c r="P767" s="1">
        <v>4.8</v>
      </c>
      <c r="Q767" s="1">
        <v>10059</v>
      </c>
      <c r="R767" s="1">
        <v>171</v>
      </c>
      <c r="S767" s="1">
        <v>11</v>
      </c>
      <c r="T767" s="1">
        <f>(Table1[[#This Row],[Selling_Price_per_Unit]]-Table1[[#This Row],[Manufacturing_Cost_per_Unit]])*Table1[[#This Row],[Units_Sold]]-Table1[[#This Row],[Marketing_Spend]]-Table1[[#This Row],[Discount_%]]</f>
        <v>-14602418.560000001</v>
      </c>
      <c r="U767" s="3">
        <f>Table1[[#This Row],[profit]]/(Table1[[#This Row],[Units_Sold]]*Table1[[#This Row],[Selling_Price_per_Unit]])*100</f>
        <v>-70.936091338116938</v>
      </c>
      <c r="V767" s="6">
        <f>Table1[[#This Row],[Units_Sold]]*Table1[[#This Row],[Selling_Price_per_Unit]]</f>
        <v>20585316</v>
      </c>
      <c r="W767" s="7">
        <f>(Table1[[#This Row],[Units_Sold]]/$Z$1)</f>
        <v>0.72993752887917951</v>
      </c>
      <c r="X767" s="8">
        <f>((Table1[[#This Row],[Units_Sold]]*(Table1[[#This Row],[Selling_Price_per_Unit]]-Table1[[#This Row],[Manufacturing_Cost_per_Unit]]))-Table1[[#This Row],[Marketing_Spend]])/Table1[[#This Row],[Marketing_Spend]]</f>
        <v>-199.78384479621295</v>
      </c>
    </row>
    <row r="768" spans="1:24" hidden="1" x14ac:dyDescent="0.3">
      <c r="A768" s="1" t="s">
        <v>785</v>
      </c>
      <c r="B768" s="1" t="s">
        <v>1318</v>
      </c>
      <c r="C768" s="1" t="s">
        <v>1633</v>
      </c>
      <c r="D768" s="1" t="s">
        <v>1635</v>
      </c>
      <c r="E768" s="1">
        <v>2023</v>
      </c>
      <c r="F768" s="1" t="s">
        <v>1641</v>
      </c>
      <c r="G768" s="1">
        <v>3333</v>
      </c>
      <c r="H768" s="1">
        <v>13546</v>
      </c>
      <c r="I768" s="1">
        <v>11230</v>
      </c>
      <c r="J768" s="1">
        <v>307125</v>
      </c>
      <c r="K768" s="1">
        <v>5.1100000000000003</v>
      </c>
      <c r="L768" s="1">
        <v>2</v>
      </c>
      <c r="M768" s="1">
        <v>4.32</v>
      </c>
      <c r="N768" s="1">
        <v>21.3</v>
      </c>
      <c r="O768" s="1">
        <v>79.48</v>
      </c>
      <c r="P768" s="1">
        <v>1.4</v>
      </c>
      <c r="Q768" s="1">
        <v>2115</v>
      </c>
      <c r="R768" s="1">
        <v>127</v>
      </c>
      <c r="S768" s="1">
        <v>10</v>
      </c>
      <c r="T768" s="1">
        <f>(Table1[[#This Row],[Selling_Price_per_Unit]]-Table1[[#This Row],[Manufacturing_Cost_per_Unit]])*Table1[[#This Row],[Units_Sold]]-Table1[[#This Row],[Marketing_Spend]]-Table1[[#This Row],[Discount_%]]</f>
        <v>7412081.7000000002</v>
      </c>
      <c r="U768" s="3">
        <f>Table1[[#This Row],[profit]]/(Table1[[#This Row],[Units_Sold]]*Table1[[#This Row],[Selling_Price_per_Unit]])*100</f>
        <v>16.417000551376564</v>
      </c>
      <c r="V768" s="6">
        <f>Table1[[#This Row],[Units_Sold]]*Table1[[#This Row],[Selling_Price_per_Unit]]</f>
        <v>45148818</v>
      </c>
      <c r="W768" s="7">
        <f>(Table1[[#This Row],[Units_Sold]]/$Z$1)</f>
        <v>0.66727421386568986</v>
      </c>
      <c r="X768" s="8">
        <f>((Table1[[#This Row],[Units_Sold]]*(Table1[[#This Row],[Selling_Price_per_Unit]]-Table1[[#This Row],[Manufacturing_Cost_per_Unit]]))-Table1[[#This Row],[Marketing_Spend]])/Table1[[#This Row],[Marketing_Spend]]</f>
        <v>24.133831501831501</v>
      </c>
    </row>
    <row r="769" spans="1:24" hidden="1" x14ac:dyDescent="0.3">
      <c r="A769" s="1" t="s">
        <v>786</v>
      </c>
      <c r="B769" s="1" t="s">
        <v>1057</v>
      </c>
      <c r="C769" s="1" t="s">
        <v>1633</v>
      </c>
      <c r="D769" s="1" t="s">
        <v>1636</v>
      </c>
      <c r="E769" s="1">
        <v>2023</v>
      </c>
      <c r="F769" s="1" t="s">
        <v>1641</v>
      </c>
      <c r="G769" s="1">
        <v>1653</v>
      </c>
      <c r="H769" s="1">
        <v>14111</v>
      </c>
      <c r="I769" s="1">
        <v>10594</v>
      </c>
      <c r="J769" s="1">
        <v>476199</v>
      </c>
      <c r="K769" s="1">
        <v>7.66</v>
      </c>
      <c r="L769" s="1">
        <v>2</v>
      </c>
      <c r="M769" s="1">
        <v>0.91</v>
      </c>
      <c r="N769" s="1">
        <v>8.92</v>
      </c>
      <c r="O769" s="1">
        <v>76.75</v>
      </c>
      <c r="P769" s="1">
        <v>2.2000000000000002</v>
      </c>
      <c r="Q769" s="1">
        <v>9562</v>
      </c>
      <c r="R769" s="1">
        <v>8760</v>
      </c>
      <c r="S769" s="1">
        <v>11</v>
      </c>
      <c r="T769" s="1">
        <f>(Table1[[#This Row],[Selling_Price_per_Unit]]-Table1[[#This Row],[Manufacturing_Cost_per_Unit]])*Table1[[#This Row],[Units_Sold]]-Table1[[#This Row],[Marketing_Spend]]-Table1[[#This Row],[Discount_%]]</f>
        <v>5337393.08</v>
      </c>
      <c r="U769" s="3">
        <f>Table1[[#This Row],[profit]]/(Table1[[#This Row],[Units_Sold]]*Table1[[#This Row],[Selling_Price_per_Unit]])*100</f>
        <v>22.882240337745632</v>
      </c>
      <c r="V769" s="6">
        <f>Table1[[#This Row],[Units_Sold]]*Table1[[#This Row],[Selling_Price_per_Unit]]</f>
        <v>23325483</v>
      </c>
      <c r="W769" s="7">
        <f>(Table1[[#This Row],[Units_Sold]]/$Z$1)</f>
        <v>0.33093437609360493</v>
      </c>
      <c r="X769" s="8">
        <f>((Table1[[#This Row],[Units_Sold]]*(Table1[[#This Row],[Selling_Price_per_Unit]]-Table1[[#This Row],[Manufacturing_Cost_per_Unit]]))-Table1[[#This Row],[Marketing_Spend]])/Table1[[#This Row],[Marketing_Spend]]</f>
        <v>11.208343570650085</v>
      </c>
    </row>
    <row r="770" spans="1:24" hidden="1" x14ac:dyDescent="0.3">
      <c r="A770" s="1" t="s">
        <v>787</v>
      </c>
      <c r="B770" s="1" t="s">
        <v>1252</v>
      </c>
      <c r="C770" s="1" t="s">
        <v>1634</v>
      </c>
      <c r="D770" s="1" t="s">
        <v>1637</v>
      </c>
      <c r="E770" s="1">
        <v>2023</v>
      </c>
      <c r="F770" s="1" t="s">
        <v>1642</v>
      </c>
      <c r="G770" s="1">
        <v>116</v>
      </c>
      <c r="H770" s="1">
        <v>14576</v>
      </c>
      <c r="I770" s="1">
        <v>7459</v>
      </c>
      <c r="J770" s="1">
        <v>73989</v>
      </c>
      <c r="K770" s="1">
        <v>9.23</v>
      </c>
      <c r="L770" s="1">
        <v>0</v>
      </c>
      <c r="M770" s="1">
        <v>7.47</v>
      </c>
      <c r="N770" s="1">
        <v>6.53</v>
      </c>
      <c r="O770" s="1">
        <v>76.64</v>
      </c>
      <c r="P770" s="1">
        <v>3.4</v>
      </c>
      <c r="Q770" s="1">
        <v>13020</v>
      </c>
      <c r="R770" s="1">
        <v>4083</v>
      </c>
      <c r="S770" s="1">
        <v>7</v>
      </c>
      <c r="T770" s="1">
        <f>(Table1[[#This Row],[Selling_Price_per_Unit]]-Table1[[#This Row],[Manufacturing_Cost_per_Unit]])*Table1[[#This Row],[Units_Sold]]-Table1[[#This Row],[Marketing_Spend]]-Table1[[#This Row],[Discount_%]]</f>
        <v>751576.47</v>
      </c>
      <c r="U770" s="3">
        <f>Table1[[#This Row],[profit]]/(Table1[[#This Row],[Units_Sold]]*Table1[[#This Row],[Selling_Price_per_Unit]])*100</f>
        <v>44.450517974753019</v>
      </c>
      <c r="V770" s="6">
        <f>Table1[[#This Row],[Units_Sold]]*Table1[[#This Row],[Selling_Price_per_Unit]]</f>
        <v>1690816</v>
      </c>
      <c r="W770" s="7">
        <f>(Table1[[#This Row],[Units_Sold]]/$Z$1)</f>
        <v>2.322346498902491E-2</v>
      </c>
      <c r="X770" s="8">
        <f>((Table1[[#This Row],[Units_Sold]]*(Table1[[#This Row],[Selling_Price_per_Unit]]-Table1[[#This Row],[Manufacturing_Cost_per_Unit]]))-Table1[[#This Row],[Marketing_Spend]])/Table1[[#This Row],[Marketing_Spend]]</f>
        <v>10.158037005500818</v>
      </c>
    </row>
    <row r="771" spans="1:24" hidden="1" x14ac:dyDescent="0.3">
      <c r="A771" s="1" t="s">
        <v>788</v>
      </c>
      <c r="B771" s="1" t="s">
        <v>1345</v>
      </c>
      <c r="C771" s="1" t="s">
        <v>1634</v>
      </c>
      <c r="D771" s="1" t="s">
        <v>1635</v>
      </c>
      <c r="E771" s="1">
        <v>2023</v>
      </c>
      <c r="F771" s="1" t="s">
        <v>1641</v>
      </c>
      <c r="G771" s="1">
        <v>282</v>
      </c>
      <c r="H771" s="1">
        <v>18024</v>
      </c>
      <c r="I771" s="1">
        <v>1241</v>
      </c>
      <c r="J771" s="1">
        <v>125451</v>
      </c>
      <c r="K771" s="1">
        <v>13.66</v>
      </c>
      <c r="L771" s="1">
        <v>18</v>
      </c>
      <c r="M771" s="1">
        <v>0.13</v>
      </c>
      <c r="N771" s="1">
        <v>23.66</v>
      </c>
      <c r="O771" s="1">
        <v>65.849999999999994</v>
      </c>
      <c r="P771" s="1">
        <v>4.9000000000000004</v>
      </c>
      <c r="Q771" s="1">
        <v>7477</v>
      </c>
      <c r="R771" s="1">
        <v>9055</v>
      </c>
      <c r="S771" s="1">
        <v>10</v>
      </c>
      <c r="T771" s="1">
        <f>(Table1[[#This Row],[Selling_Price_per_Unit]]-Table1[[#This Row],[Manufacturing_Cost_per_Unit]])*Table1[[#This Row],[Units_Sold]]-Table1[[#This Row],[Marketing_Spend]]-Table1[[#This Row],[Discount_%]]</f>
        <v>4607331.34</v>
      </c>
      <c r="U771" s="3">
        <f>Table1[[#This Row],[profit]]/(Table1[[#This Row],[Units_Sold]]*Table1[[#This Row],[Selling_Price_per_Unit]])*100</f>
        <v>90.646107396599646</v>
      </c>
      <c r="V771" s="6">
        <f>Table1[[#This Row],[Units_Sold]]*Table1[[#This Row],[Selling_Price_per_Unit]]</f>
        <v>5082768</v>
      </c>
      <c r="W771" s="7">
        <f>(Table1[[#This Row],[Units_Sold]]/$Z$1)</f>
        <v>5.6457044197457104E-2</v>
      </c>
      <c r="X771" s="8">
        <f>((Table1[[#This Row],[Units_Sold]]*(Table1[[#This Row],[Selling_Price_per_Unit]]-Table1[[#This Row],[Manufacturing_Cost_per_Unit]]))-Table1[[#This Row],[Marketing_Spend]])/Table1[[#This Row],[Marketing_Spend]]</f>
        <v>36.726331396322067</v>
      </c>
    </row>
    <row r="772" spans="1:24" hidden="1" x14ac:dyDescent="0.3">
      <c r="A772" s="1" t="s">
        <v>789</v>
      </c>
      <c r="B772" s="1" t="s">
        <v>1423</v>
      </c>
      <c r="C772" s="1" t="s">
        <v>1634</v>
      </c>
      <c r="D772" s="1" t="s">
        <v>1635</v>
      </c>
      <c r="E772" s="1">
        <v>2024</v>
      </c>
      <c r="F772" s="1" t="s">
        <v>1640</v>
      </c>
      <c r="G772" s="1">
        <v>2206</v>
      </c>
      <c r="H772" s="1">
        <v>6382</v>
      </c>
      <c r="I772" s="1">
        <v>6840</v>
      </c>
      <c r="J772" s="1">
        <v>68990</v>
      </c>
      <c r="K772" s="1">
        <v>7.65</v>
      </c>
      <c r="L772" s="1">
        <v>17</v>
      </c>
      <c r="M772" s="1">
        <v>6.44</v>
      </c>
      <c r="N772" s="1">
        <v>18.16</v>
      </c>
      <c r="O772" s="1">
        <v>33.31</v>
      </c>
      <c r="P772" s="1">
        <v>1.4</v>
      </c>
      <c r="Q772" s="1">
        <v>12919</v>
      </c>
      <c r="R772" s="1">
        <v>7155</v>
      </c>
      <c r="S772" s="1">
        <v>5</v>
      </c>
      <c r="T772" s="1">
        <f>(Table1[[#This Row],[Selling_Price_per_Unit]]-Table1[[#This Row],[Manufacturing_Cost_per_Unit]])*Table1[[#This Row],[Units_Sold]]-Table1[[#This Row],[Marketing_Spend]]-Table1[[#This Row],[Discount_%]]</f>
        <v>-1079356.1599999999</v>
      </c>
      <c r="U772" s="3">
        <f>Table1[[#This Row],[profit]]/(Table1[[#This Row],[Units_Sold]]*Table1[[#This Row],[Selling_Price_per_Unit]])*100</f>
        <v>-7.6665940273428808</v>
      </c>
      <c r="V772" s="6">
        <f>Table1[[#This Row],[Units_Sold]]*Table1[[#This Row],[Selling_Price_per_Unit]]</f>
        <v>14078692</v>
      </c>
      <c r="W772" s="7">
        <f>(Table1[[#This Row],[Units_Sold]]/$Z$1)</f>
        <v>0.44164623936024955</v>
      </c>
      <c r="X772" s="8">
        <f>((Table1[[#This Row],[Units_Sold]]*(Table1[[#This Row],[Selling_Price_per_Unit]]-Table1[[#This Row],[Manufacturing_Cost_per_Unit]]))-Table1[[#This Row],[Marketing_Spend]])/Table1[[#This Row],[Marketing_Spend]]</f>
        <v>-15.644847079286853</v>
      </c>
    </row>
    <row r="773" spans="1:24" hidden="1" x14ac:dyDescent="0.3">
      <c r="A773" s="1" t="s">
        <v>790</v>
      </c>
      <c r="B773" s="1" t="s">
        <v>1538</v>
      </c>
      <c r="C773" s="1" t="s">
        <v>1632</v>
      </c>
      <c r="D773" s="1" t="s">
        <v>1636</v>
      </c>
      <c r="E773" s="1">
        <v>2024</v>
      </c>
      <c r="F773" s="1" t="s">
        <v>1641</v>
      </c>
      <c r="G773" s="1">
        <v>1219</v>
      </c>
      <c r="H773" s="1">
        <v>15613</v>
      </c>
      <c r="I773" s="1">
        <v>14926</v>
      </c>
      <c r="J773" s="1">
        <v>402414</v>
      </c>
      <c r="K773" s="1">
        <v>7.52</v>
      </c>
      <c r="L773" s="1">
        <v>16</v>
      </c>
      <c r="M773" s="1">
        <v>1.83</v>
      </c>
      <c r="N773" s="1">
        <v>5.49</v>
      </c>
      <c r="O773" s="1">
        <v>36.89</v>
      </c>
      <c r="P773" s="1">
        <v>1.1000000000000001</v>
      </c>
      <c r="Q773" s="1">
        <v>11280</v>
      </c>
      <c r="R773" s="1">
        <v>6790</v>
      </c>
      <c r="S773" s="1">
        <v>10</v>
      </c>
      <c r="T773" s="1">
        <f>(Table1[[#This Row],[Selling_Price_per_Unit]]-Table1[[#This Row],[Manufacturing_Cost_per_Unit]])*Table1[[#This Row],[Units_Sold]]-Table1[[#This Row],[Marketing_Spend]]-Table1[[#This Row],[Discount_%]]</f>
        <v>435033.51</v>
      </c>
      <c r="U773" s="3">
        <f>Table1[[#This Row],[profit]]/(Table1[[#This Row],[Units_Sold]]*Table1[[#This Row],[Selling_Price_per_Unit]])*100</f>
        <v>2.2857706186768172</v>
      </c>
      <c r="V773" s="6">
        <f>Table1[[#This Row],[Units_Sold]]*Table1[[#This Row],[Selling_Price_per_Unit]]</f>
        <v>19032247</v>
      </c>
      <c r="W773" s="7">
        <f>(Table1[[#This Row],[Units_Sold]]/$Z$1)</f>
        <v>0.24404658466914969</v>
      </c>
      <c r="X773" s="8">
        <f>((Table1[[#This Row],[Units_Sold]]*(Table1[[#This Row],[Selling_Price_per_Unit]]-Table1[[#This Row],[Manufacturing_Cost_per_Unit]]))-Table1[[#This Row],[Marketing_Spend]])/Table1[[#This Row],[Marketing_Spend]]</f>
        <v>1.0810732230986</v>
      </c>
    </row>
    <row r="774" spans="1:24" x14ac:dyDescent="0.3">
      <c r="A774" s="1" t="s">
        <v>228</v>
      </c>
      <c r="B774" s="1" t="s">
        <v>1205</v>
      </c>
      <c r="C774" s="1" t="s">
        <v>1634</v>
      </c>
      <c r="D774" s="1" t="s">
        <v>1635</v>
      </c>
      <c r="E774" s="1">
        <v>2023</v>
      </c>
      <c r="F774" s="1" t="s">
        <v>1641</v>
      </c>
      <c r="G774" s="1">
        <v>4111</v>
      </c>
      <c r="H774" s="1">
        <v>10874</v>
      </c>
      <c r="I774" s="1">
        <v>5675</v>
      </c>
      <c r="J774" s="1">
        <v>449560</v>
      </c>
      <c r="K774" s="1">
        <v>6.5</v>
      </c>
      <c r="L774" s="1">
        <v>10</v>
      </c>
      <c r="M774" s="1">
        <v>2.4</v>
      </c>
      <c r="N774" s="1">
        <v>1.27</v>
      </c>
      <c r="O774" s="1">
        <v>40.17</v>
      </c>
      <c r="P774" s="1">
        <v>1.4</v>
      </c>
      <c r="Q774" s="1">
        <v>2057</v>
      </c>
      <c r="R774" s="1">
        <v>2845</v>
      </c>
      <c r="S774" s="1">
        <v>13</v>
      </c>
      <c r="T774" s="1">
        <f>(Table1[[#This Row],[Selling_Price_per_Unit]]-Table1[[#This Row],[Manufacturing_Cost_per_Unit]])*Table1[[#This Row],[Units_Sold]]-Table1[[#This Row],[Marketing_Spend]]-Table1[[#This Row],[Discount_%]]</f>
        <v>20923527.73</v>
      </c>
      <c r="U774" s="3">
        <f>Table1[[#This Row],[profit]]/(Table1[[#This Row],[Units_Sold]]*Table1[[#This Row],[Selling_Price_per_Unit]])*100</f>
        <v>46.805630891017778</v>
      </c>
      <c r="V774" s="6">
        <f>Table1[[#This Row],[Units_Sold]]*Table1[[#This Row],[Selling_Price_per_Unit]]</f>
        <v>44703014</v>
      </c>
      <c r="W774" s="7">
        <f>(Table1[[#This Row],[Units_Sold]]/$Z$1)</f>
        <v>0.82303159111966728</v>
      </c>
      <c r="X774" s="8">
        <f>((Table1[[#This Row],[Units_Sold]]*(Table1[[#This Row],[Selling_Price_per_Unit]]-Table1[[#This Row],[Manufacturing_Cost_per_Unit]]))-Table1[[#This Row],[Marketing_Spend]])/Table1[[#This Row],[Marketing_Spend]]</f>
        <v>46.542239078209803</v>
      </c>
    </row>
    <row r="775" spans="1:24" x14ac:dyDescent="0.3">
      <c r="A775" s="1" t="s">
        <v>792</v>
      </c>
      <c r="B775" s="1" t="s">
        <v>1540</v>
      </c>
      <c r="C775" s="1" t="s">
        <v>1632</v>
      </c>
      <c r="D775" s="1" t="s">
        <v>1635</v>
      </c>
      <c r="E775" s="1">
        <v>2023</v>
      </c>
      <c r="F775" s="1" t="s">
        <v>1639</v>
      </c>
      <c r="G775" s="1">
        <v>4256</v>
      </c>
      <c r="H775" s="1">
        <v>7512</v>
      </c>
      <c r="I775" s="1">
        <v>8158</v>
      </c>
      <c r="J775" s="1">
        <v>300541</v>
      </c>
      <c r="K775" s="1">
        <v>0.52</v>
      </c>
      <c r="L775" s="1">
        <v>12</v>
      </c>
      <c r="M775" s="1">
        <v>6.36</v>
      </c>
      <c r="N775" s="1">
        <v>19.91</v>
      </c>
      <c r="O775" s="1">
        <v>11.6</v>
      </c>
      <c r="P775" s="1">
        <v>1.2</v>
      </c>
      <c r="Q775" s="1">
        <v>8484</v>
      </c>
      <c r="R775" s="1">
        <v>3932</v>
      </c>
      <c r="S775" s="1">
        <v>14</v>
      </c>
      <c r="T775" s="1">
        <f>(Table1[[#This Row],[Selling_Price_per_Unit]]-Table1[[#This Row],[Manufacturing_Cost_per_Unit]])*Table1[[#This Row],[Units_Sold]]-Table1[[#This Row],[Marketing_Spend]]-Table1[[#This Row],[Discount_%]]</f>
        <v>-3049936.91</v>
      </c>
      <c r="U775" s="3">
        <f>Table1[[#This Row],[profit]]/(Table1[[#This Row],[Units_Sold]]*Table1[[#This Row],[Selling_Price_per_Unit]])*100</f>
        <v>-9.5396767114971937</v>
      </c>
      <c r="V775" s="6">
        <f>Table1[[#This Row],[Units_Sold]]*Table1[[#This Row],[Selling_Price_per_Unit]]</f>
        <v>31971072</v>
      </c>
      <c r="W775" s="7">
        <f>(Table1[[#This Row],[Units_Sold]]/$Z$1)</f>
        <v>0.85206092235594844</v>
      </c>
      <c r="X775" s="8">
        <f>((Table1[[#This Row],[Units_Sold]]*(Table1[[#This Row],[Selling_Price_per_Unit]]-Table1[[#This Row],[Manufacturing_Cost_per_Unit]]))-Table1[[#This Row],[Marketing_Spend]])/Table1[[#This Row],[Marketing_Spend]]</f>
        <v>-10.148089611733507</v>
      </c>
    </row>
    <row r="776" spans="1:24" hidden="1" x14ac:dyDescent="0.3">
      <c r="A776" s="1" t="s">
        <v>921</v>
      </c>
      <c r="B776" s="1" t="s">
        <v>1574</v>
      </c>
      <c r="C776" s="1" t="s">
        <v>1634</v>
      </c>
      <c r="D776" s="1" t="s">
        <v>1636</v>
      </c>
      <c r="E776" s="1">
        <v>2024</v>
      </c>
      <c r="F776" s="1" t="s">
        <v>1642</v>
      </c>
      <c r="G776" s="1">
        <v>3160</v>
      </c>
      <c r="H776" s="1">
        <v>18169</v>
      </c>
      <c r="I776" s="1">
        <v>11519</v>
      </c>
      <c r="J776" s="1">
        <v>90695</v>
      </c>
      <c r="K776" s="1">
        <v>8.92</v>
      </c>
      <c r="L776" s="1">
        <v>18</v>
      </c>
      <c r="M776" s="1">
        <v>3.43</v>
      </c>
      <c r="N776" s="1">
        <v>23.61</v>
      </c>
      <c r="O776" s="1">
        <v>72.92</v>
      </c>
      <c r="P776" s="1">
        <v>4</v>
      </c>
      <c r="Q776" s="1">
        <v>19442</v>
      </c>
      <c r="R776" s="1">
        <v>5068</v>
      </c>
      <c r="S776" s="1">
        <v>12</v>
      </c>
      <c r="T776" s="1">
        <f>(Table1[[#This Row],[Selling_Price_per_Unit]]-Table1[[#This Row],[Manufacturing_Cost_per_Unit]])*Table1[[#This Row],[Units_Sold]]-Table1[[#This Row],[Marketing_Spend]]-Table1[[#This Row],[Discount_%]]</f>
        <v>20923281.390000001</v>
      </c>
      <c r="U776" s="3">
        <f>Table1[[#This Row],[profit]]/(Table1[[#This Row],[Units_Sold]]*Table1[[#This Row],[Selling_Price_per_Unit]])*100</f>
        <v>36.442795856205208</v>
      </c>
      <c r="V776" s="6">
        <f>Table1[[#This Row],[Units_Sold]]*Table1[[#This Row],[Selling_Price_per_Unit]]</f>
        <v>57414040</v>
      </c>
      <c r="W776" s="7">
        <f>(Table1[[#This Row],[Units_Sold]]/$Z$1)</f>
        <v>0.6326392186665406</v>
      </c>
      <c r="X776" s="8">
        <f>((Table1[[#This Row],[Units_Sold]]*(Table1[[#This Row],[Selling_Price_per_Unit]]-Table1[[#This Row],[Manufacturing_Cost_per_Unit]]))-Table1[[#This Row],[Marketing_Spend]])/Table1[[#This Row],[Marketing_Spend]]</f>
        <v>230.69965268206627</v>
      </c>
    </row>
    <row r="777" spans="1:24" x14ac:dyDescent="0.3">
      <c r="A777" s="1" t="s">
        <v>794</v>
      </c>
      <c r="B777" s="1" t="s">
        <v>1136</v>
      </c>
      <c r="C777" s="1" t="s">
        <v>1633</v>
      </c>
      <c r="D777" s="1" t="s">
        <v>1635</v>
      </c>
      <c r="E777" s="1">
        <v>2024</v>
      </c>
      <c r="F777" s="1" t="s">
        <v>1642</v>
      </c>
      <c r="G777" s="1">
        <v>4768</v>
      </c>
      <c r="H777" s="1">
        <v>8651</v>
      </c>
      <c r="I777" s="1">
        <v>7170</v>
      </c>
      <c r="J777" s="1">
        <v>192105</v>
      </c>
      <c r="K777" s="1">
        <v>6.57</v>
      </c>
      <c r="L777" s="1">
        <v>0</v>
      </c>
      <c r="M777" s="1">
        <v>7.78</v>
      </c>
      <c r="N777" s="1">
        <v>16.25</v>
      </c>
      <c r="O777" s="1">
        <v>65.91</v>
      </c>
      <c r="P777" s="1">
        <v>3.9</v>
      </c>
      <c r="Q777" s="1">
        <v>2444</v>
      </c>
      <c r="R777" s="1">
        <v>659</v>
      </c>
      <c r="S777" s="1">
        <v>7</v>
      </c>
      <c r="T777" s="1">
        <f>(Table1[[#This Row],[Selling_Price_per_Unit]]-Table1[[#This Row],[Manufacturing_Cost_per_Unit]])*Table1[[#This Row],[Units_Sold]]-Table1[[#This Row],[Marketing_Spend]]-Table1[[#This Row],[Discount_%]]</f>
        <v>6869286.75</v>
      </c>
      <c r="U777" s="3">
        <f>Table1[[#This Row],[profit]]/(Table1[[#This Row],[Units_Sold]]*Table1[[#This Row],[Selling_Price_per_Unit]])*100</f>
        <v>16.653636731874887</v>
      </c>
      <c r="V777" s="6">
        <f>Table1[[#This Row],[Units_Sold]]*Table1[[#This Row],[Selling_Price_per_Unit]]</f>
        <v>41247968</v>
      </c>
      <c r="W777" s="7">
        <f>(Table1[[#This Row],[Units_Sold]]/$Z$1)</f>
        <v>0.95456449196267901</v>
      </c>
      <c r="X777" s="8">
        <f>((Table1[[#This Row],[Units_Sold]]*(Table1[[#This Row],[Selling_Price_per_Unit]]-Table1[[#This Row],[Manufacturing_Cost_per_Unit]]))-Table1[[#This Row],[Marketing_Spend]])/Table1[[#This Row],[Marketing_Spend]]</f>
        <v>35.758064600088495</v>
      </c>
    </row>
    <row r="778" spans="1:24" x14ac:dyDescent="0.3">
      <c r="A778" s="1" t="s">
        <v>795</v>
      </c>
      <c r="B778" s="1" t="s">
        <v>1200</v>
      </c>
      <c r="C778" s="1" t="s">
        <v>1633</v>
      </c>
      <c r="D778" s="1" t="s">
        <v>1636</v>
      </c>
      <c r="E778" s="1">
        <v>2023</v>
      </c>
      <c r="F778" s="1" t="s">
        <v>1641</v>
      </c>
      <c r="G778" s="1">
        <v>4057</v>
      </c>
      <c r="H778" s="1">
        <v>5110</v>
      </c>
      <c r="I778" s="1">
        <v>10328</v>
      </c>
      <c r="J778" s="1">
        <v>420416</v>
      </c>
      <c r="K778" s="1">
        <v>12.59</v>
      </c>
      <c r="L778" s="1">
        <v>3</v>
      </c>
      <c r="M778" s="1">
        <v>2.2599999999999998</v>
      </c>
      <c r="N778" s="1">
        <v>18.84</v>
      </c>
      <c r="O778" s="1">
        <v>78.31</v>
      </c>
      <c r="P778" s="1">
        <v>3.7</v>
      </c>
      <c r="Q778" s="1">
        <v>10614</v>
      </c>
      <c r="R778" s="1">
        <v>8057</v>
      </c>
      <c r="S778" s="1">
        <v>6</v>
      </c>
      <c r="T778" s="1">
        <f>(Table1[[#This Row],[Selling_Price_per_Unit]]-Table1[[#This Row],[Manufacturing_Cost_per_Unit]])*Table1[[#This Row],[Units_Sold]]-Table1[[#This Row],[Marketing_Spend]]-Table1[[#This Row],[Discount_%]]</f>
        <v>-21589860.84</v>
      </c>
      <c r="U778" s="3">
        <f>Table1[[#This Row],[profit]]/(Table1[[#This Row],[Units_Sold]]*Table1[[#This Row],[Selling_Price_per_Unit]])*100</f>
        <v>-104.14152553123857</v>
      </c>
      <c r="V778" s="6">
        <f>Table1[[#This Row],[Units_Sold]]*Table1[[#This Row],[Selling_Price_per_Unit]]</f>
        <v>20731270</v>
      </c>
      <c r="W778" s="7">
        <f>(Table1[[#This Row],[Units_Sold]]/$Z$1)</f>
        <v>0.8122206677627074</v>
      </c>
      <c r="X778" s="8">
        <f>((Table1[[#This Row],[Units_Sold]]*(Table1[[#This Row],[Selling_Price_per_Unit]]-Table1[[#This Row],[Manufacturing_Cost_per_Unit]]))-Table1[[#This Row],[Marketing_Spend]])/Table1[[#This Row],[Marketing_Spend]]</f>
        <v>-51.353521274166539</v>
      </c>
    </row>
    <row r="779" spans="1:24" hidden="1" x14ac:dyDescent="0.3">
      <c r="A779" s="1" t="s">
        <v>796</v>
      </c>
      <c r="B779" s="1" t="s">
        <v>1542</v>
      </c>
      <c r="C779" s="1" t="s">
        <v>1634</v>
      </c>
      <c r="D779" s="1" t="s">
        <v>1636</v>
      </c>
      <c r="E779" s="1">
        <v>2024</v>
      </c>
      <c r="F779" s="1" t="s">
        <v>1639</v>
      </c>
      <c r="G779" s="1">
        <v>2522</v>
      </c>
      <c r="H779" s="1">
        <v>11384</v>
      </c>
      <c r="I779" s="1">
        <v>12692</v>
      </c>
      <c r="J779" s="1">
        <v>328385</v>
      </c>
      <c r="K779" s="1">
        <v>2.41</v>
      </c>
      <c r="L779" s="1">
        <v>12</v>
      </c>
      <c r="M779" s="1">
        <v>1.76</v>
      </c>
      <c r="N779" s="1">
        <v>15.55</v>
      </c>
      <c r="O779" s="1">
        <v>21.21</v>
      </c>
      <c r="P779" s="1">
        <v>3.1</v>
      </c>
      <c r="Q779" s="1">
        <v>8578</v>
      </c>
      <c r="R779" s="1">
        <v>3931</v>
      </c>
      <c r="S779" s="1">
        <v>4</v>
      </c>
      <c r="T779" s="1">
        <f>(Table1[[#This Row],[Selling_Price_per_Unit]]-Table1[[#This Row],[Manufacturing_Cost_per_Unit]])*Table1[[#This Row],[Units_Sold]]-Table1[[#This Row],[Marketing_Spend]]-Table1[[#This Row],[Discount_%]]</f>
        <v>-3627176.55</v>
      </c>
      <c r="U779" s="3">
        <f>Table1[[#This Row],[profit]]/(Table1[[#This Row],[Units_Sold]]*Table1[[#This Row],[Selling_Price_per_Unit]])*100</f>
        <v>-12.633646643201107</v>
      </c>
      <c r="V779" s="6">
        <f>Table1[[#This Row],[Units_Sold]]*Table1[[#This Row],[Selling_Price_per_Unit]]</f>
        <v>28710448</v>
      </c>
      <c r="W779" s="7">
        <f>(Table1[[#This Row],[Units_Sold]]/$Z$1)</f>
        <v>0.50491016122690369</v>
      </c>
      <c r="X779" s="8">
        <f>((Table1[[#This Row],[Units_Sold]]*(Table1[[#This Row],[Selling_Price_per_Unit]]-Table1[[#This Row],[Manufacturing_Cost_per_Unit]]))-Table1[[#This Row],[Marketing_Spend]])/Table1[[#This Row],[Marketing_Spend]]</f>
        <v>-11.045452746014586</v>
      </c>
    </row>
    <row r="780" spans="1:24" x14ac:dyDescent="0.3">
      <c r="A780" s="1" t="s">
        <v>567</v>
      </c>
      <c r="B780" s="1" t="s">
        <v>1119</v>
      </c>
      <c r="C780" s="1" t="s">
        <v>1634</v>
      </c>
      <c r="D780" s="1" t="s">
        <v>1635</v>
      </c>
      <c r="E780" s="1">
        <v>2023</v>
      </c>
      <c r="F780" s="1" t="s">
        <v>1641</v>
      </c>
      <c r="G780" s="1">
        <v>4974</v>
      </c>
      <c r="H780" s="1">
        <v>17502</v>
      </c>
      <c r="I780" s="1">
        <v>13285</v>
      </c>
      <c r="J780" s="1">
        <v>82441</v>
      </c>
      <c r="K780" s="1">
        <v>13.92</v>
      </c>
      <c r="L780" s="1">
        <v>14</v>
      </c>
      <c r="M780" s="1">
        <v>4.4400000000000004</v>
      </c>
      <c r="N780" s="1">
        <v>0.26</v>
      </c>
      <c r="O780" s="1">
        <v>52.83</v>
      </c>
      <c r="P780" s="1">
        <v>1.2</v>
      </c>
      <c r="Q780" s="1">
        <v>10056</v>
      </c>
      <c r="R780" s="1">
        <v>3788</v>
      </c>
      <c r="S780" s="1">
        <v>2</v>
      </c>
      <c r="T780" s="1">
        <f>(Table1[[#This Row],[Selling_Price_per_Unit]]-Table1[[#This Row],[Manufacturing_Cost_per_Unit]])*Table1[[#This Row],[Units_Sold]]-Table1[[#This Row],[Marketing_Spend]]-Table1[[#This Row],[Discount_%]]</f>
        <v>20892916.739999998</v>
      </c>
      <c r="U780" s="3">
        <f>Table1[[#This Row],[profit]]/(Table1[[#This Row],[Units_Sold]]*Table1[[#This Row],[Selling_Price_per_Unit]])*100</f>
        <v>23.999688955072372</v>
      </c>
      <c r="V780" s="6">
        <f>Table1[[#This Row],[Units_Sold]]*Table1[[#This Row],[Selling_Price_per_Unit]]</f>
        <v>87054948</v>
      </c>
      <c r="W780" s="7">
        <f>(Table1[[#This Row],[Units_Sold]]/$Z$1)</f>
        <v>0.99580616254663701</v>
      </c>
      <c r="X780" s="8">
        <f>((Table1[[#This Row],[Units_Sold]]*(Table1[[#This Row],[Selling_Price_per_Unit]]-Table1[[#This Row],[Manufacturing_Cost_per_Unit]]))-Table1[[#This Row],[Marketing_Spend]])/Table1[[#This Row],[Marketing_Spend]]</f>
        <v>253.42871872005435</v>
      </c>
    </row>
    <row r="781" spans="1:24" hidden="1" x14ac:dyDescent="0.3">
      <c r="A781" s="1" t="s">
        <v>798</v>
      </c>
      <c r="B781" s="1" t="s">
        <v>1030</v>
      </c>
      <c r="C781" s="1" t="s">
        <v>1633</v>
      </c>
      <c r="D781" s="1" t="s">
        <v>1638</v>
      </c>
      <c r="E781" s="1">
        <v>2023</v>
      </c>
      <c r="F781" s="1" t="s">
        <v>1641</v>
      </c>
      <c r="G781" s="1">
        <v>2789</v>
      </c>
      <c r="H781" s="1">
        <v>14967</v>
      </c>
      <c r="I781" s="1">
        <v>12365</v>
      </c>
      <c r="J781" s="1">
        <v>318083</v>
      </c>
      <c r="K781" s="1">
        <v>6.74</v>
      </c>
      <c r="L781" s="1">
        <v>10</v>
      </c>
      <c r="M781" s="1">
        <v>4.4400000000000004</v>
      </c>
      <c r="N781" s="1">
        <v>18.739999999999998</v>
      </c>
      <c r="O781" s="1">
        <v>10.64</v>
      </c>
      <c r="P781" s="1">
        <v>1.6</v>
      </c>
      <c r="Q781" s="1">
        <v>13812</v>
      </c>
      <c r="R781" s="1">
        <v>5271</v>
      </c>
      <c r="S781" s="1">
        <v>4</v>
      </c>
      <c r="T781" s="1">
        <f>(Table1[[#This Row],[Selling_Price_per_Unit]]-Table1[[#This Row],[Manufacturing_Cost_per_Unit]])*Table1[[#This Row],[Units_Sold]]-Table1[[#This Row],[Marketing_Spend]]-Table1[[#This Row],[Discount_%]]</f>
        <v>6938876.2599999998</v>
      </c>
      <c r="U781" s="3">
        <f>Table1[[#This Row],[profit]]/(Table1[[#This Row],[Units_Sold]]*Table1[[#This Row],[Selling_Price_per_Unit]])*100</f>
        <v>16.622864696978983</v>
      </c>
      <c r="V781" s="6">
        <f>Table1[[#This Row],[Units_Sold]]*Table1[[#This Row],[Selling_Price_per_Unit]]</f>
        <v>41742963</v>
      </c>
      <c r="W781" s="7">
        <f>(Table1[[#This Row],[Units_Sold]]/$Z$1)</f>
        <v>0.55836417115853854</v>
      </c>
      <c r="X781" s="8">
        <f>((Table1[[#This Row],[Units_Sold]]*(Table1[[#This Row],[Selling_Price_per_Unit]]-Table1[[#This Row],[Manufacturing_Cost_per_Unit]]))-Table1[[#This Row],[Marketing_Spend]])/Table1[[#This Row],[Marketing_Spend]]</f>
        <v>21.814730746377517</v>
      </c>
    </row>
    <row r="782" spans="1:24" hidden="1" x14ac:dyDescent="0.3">
      <c r="A782" s="1" t="s">
        <v>799</v>
      </c>
      <c r="B782" s="1" t="s">
        <v>1426</v>
      </c>
      <c r="C782" s="1" t="s">
        <v>1634</v>
      </c>
      <c r="D782" s="1" t="s">
        <v>1638</v>
      </c>
      <c r="E782" s="1">
        <v>2023</v>
      </c>
      <c r="F782" s="1" t="s">
        <v>1640</v>
      </c>
      <c r="G782" s="1">
        <v>1811</v>
      </c>
      <c r="H782" s="1">
        <v>17989</v>
      </c>
      <c r="I782" s="1">
        <v>8979</v>
      </c>
      <c r="J782" s="1">
        <v>163000</v>
      </c>
      <c r="K782" s="1">
        <v>3.56</v>
      </c>
      <c r="L782" s="1">
        <v>1</v>
      </c>
      <c r="M782" s="1">
        <v>1.37</v>
      </c>
      <c r="N782" s="1">
        <v>18.190000000000001</v>
      </c>
      <c r="O782" s="1">
        <v>17.61</v>
      </c>
      <c r="P782" s="1">
        <v>2.6</v>
      </c>
      <c r="Q782" s="1">
        <v>7283</v>
      </c>
      <c r="R782" s="1">
        <v>178</v>
      </c>
      <c r="S782" s="1">
        <v>6</v>
      </c>
      <c r="T782" s="1">
        <f>(Table1[[#This Row],[Selling_Price_per_Unit]]-Table1[[#This Row],[Manufacturing_Cost_per_Unit]])*Table1[[#This Row],[Units_Sold]]-Table1[[#This Row],[Marketing_Spend]]-Table1[[#This Row],[Discount_%]]</f>
        <v>16154091.810000001</v>
      </c>
      <c r="U782" s="3">
        <f>Table1[[#This Row],[profit]]/(Table1[[#This Row],[Units_Sold]]*Table1[[#This Row],[Selling_Price_per_Unit]])*100</f>
        <v>49.585771493770395</v>
      </c>
      <c r="V782" s="6">
        <f>Table1[[#This Row],[Units_Sold]]*Table1[[#This Row],[Selling_Price_per_Unit]]</f>
        <v>32578079</v>
      </c>
      <c r="W782" s="7">
        <f>(Table1[[#This Row],[Units_Sold]]/$Z$1)</f>
        <v>0.36256633702693197</v>
      </c>
      <c r="X782" s="8">
        <f>((Table1[[#This Row],[Units_Sold]]*(Table1[[#This Row],[Selling_Price_per_Unit]]-Table1[[#This Row],[Manufacturing_Cost_per_Unit]]))-Table1[[#This Row],[Marketing_Spend]])/Table1[[#This Row],[Marketing_Spend]]</f>
        <v>99.104969325153377</v>
      </c>
    </row>
    <row r="783" spans="1:24" hidden="1" x14ac:dyDescent="0.3">
      <c r="A783" s="1" t="s">
        <v>800</v>
      </c>
      <c r="B783" s="1" t="s">
        <v>1543</v>
      </c>
      <c r="C783" s="1" t="s">
        <v>1633</v>
      </c>
      <c r="D783" s="1" t="s">
        <v>1636</v>
      </c>
      <c r="E783" s="1">
        <v>2023</v>
      </c>
      <c r="F783" s="1" t="s">
        <v>1639</v>
      </c>
      <c r="G783" s="1">
        <v>3564</v>
      </c>
      <c r="H783" s="1">
        <v>11373</v>
      </c>
      <c r="I783" s="1">
        <v>6915</v>
      </c>
      <c r="J783" s="1">
        <v>228634</v>
      </c>
      <c r="K783" s="1">
        <v>0.74</v>
      </c>
      <c r="L783" s="1">
        <v>15</v>
      </c>
      <c r="M783" s="1">
        <v>8.6199999999999992</v>
      </c>
      <c r="N783" s="1">
        <v>15.75</v>
      </c>
      <c r="O783" s="1">
        <v>14.34</v>
      </c>
      <c r="P783" s="1">
        <v>3</v>
      </c>
      <c r="Q783" s="1">
        <v>11251</v>
      </c>
      <c r="R783" s="1">
        <v>5029</v>
      </c>
      <c r="S783" s="1">
        <v>6</v>
      </c>
      <c r="T783" s="1">
        <f>(Table1[[#This Row],[Selling_Price_per_Unit]]-Table1[[#This Row],[Manufacturing_Cost_per_Unit]])*Table1[[#This Row],[Units_Sold]]-Table1[[#This Row],[Marketing_Spend]]-Table1[[#This Row],[Discount_%]]</f>
        <v>15659662.25</v>
      </c>
      <c r="U783" s="3">
        <f>Table1[[#This Row],[profit]]/(Table1[[#This Row],[Units_Sold]]*Table1[[#This Row],[Selling_Price_per_Unit]])*100</f>
        <v>38.63399830144899</v>
      </c>
      <c r="V783" s="6">
        <f>Table1[[#This Row],[Units_Sold]]*Table1[[#This Row],[Selling_Price_per_Unit]]</f>
        <v>40533372</v>
      </c>
      <c r="W783" s="7">
        <f>(Table1[[#This Row],[Units_Sold]]/$Z$1)</f>
        <v>0.71352094155935153</v>
      </c>
      <c r="X783" s="8">
        <f>((Table1[[#This Row],[Units_Sold]]*(Table1[[#This Row],[Selling_Price_per_Unit]]-Table1[[#This Row],[Manufacturing_Cost_per_Unit]]))-Table1[[#This Row],[Marketing_Spend]])/Table1[[#This Row],[Marketing_Spend]]</f>
        <v>68.492341471522167</v>
      </c>
    </row>
    <row r="784" spans="1:24" hidden="1" x14ac:dyDescent="0.3">
      <c r="A784" s="1" t="s">
        <v>1004</v>
      </c>
      <c r="B784" s="1" t="s">
        <v>1577</v>
      </c>
      <c r="C784" s="1" t="s">
        <v>1633</v>
      </c>
      <c r="D784" s="1" t="s">
        <v>1637</v>
      </c>
      <c r="E784" s="1">
        <v>2023</v>
      </c>
      <c r="F784" s="1" t="s">
        <v>1640</v>
      </c>
      <c r="G784" s="1">
        <v>3552</v>
      </c>
      <c r="H784" s="1">
        <v>10574</v>
      </c>
      <c r="I784" s="1">
        <v>4628</v>
      </c>
      <c r="J784" s="1">
        <v>263606</v>
      </c>
      <c r="K784" s="1">
        <v>6.29</v>
      </c>
      <c r="L784" s="1">
        <v>7</v>
      </c>
      <c r="M784" s="1">
        <v>9.2100000000000009</v>
      </c>
      <c r="N784" s="1">
        <v>13.24</v>
      </c>
      <c r="O784" s="1">
        <v>49.94</v>
      </c>
      <c r="P784" s="1">
        <v>3.7</v>
      </c>
      <c r="Q784" s="1">
        <v>14377</v>
      </c>
      <c r="R784" s="1">
        <v>6557</v>
      </c>
      <c r="S784" s="1">
        <v>14</v>
      </c>
      <c r="T784" s="1">
        <f>(Table1[[#This Row],[Selling_Price_per_Unit]]-Table1[[#This Row],[Manufacturing_Cost_per_Unit]])*Table1[[#This Row],[Units_Sold]]-Table1[[#This Row],[Marketing_Spend]]-Table1[[#This Row],[Discount_%]]</f>
        <v>20856572.760000002</v>
      </c>
      <c r="U784" s="3">
        <f>Table1[[#This Row],[profit]]/(Table1[[#This Row],[Units_Sold]]*Table1[[#This Row],[Selling_Price_per_Unit]])*100</f>
        <v>55.53038463799529</v>
      </c>
      <c r="V784" s="6">
        <f>Table1[[#This Row],[Units_Sold]]*Table1[[#This Row],[Selling_Price_per_Unit]]</f>
        <v>37558848</v>
      </c>
      <c r="W784" s="7">
        <f>(Table1[[#This Row],[Units_Sold]]/$Z$1)</f>
        <v>0.7111185141466938</v>
      </c>
      <c r="X784" s="8">
        <f>((Table1[[#This Row],[Units_Sold]]*(Table1[[#This Row],[Selling_Price_per_Unit]]-Table1[[#This Row],[Manufacturing_Cost_per_Unit]]))-Table1[[#This Row],[Marketing_Spend]])/Table1[[#This Row],[Marketing_Spend]]</f>
        <v>79.120300751879697</v>
      </c>
    </row>
    <row r="785" spans="1:24" hidden="1" x14ac:dyDescent="0.3">
      <c r="A785" s="1" t="s">
        <v>802</v>
      </c>
      <c r="B785" s="1" t="s">
        <v>1294</v>
      </c>
      <c r="C785" s="1" t="s">
        <v>1632</v>
      </c>
      <c r="D785" s="1" t="s">
        <v>1638</v>
      </c>
      <c r="E785" s="1">
        <v>2024</v>
      </c>
      <c r="F785" s="1" t="s">
        <v>1642</v>
      </c>
      <c r="G785" s="1">
        <v>2412</v>
      </c>
      <c r="H785" s="1">
        <v>13708</v>
      </c>
      <c r="I785" s="1">
        <v>8368</v>
      </c>
      <c r="J785" s="1">
        <v>257793</v>
      </c>
      <c r="K785" s="1">
        <v>1.67</v>
      </c>
      <c r="L785" s="1">
        <v>18</v>
      </c>
      <c r="M785" s="1">
        <v>9.84</v>
      </c>
      <c r="N785" s="1">
        <v>10.15</v>
      </c>
      <c r="O785" s="1">
        <v>16.48</v>
      </c>
      <c r="P785" s="1">
        <v>2.7</v>
      </c>
      <c r="Q785" s="1">
        <v>20810</v>
      </c>
      <c r="R785" s="1">
        <v>1131</v>
      </c>
      <c r="S785" s="1">
        <v>10</v>
      </c>
      <c r="T785" s="1">
        <f>(Table1[[#This Row],[Selling_Price_per_Unit]]-Table1[[#This Row],[Manufacturing_Cost_per_Unit]])*Table1[[#This Row],[Units_Sold]]-Table1[[#This Row],[Marketing_Spend]]-Table1[[#This Row],[Discount_%]]</f>
        <v>12622276.85</v>
      </c>
      <c r="U785" s="3">
        <f>Table1[[#This Row],[profit]]/(Table1[[#This Row],[Units_Sold]]*Table1[[#This Row],[Selling_Price_per_Unit]])*100</f>
        <v>38.175637865772778</v>
      </c>
      <c r="V785" s="6">
        <f>Table1[[#This Row],[Units_Sold]]*Table1[[#This Row],[Selling_Price_per_Unit]]</f>
        <v>33063696</v>
      </c>
      <c r="W785" s="7">
        <f>(Table1[[#This Row],[Units_Sold]]/$Z$1)</f>
        <v>0.48288790994420761</v>
      </c>
      <c r="X785" s="8">
        <f>((Table1[[#This Row],[Units_Sold]]*(Table1[[#This Row],[Selling_Price_per_Unit]]-Table1[[#This Row],[Manufacturing_Cost_per_Unit]]))-Table1[[#This Row],[Marketing_Spend]])/Table1[[#This Row],[Marketing_Spend]]</f>
        <v>48.962877192165806</v>
      </c>
    </row>
    <row r="786" spans="1:24" hidden="1" x14ac:dyDescent="0.3">
      <c r="A786" s="1" t="s">
        <v>803</v>
      </c>
      <c r="B786" s="1" t="s">
        <v>1061</v>
      </c>
      <c r="C786" s="1" t="s">
        <v>1632</v>
      </c>
      <c r="D786" s="1" t="s">
        <v>1635</v>
      </c>
      <c r="E786" s="1">
        <v>2024</v>
      </c>
      <c r="F786" s="1" t="s">
        <v>1642</v>
      </c>
      <c r="G786" s="1">
        <v>926</v>
      </c>
      <c r="H786" s="1">
        <v>12328</v>
      </c>
      <c r="I786" s="1">
        <v>5446</v>
      </c>
      <c r="J786" s="1">
        <v>208117</v>
      </c>
      <c r="K786" s="1">
        <v>9.1199999999999992</v>
      </c>
      <c r="L786" s="1">
        <v>18</v>
      </c>
      <c r="M786" s="1">
        <v>9.1</v>
      </c>
      <c r="N786" s="1">
        <v>24.26</v>
      </c>
      <c r="O786" s="1">
        <v>67.319999999999993</v>
      </c>
      <c r="P786" s="1">
        <v>2.2999999999999998</v>
      </c>
      <c r="Q786" s="1">
        <v>18973</v>
      </c>
      <c r="R786" s="1">
        <v>7481</v>
      </c>
      <c r="S786" s="1">
        <v>8</v>
      </c>
      <c r="T786" s="1">
        <f>(Table1[[#This Row],[Selling_Price_per_Unit]]-Table1[[#This Row],[Manufacturing_Cost_per_Unit]])*Table1[[#This Row],[Units_Sold]]-Table1[[#This Row],[Marketing_Spend]]-Table1[[#This Row],[Discount_%]]</f>
        <v>6164590.7400000002</v>
      </c>
      <c r="U786" s="3">
        <f>Table1[[#This Row],[profit]]/(Table1[[#This Row],[Units_Sold]]*Table1[[#This Row],[Selling_Price_per_Unit]])*100</f>
        <v>54.000855136001846</v>
      </c>
      <c r="V786" s="6">
        <f>Table1[[#This Row],[Units_Sold]]*Table1[[#This Row],[Selling_Price_per_Unit]]</f>
        <v>11415728</v>
      </c>
      <c r="W786" s="7">
        <f>(Table1[[#This Row],[Units_Sold]]/$Z$1)</f>
        <v>0.18538731534342298</v>
      </c>
      <c r="X786" s="8">
        <f>((Table1[[#This Row],[Units_Sold]]*(Table1[[#This Row],[Selling_Price_per_Unit]]-Table1[[#This Row],[Manufacturing_Cost_per_Unit]]))-Table1[[#This Row],[Marketing_Spend]])/Table1[[#This Row],[Marketing_Spend]]</f>
        <v>29.62091035331088</v>
      </c>
    </row>
    <row r="787" spans="1:24" x14ac:dyDescent="0.3">
      <c r="A787" s="1" t="s">
        <v>804</v>
      </c>
      <c r="B787" s="1" t="s">
        <v>1108</v>
      </c>
      <c r="C787" s="1" t="s">
        <v>1634</v>
      </c>
      <c r="D787" s="1" t="s">
        <v>1635</v>
      </c>
      <c r="E787" s="1">
        <v>2024</v>
      </c>
      <c r="F787" s="1" t="s">
        <v>1641</v>
      </c>
      <c r="G787" s="1">
        <v>3862</v>
      </c>
      <c r="H787" s="1">
        <v>3637</v>
      </c>
      <c r="I787" s="1">
        <v>1192</v>
      </c>
      <c r="J787" s="1">
        <v>487985</v>
      </c>
      <c r="K787" s="1">
        <v>4.22</v>
      </c>
      <c r="L787" s="1">
        <v>15</v>
      </c>
      <c r="M787" s="1">
        <v>8.52</v>
      </c>
      <c r="N787" s="1">
        <v>2.81</v>
      </c>
      <c r="O787" s="1">
        <v>29.97</v>
      </c>
      <c r="P787" s="1">
        <v>1.1000000000000001</v>
      </c>
      <c r="Q787" s="1">
        <v>4457</v>
      </c>
      <c r="R787" s="1">
        <v>2172</v>
      </c>
      <c r="S787" s="1">
        <v>7</v>
      </c>
      <c r="T787" s="1">
        <f>(Table1[[#This Row],[Selling_Price_per_Unit]]-Table1[[#This Row],[Manufacturing_Cost_per_Unit]])*Table1[[#This Row],[Units_Sold]]-Table1[[#This Row],[Marketing_Spend]]-Table1[[#This Row],[Discount_%]]</f>
        <v>8954602.1899999995</v>
      </c>
      <c r="U787" s="3">
        <f>Table1[[#This Row],[profit]]/(Table1[[#This Row],[Units_Sold]]*Table1[[#This Row],[Selling_Price_per_Unit]])*100</f>
        <v>63.751546800128203</v>
      </c>
      <c r="V787" s="6">
        <f>Table1[[#This Row],[Units_Sold]]*Table1[[#This Row],[Selling_Price_per_Unit]]</f>
        <v>14046094</v>
      </c>
      <c r="W787" s="7">
        <f>(Table1[[#This Row],[Units_Sold]]/$Z$1)</f>
        <v>0.77318122230701891</v>
      </c>
      <c r="X787" s="8">
        <f>((Table1[[#This Row],[Units_Sold]]*(Table1[[#This Row],[Selling_Price_per_Unit]]-Table1[[#This Row],[Manufacturing_Cost_per_Unit]]))-Table1[[#This Row],[Marketing_Spend]])/Table1[[#This Row],[Marketing_Spend]]</f>
        <v>18.35016445177618</v>
      </c>
    </row>
    <row r="788" spans="1:24" hidden="1" x14ac:dyDescent="0.3">
      <c r="A788" s="1" t="s">
        <v>805</v>
      </c>
      <c r="B788" s="1" t="s">
        <v>1545</v>
      </c>
      <c r="C788" s="1" t="s">
        <v>1633</v>
      </c>
      <c r="D788" s="1" t="s">
        <v>1638</v>
      </c>
      <c r="E788" s="1">
        <v>2024</v>
      </c>
      <c r="F788" s="1" t="s">
        <v>1639</v>
      </c>
      <c r="G788" s="1">
        <v>3498</v>
      </c>
      <c r="H788" s="1">
        <v>2786</v>
      </c>
      <c r="I788" s="1">
        <v>12930</v>
      </c>
      <c r="J788" s="1">
        <v>359262</v>
      </c>
      <c r="K788" s="1">
        <v>2.6</v>
      </c>
      <c r="L788" s="1">
        <v>18</v>
      </c>
      <c r="M788" s="1">
        <v>0.53</v>
      </c>
      <c r="N788" s="1">
        <v>6.71</v>
      </c>
      <c r="O788" s="1">
        <v>80.22</v>
      </c>
      <c r="P788" s="1">
        <v>1.5</v>
      </c>
      <c r="Q788" s="1">
        <v>20496</v>
      </c>
      <c r="R788" s="1">
        <v>7011</v>
      </c>
      <c r="S788" s="1">
        <v>6</v>
      </c>
      <c r="T788" s="1">
        <f>(Table1[[#This Row],[Selling_Price_per_Unit]]-Table1[[#This Row],[Manufacturing_Cost_per_Unit]])*Table1[[#This Row],[Units_Sold]]-Table1[[#This Row],[Marketing_Spend]]-Table1[[#This Row],[Discount_%]]</f>
        <v>-35842980.710000001</v>
      </c>
      <c r="U788" s="3">
        <f>Table1[[#This Row],[profit]]/(Table1[[#This Row],[Units_Sold]]*Table1[[#This Row],[Selling_Price_per_Unit]])*100</f>
        <v>-367.79278149712871</v>
      </c>
      <c r="V788" s="6">
        <f>Table1[[#This Row],[Units_Sold]]*Table1[[#This Row],[Selling_Price_per_Unit]]</f>
        <v>9745428</v>
      </c>
      <c r="W788" s="7">
        <f>(Table1[[#This Row],[Units_Sold]]/$Z$1)</f>
        <v>0.70030759078973392</v>
      </c>
      <c r="X788" s="8">
        <f>((Table1[[#This Row],[Units_Sold]]*(Table1[[#This Row],[Selling_Price_per_Unit]]-Table1[[#This Row],[Manufacturing_Cost_per_Unit]]))-Table1[[#This Row],[Marketing_Spend]])/Table1[[#This Row],[Marketing_Spend]]</f>
        <v>-99.768341767289613</v>
      </c>
    </row>
    <row r="789" spans="1:24" hidden="1" x14ac:dyDescent="0.3">
      <c r="A789" s="1" t="s">
        <v>141</v>
      </c>
      <c r="B789" s="1" t="s">
        <v>1065</v>
      </c>
      <c r="C789" s="1" t="s">
        <v>1633</v>
      </c>
      <c r="D789" s="1" t="s">
        <v>1635</v>
      </c>
      <c r="E789" s="1">
        <v>2023</v>
      </c>
      <c r="F789" s="1" t="s">
        <v>1640</v>
      </c>
      <c r="G789" s="1">
        <v>1772</v>
      </c>
      <c r="H789" s="1">
        <v>17146</v>
      </c>
      <c r="I789" s="1">
        <v>5331</v>
      </c>
      <c r="J789" s="1">
        <v>198930</v>
      </c>
      <c r="K789" s="1">
        <v>4.5999999999999996</v>
      </c>
      <c r="L789" s="1">
        <v>15</v>
      </c>
      <c r="M789" s="1">
        <v>8.7799999999999994</v>
      </c>
      <c r="N789" s="1">
        <v>1.58</v>
      </c>
      <c r="O789" s="1">
        <v>84.57</v>
      </c>
      <c r="P789" s="1">
        <v>3.2</v>
      </c>
      <c r="Q789" s="1">
        <v>15084</v>
      </c>
      <c r="R789" s="1">
        <v>6539</v>
      </c>
      <c r="S789" s="1">
        <v>6</v>
      </c>
      <c r="T789" s="1">
        <f>(Table1[[#This Row],[Selling_Price_per_Unit]]-Table1[[#This Row],[Manufacturing_Cost_per_Unit]])*Table1[[#This Row],[Units_Sold]]-Table1[[#This Row],[Marketing_Spend]]-Table1[[#This Row],[Discount_%]]</f>
        <v>20737248.420000002</v>
      </c>
      <c r="U789" s="3">
        <f>Table1[[#This Row],[profit]]/(Table1[[#This Row],[Units_Sold]]*Table1[[#This Row],[Selling_Price_per_Unit]])*100</f>
        <v>68.253447618500957</v>
      </c>
      <c r="V789" s="6">
        <f>Table1[[#This Row],[Units_Sold]]*Table1[[#This Row],[Selling_Price_per_Unit]]</f>
        <v>30382712</v>
      </c>
      <c r="W789" s="7">
        <f>(Table1[[#This Row],[Units_Sold]]/$Z$1)</f>
        <v>0.35475844793579431</v>
      </c>
      <c r="X789" s="8">
        <f>((Table1[[#This Row],[Units_Sold]]*(Table1[[#This Row],[Selling_Price_per_Unit]]-Table1[[#This Row],[Manufacturing_Cost_per_Unit]]))-Table1[[#This Row],[Marketing_Spend]])/Table1[[#This Row],[Marketing_Spend]]</f>
        <v>104.24395516010657</v>
      </c>
    </row>
    <row r="790" spans="1:24" hidden="1" x14ac:dyDescent="0.3">
      <c r="A790" s="1" t="s">
        <v>807</v>
      </c>
      <c r="B790" s="1" t="s">
        <v>1546</v>
      </c>
      <c r="C790" s="1" t="s">
        <v>1632</v>
      </c>
      <c r="D790" s="1" t="s">
        <v>1637</v>
      </c>
      <c r="E790" s="1">
        <v>2024</v>
      </c>
      <c r="F790" s="1" t="s">
        <v>1639</v>
      </c>
      <c r="G790" s="1">
        <v>1510</v>
      </c>
      <c r="H790" s="1">
        <v>12871</v>
      </c>
      <c r="I790" s="1">
        <v>13932</v>
      </c>
      <c r="J790" s="1">
        <v>464841</v>
      </c>
      <c r="K790" s="1">
        <v>12.02</v>
      </c>
      <c r="L790" s="1">
        <v>0</v>
      </c>
      <c r="M790" s="1">
        <v>5.69</v>
      </c>
      <c r="N790" s="1">
        <v>20.92</v>
      </c>
      <c r="O790" s="1">
        <v>86.63</v>
      </c>
      <c r="P790" s="1">
        <v>1.1000000000000001</v>
      </c>
      <c r="Q790" s="1">
        <v>7749</v>
      </c>
      <c r="R790" s="1">
        <v>1584</v>
      </c>
      <c r="S790" s="1">
        <v>9</v>
      </c>
      <c r="T790" s="1">
        <f>(Table1[[#This Row],[Selling_Price_per_Unit]]-Table1[[#This Row],[Manufacturing_Cost_per_Unit]])*Table1[[#This Row],[Units_Sold]]-Table1[[#This Row],[Marketing_Spend]]-Table1[[#This Row],[Discount_%]]</f>
        <v>-2066971.92</v>
      </c>
      <c r="U790" s="3">
        <f>Table1[[#This Row],[profit]]/(Table1[[#This Row],[Units_Sold]]*Table1[[#This Row],[Selling_Price_per_Unit]])*100</f>
        <v>-10.63519210752032</v>
      </c>
      <c r="V790" s="6">
        <f>Table1[[#This Row],[Units_Sold]]*Table1[[#This Row],[Selling_Price_per_Unit]]</f>
        <v>19435210</v>
      </c>
      <c r="W790" s="7">
        <f>(Table1[[#This Row],[Units_Sold]]/$Z$1)</f>
        <v>0.3023054494261001</v>
      </c>
      <c r="X790" s="8">
        <f>((Table1[[#This Row],[Units_Sold]]*(Table1[[#This Row],[Selling_Price_per_Unit]]-Table1[[#This Row],[Manufacturing_Cost_per_Unit]]))-Table1[[#This Row],[Marketing_Spend]])/Table1[[#This Row],[Marketing_Spend]]</f>
        <v>-4.4465763562164264</v>
      </c>
    </row>
    <row r="791" spans="1:24" x14ac:dyDescent="0.3">
      <c r="A791" s="1" t="s">
        <v>402</v>
      </c>
      <c r="B791" s="1" t="s">
        <v>1152</v>
      </c>
      <c r="C791" s="1" t="s">
        <v>1634</v>
      </c>
      <c r="D791" s="1" t="s">
        <v>1635</v>
      </c>
      <c r="E791" s="1">
        <v>2023</v>
      </c>
      <c r="F791" s="1" t="s">
        <v>1641</v>
      </c>
      <c r="G791" s="1">
        <v>4120</v>
      </c>
      <c r="H791" s="1">
        <v>19149</v>
      </c>
      <c r="I791" s="1">
        <v>14058</v>
      </c>
      <c r="J791" s="1">
        <v>339954</v>
      </c>
      <c r="K791" s="1">
        <v>8.0299999999999994</v>
      </c>
      <c r="L791" s="1">
        <v>10</v>
      </c>
      <c r="M791" s="1">
        <v>8.4600000000000009</v>
      </c>
      <c r="N791" s="1">
        <v>6.95</v>
      </c>
      <c r="O791" s="1">
        <v>46.81</v>
      </c>
      <c r="P791" s="1">
        <v>4</v>
      </c>
      <c r="Q791" s="1">
        <v>10893</v>
      </c>
      <c r="R791" s="1">
        <v>3746</v>
      </c>
      <c r="S791" s="1">
        <v>11</v>
      </c>
      <c r="T791" s="1">
        <f>(Table1[[#This Row],[Selling_Price_per_Unit]]-Table1[[#This Row],[Manufacturing_Cost_per_Unit]])*Table1[[#This Row],[Units_Sold]]-Table1[[#This Row],[Marketing_Spend]]-Table1[[#This Row],[Discount_%]]</f>
        <v>20634959.050000001</v>
      </c>
      <c r="U791" s="3">
        <f>Table1[[#This Row],[profit]]/(Table1[[#This Row],[Units_Sold]]*Table1[[#This Row],[Selling_Price_per_Unit]])*100</f>
        <v>26.155335559615018</v>
      </c>
      <c r="V791" s="6">
        <f>Table1[[#This Row],[Units_Sold]]*Table1[[#This Row],[Selling_Price_per_Unit]]</f>
        <v>78893880</v>
      </c>
      <c r="W791" s="7">
        <f>(Table1[[#This Row],[Units_Sold]]/$Z$1)</f>
        <v>0.82483341167916058</v>
      </c>
      <c r="X791" s="8">
        <f>((Table1[[#This Row],[Units_Sold]]*(Table1[[#This Row],[Selling_Price_per_Unit]]-Table1[[#This Row],[Manufacturing_Cost_per_Unit]]))-Table1[[#This Row],[Marketing_Spend]])/Table1[[#This Row],[Marketing_Spend]]</f>
        <v>60.699288727298402</v>
      </c>
    </row>
    <row r="792" spans="1:24" hidden="1" x14ac:dyDescent="0.3">
      <c r="A792" s="1" t="s">
        <v>809</v>
      </c>
      <c r="B792" s="1" t="s">
        <v>1547</v>
      </c>
      <c r="C792" s="1" t="s">
        <v>1634</v>
      </c>
      <c r="D792" s="1" t="s">
        <v>1638</v>
      </c>
      <c r="E792" s="1">
        <v>2024</v>
      </c>
      <c r="F792" s="1" t="s">
        <v>1642</v>
      </c>
      <c r="G792" s="1">
        <v>2374</v>
      </c>
      <c r="H792" s="1">
        <v>8552</v>
      </c>
      <c r="I792" s="1">
        <v>11249</v>
      </c>
      <c r="J792" s="1">
        <v>178557</v>
      </c>
      <c r="K792" s="1">
        <v>11.26</v>
      </c>
      <c r="L792" s="1">
        <v>18</v>
      </c>
      <c r="M792" s="1">
        <v>4.58</v>
      </c>
      <c r="N792" s="1">
        <v>6.92</v>
      </c>
      <c r="O792" s="1">
        <v>84.67</v>
      </c>
      <c r="P792" s="1">
        <v>1.3</v>
      </c>
      <c r="Q792" s="1">
        <v>5259</v>
      </c>
      <c r="R792" s="1">
        <v>1650</v>
      </c>
      <c r="S792" s="1">
        <v>9</v>
      </c>
      <c r="T792" s="1">
        <f>(Table1[[#This Row],[Selling_Price_per_Unit]]-Table1[[#This Row],[Manufacturing_Cost_per_Unit]])*Table1[[#This Row],[Units_Sold]]-Table1[[#This Row],[Marketing_Spend]]-Table1[[#This Row],[Discount_%]]</f>
        <v>-6581241.9199999999</v>
      </c>
      <c r="U792" s="3">
        <f>Table1[[#This Row],[profit]]/(Table1[[#This Row],[Units_Sold]]*Table1[[#This Row],[Selling_Price_per_Unit]])*100</f>
        <v>-32.416001853569583</v>
      </c>
      <c r="V792" s="6">
        <f>Table1[[#This Row],[Units_Sold]]*Table1[[#This Row],[Selling_Price_per_Unit]]</f>
        <v>20302448</v>
      </c>
      <c r="W792" s="7">
        <f>(Table1[[#This Row],[Units_Sold]]/$Z$1)</f>
        <v>0.47528022313745805</v>
      </c>
      <c r="X792" s="8">
        <f>((Table1[[#This Row],[Units_Sold]]*(Table1[[#This Row],[Selling_Price_per_Unit]]-Table1[[#This Row],[Manufacturing_Cost_per_Unit]]))-Table1[[#This Row],[Marketing_Spend]])/Table1[[#This Row],[Marketing_Spend]]</f>
        <v>-36.857894117844722</v>
      </c>
    </row>
    <row r="793" spans="1:24" hidden="1" x14ac:dyDescent="0.3">
      <c r="A793" s="1" t="s">
        <v>810</v>
      </c>
      <c r="B793" s="1" t="s">
        <v>1356</v>
      </c>
      <c r="C793" s="1" t="s">
        <v>1634</v>
      </c>
      <c r="D793" s="1" t="s">
        <v>1635</v>
      </c>
      <c r="E793" s="1">
        <v>2024</v>
      </c>
      <c r="F793" s="1" t="s">
        <v>1639</v>
      </c>
      <c r="G793" s="1">
        <v>1783</v>
      </c>
      <c r="H793" s="1">
        <v>5154</v>
      </c>
      <c r="I793" s="1">
        <v>1938</v>
      </c>
      <c r="J793" s="1">
        <v>339220</v>
      </c>
      <c r="K793" s="1">
        <v>1.88</v>
      </c>
      <c r="L793" s="1">
        <v>0</v>
      </c>
      <c r="M793" s="1">
        <v>3.97</v>
      </c>
      <c r="N793" s="1">
        <v>1.64</v>
      </c>
      <c r="O793" s="1">
        <v>78.7</v>
      </c>
      <c r="P793" s="1">
        <v>4.2</v>
      </c>
      <c r="Q793" s="1">
        <v>5763</v>
      </c>
      <c r="R793" s="1">
        <v>5597</v>
      </c>
      <c r="S793" s="1">
        <v>2</v>
      </c>
      <c r="T793" s="1">
        <f>(Table1[[#This Row],[Selling_Price_per_Unit]]-Table1[[#This Row],[Manufacturing_Cost_per_Unit]])*Table1[[#This Row],[Units_Sold]]-Table1[[#This Row],[Marketing_Spend]]-Table1[[#This Row],[Discount_%]]</f>
        <v>5394906.3600000003</v>
      </c>
      <c r="U793" s="3">
        <f>Table1[[#This Row],[profit]]/(Table1[[#This Row],[Units_Sold]]*Table1[[#This Row],[Selling_Price_per_Unit]])*100</f>
        <v>58.706765552557236</v>
      </c>
      <c r="V793" s="6">
        <f>Table1[[#This Row],[Units_Sold]]*Table1[[#This Row],[Selling_Price_per_Unit]]</f>
        <v>9189582</v>
      </c>
      <c r="W793" s="7">
        <f>(Table1[[#This Row],[Units_Sold]]/$Z$1)</f>
        <v>0.35696067306406393</v>
      </c>
      <c r="X793" s="8">
        <f>((Table1[[#This Row],[Units_Sold]]*(Table1[[#This Row],[Selling_Price_per_Unit]]-Table1[[#This Row],[Manufacturing_Cost_per_Unit]]))-Table1[[#This Row],[Marketing_Spend]])/Table1[[#This Row],[Marketing_Spend]]</f>
        <v>15.90386180060138</v>
      </c>
    </row>
    <row r="794" spans="1:24" hidden="1" x14ac:dyDescent="0.3">
      <c r="A794" s="1" t="s">
        <v>811</v>
      </c>
      <c r="B794" s="1" t="s">
        <v>1548</v>
      </c>
      <c r="C794" s="1" t="s">
        <v>1633</v>
      </c>
      <c r="D794" s="1" t="s">
        <v>1636</v>
      </c>
      <c r="E794" s="1">
        <v>2024</v>
      </c>
      <c r="F794" s="1" t="s">
        <v>1641</v>
      </c>
      <c r="G794" s="1">
        <v>1655</v>
      </c>
      <c r="H794" s="1">
        <v>17100</v>
      </c>
      <c r="I794" s="1">
        <v>12800</v>
      </c>
      <c r="J794" s="1">
        <v>303317</v>
      </c>
      <c r="K794" s="1">
        <v>11.59</v>
      </c>
      <c r="L794" s="1">
        <v>1</v>
      </c>
      <c r="M794" s="1">
        <v>4.3099999999999996</v>
      </c>
      <c r="N794" s="1">
        <v>17.649999999999999</v>
      </c>
      <c r="O794" s="1">
        <v>65.47</v>
      </c>
      <c r="P794" s="1">
        <v>4.5999999999999996</v>
      </c>
      <c r="Q794" s="1">
        <v>11781</v>
      </c>
      <c r="R794" s="1">
        <v>4782</v>
      </c>
      <c r="S794" s="1">
        <v>11</v>
      </c>
      <c r="T794" s="1">
        <f>(Table1[[#This Row],[Selling_Price_per_Unit]]-Table1[[#This Row],[Manufacturing_Cost_per_Unit]])*Table1[[#This Row],[Units_Sold]]-Table1[[#This Row],[Marketing_Spend]]-Table1[[#This Row],[Discount_%]]</f>
        <v>6813165.3499999996</v>
      </c>
      <c r="U794" s="3">
        <f>Table1[[#This Row],[profit]]/(Table1[[#This Row],[Units_Sold]]*Table1[[#This Row],[Selling_Price_per_Unit]])*100</f>
        <v>24.074363880496811</v>
      </c>
      <c r="V794" s="6">
        <f>Table1[[#This Row],[Units_Sold]]*Table1[[#This Row],[Selling_Price_per_Unit]]</f>
        <v>28300500</v>
      </c>
      <c r="W794" s="7">
        <f>(Table1[[#This Row],[Units_Sold]]/$Z$1)</f>
        <v>0.33133478066238126</v>
      </c>
      <c r="X794" s="8">
        <f>((Table1[[#This Row],[Units_Sold]]*(Table1[[#This Row],[Selling_Price_per_Unit]]-Table1[[#This Row],[Manufacturing_Cost_per_Unit]]))-Table1[[#This Row],[Marketing_Spend]])/Table1[[#This Row],[Marketing_Spend]]</f>
        <v>22.46225236303933</v>
      </c>
    </row>
    <row r="795" spans="1:24" hidden="1" x14ac:dyDescent="0.3">
      <c r="A795" s="1" t="s">
        <v>812</v>
      </c>
      <c r="B795" s="1" t="s">
        <v>1549</v>
      </c>
      <c r="C795" s="1" t="s">
        <v>1634</v>
      </c>
      <c r="D795" s="1" t="s">
        <v>1635</v>
      </c>
      <c r="E795" s="1">
        <v>2024</v>
      </c>
      <c r="F795" s="1" t="s">
        <v>1642</v>
      </c>
      <c r="G795" s="1">
        <v>2613</v>
      </c>
      <c r="H795" s="1">
        <v>10136</v>
      </c>
      <c r="I795" s="1">
        <v>5541</v>
      </c>
      <c r="J795" s="1">
        <v>245877</v>
      </c>
      <c r="K795" s="1">
        <v>3.55</v>
      </c>
      <c r="L795" s="1">
        <v>15</v>
      </c>
      <c r="M795" s="1">
        <v>5.69</v>
      </c>
      <c r="N795" s="1">
        <v>5.96</v>
      </c>
      <c r="O795" s="1">
        <v>23.62</v>
      </c>
      <c r="P795" s="1">
        <v>4.8</v>
      </c>
      <c r="Q795" s="1">
        <v>3402</v>
      </c>
      <c r="R795" s="1">
        <v>1929</v>
      </c>
      <c r="S795" s="1">
        <v>2</v>
      </c>
      <c r="T795" s="1">
        <f>(Table1[[#This Row],[Selling_Price_per_Unit]]-Table1[[#This Row],[Manufacturing_Cost_per_Unit]])*Table1[[#This Row],[Units_Sold]]-Table1[[#This Row],[Marketing_Spend]]-Table1[[#This Row],[Discount_%]]</f>
        <v>11760852.039999999</v>
      </c>
      <c r="U795" s="3">
        <f>Table1[[#This Row],[profit]]/(Table1[[#This Row],[Units_Sold]]*Table1[[#This Row],[Selling_Price_per_Unit]])*100</f>
        <v>44.405092049315684</v>
      </c>
      <c r="V795" s="6">
        <f>Table1[[#This Row],[Units_Sold]]*Table1[[#This Row],[Selling_Price_per_Unit]]</f>
        <v>26485368</v>
      </c>
      <c r="W795" s="7">
        <f>(Table1[[#This Row],[Units_Sold]]/$Z$1)</f>
        <v>0.52312856910622485</v>
      </c>
      <c r="X795" s="8">
        <f>((Table1[[#This Row],[Units_Sold]]*(Table1[[#This Row],[Selling_Price_per_Unit]]-Table1[[#This Row],[Manufacturing_Cost_per_Unit]]))-Table1[[#This Row],[Marketing_Spend]])/Table1[[#This Row],[Marketing_Spend]]</f>
        <v>47.832281994655865</v>
      </c>
    </row>
    <row r="796" spans="1:24" hidden="1" x14ac:dyDescent="0.3">
      <c r="A796" s="1" t="s">
        <v>813</v>
      </c>
      <c r="B796" s="1" t="s">
        <v>1288</v>
      </c>
      <c r="C796" s="1" t="s">
        <v>1632</v>
      </c>
      <c r="D796" s="1" t="s">
        <v>1636</v>
      </c>
      <c r="E796" s="1">
        <v>2023</v>
      </c>
      <c r="F796" s="1" t="s">
        <v>1640</v>
      </c>
      <c r="G796" s="1">
        <v>3471</v>
      </c>
      <c r="H796" s="1">
        <v>7941</v>
      </c>
      <c r="I796" s="1">
        <v>8218</v>
      </c>
      <c r="J796" s="1">
        <v>356749</v>
      </c>
      <c r="K796" s="1">
        <v>10.16</v>
      </c>
      <c r="L796" s="1">
        <v>11</v>
      </c>
      <c r="M796" s="1">
        <v>0.02</v>
      </c>
      <c r="N796" s="1">
        <v>9.7200000000000006</v>
      </c>
      <c r="O796" s="1">
        <v>31.74</v>
      </c>
      <c r="P796" s="1">
        <v>4.5</v>
      </c>
      <c r="Q796" s="1">
        <v>4067</v>
      </c>
      <c r="R796" s="1">
        <v>3851</v>
      </c>
      <c r="S796" s="1">
        <v>4</v>
      </c>
      <c r="T796" s="1">
        <f>(Table1[[#This Row],[Selling_Price_per_Unit]]-Table1[[#This Row],[Manufacturing_Cost_per_Unit]])*Table1[[#This Row],[Units_Sold]]-Table1[[#This Row],[Marketing_Spend]]-Table1[[#This Row],[Discount_%]]</f>
        <v>-1318225.72</v>
      </c>
      <c r="U796" s="3">
        <f>Table1[[#This Row],[profit]]/(Table1[[#This Row],[Units_Sold]]*Table1[[#This Row],[Selling_Price_per_Unit]])*100</f>
        <v>-4.7825549788085286</v>
      </c>
      <c r="V796" s="6">
        <f>Table1[[#This Row],[Units_Sold]]*Table1[[#This Row],[Selling_Price_per_Unit]]</f>
        <v>27563211</v>
      </c>
      <c r="W796" s="7">
        <f>(Table1[[#This Row],[Units_Sold]]/$Z$1)</f>
        <v>0.69490212911125393</v>
      </c>
      <c r="X796" s="8">
        <f>((Table1[[#This Row],[Units_Sold]]*(Table1[[#This Row],[Selling_Price_per_Unit]]-Table1[[#This Row],[Manufacturing_Cost_per_Unit]]))-Table1[[#This Row],[Marketing_Spend]])/Table1[[#This Row],[Marketing_Spend]]</f>
        <v>-3.6950797339305788</v>
      </c>
    </row>
    <row r="797" spans="1:24" hidden="1" x14ac:dyDescent="0.3">
      <c r="A797" s="1" t="s">
        <v>814</v>
      </c>
      <c r="B797" s="1" t="s">
        <v>1550</v>
      </c>
      <c r="C797" s="1" t="s">
        <v>1634</v>
      </c>
      <c r="D797" s="1" t="s">
        <v>1638</v>
      </c>
      <c r="E797" s="1">
        <v>2024</v>
      </c>
      <c r="F797" s="1" t="s">
        <v>1642</v>
      </c>
      <c r="G797" s="1">
        <v>3567</v>
      </c>
      <c r="H797" s="1">
        <v>11167</v>
      </c>
      <c r="I797" s="1">
        <v>7162</v>
      </c>
      <c r="J797" s="1">
        <v>396709</v>
      </c>
      <c r="K797" s="1">
        <v>8.49</v>
      </c>
      <c r="L797" s="1">
        <v>7</v>
      </c>
      <c r="M797" s="1">
        <v>2.61</v>
      </c>
      <c r="N797" s="1">
        <v>11.09</v>
      </c>
      <c r="O797" s="1">
        <v>27.02</v>
      </c>
      <c r="P797" s="1">
        <v>2.2000000000000002</v>
      </c>
      <c r="Q797" s="1">
        <v>11690</v>
      </c>
      <c r="R797" s="1">
        <v>6181</v>
      </c>
      <c r="S797" s="1">
        <v>6</v>
      </c>
      <c r="T797" s="1">
        <f>(Table1[[#This Row],[Selling_Price_per_Unit]]-Table1[[#This Row],[Manufacturing_Cost_per_Unit]])*Table1[[#This Row],[Units_Sold]]-Table1[[#This Row],[Marketing_Spend]]-Table1[[#This Row],[Discount_%]]</f>
        <v>13889114.91</v>
      </c>
      <c r="U797" s="3">
        <f>Table1[[#This Row],[profit]]/(Table1[[#This Row],[Units_Sold]]*Table1[[#This Row],[Selling_Price_per_Unit]])*100</f>
        <v>34.868634929467099</v>
      </c>
      <c r="V797" s="6">
        <f>Table1[[#This Row],[Units_Sold]]*Table1[[#This Row],[Selling_Price_per_Unit]]</f>
        <v>39832689</v>
      </c>
      <c r="W797" s="7">
        <f>(Table1[[#This Row],[Units_Sold]]/$Z$1)</f>
        <v>0.71412154841251596</v>
      </c>
      <c r="X797" s="8">
        <f>((Table1[[#This Row],[Units_Sold]]*(Table1[[#This Row],[Selling_Price_per_Unit]]-Table1[[#This Row],[Manufacturing_Cost_per_Unit]]))-Table1[[#This Row],[Marketing_Spend]])/Table1[[#This Row],[Marketing_Spend]]</f>
        <v>35.010866907481301</v>
      </c>
    </row>
    <row r="798" spans="1:24" hidden="1" x14ac:dyDescent="0.3">
      <c r="A798" s="1" t="s">
        <v>339</v>
      </c>
      <c r="B798" s="1" t="s">
        <v>1294</v>
      </c>
      <c r="C798" s="1" t="s">
        <v>1632</v>
      </c>
      <c r="D798" s="1" t="s">
        <v>1636</v>
      </c>
      <c r="E798" s="1">
        <v>2024</v>
      </c>
      <c r="F798" s="1" t="s">
        <v>1642</v>
      </c>
      <c r="G798" s="1">
        <v>2856</v>
      </c>
      <c r="H798" s="1">
        <v>15413</v>
      </c>
      <c r="I798" s="1">
        <v>8121</v>
      </c>
      <c r="J798" s="1">
        <v>194063</v>
      </c>
      <c r="K798" s="1">
        <v>2.41</v>
      </c>
      <c r="L798" s="1">
        <v>11</v>
      </c>
      <c r="M798" s="1">
        <v>9.2899999999999991</v>
      </c>
      <c r="N798" s="1">
        <v>6.52</v>
      </c>
      <c r="O798" s="1">
        <v>28.25</v>
      </c>
      <c r="P798" s="1">
        <v>1.8</v>
      </c>
      <c r="Q798" s="1">
        <v>11864</v>
      </c>
      <c r="R798" s="1">
        <v>3767</v>
      </c>
      <c r="S798" s="1">
        <v>10</v>
      </c>
      <c r="T798" s="1">
        <f>(Table1[[#This Row],[Selling_Price_per_Unit]]-Table1[[#This Row],[Manufacturing_Cost_per_Unit]])*Table1[[#This Row],[Units_Sold]]-Table1[[#This Row],[Marketing_Spend]]-Table1[[#This Row],[Discount_%]]</f>
        <v>20631882.48</v>
      </c>
      <c r="U798" s="3">
        <f>Table1[[#This Row],[profit]]/(Table1[[#This Row],[Units_Sold]]*Table1[[#This Row],[Selling_Price_per_Unit]])*100</f>
        <v>46.869840312690314</v>
      </c>
      <c r="V798" s="6">
        <f>Table1[[#This Row],[Units_Sold]]*Table1[[#This Row],[Selling_Price_per_Unit]]</f>
        <v>44019528</v>
      </c>
      <c r="W798" s="7">
        <f>(Table1[[#This Row],[Units_Sold]]/$Z$1)</f>
        <v>0.57177772421254436</v>
      </c>
      <c r="X798" s="8">
        <f>((Table1[[#This Row],[Units_Sold]]*(Table1[[#This Row],[Selling_Price_per_Unit]]-Table1[[#This Row],[Manufacturing_Cost_per_Unit]]))-Table1[[#This Row],[Marketing_Spend]])/Table1[[#This Row],[Marketing_Spend]]</f>
        <v>106.31541818893865</v>
      </c>
    </row>
    <row r="799" spans="1:24" x14ac:dyDescent="0.3">
      <c r="A799" s="1" t="s">
        <v>816</v>
      </c>
      <c r="B799" s="1" t="s">
        <v>1344</v>
      </c>
      <c r="C799" s="1" t="s">
        <v>1632</v>
      </c>
      <c r="D799" s="1" t="s">
        <v>1638</v>
      </c>
      <c r="E799" s="1">
        <v>2024</v>
      </c>
      <c r="F799" s="1" t="s">
        <v>1639</v>
      </c>
      <c r="G799" s="1">
        <v>3785</v>
      </c>
      <c r="H799" s="1">
        <v>3298</v>
      </c>
      <c r="I799" s="1">
        <v>10458</v>
      </c>
      <c r="J799" s="1">
        <v>343577</v>
      </c>
      <c r="K799" s="1">
        <v>5.81</v>
      </c>
      <c r="L799" s="1">
        <v>1</v>
      </c>
      <c r="M799" s="1">
        <v>7.22</v>
      </c>
      <c r="N799" s="1">
        <v>10.28</v>
      </c>
      <c r="O799" s="1">
        <v>50.29</v>
      </c>
      <c r="P799" s="1">
        <v>2.7</v>
      </c>
      <c r="Q799" s="1">
        <v>4494</v>
      </c>
      <c r="R799" s="1">
        <v>4559</v>
      </c>
      <c r="S799" s="1">
        <v>5</v>
      </c>
      <c r="T799" s="1">
        <f>(Table1[[#This Row],[Selling_Price_per_Unit]]-Table1[[#This Row],[Manufacturing_Cost_per_Unit]])*Table1[[#This Row],[Units_Sold]]-Table1[[#This Row],[Marketing_Spend]]-Table1[[#This Row],[Discount_%]]</f>
        <v>-27444187.280000001</v>
      </c>
      <c r="U799" s="3">
        <f>Table1[[#This Row],[profit]]/(Table1[[#This Row],[Units_Sold]]*Table1[[#This Row],[Selling_Price_per_Unit]])*100</f>
        <v>-219.85373049436311</v>
      </c>
      <c r="V799" s="6">
        <f>Table1[[#This Row],[Units_Sold]]*Table1[[#This Row],[Selling_Price_per_Unit]]</f>
        <v>12482930</v>
      </c>
      <c r="W799" s="7">
        <f>(Table1[[#This Row],[Units_Sold]]/$Z$1)</f>
        <v>0.75776564640913169</v>
      </c>
      <c r="X799" s="8">
        <f>((Table1[[#This Row],[Units_Sold]]*(Table1[[#This Row],[Selling_Price_per_Unit]]-Table1[[#This Row],[Manufacturing_Cost_per_Unit]]))-Table1[[#This Row],[Marketing_Spend]])/Table1[[#This Row],[Marketing_Spend]]</f>
        <v>-79.877806139526214</v>
      </c>
    </row>
    <row r="800" spans="1:24" hidden="1" x14ac:dyDescent="0.3">
      <c r="A800" s="1" t="s">
        <v>105</v>
      </c>
      <c r="B800" s="1" t="s">
        <v>1100</v>
      </c>
      <c r="C800" s="1" t="s">
        <v>1633</v>
      </c>
      <c r="D800" s="1" t="s">
        <v>1635</v>
      </c>
      <c r="E800" s="1">
        <v>2023</v>
      </c>
      <c r="F800" s="1" t="s">
        <v>1641</v>
      </c>
      <c r="G800" s="1">
        <v>2745</v>
      </c>
      <c r="H800" s="1">
        <v>19439</v>
      </c>
      <c r="I800" s="1">
        <v>11841</v>
      </c>
      <c r="J800" s="1">
        <v>274605</v>
      </c>
      <c r="K800" s="1">
        <v>12.58</v>
      </c>
      <c r="L800" s="1">
        <v>16</v>
      </c>
      <c r="M800" s="1">
        <v>4.3899999999999997</v>
      </c>
      <c r="N800" s="1">
        <v>22.82</v>
      </c>
      <c r="O800" s="1">
        <v>72.27</v>
      </c>
      <c r="P800" s="1">
        <v>2.6</v>
      </c>
      <c r="Q800" s="1">
        <v>10613</v>
      </c>
      <c r="R800" s="1">
        <v>3198</v>
      </c>
      <c r="S800" s="1">
        <v>12</v>
      </c>
      <c r="T800" s="1">
        <f>(Table1[[#This Row],[Selling_Price_per_Unit]]-Table1[[#This Row],[Manufacturing_Cost_per_Unit]])*Table1[[#This Row],[Units_Sold]]-Table1[[#This Row],[Marketing_Spend]]-Table1[[#This Row],[Discount_%]]</f>
        <v>20581882.18</v>
      </c>
      <c r="U800" s="3">
        <f>Table1[[#This Row],[profit]]/(Table1[[#This Row],[Units_Sold]]*Table1[[#This Row],[Selling_Price_per_Unit]])*100</f>
        <v>38.571703458701457</v>
      </c>
      <c r="V800" s="6">
        <f>Table1[[#This Row],[Units_Sold]]*Table1[[#This Row],[Selling_Price_per_Unit]]</f>
        <v>53360055</v>
      </c>
      <c r="W800" s="7">
        <f>(Table1[[#This Row],[Units_Sold]]/$Z$1)</f>
        <v>0.54955527064546017</v>
      </c>
      <c r="X800" s="8">
        <f>((Table1[[#This Row],[Units_Sold]]*(Table1[[#This Row],[Selling_Price_per_Unit]]-Table1[[#This Row],[Manufacturing_Cost_per_Unit]]))-Table1[[#This Row],[Marketing_Spend]])/Table1[[#This Row],[Marketing_Spend]]</f>
        <v>74.950947724913974</v>
      </c>
    </row>
    <row r="801" spans="1:24" hidden="1" x14ac:dyDescent="0.3">
      <c r="A801" s="1" t="s">
        <v>818</v>
      </c>
      <c r="B801" s="1" t="s">
        <v>1474</v>
      </c>
      <c r="C801" s="1" t="s">
        <v>1632</v>
      </c>
      <c r="D801" s="1" t="s">
        <v>1635</v>
      </c>
      <c r="E801" s="1">
        <v>2023</v>
      </c>
      <c r="F801" s="1" t="s">
        <v>1639</v>
      </c>
      <c r="G801" s="1">
        <v>1210</v>
      </c>
      <c r="H801" s="1">
        <v>6995</v>
      </c>
      <c r="I801" s="1">
        <v>2177</v>
      </c>
      <c r="J801" s="1">
        <v>379612</v>
      </c>
      <c r="K801" s="1">
        <v>0.28999999999999998</v>
      </c>
      <c r="L801" s="1">
        <v>5</v>
      </c>
      <c r="M801" s="1">
        <v>5.47</v>
      </c>
      <c r="N801" s="1">
        <v>13.11</v>
      </c>
      <c r="O801" s="1">
        <v>86.21</v>
      </c>
      <c r="P801" s="1">
        <v>1.1000000000000001</v>
      </c>
      <c r="Q801" s="1">
        <v>3510</v>
      </c>
      <c r="R801" s="1">
        <v>6282</v>
      </c>
      <c r="S801" s="1">
        <v>8</v>
      </c>
      <c r="T801" s="1">
        <f>(Table1[[#This Row],[Selling_Price_per_Unit]]-Table1[[#This Row],[Manufacturing_Cost_per_Unit]])*Table1[[#This Row],[Units_Sold]]-Table1[[#This Row],[Marketing_Spend]]-Table1[[#This Row],[Discount_%]]</f>
        <v>5450154.8899999997</v>
      </c>
      <c r="U801" s="3">
        <f>Table1[[#This Row],[profit]]/(Table1[[#This Row],[Units_Sold]]*Table1[[#This Row],[Selling_Price_per_Unit]])*100</f>
        <v>64.392569544952423</v>
      </c>
      <c r="V801" s="6">
        <f>Table1[[#This Row],[Units_Sold]]*Table1[[#This Row],[Selling_Price_per_Unit]]</f>
        <v>8463950</v>
      </c>
      <c r="W801" s="7">
        <f>(Table1[[#This Row],[Units_Sold]]/$Z$1)</f>
        <v>0.24224476410965637</v>
      </c>
      <c r="X801" s="8">
        <f>((Table1[[#This Row],[Units_Sold]]*(Table1[[#This Row],[Selling_Price_per_Unit]]-Table1[[#This Row],[Manufacturing_Cost_per_Unit]]))-Table1[[#This Row],[Marketing_Spend]])/Table1[[#This Row],[Marketing_Spend]]</f>
        <v>14.357206832239234</v>
      </c>
    </row>
    <row r="802" spans="1:24" x14ac:dyDescent="0.3">
      <c r="A802" s="1" t="s">
        <v>249</v>
      </c>
      <c r="B802" s="1" t="s">
        <v>1223</v>
      </c>
      <c r="C802" s="1" t="s">
        <v>1634</v>
      </c>
      <c r="D802" s="1" t="s">
        <v>1637</v>
      </c>
      <c r="E802" s="1">
        <v>2023</v>
      </c>
      <c r="F802" s="1" t="s">
        <v>1642</v>
      </c>
      <c r="G802" s="1">
        <v>4732</v>
      </c>
      <c r="H802" s="1">
        <v>17275</v>
      </c>
      <c r="I802" s="1">
        <v>12860</v>
      </c>
      <c r="J802" s="1">
        <v>311973</v>
      </c>
      <c r="K802" s="1">
        <v>4.0599999999999996</v>
      </c>
      <c r="L802" s="1">
        <v>1</v>
      </c>
      <c r="M802" s="1">
        <v>4.87</v>
      </c>
      <c r="N802" s="1">
        <v>2.5099999999999998</v>
      </c>
      <c r="O802" s="1">
        <v>78.95</v>
      </c>
      <c r="P802" s="1">
        <v>1.4</v>
      </c>
      <c r="Q802" s="1">
        <v>15769</v>
      </c>
      <c r="R802" s="1">
        <v>5279</v>
      </c>
      <c r="S802" s="1">
        <v>14</v>
      </c>
      <c r="T802" s="1">
        <f>(Table1[[#This Row],[Selling_Price_per_Unit]]-Table1[[#This Row],[Manufacturing_Cost_per_Unit]])*Table1[[#This Row],[Units_Sold]]-Table1[[#This Row],[Marketing_Spend]]-Table1[[#This Row],[Discount_%]]</f>
        <v>20579804.489999998</v>
      </c>
      <c r="U802" s="3">
        <f>Table1[[#This Row],[profit]]/(Table1[[#This Row],[Units_Sold]]*Table1[[#This Row],[Selling_Price_per_Unit]])*100</f>
        <v>25.175520170578615</v>
      </c>
      <c r="V802" s="6">
        <f>Table1[[#This Row],[Units_Sold]]*Table1[[#This Row],[Selling_Price_per_Unit]]</f>
        <v>81745300</v>
      </c>
      <c r="W802" s="7">
        <f>(Table1[[#This Row],[Units_Sold]]/$Z$1)</f>
        <v>0.94735720972470583</v>
      </c>
      <c r="X802" s="8">
        <f>((Table1[[#This Row],[Units_Sold]]*(Table1[[#This Row],[Selling_Price_per_Unit]]-Table1[[#This Row],[Manufacturing_Cost_per_Unit]]))-Table1[[#This Row],[Marketing_Spend]])/Table1[[#This Row],[Marketing_Spend]]</f>
        <v>65.966628522340073</v>
      </c>
    </row>
    <row r="803" spans="1:24" hidden="1" x14ac:dyDescent="0.3">
      <c r="A803" s="1" t="s">
        <v>820</v>
      </c>
      <c r="B803" s="1" t="s">
        <v>1534</v>
      </c>
      <c r="C803" s="1" t="s">
        <v>1633</v>
      </c>
      <c r="D803" s="1" t="s">
        <v>1637</v>
      </c>
      <c r="E803" s="1">
        <v>2023</v>
      </c>
      <c r="F803" s="1" t="s">
        <v>1639</v>
      </c>
      <c r="G803" s="1">
        <v>292</v>
      </c>
      <c r="H803" s="1">
        <v>15173</v>
      </c>
      <c r="I803" s="1">
        <v>3397</v>
      </c>
      <c r="J803" s="1">
        <v>379437</v>
      </c>
      <c r="K803" s="1">
        <v>7.87</v>
      </c>
      <c r="L803" s="1">
        <v>8</v>
      </c>
      <c r="M803" s="1">
        <v>4.45</v>
      </c>
      <c r="N803" s="1">
        <v>15.19</v>
      </c>
      <c r="O803" s="1">
        <v>50.51</v>
      </c>
      <c r="P803" s="1">
        <v>3.2</v>
      </c>
      <c r="Q803" s="1">
        <v>14536</v>
      </c>
      <c r="R803" s="1">
        <v>8070</v>
      </c>
      <c r="S803" s="1">
        <v>3</v>
      </c>
      <c r="T803" s="1">
        <f>(Table1[[#This Row],[Selling_Price_per_Unit]]-Table1[[#This Row],[Manufacturing_Cost_per_Unit]])*Table1[[#This Row],[Units_Sold]]-Table1[[#This Row],[Marketing_Spend]]-Table1[[#This Row],[Discount_%]]</f>
        <v>3059139.81</v>
      </c>
      <c r="U803" s="3">
        <f>Table1[[#This Row],[profit]]/(Table1[[#This Row],[Units_Sold]]*Table1[[#This Row],[Selling_Price_per_Unit]])*100</f>
        <v>69.047032219271969</v>
      </c>
      <c r="V803" s="6">
        <f>Table1[[#This Row],[Units_Sold]]*Table1[[#This Row],[Selling_Price_per_Unit]]</f>
        <v>4430516</v>
      </c>
      <c r="W803" s="7">
        <f>(Table1[[#This Row],[Units_Sold]]/$Z$1)</f>
        <v>5.8459067041338568E-2</v>
      </c>
      <c r="X803" s="8">
        <f>((Table1[[#This Row],[Units_Sold]]*(Table1[[#This Row],[Selling_Price_per_Unit]]-Table1[[#This Row],[Manufacturing_Cost_per_Unit]]))-Table1[[#This Row],[Marketing_Spend]])/Table1[[#This Row],[Marketing_Spend]]</f>
        <v>8.0623529070702116</v>
      </c>
    </row>
    <row r="804" spans="1:24" hidden="1" x14ac:dyDescent="0.3">
      <c r="A804" s="1" t="s">
        <v>329</v>
      </c>
      <c r="B804" s="1" t="s">
        <v>1288</v>
      </c>
      <c r="C804" s="1" t="s">
        <v>1632</v>
      </c>
      <c r="D804" s="1" t="s">
        <v>1636</v>
      </c>
      <c r="E804" s="1">
        <v>2024</v>
      </c>
      <c r="F804" s="1" t="s">
        <v>1639</v>
      </c>
      <c r="G804" s="1">
        <v>2951</v>
      </c>
      <c r="H804" s="1">
        <v>15274</v>
      </c>
      <c r="I804" s="1">
        <v>8178</v>
      </c>
      <c r="J804" s="1">
        <v>418377</v>
      </c>
      <c r="K804" s="1">
        <v>8.3000000000000007</v>
      </c>
      <c r="L804" s="1">
        <v>16</v>
      </c>
      <c r="M804" s="1">
        <v>8.2799999999999994</v>
      </c>
      <c r="N804" s="1">
        <v>0.78</v>
      </c>
      <c r="O804" s="1">
        <v>29.9</v>
      </c>
      <c r="P804" s="1">
        <v>1.2</v>
      </c>
      <c r="Q804" s="1">
        <v>2097</v>
      </c>
      <c r="R804" s="1">
        <v>4245</v>
      </c>
      <c r="S804" s="1">
        <v>10</v>
      </c>
      <c r="T804" s="1">
        <f>(Table1[[#This Row],[Selling_Price_per_Unit]]-Table1[[#This Row],[Manufacturing_Cost_per_Unit]])*Table1[[#This Row],[Units_Sold]]-Table1[[#This Row],[Marketing_Spend]]-Table1[[#This Row],[Discount_%]]</f>
        <v>20521918.219999999</v>
      </c>
      <c r="U804" s="3">
        <f>Table1[[#This Row],[profit]]/(Table1[[#This Row],[Units_Sold]]*Table1[[#This Row],[Selling_Price_per_Unit]])*100</f>
        <v>45.529822463157679</v>
      </c>
      <c r="V804" s="6">
        <f>Table1[[#This Row],[Units_Sold]]*Table1[[#This Row],[Selling_Price_per_Unit]]</f>
        <v>45073574</v>
      </c>
      <c r="W804" s="7">
        <f>(Table1[[#This Row],[Units_Sold]]/$Z$1)</f>
        <v>0.59079694122941817</v>
      </c>
      <c r="X804" s="8">
        <f>((Table1[[#This Row],[Units_Sold]]*(Table1[[#This Row],[Selling_Price_per_Unit]]-Table1[[#This Row],[Manufacturing_Cost_per_Unit]]))-Table1[[#This Row],[Marketing_Spend]])/Table1[[#This Row],[Marketing_Spend]]</f>
        <v>49.051259988001256</v>
      </c>
    </row>
    <row r="805" spans="1:24" hidden="1" x14ac:dyDescent="0.3">
      <c r="A805" s="1" t="s">
        <v>822</v>
      </c>
      <c r="B805" s="1" t="s">
        <v>1553</v>
      </c>
      <c r="C805" s="1" t="s">
        <v>1633</v>
      </c>
      <c r="D805" s="1" t="s">
        <v>1637</v>
      </c>
      <c r="E805" s="1">
        <v>2023</v>
      </c>
      <c r="F805" s="1" t="s">
        <v>1641</v>
      </c>
      <c r="G805" s="1">
        <v>1113</v>
      </c>
      <c r="H805" s="1">
        <v>16722</v>
      </c>
      <c r="I805" s="1">
        <v>3459</v>
      </c>
      <c r="J805" s="1">
        <v>481069</v>
      </c>
      <c r="K805" s="1">
        <v>3.52</v>
      </c>
      <c r="L805" s="1">
        <v>10</v>
      </c>
      <c r="M805" s="1">
        <v>4.49</v>
      </c>
      <c r="N805" s="1">
        <v>21.03</v>
      </c>
      <c r="O805" s="1">
        <v>32.1</v>
      </c>
      <c r="P805" s="1">
        <v>4.7</v>
      </c>
      <c r="Q805" s="1">
        <v>1548</v>
      </c>
      <c r="R805" s="1">
        <v>6338</v>
      </c>
      <c r="S805" s="1">
        <v>3</v>
      </c>
      <c r="T805" s="1">
        <f>(Table1[[#This Row],[Selling_Price_per_Unit]]-Table1[[#This Row],[Manufacturing_Cost_per_Unit]])*Table1[[#This Row],[Units_Sold]]-Table1[[#This Row],[Marketing_Spend]]-Table1[[#This Row],[Discount_%]]</f>
        <v>14280628.970000001</v>
      </c>
      <c r="U805" s="3">
        <f>Table1[[#This Row],[profit]]/(Table1[[#This Row],[Units_Sold]]*Table1[[#This Row],[Selling_Price_per_Unit]])*100</f>
        <v>76.729779880124141</v>
      </c>
      <c r="V805" s="6">
        <f>Table1[[#This Row],[Units_Sold]]*Table1[[#This Row],[Selling_Price_per_Unit]]</f>
        <v>18611586</v>
      </c>
      <c r="W805" s="7">
        <f>(Table1[[#This Row],[Units_Sold]]/$Z$1)</f>
        <v>0.22282514252400623</v>
      </c>
      <c r="X805" s="8">
        <f>((Table1[[#This Row],[Units_Sold]]*(Table1[[#This Row],[Selling_Price_per_Unit]]-Table1[[#This Row],[Manufacturing_Cost_per_Unit]]))-Table1[[#This Row],[Marketing_Spend]])/Table1[[#This Row],[Marketing_Spend]]</f>
        <v>29.685242657498197</v>
      </c>
    </row>
    <row r="806" spans="1:24" x14ac:dyDescent="0.3">
      <c r="A806" s="1" t="s">
        <v>823</v>
      </c>
      <c r="B806" s="1" t="s">
        <v>1421</v>
      </c>
      <c r="C806" s="1" t="s">
        <v>1633</v>
      </c>
      <c r="D806" s="1" t="s">
        <v>1635</v>
      </c>
      <c r="E806" s="1">
        <v>2023</v>
      </c>
      <c r="F806" s="1" t="s">
        <v>1641</v>
      </c>
      <c r="G806" s="1">
        <v>4374</v>
      </c>
      <c r="H806" s="1">
        <v>2800</v>
      </c>
      <c r="I806" s="1">
        <v>5396</v>
      </c>
      <c r="J806" s="1">
        <v>350549</v>
      </c>
      <c r="K806" s="1">
        <v>5.18</v>
      </c>
      <c r="L806" s="1">
        <v>6</v>
      </c>
      <c r="M806" s="1">
        <v>2.96</v>
      </c>
      <c r="N806" s="1">
        <v>0.9</v>
      </c>
      <c r="O806" s="1">
        <v>73.39</v>
      </c>
      <c r="P806" s="1">
        <v>3.7</v>
      </c>
      <c r="Q806" s="1">
        <v>5710</v>
      </c>
      <c r="R806" s="1">
        <v>3132</v>
      </c>
      <c r="S806" s="1">
        <v>14</v>
      </c>
      <c r="T806" s="1">
        <f>(Table1[[#This Row],[Selling_Price_per_Unit]]-Table1[[#This Row],[Manufacturing_Cost_per_Unit]])*Table1[[#This Row],[Units_Sold]]-Table1[[#This Row],[Marketing_Spend]]-Table1[[#This Row],[Discount_%]]</f>
        <v>-11705453.9</v>
      </c>
      <c r="U806" s="3">
        <f>Table1[[#This Row],[profit]]/(Table1[[#This Row],[Units_Sold]]*Table1[[#This Row],[Selling_Price_per_Unit]])*100</f>
        <v>-95.576571787837224</v>
      </c>
      <c r="V806" s="6">
        <f>Table1[[#This Row],[Units_Sold]]*Table1[[#This Row],[Selling_Price_per_Unit]]</f>
        <v>12247200</v>
      </c>
      <c r="W806" s="7">
        <f>(Table1[[#This Row],[Units_Sold]]/$Z$1)</f>
        <v>0.87568479191374959</v>
      </c>
      <c r="X806" s="8">
        <f>((Table1[[#This Row],[Units_Sold]]*(Table1[[#This Row],[Selling_Price_per_Unit]]-Table1[[#This Row],[Manufacturing_Cost_per_Unit]]))-Table1[[#This Row],[Marketing_Spend]])/Table1[[#This Row],[Marketing_Spend]]</f>
        <v>-33.391774045853786</v>
      </c>
    </row>
    <row r="807" spans="1:24" hidden="1" x14ac:dyDescent="0.3">
      <c r="A807" s="1" t="s">
        <v>824</v>
      </c>
      <c r="B807" s="1" t="s">
        <v>1097</v>
      </c>
      <c r="C807" s="1" t="s">
        <v>1632</v>
      </c>
      <c r="D807" s="1" t="s">
        <v>1635</v>
      </c>
      <c r="E807" s="1">
        <v>2023</v>
      </c>
      <c r="F807" s="1" t="s">
        <v>1642</v>
      </c>
      <c r="G807" s="1">
        <v>2645</v>
      </c>
      <c r="H807" s="1">
        <v>10935</v>
      </c>
      <c r="I807" s="1">
        <v>9831</v>
      </c>
      <c r="J807" s="1">
        <v>93527</v>
      </c>
      <c r="K807" s="1">
        <v>0.45</v>
      </c>
      <c r="L807" s="1">
        <v>9</v>
      </c>
      <c r="M807" s="1">
        <v>9.3000000000000007</v>
      </c>
      <c r="N807" s="1">
        <v>16.46</v>
      </c>
      <c r="O807" s="1">
        <v>28.02</v>
      </c>
      <c r="P807" s="1">
        <v>3.8</v>
      </c>
      <c r="Q807" s="1">
        <v>19062</v>
      </c>
      <c r="R807" s="1">
        <v>1648</v>
      </c>
      <c r="S807" s="1">
        <v>10</v>
      </c>
      <c r="T807" s="1">
        <f>(Table1[[#This Row],[Selling_Price_per_Unit]]-Table1[[#This Row],[Manufacturing_Cost_per_Unit]])*Table1[[#This Row],[Units_Sold]]-Table1[[#This Row],[Marketing_Spend]]-Table1[[#This Row],[Discount_%]]</f>
        <v>2826536.54</v>
      </c>
      <c r="U807" s="3">
        <f>Table1[[#This Row],[profit]]/(Table1[[#This Row],[Units_Sold]]*Table1[[#This Row],[Selling_Price_per_Unit]])*100</f>
        <v>9.7726003891356648</v>
      </c>
      <c r="V807" s="6">
        <f>Table1[[#This Row],[Units_Sold]]*Table1[[#This Row],[Selling_Price_per_Unit]]</f>
        <v>28923075</v>
      </c>
      <c r="W807" s="7">
        <f>(Table1[[#This Row],[Units_Sold]]/$Z$1)</f>
        <v>0.5295350422066456</v>
      </c>
      <c r="X807" s="8">
        <f>((Table1[[#This Row],[Units_Sold]]*(Table1[[#This Row],[Selling_Price_per_Unit]]-Table1[[#This Row],[Manufacturing_Cost_per_Unit]]))-Table1[[#This Row],[Marketing_Spend]])/Table1[[#This Row],[Marketing_Spend]]</f>
        <v>30.221786222160446</v>
      </c>
    </row>
    <row r="808" spans="1:24" hidden="1" x14ac:dyDescent="0.3">
      <c r="A808" s="1" t="s">
        <v>825</v>
      </c>
      <c r="B808" s="1" t="s">
        <v>1554</v>
      </c>
      <c r="C808" s="1" t="s">
        <v>1633</v>
      </c>
      <c r="D808" s="1" t="s">
        <v>1637</v>
      </c>
      <c r="E808" s="1">
        <v>2023</v>
      </c>
      <c r="F808" s="1" t="s">
        <v>1641</v>
      </c>
      <c r="G808" s="1">
        <v>969</v>
      </c>
      <c r="H808" s="1">
        <v>6116</v>
      </c>
      <c r="I808" s="1">
        <v>12610</v>
      </c>
      <c r="J808" s="1">
        <v>389371</v>
      </c>
      <c r="K808" s="1">
        <v>14.42</v>
      </c>
      <c r="L808" s="1">
        <v>9</v>
      </c>
      <c r="M808" s="1">
        <v>1.25</v>
      </c>
      <c r="N808" s="1">
        <v>7.17</v>
      </c>
      <c r="O808" s="1">
        <v>64.52</v>
      </c>
      <c r="P808" s="1">
        <v>4.0999999999999996</v>
      </c>
      <c r="Q808" s="1">
        <v>16338</v>
      </c>
      <c r="R808" s="1">
        <v>8659</v>
      </c>
      <c r="S808" s="1">
        <v>6</v>
      </c>
      <c r="T808" s="1">
        <f>(Table1[[#This Row],[Selling_Price_per_Unit]]-Table1[[#This Row],[Manufacturing_Cost_per_Unit]])*Table1[[#This Row],[Units_Sold]]-Table1[[#This Row],[Marketing_Spend]]-Table1[[#This Row],[Discount_%]]</f>
        <v>-6682064.1699999999</v>
      </c>
      <c r="U808" s="3">
        <f>Table1[[#This Row],[profit]]/(Table1[[#This Row],[Units_Sold]]*Table1[[#This Row],[Selling_Price_per_Unit]])*100</f>
        <v>-112.75073670306648</v>
      </c>
      <c r="V808" s="6">
        <f>Table1[[#This Row],[Units_Sold]]*Table1[[#This Row],[Selling_Price_per_Unit]]</f>
        <v>5926404</v>
      </c>
      <c r="W808" s="7">
        <f>(Table1[[#This Row],[Units_Sold]]/$Z$1)</f>
        <v>0.19399601357211324</v>
      </c>
      <c r="X808" s="8">
        <f>((Table1[[#This Row],[Units_Sold]]*(Table1[[#This Row],[Selling_Price_per_Unit]]-Table1[[#This Row],[Manufacturing_Cost_per_Unit]]))-Table1[[#This Row],[Marketing_Spend]])/Table1[[#This Row],[Marketing_Spend]]</f>
        <v>-17.161157353783409</v>
      </c>
    </row>
    <row r="809" spans="1:24" hidden="1" x14ac:dyDescent="0.3">
      <c r="A809" s="1" t="s">
        <v>826</v>
      </c>
      <c r="B809" s="1" t="s">
        <v>1426</v>
      </c>
      <c r="C809" s="1" t="s">
        <v>1632</v>
      </c>
      <c r="D809" s="1" t="s">
        <v>1638</v>
      </c>
      <c r="E809" s="1">
        <v>2023</v>
      </c>
      <c r="F809" s="1" t="s">
        <v>1642</v>
      </c>
      <c r="G809" s="1">
        <v>55</v>
      </c>
      <c r="H809" s="1">
        <v>17893</v>
      </c>
      <c r="I809" s="1">
        <v>14770</v>
      </c>
      <c r="J809" s="1">
        <v>443708</v>
      </c>
      <c r="K809" s="1">
        <v>10.02</v>
      </c>
      <c r="L809" s="1">
        <v>19</v>
      </c>
      <c r="M809" s="1">
        <v>6.52</v>
      </c>
      <c r="N809" s="1">
        <v>13.99</v>
      </c>
      <c r="O809" s="1">
        <v>30.29</v>
      </c>
      <c r="P809" s="1">
        <v>1.5</v>
      </c>
      <c r="Q809" s="1">
        <v>17538</v>
      </c>
      <c r="R809" s="1">
        <v>164</v>
      </c>
      <c r="S809" s="1">
        <v>12</v>
      </c>
      <c r="T809" s="1">
        <f>(Table1[[#This Row],[Selling_Price_per_Unit]]-Table1[[#This Row],[Manufacturing_Cost_per_Unit]])*Table1[[#This Row],[Units_Sold]]-Table1[[#This Row],[Marketing_Spend]]-Table1[[#This Row],[Discount_%]]</f>
        <v>-271956.99</v>
      </c>
      <c r="U809" s="3">
        <f>Table1[[#This Row],[profit]]/(Table1[[#This Row],[Units_Sold]]*Table1[[#This Row],[Selling_Price_per_Unit]])*100</f>
        <v>-27.634675825487875</v>
      </c>
      <c r="V809" s="6">
        <f>Table1[[#This Row],[Units_Sold]]*Table1[[#This Row],[Selling_Price_per_Unit]]</f>
        <v>984115</v>
      </c>
      <c r="W809" s="7">
        <f>(Table1[[#This Row],[Units_Sold]]/$Z$1)</f>
        <v>1.1011125641348018E-2</v>
      </c>
      <c r="X809" s="8">
        <f>((Table1[[#This Row],[Units_Sold]]*(Table1[[#This Row],[Selling_Price_per_Unit]]-Table1[[#This Row],[Manufacturing_Cost_per_Unit]]))-Table1[[#This Row],[Marketing_Spend]])/Table1[[#This Row],[Marketing_Spend]]</f>
        <v>-0.61288730426316407</v>
      </c>
    </row>
    <row r="810" spans="1:24" hidden="1" x14ac:dyDescent="0.3">
      <c r="A810" s="1" t="s">
        <v>827</v>
      </c>
      <c r="B810" s="1" t="s">
        <v>1555</v>
      </c>
      <c r="C810" s="1" t="s">
        <v>1634</v>
      </c>
      <c r="D810" s="1" t="s">
        <v>1635</v>
      </c>
      <c r="E810" s="1">
        <v>2023</v>
      </c>
      <c r="F810" s="1" t="s">
        <v>1641</v>
      </c>
      <c r="G810" s="1">
        <v>517</v>
      </c>
      <c r="H810" s="1">
        <v>12117</v>
      </c>
      <c r="I810" s="1">
        <v>6461</v>
      </c>
      <c r="J810" s="1">
        <v>274490</v>
      </c>
      <c r="K810" s="1">
        <v>14</v>
      </c>
      <c r="L810" s="1">
        <v>17</v>
      </c>
      <c r="M810" s="1">
        <v>0.53</v>
      </c>
      <c r="N810" s="1">
        <v>6.98</v>
      </c>
      <c r="O810" s="1">
        <v>80.7</v>
      </c>
      <c r="P810" s="1">
        <v>2.4</v>
      </c>
      <c r="Q810" s="1">
        <v>9378</v>
      </c>
      <c r="R810" s="1">
        <v>3399</v>
      </c>
      <c r="S810" s="1">
        <v>9</v>
      </c>
      <c r="T810" s="1">
        <f>(Table1[[#This Row],[Selling_Price_per_Unit]]-Table1[[#This Row],[Manufacturing_Cost_per_Unit]])*Table1[[#This Row],[Units_Sold]]-Table1[[#This Row],[Marketing_Spend]]-Table1[[#This Row],[Discount_%]]</f>
        <v>2649655.02</v>
      </c>
      <c r="U810" s="3">
        <f>Table1[[#This Row],[profit]]/(Table1[[#This Row],[Units_Sold]]*Table1[[#This Row],[Selling_Price_per_Unit]])*100</f>
        <v>42.296427050953397</v>
      </c>
      <c r="V810" s="6">
        <f>Table1[[#This Row],[Units_Sold]]*Table1[[#This Row],[Selling_Price_per_Unit]]</f>
        <v>6264489</v>
      </c>
      <c r="W810" s="7">
        <f>(Table1[[#This Row],[Units_Sold]]/$Z$1)</f>
        <v>0.10350458102867137</v>
      </c>
      <c r="X810" s="8">
        <f>((Table1[[#This Row],[Units_Sold]]*(Table1[[#This Row],[Selling_Price_per_Unit]]-Table1[[#This Row],[Manufacturing_Cost_per_Unit]]))-Table1[[#This Row],[Marketing_Spend]])/Table1[[#This Row],[Marketing_Spend]]</f>
        <v>9.6530365404932787</v>
      </c>
    </row>
    <row r="811" spans="1:24" x14ac:dyDescent="0.3">
      <c r="A811" s="1" t="s">
        <v>828</v>
      </c>
      <c r="B811" s="1" t="s">
        <v>1556</v>
      </c>
      <c r="C811" s="1" t="s">
        <v>1632</v>
      </c>
      <c r="D811" s="1" t="s">
        <v>1636</v>
      </c>
      <c r="E811" s="1">
        <v>2023</v>
      </c>
      <c r="F811" s="1" t="s">
        <v>1639</v>
      </c>
      <c r="G811" s="1">
        <v>4220</v>
      </c>
      <c r="H811" s="1">
        <v>7252</v>
      </c>
      <c r="I811" s="1">
        <v>6942</v>
      </c>
      <c r="J811" s="1">
        <v>189883</v>
      </c>
      <c r="K811" s="1">
        <v>3.98</v>
      </c>
      <c r="L811" s="1">
        <v>19</v>
      </c>
      <c r="M811" s="1">
        <v>4.46</v>
      </c>
      <c r="N811" s="1">
        <v>8.7200000000000006</v>
      </c>
      <c r="O811" s="1">
        <v>54.92</v>
      </c>
      <c r="P811" s="1">
        <v>4.9000000000000004</v>
      </c>
      <c r="Q811" s="1">
        <v>17954</v>
      </c>
      <c r="R811" s="1">
        <v>4949</v>
      </c>
      <c r="S811" s="1">
        <v>6</v>
      </c>
      <c r="T811" s="1">
        <f>(Table1[[#This Row],[Selling_Price_per_Unit]]-Table1[[#This Row],[Manufacturing_Cost_per_Unit]])*Table1[[#This Row],[Units_Sold]]-Table1[[#This Row],[Marketing_Spend]]-Table1[[#This Row],[Discount_%]]</f>
        <v>1118308.28</v>
      </c>
      <c r="U811" s="3">
        <f>Table1[[#This Row],[profit]]/(Table1[[#This Row],[Units_Sold]]*Table1[[#This Row],[Selling_Price_per_Unit]])*100</f>
        <v>3.6541914242320472</v>
      </c>
      <c r="V811" s="6">
        <f>Table1[[#This Row],[Units_Sold]]*Table1[[#This Row],[Selling_Price_per_Unit]]</f>
        <v>30603440</v>
      </c>
      <c r="W811" s="7">
        <f>(Table1[[#This Row],[Units_Sold]]/$Z$1)</f>
        <v>0.84485364011797515</v>
      </c>
      <c r="X811" s="8">
        <f>((Table1[[#This Row],[Units_Sold]]*(Table1[[#This Row],[Selling_Price_per_Unit]]-Table1[[#This Row],[Manufacturing_Cost_per_Unit]]))-Table1[[#This Row],[Marketing_Spend]])/Table1[[#This Row],[Marketing_Spend]]</f>
        <v>5.8895056429485528</v>
      </c>
    </row>
    <row r="812" spans="1:24" hidden="1" x14ac:dyDescent="0.3">
      <c r="A812" s="1" t="s">
        <v>829</v>
      </c>
      <c r="B812" s="1" t="s">
        <v>1557</v>
      </c>
      <c r="C812" s="1" t="s">
        <v>1634</v>
      </c>
      <c r="D812" s="1" t="s">
        <v>1638</v>
      </c>
      <c r="E812" s="1">
        <v>2023</v>
      </c>
      <c r="F812" s="1" t="s">
        <v>1642</v>
      </c>
      <c r="G812" s="1">
        <v>53</v>
      </c>
      <c r="H812" s="1">
        <v>11352</v>
      </c>
      <c r="I812" s="1">
        <v>12909</v>
      </c>
      <c r="J812" s="1">
        <v>143344</v>
      </c>
      <c r="K812" s="1">
        <v>9.17</v>
      </c>
      <c r="L812" s="1">
        <v>8</v>
      </c>
      <c r="M812" s="1">
        <v>5.54</v>
      </c>
      <c r="N812" s="1">
        <v>23.08</v>
      </c>
      <c r="O812" s="1">
        <v>24.87</v>
      </c>
      <c r="P812" s="1">
        <v>4.7</v>
      </c>
      <c r="Q812" s="1">
        <v>16847</v>
      </c>
      <c r="R812" s="1">
        <v>5739</v>
      </c>
      <c r="S812" s="1">
        <v>14</v>
      </c>
      <c r="T812" s="1">
        <f>(Table1[[#This Row],[Selling_Price_per_Unit]]-Table1[[#This Row],[Manufacturing_Cost_per_Unit]])*Table1[[#This Row],[Units_Sold]]-Table1[[#This Row],[Marketing_Spend]]-Table1[[#This Row],[Discount_%]]</f>
        <v>-225888.08</v>
      </c>
      <c r="U812" s="3">
        <f>Table1[[#This Row],[profit]]/(Table1[[#This Row],[Units_Sold]]*Table1[[#This Row],[Selling_Price_per_Unit]])*100</f>
        <v>-37.544390814684803</v>
      </c>
      <c r="V812" s="6">
        <f>Table1[[#This Row],[Units_Sold]]*Table1[[#This Row],[Selling_Price_per_Unit]]</f>
        <v>601656</v>
      </c>
      <c r="W812" s="7">
        <f>(Table1[[#This Row],[Units_Sold]]/$Z$1)</f>
        <v>1.0610721072571726E-2</v>
      </c>
      <c r="X812" s="8">
        <f>((Table1[[#This Row],[Units_Sold]]*(Table1[[#This Row],[Selling_Price_per_Unit]]-Table1[[#This Row],[Manufacturing_Cost_per_Unit]]))-Table1[[#This Row],[Marketing_Spend]])/Table1[[#This Row],[Marketing_Spend]]</f>
        <v>-1.5756850652974663</v>
      </c>
    </row>
    <row r="813" spans="1:24" hidden="1" x14ac:dyDescent="0.3">
      <c r="A813" s="1" t="s">
        <v>830</v>
      </c>
      <c r="B813" s="1" t="s">
        <v>1558</v>
      </c>
      <c r="C813" s="1" t="s">
        <v>1632</v>
      </c>
      <c r="D813" s="1" t="s">
        <v>1635</v>
      </c>
      <c r="E813" s="1">
        <v>2024</v>
      </c>
      <c r="F813" s="1" t="s">
        <v>1640</v>
      </c>
      <c r="G813" s="1">
        <v>695</v>
      </c>
      <c r="H813" s="1">
        <v>7795</v>
      </c>
      <c r="I813" s="1">
        <v>6426</v>
      </c>
      <c r="J813" s="1">
        <v>205344</v>
      </c>
      <c r="K813" s="1">
        <v>10.18</v>
      </c>
      <c r="L813" s="1">
        <v>14</v>
      </c>
      <c r="M813" s="1">
        <v>2.98</v>
      </c>
      <c r="N813" s="1">
        <v>5.17</v>
      </c>
      <c r="O813" s="1">
        <v>27.95</v>
      </c>
      <c r="P813" s="1">
        <v>4.5</v>
      </c>
      <c r="Q813" s="1">
        <v>9379</v>
      </c>
      <c r="R813" s="1">
        <v>2135</v>
      </c>
      <c r="S813" s="1">
        <v>12</v>
      </c>
      <c r="T813" s="1">
        <f>(Table1[[#This Row],[Selling_Price_per_Unit]]-Table1[[#This Row],[Manufacturing_Cost_per_Unit]])*Table1[[#This Row],[Units_Sold]]-Table1[[#This Row],[Marketing_Spend]]-Table1[[#This Row],[Discount_%]]</f>
        <v>746105.83</v>
      </c>
      <c r="U813" s="3">
        <f>Table1[[#This Row],[profit]]/(Table1[[#This Row],[Units_Sold]]*Table1[[#This Row],[Selling_Price_per_Unit]])*100</f>
        <v>13.772079132075993</v>
      </c>
      <c r="V813" s="6">
        <f>Table1[[#This Row],[Units_Sold]]*Table1[[#This Row],[Selling_Price_per_Unit]]</f>
        <v>5417525</v>
      </c>
      <c r="W813" s="7">
        <f>(Table1[[#This Row],[Units_Sold]]/$Z$1)</f>
        <v>0.13914058764976131</v>
      </c>
      <c r="X813" s="8">
        <f>((Table1[[#This Row],[Units_Sold]]*(Table1[[#This Row],[Selling_Price_per_Unit]]-Table1[[#This Row],[Manufacturing_Cost_per_Unit]]))-Table1[[#This Row],[Marketing_Spend]])/Table1[[#This Row],[Marketing_Spend]]</f>
        <v>3.6334687159108618</v>
      </c>
    </row>
    <row r="814" spans="1:24" hidden="1" x14ac:dyDescent="0.3">
      <c r="A814" s="1" t="s">
        <v>831</v>
      </c>
      <c r="B814" s="1" t="s">
        <v>1559</v>
      </c>
      <c r="C814" s="1" t="s">
        <v>1634</v>
      </c>
      <c r="D814" s="1" t="s">
        <v>1636</v>
      </c>
      <c r="E814" s="1">
        <v>2023</v>
      </c>
      <c r="F814" s="1" t="s">
        <v>1642</v>
      </c>
      <c r="G814" s="1">
        <v>167</v>
      </c>
      <c r="H814" s="1">
        <v>18956</v>
      </c>
      <c r="I814" s="1">
        <v>9587</v>
      </c>
      <c r="J814" s="1">
        <v>273564</v>
      </c>
      <c r="K814" s="1">
        <v>4.76</v>
      </c>
      <c r="L814" s="1">
        <v>3</v>
      </c>
      <c r="M814" s="1">
        <v>4.55</v>
      </c>
      <c r="N814" s="1">
        <v>21.85</v>
      </c>
      <c r="O814" s="1">
        <v>49.51</v>
      </c>
      <c r="P814" s="1">
        <v>2.8</v>
      </c>
      <c r="Q814" s="1">
        <v>19661</v>
      </c>
      <c r="R814" s="1">
        <v>5774</v>
      </c>
      <c r="S814" s="1">
        <v>6</v>
      </c>
      <c r="T814" s="1">
        <f>(Table1[[#This Row],[Selling_Price_per_Unit]]-Table1[[#This Row],[Manufacturing_Cost_per_Unit]])*Table1[[#This Row],[Units_Sold]]-Table1[[#This Row],[Marketing_Spend]]-Table1[[#This Row],[Discount_%]]</f>
        <v>1291037.1499999999</v>
      </c>
      <c r="U814" s="3">
        <f>Table1[[#This Row],[profit]]/(Table1[[#This Row],[Units_Sold]]*Table1[[#This Row],[Selling_Price_per_Unit]])*100</f>
        <v>40.782661833960262</v>
      </c>
      <c r="V814" s="6">
        <f>Table1[[#This Row],[Units_Sold]]*Table1[[#This Row],[Selling_Price_per_Unit]]</f>
        <v>3165652</v>
      </c>
      <c r="W814" s="7">
        <f>(Table1[[#This Row],[Units_Sold]]/$Z$1)</f>
        <v>3.3433781492820343E-2</v>
      </c>
      <c r="X814" s="8">
        <f>((Table1[[#This Row],[Units_Sold]]*(Table1[[#This Row],[Selling_Price_per_Unit]]-Table1[[#This Row],[Manufacturing_Cost_per_Unit]]))-Table1[[#This Row],[Marketing_Spend]])/Table1[[#This Row],[Marketing_Spend]]</f>
        <v>4.7194038689301223</v>
      </c>
    </row>
    <row r="815" spans="1:24" hidden="1" x14ac:dyDescent="0.3">
      <c r="A815" s="1" t="s">
        <v>832</v>
      </c>
      <c r="B815" s="1" t="s">
        <v>1161</v>
      </c>
      <c r="C815" s="1" t="s">
        <v>1632</v>
      </c>
      <c r="D815" s="1" t="s">
        <v>1637</v>
      </c>
      <c r="E815" s="1">
        <v>2023</v>
      </c>
      <c r="F815" s="1" t="s">
        <v>1639</v>
      </c>
      <c r="G815" s="1">
        <v>2978</v>
      </c>
      <c r="H815" s="1">
        <v>4725</v>
      </c>
      <c r="I815" s="1">
        <v>10896</v>
      </c>
      <c r="J815" s="1">
        <v>97153</v>
      </c>
      <c r="K815" s="1">
        <v>12.72</v>
      </c>
      <c r="L815" s="1">
        <v>7</v>
      </c>
      <c r="M815" s="1">
        <v>1.64</v>
      </c>
      <c r="N815" s="1">
        <v>0.76</v>
      </c>
      <c r="O815" s="1">
        <v>86.93</v>
      </c>
      <c r="P815" s="1">
        <v>4.4000000000000004</v>
      </c>
      <c r="Q815" s="1">
        <v>14754</v>
      </c>
      <c r="R815" s="1">
        <v>2328</v>
      </c>
      <c r="S815" s="1">
        <v>2</v>
      </c>
      <c r="T815" s="1">
        <f>(Table1[[#This Row],[Selling_Price_per_Unit]]-Table1[[#This Row],[Manufacturing_Cost_per_Unit]])*Table1[[#This Row],[Units_Sold]]-Table1[[#This Row],[Marketing_Spend]]-Table1[[#This Row],[Discount_%]]</f>
        <v>-18474391.760000002</v>
      </c>
      <c r="U815" s="3">
        <f>Table1[[#This Row],[profit]]/(Table1[[#This Row],[Units_Sold]]*Table1[[#This Row],[Selling_Price_per_Unit]])*100</f>
        <v>-131.29362599095307</v>
      </c>
      <c r="V815" s="6">
        <f>Table1[[#This Row],[Units_Sold]]*Table1[[#This Row],[Selling_Price_per_Unit]]</f>
        <v>14071050</v>
      </c>
      <c r="W815" s="7">
        <f>(Table1[[#This Row],[Units_Sold]]/$Z$1)</f>
        <v>0.59620240290789805</v>
      </c>
      <c r="X815" s="8">
        <f>((Table1[[#This Row],[Units_Sold]]*(Table1[[#This Row],[Selling_Price_per_Unit]]-Table1[[#This Row],[Manufacturing_Cost_per_Unit]]))-Table1[[#This Row],[Marketing_Spend]])/Table1[[#This Row],[Marketing_Spend]]</f>
        <v>-190.15769971076548</v>
      </c>
    </row>
    <row r="816" spans="1:24" hidden="1" x14ac:dyDescent="0.3">
      <c r="A816" s="1" t="s">
        <v>833</v>
      </c>
      <c r="B816" s="1" t="s">
        <v>1560</v>
      </c>
      <c r="C816" s="1" t="s">
        <v>1632</v>
      </c>
      <c r="D816" s="1" t="s">
        <v>1635</v>
      </c>
      <c r="E816" s="1">
        <v>2024</v>
      </c>
      <c r="F816" s="1" t="s">
        <v>1640</v>
      </c>
      <c r="G816" s="1">
        <v>2601</v>
      </c>
      <c r="H816" s="1">
        <v>2816</v>
      </c>
      <c r="I816" s="1">
        <v>9272</v>
      </c>
      <c r="J816" s="1">
        <v>158042</v>
      </c>
      <c r="K816" s="1">
        <v>14.21</v>
      </c>
      <c r="L816" s="1">
        <v>8</v>
      </c>
      <c r="M816" s="1">
        <v>3.04</v>
      </c>
      <c r="N816" s="1">
        <v>2.27</v>
      </c>
      <c r="O816" s="1">
        <v>71.569999999999993</v>
      </c>
      <c r="P816" s="1">
        <v>1.2</v>
      </c>
      <c r="Q816" s="1">
        <v>8880</v>
      </c>
      <c r="R816" s="1">
        <v>5720</v>
      </c>
      <c r="S816" s="1">
        <v>7</v>
      </c>
      <c r="T816" s="1">
        <f>(Table1[[#This Row],[Selling_Price_per_Unit]]-Table1[[#This Row],[Manufacturing_Cost_per_Unit]])*Table1[[#This Row],[Units_Sold]]-Table1[[#This Row],[Marketing_Spend]]-Table1[[#This Row],[Discount_%]]</f>
        <v>-16950100.27</v>
      </c>
      <c r="U816" s="3">
        <f>Table1[[#This Row],[profit]]/(Table1[[#This Row],[Units_Sold]]*Table1[[#This Row],[Selling_Price_per_Unit]])*100</f>
        <v>-231.41913662468107</v>
      </c>
      <c r="V816" s="6">
        <f>Table1[[#This Row],[Units_Sold]]*Table1[[#This Row],[Selling_Price_per_Unit]]</f>
        <v>7324416</v>
      </c>
      <c r="W816" s="7">
        <f>(Table1[[#This Row],[Units_Sold]]/$Z$1)</f>
        <v>0.52072614169356712</v>
      </c>
      <c r="X816" s="8">
        <f>((Table1[[#This Row],[Units_Sold]]*(Table1[[#This Row],[Selling_Price_per_Unit]]-Table1[[#This Row],[Manufacturing_Cost_per_Unit]]))-Table1[[#This Row],[Marketing_Spend]])/Table1[[#This Row],[Marketing_Spend]]</f>
        <v>-107.25059161488718</v>
      </c>
    </row>
    <row r="817" spans="1:24" hidden="1" x14ac:dyDescent="0.3">
      <c r="A817" s="1" t="s">
        <v>903</v>
      </c>
      <c r="B817" s="1" t="s">
        <v>1587</v>
      </c>
      <c r="C817" s="1" t="s">
        <v>1634</v>
      </c>
      <c r="D817" s="1" t="s">
        <v>1636</v>
      </c>
      <c r="E817" s="1">
        <v>2024</v>
      </c>
      <c r="F817" s="1" t="s">
        <v>1642</v>
      </c>
      <c r="G817" s="1">
        <v>1368</v>
      </c>
      <c r="H817" s="1">
        <v>17336</v>
      </c>
      <c r="I817" s="1">
        <v>2292</v>
      </c>
      <c r="J817" s="1">
        <v>178727</v>
      </c>
      <c r="K817" s="1">
        <v>9.8800000000000008</v>
      </c>
      <c r="L817" s="1">
        <v>11</v>
      </c>
      <c r="M817" s="1">
        <v>5.93</v>
      </c>
      <c r="N817" s="1">
        <v>12.55</v>
      </c>
      <c r="O817" s="1">
        <v>66.45</v>
      </c>
      <c r="P817" s="1">
        <v>1.1000000000000001</v>
      </c>
      <c r="Q817" s="1">
        <v>6326</v>
      </c>
      <c r="R817" s="1">
        <v>5744</v>
      </c>
      <c r="S817" s="1">
        <v>4</v>
      </c>
      <c r="T817" s="1">
        <f>(Table1[[#This Row],[Selling_Price_per_Unit]]-Table1[[#This Row],[Manufacturing_Cost_per_Unit]])*Table1[[#This Row],[Units_Sold]]-Table1[[#This Row],[Marketing_Spend]]-Table1[[#This Row],[Discount_%]]</f>
        <v>20401452.449999999</v>
      </c>
      <c r="U817" s="3">
        <f>Table1[[#This Row],[profit]]/(Table1[[#This Row],[Units_Sold]]*Table1[[#This Row],[Selling_Price_per_Unit]])*100</f>
        <v>86.025279385155315</v>
      </c>
      <c r="V817" s="6">
        <f>Table1[[#This Row],[Units_Sold]]*Table1[[#This Row],[Selling_Price_per_Unit]]</f>
        <v>23715648</v>
      </c>
      <c r="W817" s="7">
        <f>(Table1[[#This Row],[Units_Sold]]/$Z$1)</f>
        <v>0.27387672504298344</v>
      </c>
      <c r="X817" s="8">
        <f>((Table1[[#This Row],[Units_Sold]]*(Table1[[#This Row],[Selling_Price_per_Unit]]-Table1[[#This Row],[Manufacturing_Cost_per_Unit]]))-Table1[[#This Row],[Marketing_Spend]])/Table1[[#This Row],[Marketing_Spend]]</f>
        <v>114.1487576023768</v>
      </c>
    </row>
    <row r="818" spans="1:24" hidden="1" x14ac:dyDescent="0.3">
      <c r="A818" s="1" t="s">
        <v>835</v>
      </c>
      <c r="B818" s="1" t="s">
        <v>1344</v>
      </c>
      <c r="C818" s="1" t="s">
        <v>1633</v>
      </c>
      <c r="D818" s="1" t="s">
        <v>1635</v>
      </c>
      <c r="E818" s="1">
        <v>2024</v>
      </c>
      <c r="F818" s="1" t="s">
        <v>1642</v>
      </c>
      <c r="G818" s="1">
        <v>896</v>
      </c>
      <c r="H818" s="1">
        <v>8307</v>
      </c>
      <c r="I818" s="1">
        <v>7799</v>
      </c>
      <c r="J818" s="1">
        <v>195051</v>
      </c>
      <c r="K818" s="1">
        <v>11.09</v>
      </c>
      <c r="L818" s="1">
        <v>8</v>
      </c>
      <c r="M818" s="1">
        <v>3.02</v>
      </c>
      <c r="N818" s="1">
        <v>15.76</v>
      </c>
      <c r="O818" s="1">
        <v>37.020000000000003</v>
      </c>
      <c r="P818" s="1">
        <v>2.7</v>
      </c>
      <c r="Q818" s="1">
        <v>11314</v>
      </c>
      <c r="R818" s="1">
        <v>3706</v>
      </c>
      <c r="S818" s="1">
        <v>4</v>
      </c>
      <c r="T818" s="1">
        <f>(Table1[[#This Row],[Selling_Price_per_Unit]]-Table1[[#This Row],[Manufacturing_Cost_per_Unit]])*Table1[[#This Row],[Units_Sold]]-Table1[[#This Row],[Marketing_Spend]]-Table1[[#This Row],[Discount_%]]</f>
        <v>260101.24</v>
      </c>
      <c r="U818" s="3">
        <f>Table1[[#This Row],[profit]]/(Table1[[#This Row],[Units_Sold]]*Table1[[#This Row],[Selling_Price_per_Unit]])*100</f>
        <v>3.4945415011436136</v>
      </c>
      <c r="V818" s="6">
        <f>Table1[[#This Row],[Units_Sold]]*Table1[[#This Row],[Selling_Price_per_Unit]]</f>
        <v>7443072</v>
      </c>
      <c r="W818" s="7">
        <f>(Table1[[#This Row],[Units_Sold]]/$Z$1)</f>
        <v>0.17938124681177861</v>
      </c>
      <c r="X818" s="8">
        <f>((Table1[[#This Row],[Units_Sold]]*(Table1[[#This Row],[Selling_Price_per_Unit]]-Table1[[#This Row],[Manufacturing_Cost_per_Unit]]))-Table1[[#This Row],[Marketing_Spend]])/Table1[[#This Row],[Marketing_Spend]]</f>
        <v>1.3335845496818781</v>
      </c>
    </row>
    <row r="819" spans="1:24" hidden="1" x14ac:dyDescent="0.3">
      <c r="A819" s="1" t="s">
        <v>836</v>
      </c>
      <c r="B819" s="1" t="s">
        <v>1561</v>
      </c>
      <c r="C819" s="1" t="s">
        <v>1633</v>
      </c>
      <c r="D819" s="1" t="s">
        <v>1638</v>
      </c>
      <c r="E819" s="1">
        <v>2024</v>
      </c>
      <c r="F819" s="1" t="s">
        <v>1641</v>
      </c>
      <c r="G819" s="1">
        <v>2812</v>
      </c>
      <c r="H819" s="1">
        <v>5183</v>
      </c>
      <c r="I819" s="1">
        <v>13357</v>
      </c>
      <c r="J819" s="1">
        <v>291131</v>
      </c>
      <c r="K819" s="1">
        <v>4.16</v>
      </c>
      <c r="L819" s="1">
        <v>3</v>
      </c>
      <c r="M819" s="1">
        <v>9</v>
      </c>
      <c r="N819" s="1">
        <v>18.68</v>
      </c>
      <c r="O819" s="1">
        <v>53.94</v>
      </c>
      <c r="P819" s="1">
        <v>2.9</v>
      </c>
      <c r="Q819" s="1">
        <v>10388</v>
      </c>
      <c r="R819" s="1">
        <v>3989</v>
      </c>
      <c r="S819" s="1">
        <v>7</v>
      </c>
      <c r="T819" s="1">
        <f>(Table1[[#This Row],[Selling_Price_per_Unit]]-Table1[[#This Row],[Manufacturing_Cost_per_Unit]])*Table1[[#This Row],[Units_Sold]]-Table1[[#This Row],[Marketing_Spend]]-Table1[[#This Row],[Discount_%]]</f>
        <v>-23276437.68</v>
      </c>
      <c r="U819" s="3">
        <f>Table1[[#This Row],[profit]]/(Table1[[#This Row],[Units_Sold]]*Table1[[#This Row],[Selling_Price_per_Unit]])*100</f>
        <v>-159.70554298726358</v>
      </c>
      <c r="V819" s="6">
        <f>Table1[[#This Row],[Units_Sold]]*Table1[[#This Row],[Selling_Price_per_Unit]]</f>
        <v>14574596</v>
      </c>
      <c r="W819" s="7">
        <f>(Table1[[#This Row],[Units_Sold]]/$Z$1)</f>
        <v>0.56296882369946588</v>
      </c>
      <c r="X819" s="8">
        <f>((Table1[[#This Row],[Units_Sold]]*(Table1[[#This Row],[Selling_Price_per_Unit]]-Table1[[#This Row],[Manufacturing_Cost_per_Unit]]))-Table1[[#This Row],[Marketing_Spend]])/Table1[[#This Row],[Marketing_Spend]]</f>
        <v>-79.951702154700115</v>
      </c>
    </row>
    <row r="820" spans="1:24" hidden="1" x14ac:dyDescent="0.3">
      <c r="A820" s="1" t="s">
        <v>837</v>
      </c>
      <c r="B820" s="1" t="s">
        <v>1056</v>
      </c>
      <c r="C820" s="1" t="s">
        <v>1633</v>
      </c>
      <c r="D820" s="1" t="s">
        <v>1635</v>
      </c>
      <c r="E820" s="1">
        <v>2023</v>
      </c>
      <c r="F820" s="1" t="s">
        <v>1640</v>
      </c>
      <c r="G820" s="1">
        <v>1191</v>
      </c>
      <c r="H820" s="1">
        <v>8727</v>
      </c>
      <c r="I820" s="1">
        <v>5049</v>
      </c>
      <c r="J820" s="1">
        <v>289173</v>
      </c>
      <c r="K820" s="1">
        <v>4.22</v>
      </c>
      <c r="L820" s="1">
        <v>16</v>
      </c>
      <c r="M820" s="1">
        <v>6.28</v>
      </c>
      <c r="N820" s="1">
        <v>5.24</v>
      </c>
      <c r="O820" s="1">
        <v>69.87</v>
      </c>
      <c r="P820" s="1">
        <v>2.1</v>
      </c>
      <c r="Q820" s="1">
        <v>7891</v>
      </c>
      <c r="R820" s="1">
        <v>3606</v>
      </c>
      <c r="S820" s="1">
        <v>3</v>
      </c>
      <c r="T820" s="1">
        <f>(Table1[[#This Row],[Selling_Price_per_Unit]]-Table1[[#This Row],[Manufacturing_Cost_per_Unit]])*Table1[[#This Row],[Units_Sold]]-Table1[[#This Row],[Marketing_Spend]]-Table1[[#This Row],[Discount_%]]</f>
        <v>4091319.76</v>
      </c>
      <c r="U820" s="3">
        <f>Table1[[#This Row],[profit]]/(Table1[[#This Row],[Units_Sold]]*Table1[[#This Row],[Selling_Price_per_Unit]])*100</f>
        <v>39.362863660718055</v>
      </c>
      <c r="V820" s="6">
        <f>Table1[[#This Row],[Units_Sold]]*Table1[[#This Row],[Selling_Price_per_Unit]]</f>
        <v>10393857</v>
      </c>
      <c r="W820" s="7">
        <f>(Table1[[#This Row],[Units_Sold]]/$Z$1)</f>
        <v>0.23844092070628162</v>
      </c>
      <c r="X820" s="8">
        <f>((Table1[[#This Row],[Units_Sold]]*(Table1[[#This Row],[Selling_Price_per_Unit]]-Table1[[#This Row],[Manufacturing_Cost_per_Unit]]))-Table1[[#This Row],[Marketing_Spend]])/Table1[[#This Row],[Marketing_Spend]]</f>
        <v>14.148364473861667</v>
      </c>
    </row>
    <row r="821" spans="1:24" hidden="1" x14ac:dyDescent="0.3">
      <c r="A821" s="1" t="s">
        <v>838</v>
      </c>
      <c r="B821" s="1" t="s">
        <v>1451</v>
      </c>
      <c r="C821" s="1" t="s">
        <v>1634</v>
      </c>
      <c r="D821" s="1" t="s">
        <v>1638</v>
      </c>
      <c r="E821" s="1">
        <v>2023</v>
      </c>
      <c r="F821" s="1" t="s">
        <v>1640</v>
      </c>
      <c r="G821" s="1">
        <v>1860</v>
      </c>
      <c r="H821" s="1">
        <v>4773</v>
      </c>
      <c r="I821" s="1">
        <v>2550</v>
      </c>
      <c r="J821" s="1">
        <v>78328</v>
      </c>
      <c r="K821" s="1">
        <v>14.45</v>
      </c>
      <c r="L821" s="1">
        <v>15</v>
      </c>
      <c r="M821" s="1">
        <v>4.3899999999999997</v>
      </c>
      <c r="N821" s="1">
        <v>13.43</v>
      </c>
      <c r="O821" s="1">
        <v>72.709999999999994</v>
      </c>
      <c r="P821" s="1">
        <v>2.4</v>
      </c>
      <c r="Q821" s="1">
        <v>10929</v>
      </c>
      <c r="R821" s="1">
        <v>1495</v>
      </c>
      <c r="S821" s="1">
        <v>9</v>
      </c>
      <c r="T821" s="1">
        <f>(Table1[[#This Row],[Selling_Price_per_Unit]]-Table1[[#This Row],[Manufacturing_Cost_per_Unit]])*Table1[[#This Row],[Units_Sold]]-Table1[[#This Row],[Marketing_Spend]]-Table1[[#This Row],[Discount_%]]</f>
        <v>4056438.57</v>
      </c>
      <c r="U821" s="3">
        <f>Table1[[#This Row],[profit]]/(Table1[[#This Row],[Units_Sold]]*Table1[[#This Row],[Selling_Price_per_Unit]])*100</f>
        <v>45.692037536411128</v>
      </c>
      <c r="V821" s="6">
        <f>Table1[[#This Row],[Units_Sold]]*Table1[[#This Row],[Selling_Price_per_Unit]]</f>
        <v>8877780</v>
      </c>
      <c r="W821" s="7">
        <f>(Table1[[#This Row],[Units_Sold]]/$Z$1)</f>
        <v>0.37237624896195115</v>
      </c>
      <c r="X821" s="8">
        <f>((Table1[[#This Row],[Units_Sold]]*(Table1[[#This Row],[Selling_Price_per_Unit]]-Table1[[#This Row],[Manufacturing_Cost_per_Unit]]))-Table1[[#This Row],[Marketing_Spend]])/Table1[[#This Row],[Marketing_Spend]]</f>
        <v>51.788019609845776</v>
      </c>
    </row>
    <row r="822" spans="1:24" hidden="1" x14ac:dyDescent="0.3">
      <c r="A822" s="1" t="s">
        <v>839</v>
      </c>
      <c r="B822" s="1" t="s">
        <v>1369</v>
      </c>
      <c r="C822" s="1" t="s">
        <v>1632</v>
      </c>
      <c r="D822" s="1" t="s">
        <v>1637</v>
      </c>
      <c r="E822" s="1">
        <v>2023</v>
      </c>
      <c r="F822" s="1" t="s">
        <v>1642</v>
      </c>
      <c r="G822" s="1">
        <v>773</v>
      </c>
      <c r="H822" s="1">
        <v>1645</v>
      </c>
      <c r="I822" s="1">
        <v>5557</v>
      </c>
      <c r="J822" s="1">
        <v>162911</v>
      </c>
      <c r="K822" s="1">
        <v>0.15</v>
      </c>
      <c r="L822" s="1">
        <v>14</v>
      </c>
      <c r="M822" s="1">
        <v>0.39</v>
      </c>
      <c r="N822" s="1">
        <v>18.43</v>
      </c>
      <c r="O822" s="1">
        <v>35.97</v>
      </c>
      <c r="P822" s="1">
        <v>1.7</v>
      </c>
      <c r="Q822" s="1">
        <v>20290</v>
      </c>
      <c r="R822" s="1">
        <v>9878</v>
      </c>
      <c r="S822" s="1">
        <v>2</v>
      </c>
      <c r="T822" s="1">
        <f>(Table1[[#This Row],[Selling_Price_per_Unit]]-Table1[[#This Row],[Manufacturing_Cost_per_Unit]])*Table1[[#This Row],[Units_Sold]]-Table1[[#This Row],[Marketing_Spend]]-Table1[[#This Row],[Discount_%]]</f>
        <v>-3186905.43</v>
      </c>
      <c r="U822" s="3">
        <f>Table1[[#This Row],[profit]]/(Table1[[#This Row],[Units_Sold]]*Table1[[#This Row],[Selling_Price_per_Unit]])*100</f>
        <v>-250.62464797870376</v>
      </c>
      <c r="V822" s="6">
        <f>Table1[[#This Row],[Units_Sold]]*Table1[[#This Row],[Selling_Price_per_Unit]]</f>
        <v>1271585</v>
      </c>
      <c r="W822" s="7">
        <f>(Table1[[#This Row],[Units_Sold]]/$Z$1)</f>
        <v>0.15475636583203667</v>
      </c>
      <c r="X822" s="8">
        <f>((Table1[[#This Row],[Units_Sold]]*(Table1[[#This Row],[Selling_Price_per_Unit]]-Table1[[#This Row],[Manufacturing_Cost_per_Unit]]))-Table1[[#This Row],[Marketing_Spend]])/Table1[[#This Row],[Marketing_Spend]]</f>
        <v>-19.562135153550098</v>
      </c>
    </row>
    <row r="823" spans="1:24" hidden="1" x14ac:dyDescent="0.3">
      <c r="A823" s="1" t="s">
        <v>840</v>
      </c>
      <c r="B823" s="1" t="s">
        <v>1562</v>
      </c>
      <c r="C823" s="1" t="s">
        <v>1634</v>
      </c>
      <c r="D823" s="1" t="s">
        <v>1635</v>
      </c>
      <c r="E823" s="1">
        <v>2023</v>
      </c>
      <c r="F823" s="1" t="s">
        <v>1641</v>
      </c>
      <c r="G823" s="1">
        <v>274</v>
      </c>
      <c r="H823" s="1">
        <v>6510</v>
      </c>
      <c r="I823" s="1">
        <v>2767</v>
      </c>
      <c r="J823" s="1">
        <v>325011</v>
      </c>
      <c r="K823" s="1">
        <v>10.74</v>
      </c>
      <c r="L823" s="1">
        <v>2</v>
      </c>
      <c r="M823" s="1">
        <v>5</v>
      </c>
      <c r="N823" s="1">
        <v>15.68</v>
      </c>
      <c r="O823" s="1">
        <v>67.69</v>
      </c>
      <c r="P823" s="1">
        <v>3</v>
      </c>
      <c r="Q823" s="1">
        <v>2137</v>
      </c>
      <c r="R823" s="1">
        <v>7629</v>
      </c>
      <c r="S823" s="1">
        <v>13</v>
      </c>
      <c r="T823" s="1">
        <f>(Table1[[#This Row],[Selling_Price_per_Unit]]-Table1[[#This Row],[Manufacturing_Cost_per_Unit]])*Table1[[#This Row],[Units_Sold]]-Table1[[#This Row],[Marketing_Spend]]-Table1[[#This Row],[Discount_%]]</f>
        <v>700555.32</v>
      </c>
      <c r="U823" s="3">
        <f>Table1[[#This Row],[profit]]/(Table1[[#This Row],[Units_Sold]]*Table1[[#This Row],[Selling_Price_per_Unit]])*100</f>
        <v>39.274519829123079</v>
      </c>
      <c r="V823" s="6">
        <f>Table1[[#This Row],[Units_Sold]]*Table1[[#This Row],[Selling_Price_per_Unit]]</f>
        <v>1783740</v>
      </c>
      <c r="W823" s="7">
        <f>(Table1[[#This Row],[Units_Sold]]/$Z$1)</f>
        <v>5.4855425922351944E-2</v>
      </c>
      <c r="X823" s="8">
        <f>((Table1[[#This Row],[Units_Sold]]*(Table1[[#This Row],[Selling_Price_per_Unit]]-Table1[[#This Row],[Manufacturing_Cost_per_Unit]]))-Table1[[#This Row],[Marketing_Spend]])/Table1[[#This Row],[Marketing_Spend]]</f>
        <v>2.1555301205189976</v>
      </c>
    </row>
    <row r="824" spans="1:24" x14ac:dyDescent="0.3">
      <c r="A824" s="1" t="s">
        <v>737</v>
      </c>
      <c r="B824" s="1" t="s">
        <v>1036</v>
      </c>
      <c r="C824" s="1" t="s">
        <v>1632</v>
      </c>
      <c r="D824" s="1" t="s">
        <v>1635</v>
      </c>
      <c r="E824" s="1">
        <v>2024</v>
      </c>
      <c r="F824" s="1" t="s">
        <v>1641</v>
      </c>
      <c r="G824" s="1">
        <v>4749</v>
      </c>
      <c r="H824" s="1">
        <v>9261</v>
      </c>
      <c r="I824" s="1">
        <v>4879</v>
      </c>
      <c r="J824" s="1">
        <v>419128</v>
      </c>
      <c r="K824" s="1">
        <v>13.91</v>
      </c>
      <c r="L824" s="1">
        <v>8</v>
      </c>
      <c r="M824" s="1">
        <v>0.48</v>
      </c>
      <c r="N824" s="1">
        <v>18.38</v>
      </c>
      <c r="O824" s="1">
        <v>25.44</v>
      </c>
      <c r="P824" s="1">
        <v>1.7</v>
      </c>
      <c r="Q824" s="1">
        <v>12002</v>
      </c>
      <c r="R824" s="1">
        <v>1756</v>
      </c>
      <c r="S824" s="1">
        <v>11</v>
      </c>
      <c r="T824" s="1">
        <f>(Table1[[#This Row],[Selling_Price_per_Unit]]-Table1[[#This Row],[Manufacturing_Cost_per_Unit]])*Table1[[#This Row],[Units_Sold]]-Table1[[#This Row],[Marketing_Spend]]-Table1[[#This Row],[Discount_%]]</f>
        <v>20390971.620000001</v>
      </c>
      <c r="U824" s="3">
        <f>Table1[[#This Row],[profit]]/(Table1[[#This Row],[Units_Sold]]*Table1[[#This Row],[Selling_Price_per_Unit]])*100</f>
        <v>46.363676447526544</v>
      </c>
      <c r="V824" s="6">
        <f>Table1[[#This Row],[Units_Sold]]*Table1[[#This Row],[Selling_Price_per_Unit]]</f>
        <v>43980489</v>
      </c>
      <c r="W824" s="7">
        <f>(Table1[[#This Row],[Units_Sold]]/$Z$1)</f>
        <v>0.95076064855930431</v>
      </c>
      <c r="X824" s="8">
        <f>((Table1[[#This Row],[Units_Sold]]*(Table1[[#This Row],[Selling_Price_per_Unit]]-Table1[[#This Row],[Manufacturing_Cost_per_Unit]]))-Table1[[#This Row],[Marketing_Spend]])/Table1[[#This Row],[Marketing_Spend]]</f>
        <v>48.65098490198698</v>
      </c>
    </row>
    <row r="825" spans="1:24" x14ac:dyDescent="0.3">
      <c r="A825" s="1" t="s">
        <v>842</v>
      </c>
      <c r="B825" s="1" t="s">
        <v>1078</v>
      </c>
      <c r="C825" s="1" t="s">
        <v>1633</v>
      </c>
      <c r="D825" s="1" t="s">
        <v>1636</v>
      </c>
      <c r="E825" s="1">
        <v>2024</v>
      </c>
      <c r="F825" s="1" t="s">
        <v>1641</v>
      </c>
      <c r="G825" s="1">
        <v>4258</v>
      </c>
      <c r="H825" s="1">
        <v>4540</v>
      </c>
      <c r="I825" s="1">
        <v>4978</v>
      </c>
      <c r="J825" s="1">
        <v>337995</v>
      </c>
      <c r="K825" s="1">
        <v>9.34</v>
      </c>
      <c r="L825" s="1">
        <v>4</v>
      </c>
      <c r="M825" s="1">
        <v>2.66</v>
      </c>
      <c r="N825" s="1">
        <v>23.99</v>
      </c>
      <c r="O825" s="1">
        <v>86.73</v>
      </c>
      <c r="P825" s="1">
        <v>3.6</v>
      </c>
      <c r="Q825" s="1">
        <v>11596</v>
      </c>
      <c r="R825" s="1">
        <v>552</v>
      </c>
      <c r="S825" s="1">
        <v>9</v>
      </c>
      <c r="T825" s="1">
        <f>(Table1[[#This Row],[Selling_Price_per_Unit]]-Table1[[#This Row],[Manufacturing_Cost_per_Unit]])*Table1[[#This Row],[Units_Sold]]-Table1[[#This Row],[Marketing_Spend]]-Table1[[#This Row],[Discount_%]]</f>
        <v>-2203022.9900000002</v>
      </c>
      <c r="U825" s="3">
        <f>Table1[[#This Row],[profit]]/(Table1[[#This Row],[Units_Sold]]*Table1[[#This Row],[Selling_Price_per_Unit]])*100</f>
        <v>-11.396133269740504</v>
      </c>
      <c r="V825" s="6">
        <f>Table1[[#This Row],[Units_Sold]]*Table1[[#This Row],[Selling_Price_per_Unit]]</f>
        <v>19331320</v>
      </c>
      <c r="W825" s="7">
        <f>(Table1[[#This Row],[Units_Sold]]/$Z$1)</f>
        <v>0.85246132692472465</v>
      </c>
      <c r="X825" s="8">
        <f>((Table1[[#This Row],[Units_Sold]]*(Table1[[#This Row],[Selling_Price_per_Unit]]-Table1[[#This Row],[Manufacturing_Cost_per_Unit]]))-Table1[[#This Row],[Marketing_Spend]])/Table1[[#This Row],[Marketing_Spend]]</f>
        <v>-6.5178449385345933</v>
      </c>
    </row>
    <row r="826" spans="1:24" x14ac:dyDescent="0.3">
      <c r="A826" s="1" t="s">
        <v>843</v>
      </c>
      <c r="B826" s="1" t="s">
        <v>1564</v>
      </c>
      <c r="C826" s="1" t="s">
        <v>1633</v>
      </c>
      <c r="D826" s="1" t="s">
        <v>1635</v>
      </c>
      <c r="E826" s="1">
        <v>2024</v>
      </c>
      <c r="F826" s="1" t="s">
        <v>1640</v>
      </c>
      <c r="G826" s="1">
        <v>4704</v>
      </c>
      <c r="H826" s="1">
        <v>11154</v>
      </c>
      <c r="I826" s="1">
        <v>8589</v>
      </c>
      <c r="J826" s="1">
        <v>343423</v>
      </c>
      <c r="K826" s="1">
        <v>14.85</v>
      </c>
      <c r="L826" s="1">
        <v>4</v>
      </c>
      <c r="M826" s="1">
        <v>8.07</v>
      </c>
      <c r="N826" s="1">
        <v>16.899999999999999</v>
      </c>
      <c r="O826" s="1">
        <v>84.49</v>
      </c>
      <c r="P826" s="1">
        <v>1.4</v>
      </c>
      <c r="Q826" s="1">
        <v>5087</v>
      </c>
      <c r="R826" s="1">
        <v>7436</v>
      </c>
      <c r="S826" s="1">
        <v>2</v>
      </c>
      <c r="T826" s="1">
        <f>(Table1[[#This Row],[Selling_Price_per_Unit]]-Table1[[#This Row],[Manufacturing_Cost_per_Unit]])*Table1[[#This Row],[Units_Sold]]-Table1[[#This Row],[Marketing_Spend]]-Table1[[#This Row],[Discount_%]]</f>
        <v>11722320.1</v>
      </c>
      <c r="U826" s="3">
        <f>Table1[[#This Row],[profit]]/(Table1[[#This Row],[Units_Sold]]*Table1[[#This Row],[Selling_Price_per_Unit]])*100</f>
        <v>22.341669510282149</v>
      </c>
      <c r="V826" s="6">
        <f>Table1[[#This Row],[Units_Sold]]*Table1[[#This Row],[Selling_Price_per_Unit]]</f>
        <v>52468416</v>
      </c>
      <c r="W826" s="7">
        <f>(Table1[[#This Row],[Units_Sold]]/$Z$1)</f>
        <v>0.94175154576183773</v>
      </c>
      <c r="X826" s="8">
        <f>((Table1[[#This Row],[Units_Sold]]*(Table1[[#This Row],[Selling_Price_per_Unit]]-Table1[[#This Row],[Manufacturing_Cost_per_Unit]]))-Table1[[#This Row],[Marketing_Spend]])/Table1[[#This Row],[Marketing_Spend]]</f>
        <v>34.133814566875252</v>
      </c>
    </row>
    <row r="827" spans="1:24" hidden="1" x14ac:dyDescent="0.3">
      <c r="A827" s="1" t="s">
        <v>793</v>
      </c>
      <c r="B827" s="1" t="s">
        <v>1541</v>
      </c>
      <c r="C827" s="1" t="s">
        <v>1634</v>
      </c>
      <c r="D827" s="1" t="s">
        <v>1637</v>
      </c>
      <c r="E827" s="1">
        <v>2024</v>
      </c>
      <c r="F827" s="1" t="s">
        <v>1640</v>
      </c>
      <c r="G827" s="1">
        <v>1543</v>
      </c>
      <c r="H827" s="1">
        <v>18847</v>
      </c>
      <c r="I827" s="1">
        <v>5428</v>
      </c>
      <c r="J827" s="1">
        <v>348225</v>
      </c>
      <c r="K827" s="1">
        <v>8.27</v>
      </c>
      <c r="L827" s="1">
        <v>2</v>
      </c>
      <c r="M827" s="1">
        <v>9.93</v>
      </c>
      <c r="N827" s="1">
        <v>13.68</v>
      </c>
      <c r="O827" s="1">
        <v>56.61</v>
      </c>
      <c r="P827" s="1">
        <v>4.5999999999999996</v>
      </c>
      <c r="Q827" s="1">
        <v>6471</v>
      </c>
      <c r="R827" s="1">
        <v>9967</v>
      </c>
      <c r="S827" s="1">
        <v>10</v>
      </c>
      <c r="T827" s="1">
        <f>(Table1[[#This Row],[Selling_Price_per_Unit]]-Table1[[#This Row],[Manufacturing_Cost_per_Unit]])*Table1[[#This Row],[Units_Sold]]-Table1[[#This Row],[Marketing_Spend]]-Table1[[#This Row],[Discount_%]]</f>
        <v>20357278.32</v>
      </c>
      <c r="U827" s="3">
        <f>Table1[[#This Row],[profit]]/(Table1[[#This Row],[Units_Sold]]*Table1[[#This Row],[Selling_Price_per_Unit]])*100</f>
        <v>70.00217881682633</v>
      </c>
      <c r="V827" s="6">
        <f>Table1[[#This Row],[Units_Sold]]*Table1[[#This Row],[Selling_Price_per_Unit]]</f>
        <v>29080921</v>
      </c>
      <c r="W827" s="7">
        <f>(Table1[[#This Row],[Units_Sold]]/$Z$1)</f>
        <v>0.30891212481090891</v>
      </c>
      <c r="X827" s="8">
        <f>((Table1[[#This Row],[Units_Sold]]*(Table1[[#This Row],[Selling_Price_per_Unit]]-Table1[[#This Row],[Manufacturing_Cost_per_Unit]]))-Table1[[#This Row],[Marketing_Spend]])/Table1[[#This Row],[Marketing_Spend]]</f>
        <v>58.460167994830925</v>
      </c>
    </row>
    <row r="828" spans="1:24" x14ac:dyDescent="0.3">
      <c r="A828" s="1" t="s">
        <v>253</v>
      </c>
      <c r="B828" s="1" t="s">
        <v>1226</v>
      </c>
      <c r="C828" s="1" t="s">
        <v>1634</v>
      </c>
      <c r="D828" s="1" t="s">
        <v>1638</v>
      </c>
      <c r="E828" s="1">
        <v>2024</v>
      </c>
      <c r="F828" s="1" t="s">
        <v>1642</v>
      </c>
      <c r="G828" s="1">
        <v>3973</v>
      </c>
      <c r="H828" s="1">
        <v>10505</v>
      </c>
      <c r="I828" s="1">
        <v>5358</v>
      </c>
      <c r="J828" s="1">
        <v>100098</v>
      </c>
      <c r="K828" s="1">
        <v>10.99</v>
      </c>
      <c r="L828" s="1">
        <v>19</v>
      </c>
      <c r="M828" s="1">
        <v>8.2899999999999991</v>
      </c>
      <c r="N828" s="1">
        <v>5.52</v>
      </c>
      <c r="O828" s="1">
        <v>14.28</v>
      </c>
      <c r="P828" s="1">
        <v>1.1000000000000001</v>
      </c>
      <c r="Q828" s="1">
        <v>19861</v>
      </c>
      <c r="R828" s="1">
        <v>9890</v>
      </c>
      <c r="S828" s="1">
        <v>4</v>
      </c>
      <c r="T828" s="1">
        <f>(Table1[[#This Row],[Selling_Price_per_Unit]]-Table1[[#This Row],[Manufacturing_Cost_per_Unit]])*Table1[[#This Row],[Units_Sold]]-Table1[[#This Row],[Marketing_Spend]]-Table1[[#This Row],[Discount_%]]</f>
        <v>20348927.48</v>
      </c>
      <c r="U828" s="3">
        <f>Table1[[#This Row],[profit]]/(Table1[[#This Row],[Units_Sold]]*Table1[[#This Row],[Selling_Price_per_Unit]])*100</f>
        <v>48.75586908443033</v>
      </c>
      <c r="V828" s="6">
        <f>Table1[[#This Row],[Units_Sold]]*Table1[[#This Row],[Selling_Price_per_Unit]]</f>
        <v>41736365</v>
      </c>
      <c r="W828" s="7">
        <f>(Table1[[#This Row],[Units_Sold]]/$Z$1)</f>
        <v>0.7954036758741031</v>
      </c>
      <c r="X828" s="8">
        <f>((Table1[[#This Row],[Units_Sold]]*(Table1[[#This Row],[Selling_Price_per_Unit]]-Table1[[#This Row],[Manufacturing_Cost_per_Unit]]))-Table1[[#This Row],[Marketing_Spend]])/Table1[[#This Row],[Marketing_Spend]]</f>
        <v>203.2901056964175</v>
      </c>
    </row>
    <row r="829" spans="1:24" hidden="1" x14ac:dyDescent="0.3">
      <c r="A829" s="1" t="s">
        <v>84</v>
      </c>
      <c r="B829" s="1" t="s">
        <v>1081</v>
      </c>
      <c r="C829" s="1" t="s">
        <v>1632</v>
      </c>
      <c r="D829" s="1" t="s">
        <v>1637</v>
      </c>
      <c r="E829" s="1">
        <v>2023</v>
      </c>
      <c r="F829" s="1" t="s">
        <v>1640</v>
      </c>
      <c r="G829" s="1">
        <v>2031</v>
      </c>
      <c r="H829" s="1">
        <v>13675</v>
      </c>
      <c r="I829" s="1">
        <v>3472</v>
      </c>
      <c r="J829" s="1">
        <v>427033</v>
      </c>
      <c r="K829" s="1">
        <v>10.42</v>
      </c>
      <c r="L829" s="1">
        <v>9</v>
      </c>
      <c r="M829" s="1">
        <v>8.8699999999999992</v>
      </c>
      <c r="N829" s="1">
        <v>5.98</v>
      </c>
      <c r="O829" s="1">
        <v>53.52</v>
      </c>
      <c r="P829" s="1">
        <v>4.9000000000000004</v>
      </c>
      <c r="Q829" s="1">
        <v>4308</v>
      </c>
      <c r="R829" s="1">
        <v>7529</v>
      </c>
      <c r="S829" s="1">
        <v>3</v>
      </c>
      <c r="T829" s="1">
        <f>(Table1[[#This Row],[Selling_Price_per_Unit]]-Table1[[#This Row],[Manufacturing_Cost_per_Unit]])*Table1[[#This Row],[Units_Sold]]-Table1[[#This Row],[Marketing_Spend]]-Table1[[#This Row],[Discount_%]]</f>
        <v>20295254.02</v>
      </c>
      <c r="U829" s="3">
        <f>Table1[[#This Row],[profit]]/(Table1[[#This Row],[Units_Sold]]*Table1[[#This Row],[Selling_Price_per_Unit]])*100</f>
        <v>73.073049703993945</v>
      </c>
      <c r="V829" s="6">
        <f>Table1[[#This Row],[Units_Sold]]*Table1[[#This Row],[Selling_Price_per_Unit]]</f>
        <v>27773925</v>
      </c>
      <c r="W829" s="7">
        <f>(Table1[[#This Row],[Units_Sold]]/$Z$1)</f>
        <v>0.40661083959232408</v>
      </c>
      <c r="X829" s="8">
        <f>((Table1[[#This Row],[Units_Sold]]*(Table1[[#This Row],[Selling_Price_per_Unit]]-Table1[[#This Row],[Manufacturing_Cost_per_Unit]]))-Table1[[#This Row],[Marketing_Spend]])/Table1[[#This Row],[Marketing_Spend]]</f>
        <v>47.526209918203044</v>
      </c>
    </row>
    <row r="830" spans="1:24" hidden="1" x14ac:dyDescent="0.3">
      <c r="A830" s="1" t="s">
        <v>847</v>
      </c>
      <c r="B830" s="1" t="s">
        <v>1199</v>
      </c>
      <c r="C830" s="1" t="s">
        <v>1633</v>
      </c>
      <c r="D830" s="1" t="s">
        <v>1637</v>
      </c>
      <c r="E830" s="1">
        <v>2024</v>
      </c>
      <c r="F830" s="1" t="s">
        <v>1641</v>
      </c>
      <c r="G830" s="1">
        <v>1623</v>
      </c>
      <c r="H830" s="1">
        <v>16496</v>
      </c>
      <c r="I830" s="1">
        <v>8680</v>
      </c>
      <c r="J830" s="1">
        <v>327593</v>
      </c>
      <c r="K830" s="1">
        <v>6.64</v>
      </c>
      <c r="L830" s="1">
        <v>14</v>
      </c>
      <c r="M830" s="1">
        <v>8.66</v>
      </c>
      <c r="N830" s="1">
        <v>2</v>
      </c>
      <c r="O830" s="1">
        <v>77.680000000000007</v>
      </c>
      <c r="P830" s="1">
        <v>2.6</v>
      </c>
      <c r="Q830" s="1">
        <v>6366</v>
      </c>
      <c r="R830" s="1">
        <v>6474</v>
      </c>
      <c r="S830" s="1">
        <v>3</v>
      </c>
      <c r="T830" s="1">
        <f>(Table1[[#This Row],[Selling_Price_per_Unit]]-Table1[[#This Row],[Manufacturing_Cost_per_Unit]])*Table1[[#This Row],[Units_Sold]]-Table1[[#This Row],[Marketing_Spend]]-Table1[[#This Row],[Discount_%]]</f>
        <v>12357773</v>
      </c>
      <c r="U830" s="3">
        <f>Table1[[#This Row],[profit]]/(Table1[[#This Row],[Units_Sold]]*Table1[[#This Row],[Selling_Price_per_Unit]])*100</f>
        <v>46.157581546309629</v>
      </c>
      <c r="V830" s="6">
        <f>Table1[[#This Row],[Units_Sold]]*Table1[[#This Row],[Selling_Price_per_Unit]]</f>
        <v>26773008</v>
      </c>
      <c r="W830" s="7">
        <f>(Table1[[#This Row],[Units_Sold]]/$Z$1)</f>
        <v>0.32492830756196056</v>
      </c>
      <c r="X830" s="8">
        <f>((Table1[[#This Row],[Units_Sold]]*(Table1[[#This Row],[Selling_Price_per_Unit]]-Table1[[#This Row],[Manufacturing_Cost_per_Unit]]))-Table1[[#This Row],[Marketing_Spend]])/Table1[[#This Row],[Marketing_Spend]]</f>
        <v>37.72295195562787</v>
      </c>
    </row>
    <row r="831" spans="1:24" hidden="1" x14ac:dyDescent="0.3">
      <c r="A831" s="1" t="s">
        <v>848</v>
      </c>
      <c r="B831" s="1" t="s">
        <v>1565</v>
      </c>
      <c r="C831" s="1" t="s">
        <v>1633</v>
      </c>
      <c r="D831" s="1" t="s">
        <v>1637</v>
      </c>
      <c r="E831" s="1">
        <v>2024</v>
      </c>
      <c r="F831" s="1" t="s">
        <v>1642</v>
      </c>
      <c r="G831" s="1">
        <v>1878</v>
      </c>
      <c r="H831" s="1">
        <v>17836</v>
      </c>
      <c r="I831" s="1">
        <v>11323</v>
      </c>
      <c r="J831" s="1">
        <v>388365</v>
      </c>
      <c r="K831" s="1">
        <v>3.92</v>
      </c>
      <c r="L831" s="1">
        <v>1</v>
      </c>
      <c r="M831" s="1">
        <v>4.99</v>
      </c>
      <c r="N831" s="1">
        <v>8.99</v>
      </c>
      <c r="O831" s="1">
        <v>44.2</v>
      </c>
      <c r="P831" s="1">
        <v>3.5</v>
      </c>
      <c r="Q831" s="1">
        <v>11639</v>
      </c>
      <c r="R831" s="1">
        <v>5458</v>
      </c>
      <c r="S831" s="1">
        <v>4</v>
      </c>
      <c r="T831" s="1">
        <f>(Table1[[#This Row],[Selling_Price_per_Unit]]-Table1[[#This Row],[Manufacturing_Cost_per_Unit]])*Table1[[#This Row],[Units_Sold]]-Table1[[#This Row],[Marketing_Spend]]-Table1[[#This Row],[Discount_%]]</f>
        <v>11843040.01</v>
      </c>
      <c r="U831" s="3">
        <f>Table1[[#This Row],[profit]]/(Table1[[#This Row],[Units_Sold]]*Table1[[#This Row],[Selling_Price_per_Unit]])*100</f>
        <v>35.356571475621813</v>
      </c>
      <c r="V831" s="6">
        <f>Table1[[#This Row],[Units_Sold]]*Table1[[#This Row],[Selling_Price_per_Unit]]</f>
        <v>33496008</v>
      </c>
      <c r="W831" s="7">
        <f>(Table1[[#This Row],[Units_Sold]]/$Z$1)</f>
        <v>0.37597989008093774</v>
      </c>
      <c r="X831" s="8">
        <f>((Table1[[#This Row],[Units_Sold]]*(Table1[[#This Row],[Selling_Price_per_Unit]]-Table1[[#This Row],[Manufacturing_Cost_per_Unit]]))-Table1[[#This Row],[Marketing_Spend]])/Table1[[#This Row],[Marketing_Spend]]</f>
        <v>30.494635201421342</v>
      </c>
    </row>
    <row r="832" spans="1:24" hidden="1" x14ac:dyDescent="0.3">
      <c r="A832" s="1" t="s">
        <v>849</v>
      </c>
      <c r="B832" s="1" t="s">
        <v>1310</v>
      </c>
      <c r="C832" s="1" t="s">
        <v>1632</v>
      </c>
      <c r="D832" s="1" t="s">
        <v>1636</v>
      </c>
      <c r="E832" s="1">
        <v>2023</v>
      </c>
      <c r="F832" s="1" t="s">
        <v>1641</v>
      </c>
      <c r="G832" s="1">
        <v>1967</v>
      </c>
      <c r="H832" s="1">
        <v>10353</v>
      </c>
      <c r="I832" s="1">
        <v>5875</v>
      </c>
      <c r="J832" s="1">
        <v>401224</v>
      </c>
      <c r="K832" s="1">
        <v>5.15</v>
      </c>
      <c r="L832" s="1">
        <v>12</v>
      </c>
      <c r="M832" s="1">
        <v>2.97</v>
      </c>
      <c r="N832" s="1">
        <v>21.46</v>
      </c>
      <c r="O832" s="1">
        <v>31.78</v>
      </c>
      <c r="P832" s="1">
        <v>4.9000000000000004</v>
      </c>
      <c r="Q832" s="1">
        <v>18586</v>
      </c>
      <c r="R832" s="1">
        <v>4448</v>
      </c>
      <c r="S832" s="1">
        <v>3</v>
      </c>
      <c r="T832" s="1">
        <f>(Table1[[#This Row],[Selling_Price_per_Unit]]-Table1[[#This Row],[Manufacturing_Cost_per_Unit]])*Table1[[#This Row],[Units_Sold]]-Table1[[#This Row],[Marketing_Spend]]-Table1[[#This Row],[Discount_%]]</f>
        <v>8406980.5399999991</v>
      </c>
      <c r="U832" s="3">
        <f>Table1[[#This Row],[profit]]/(Table1[[#This Row],[Units_Sold]]*Table1[[#This Row],[Selling_Price_per_Unit]])*100</f>
        <v>41.282830668161239</v>
      </c>
      <c r="V832" s="6">
        <f>Table1[[#This Row],[Units_Sold]]*Table1[[#This Row],[Selling_Price_per_Unit]]</f>
        <v>20364351</v>
      </c>
      <c r="W832" s="7">
        <f>(Table1[[#This Row],[Units_Sold]]/$Z$1)</f>
        <v>0.39379789339148275</v>
      </c>
      <c r="X832" s="8">
        <f>((Table1[[#This Row],[Units_Sold]]*(Table1[[#This Row],[Selling_Price_per_Unit]]-Table1[[#This Row],[Manufacturing_Cost_per_Unit]]))-Table1[[#This Row],[Marketing_Spend]])/Table1[[#This Row],[Marketing_Spend]]</f>
        <v>20.95338763384045</v>
      </c>
    </row>
    <row r="833" spans="1:24" x14ac:dyDescent="0.3">
      <c r="A833" s="1" t="s">
        <v>850</v>
      </c>
      <c r="B833" s="1" t="s">
        <v>1517</v>
      </c>
      <c r="C833" s="1" t="s">
        <v>1633</v>
      </c>
      <c r="D833" s="1" t="s">
        <v>1637</v>
      </c>
      <c r="E833" s="1">
        <v>2024</v>
      </c>
      <c r="F833" s="1" t="s">
        <v>1642</v>
      </c>
      <c r="G833" s="1">
        <v>4284</v>
      </c>
      <c r="H833" s="1">
        <v>13195</v>
      </c>
      <c r="I833" s="1">
        <v>11212</v>
      </c>
      <c r="J833" s="1">
        <v>55451</v>
      </c>
      <c r="K833" s="1">
        <v>12.52</v>
      </c>
      <c r="L833" s="1">
        <v>3</v>
      </c>
      <c r="M833" s="1">
        <v>2.65</v>
      </c>
      <c r="N833" s="1">
        <v>5.82</v>
      </c>
      <c r="O833" s="1">
        <v>40.729999999999997</v>
      </c>
      <c r="P833" s="1">
        <v>1.4</v>
      </c>
      <c r="Q833" s="1">
        <v>3628</v>
      </c>
      <c r="R833" s="1">
        <v>1559</v>
      </c>
      <c r="S833" s="1">
        <v>14</v>
      </c>
      <c r="T833" s="1">
        <f>(Table1[[#This Row],[Selling_Price_per_Unit]]-Table1[[#This Row],[Manufacturing_Cost_per_Unit]])*Table1[[#This Row],[Units_Sold]]-Table1[[#This Row],[Marketing_Spend]]-Table1[[#This Row],[Discount_%]]</f>
        <v>8439715.1799999997</v>
      </c>
      <c r="U833" s="3">
        <f>Table1[[#This Row],[profit]]/(Table1[[#This Row],[Units_Sold]]*Table1[[#This Row],[Selling_Price_per_Unit]])*100</f>
        <v>14.930313734689276</v>
      </c>
      <c r="V833" s="6">
        <f>Table1[[#This Row],[Units_Sold]]*Table1[[#This Row],[Selling_Price_per_Unit]]</f>
        <v>56527380</v>
      </c>
      <c r="W833" s="7">
        <f>(Table1[[#This Row],[Units_Sold]]/$Z$1)</f>
        <v>0.85766658631881643</v>
      </c>
      <c r="X833" s="8">
        <f>((Table1[[#This Row],[Units_Sold]]*(Table1[[#This Row],[Selling_Price_per_Unit]]-Table1[[#This Row],[Manufacturing_Cost_per_Unit]]))-Table1[[#This Row],[Marketing_Spend]])/Table1[[#This Row],[Marketing_Spend]]</f>
        <v>152.20142107446213</v>
      </c>
    </row>
    <row r="834" spans="1:24" hidden="1" x14ac:dyDescent="0.3">
      <c r="A834" s="1" t="s">
        <v>851</v>
      </c>
      <c r="B834" s="1" t="s">
        <v>1566</v>
      </c>
      <c r="C834" s="1" t="s">
        <v>1634</v>
      </c>
      <c r="D834" s="1" t="s">
        <v>1636</v>
      </c>
      <c r="E834" s="1">
        <v>2024</v>
      </c>
      <c r="F834" s="1" t="s">
        <v>1642</v>
      </c>
      <c r="G834" s="1">
        <v>2076</v>
      </c>
      <c r="H834" s="1">
        <v>4352</v>
      </c>
      <c r="I834" s="1">
        <v>12781</v>
      </c>
      <c r="J834" s="1">
        <v>137178</v>
      </c>
      <c r="K834" s="1">
        <v>14.03</v>
      </c>
      <c r="L834" s="1">
        <v>9</v>
      </c>
      <c r="M834" s="1">
        <v>4.32</v>
      </c>
      <c r="N834" s="1">
        <v>2.89</v>
      </c>
      <c r="O834" s="1">
        <v>76.87</v>
      </c>
      <c r="P834" s="1">
        <v>2.6</v>
      </c>
      <c r="Q834" s="1">
        <v>10618</v>
      </c>
      <c r="R834" s="1">
        <v>2042</v>
      </c>
      <c r="S834" s="1">
        <v>9</v>
      </c>
      <c r="T834" s="1">
        <f>(Table1[[#This Row],[Selling_Price_per_Unit]]-Table1[[#This Row],[Manufacturing_Cost_per_Unit]])*Table1[[#This Row],[Units_Sold]]-Table1[[#This Row],[Marketing_Spend]]-Table1[[#This Row],[Discount_%]]</f>
        <v>-17635784.890000001</v>
      </c>
      <c r="U834" s="3">
        <f>Table1[[#This Row],[profit]]/(Table1[[#This Row],[Units_Sold]]*Table1[[#This Row],[Selling_Price_per_Unit]])*100</f>
        <v>-195.19943535804859</v>
      </c>
      <c r="V834" s="6">
        <f>Table1[[#This Row],[Units_Sold]]*Table1[[#This Row],[Selling_Price_per_Unit]]</f>
        <v>9034752</v>
      </c>
      <c r="W834" s="7">
        <f>(Table1[[#This Row],[Units_Sold]]/$Z$1)</f>
        <v>0.41561994238979061</v>
      </c>
      <c r="X834" s="8">
        <f>((Table1[[#This Row],[Units_Sold]]*(Table1[[#This Row],[Selling_Price_per_Unit]]-Table1[[#This Row],[Manufacturing_Cost_per_Unit]]))-Table1[[#This Row],[Marketing_Spend]])/Table1[[#This Row],[Marketing_Spend]]</f>
        <v>-128.5612999168963</v>
      </c>
    </row>
    <row r="835" spans="1:24" hidden="1" x14ac:dyDescent="0.3">
      <c r="A835" s="1" t="s">
        <v>970</v>
      </c>
      <c r="B835" s="1" t="s">
        <v>1165</v>
      </c>
      <c r="C835" s="1" t="s">
        <v>1633</v>
      </c>
      <c r="D835" s="1" t="s">
        <v>1636</v>
      </c>
      <c r="E835" s="1">
        <v>2024</v>
      </c>
      <c r="F835" s="1" t="s">
        <v>1639</v>
      </c>
      <c r="G835" s="1">
        <v>2238</v>
      </c>
      <c r="H835" s="1">
        <v>18932</v>
      </c>
      <c r="I835" s="1">
        <v>9721</v>
      </c>
      <c r="J835" s="1">
        <v>390676</v>
      </c>
      <c r="K835" s="1">
        <v>0.49</v>
      </c>
      <c r="L835" s="1">
        <v>3</v>
      </c>
      <c r="M835" s="1">
        <v>6.87</v>
      </c>
      <c r="N835" s="1">
        <v>4.95</v>
      </c>
      <c r="O835" s="1">
        <v>11.6</v>
      </c>
      <c r="P835" s="1">
        <v>4.0999999999999996</v>
      </c>
      <c r="Q835" s="1">
        <v>16907</v>
      </c>
      <c r="R835" s="1">
        <v>8088</v>
      </c>
      <c r="S835" s="1">
        <v>6</v>
      </c>
      <c r="T835" s="1">
        <f>(Table1[[#This Row],[Selling_Price_per_Unit]]-Table1[[#This Row],[Manufacturing_Cost_per_Unit]])*Table1[[#This Row],[Units_Sold]]-Table1[[#This Row],[Marketing_Spend]]-Table1[[#This Row],[Discount_%]]</f>
        <v>20223537.050000001</v>
      </c>
      <c r="U835" s="3">
        <f>Table1[[#This Row],[profit]]/(Table1[[#This Row],[Units_Sold]]*Table1[[#This Row],[Selling_Price_per_Unit]])*100</f>
        <v>47.731000413124285</v>
      </c>
      <c r="V835" s="6">
        <f>Table1[[#This Row],[Units_Sold]]*Table1[[#This Row],[Selling_Price_per_Unit]]</f>
        <v>42369816</v>
      </c>
      <c r="W835" s="7">
        <f>(Table1[[#This Row],[Units_Sold]]/$Z$1)</f>
        <v>0.44805271246067024</v>
      </c>
      <c r="X835" s="8">
        <f>((Table1[[#This Row],[Units_Sold]]*(Table1[[#This Row],[Selling_Price_per_Unit]]-Table1[[#This Row],[Manufacturing_Cost_per_Unit]]))-Table1[[#This Row],[Marketing_Spend]])/Table1[[#This Row],[Marketing_Spend]]</f>
        <v>51.765509015142982</v>
      </c>
    </row>
    <row r="836" spans="1:24" hidden="1" x14ac:dyDescent="0.3">
      <c r="A836" s="1" t="s">
        <v>853</v>
      </c>
      <c r="B836" s="1" t="s">
        <v>1512</v>
      </c>
      <c r="C836" s="1" t="s">
        <v>1632</v>
      </c>
      <c r="D836" s="1" t="s">
        <v>1635</v>
      </c>
      <c r="E836" s="1">
        <v>2024</v>
      </c>
      <c r="F836" s="1" t="s">
        <v>1640</v>
      </c>
      <c r="G836" s="1">
        <v>951</v>
      </c>
      <c r="H836" s="1">
        <v>2487</v>
      </c>
      <c r="I836" s="1">
        <v>11802</v>
      </c>
      <c r="J836" s="1">
        <v>375905</v>
      </c>
      <c r="K836" s="1">
        <v>5.59</v>
      </c>
      <c r="L836" s="1">
        <v>9</v>
      </c>
      <c r="M836" s="1">
        <v>2.2000000000000002</v>
      </c>
      <c r="N836" s="1">
        <v>5.51</v>
      </c>
      <c r="O836" s="1">
        <v>46.49</v>
      </c>
      <c r="P836" s="1">
        <v>3.3</v>
      </c>
      <c r="Q836" s="1">
        <v>19033</v>
      </c>
      <c r="R836" s="1">
        <v>5296</v>
      </c>
      <c r="S836" s="1">
        <v>11</v>
      </c>
      <c r="T836" s="1">
        <f>(Table1[[#This Row],[Selling_Price_per_Unit]]-Table1[[#This Row],[Manufacturing_Cost_per_Unit]])*Table1[[#This Row],[Units_Sold]]-Table1[[#This Row],[Marketing_Spend]]-Table1[[#This Row],[Discount_%]]</f>
        <v>-9234475.5099999998</v>
      </c>
      <c r="U836" s="3">
        <f>Table1[[#This Row],[profit]]/(Table1[[#This Row],[Units_Sold]]*Table1[[#This Row],[Selling_Price_per_Unit]])*100</f>
        <v>-390.44146322179222</v>
      </c>
      <c r="V836" s="6">
        <f>Table1[[#This Row],[Units_Sold]]*Table1[[#This Row],[Selling_Price_per_Unit]]</f>
        <v>2365137</v>
      </c>
      <c r="W836" s="7">
        <f>(Table1[[#This Row],[Units_Sold]]/$Z$1)</f>
        <v>0.19039237245312662</v>
      </c>
      <c r="X836" s="8">
        <f>((Table1[[#This Row],[Units_Sold]]*(Table1[[#This Row],[Selling_Price_per_Unit]]-Table1[[#This Row],[Manufacturing_Cost_per_Unit]]))-Table1[[#This Row],[Marketing_Spend]])/Table1[[#This Row],[Marketing_Spend]]</f>
        <v>-24.565967465184023</v>
      </c>
    </row>
    <row r="837" spans="1:24" x14ac:dyDescent="0.3">
      <c r="A837" s="1" t="s">
        <v>854</v>
      </c>
      <c r="B837" s="1" t="s">
        <v>1455</v>
      </c>
      <c r="C837" s="1" t="s">
        <v>1634</v>
      </c>
      <c r="D837" s="1" t="s">
        <v>1636</v>
      </c>
      <c r="E837" s="1">
        <v>2024</v>
      </c>
      <c r="F837" s="1" t="s">
        <v>1640</v>
      </c>
      <c r="G837" s="1">
        <v>4835</v>
      </c>
      <c r="H837" s="1">
        <v>9122</v>
      </c>
      <c r="I837" s="1">
        <v>14747</v>
      </c>
      <c r="J837" s="1">
        <v>286562</v>
      </c>
      <c r="K837" s="1">
        <v>13.93</v>
      </c>
      <c r="L837" s="1">
        <v>8</v>
      </c>
      <c r="M837" s="1">
        <v>1.03</v>
      </c>
      <c r="N837" s="1">
        <v>23.13</v>
      </c>
      <c r="O837" s="1">
        <v>49.39</v>
      </c>
      <c r="P837" s="1">
        <v>1.6</v>
      </c>
      <c r="Q837" s="1">
        <v>15728</v>
      </c>
      <c r="R837" s="1">
        <v>161</v>
      </c>
      <c r="S837" s="1">
        <v>3</v>
      </c>
      <c r="T837" s="1">
        <f>(Table1[[#This Row],[Selling_Price_per_Unit]]-Table1[[#This Row],[Manufacturing_Cost_per_Unit]])*Table1[[#This Row],[Units_Sold]]-Table1[[#This Row],[Marketing_Spend]]-Table1[[#This Row],[Discount_%]]</f>
        <v>-27483460.129999999</v>
      </c>
      <c r="U837" s="3">
        <f>Table1[[#This Row],[profit]]/(Table1[[#This Row],[Units_Sold]]*Table1[[#This Row],[Selling_Price_per_Unit]])*100</f>
        <v>-62.313889894698704</v>
      </c>
      <c r="V837" s="6">
        <f>Table1[[#This Row],[Units_Sold]]*Table1[[#This Row],[Selling_Price_per_Unit]]</f>
        <v>44104870</v>
      </c>
      <c r="W837" s="7">
        <f>(Table1[[#This Row],[Units_Sold]]/$Z$1)</f>
        <v>0.96797804501668483</v>
      </c>
      <c r="X837" s="8">
        <f>((Table1[[#This Row],[Units_Sold]]*(Table1[[#This Row],[Selling_Price_per_Unit]]-Table1[[#This Row],[Manufacturing_Cost_per_Unit]]))-Table1[[#This Row],[Marketing_Spend]])/Table1[[#This Row],[Marketing_Spend]]</f>
        <v>-95.90747203048555</v>
      </c>
    </row>
    <row r="838" spans="1:24" hidden="1" x14ac:dyDescent="0.3">
      <c r="A838" s="1" t="s">
        <v>855</v>
      </c>
      <c r="B838" s="1" t="s">
        <v>1567</v>
      </c>
      <c r="C838" s="1" t="s">
        <v>1632</v>
      </c>
      <c r="D838" s="1" t="s">
        <v>1635</v>
      </c>
      <c r="E838" s="1">
        <v>2024</v>
      </c>
      <c r="F838" s="1" t="s">
        <v>1642</v>
      </c>
      <c r="G838" s="1">
        <v>2089</v>
      </c>
      <c r="H838" s="1">
        <v>10660</v>
      </c>
      <c r="I838" s="1">
        <v>14486</v>
      </c>
      <c r="J838" s="1">
        <v>351014</v>
      </c>
      <c r="K838" s="1">
        <v>0.93</v>
      </c>
      <c r="L838" s="1">
        <v>7</v>
      </c>
      <c r="M838" s="1">
        <v>5.85</v>
      </c>
      <c r="N838" s="1">
        <v>21.7</v>
      </c>
      <c r="O838" s="1">
        <v>12.93</v>
      </c>
      <c r="P838" s="1">
        <v>1.7</v>
      </c>
      <c r="Q838" s="1">
        <v>15679</v>
      </c>
      <c r="R838" s="1">
        <v>1594</v>
      </c>
      <c r="S838" s="1">
        <v>2</v>
      </c>
      <c r="T838" s="1">
        <f>(Table1[[#This Row],[Selling_Price_per_Unit]]-Table1[[#This Row],[Manufacturing_Cost_per_Unit]])*Table1[[#This Row],[Units_Sold]]-Table1[[#This Row],[Marketing_Spend]]-Table1[[#This Row],[Discount_%]]</f>
        <v>-8343549.7000000002</v>
      </c>
      <c r="U838" s="3">
        <f>Table1[[#This Row],[profit]]/(Table1[[#This Row],[Units_Sold]]*Table1[[#This Row],[Selling_Price_per_Unit]])*100</f>
        <v>-37.467542842567653</v>
      </c>
      <c r="V838" s="6">
        <f>Table1[[#This Row],[Units_Sold]]*Table1[[#This Row],[Selling_Price_per_Unit]]</f>
        <v>22268740</v>
      </c>
      <c r="W838" s="7">
        <f>(Table1[[#This Row],[Units_Sold]]/$Z$1)</f>
        <v>0.4182225720868365</v>
      </c>
      <c r="X838" s="8">
        <f>((Table1[[#This Row],[Units_Sold]]*(Table1[[#This Row],[Selling_Price_per_Unit]]-Table1[[#This Row],[Manufacturing_Cost_per_Unit]]))-Table1[[#This Row],[Marketing_Spend]])/Table1[[#This Row],[Marketing_Spend]]</f>
        <v>-23.76978696006427</v>
      </c>
    </row>
    <row r="839" spans="1:24" hidden="1" x14ac:dyDescent="0.3">
      <c r="A839" s="1" t="s">
        <v>856</v>
      </c>
      <c r="B839" s="1" t="s">
        <v>1568</v>
      </c>
      <c r="C839" s="1" t="s">
        <v>1634</v>
      </c>
      <c r="D839" s="1" t="s">
        <v>1637</v>
      </c>
      <c r="E839" s="1">
        <v>2024</v>
      </c>
      <c r="F839" s="1" t="s">
        <v>1641</v>
      </c>
      <c r="G839" s="1">
        <v>59</v>
      </c>
      <c r="H839" s="1">
        <v>18984</v>
      </c>
      <c r="I839" s="1">
        <v>13720</v>
      </c>
      <c r="J839" s="1">
        <v>408710</v>
      </c>
      <c r="K839" s="1">
        <v>1.39</v>
      </c>
      <c r="L839" s="1">
        <v>2</v>
      </c>
      <c r="M839" s="1">
        <v>4.8899999999999997</v>
      </c>
      <c r="N839" s="1">
        <v>12.49</v>
      </c>
      <c r="O839" s="1">
        <v>25.66</v>
      </c>
      <c r="P839" s="1">
        <v>2.1</v>
      </c>
      <c r="Q839" s="1">
        <v>19762</v>
      </c>
      <c r="R839" s="1">
        <v>1280</v>
      </c>
      <c r="S839" s="1">
        <v>8</v>
      </c>
      <c r="T839" s="1">
        <f>(Table1[[#This Row],[Selling_Price_per_Unit]]-Table1[[#This Row],[Manufacturing_Cost_per_Unit]])*Table1[[#This Row],[Units_Sold]]-Table1[[#This Row],[Marketing_Spend]]-Table1[[#This Row],[Discount_%]]</f>
        <v>-98146.49</v>
      </c>
      <c r="U839" s="3">
        <f>Table1[[#This Row],[profit]]/(Table1[[#This Row],[Units_Sold]]*Table1[[#This Row],[Selling_Price_per_Unit]])*100</f>
        <v>-8.7626413322191041</v>
      </c>
      <c r="V839" s="6">
        <f>Table1[[#This Row],[Units_Sold]]*Table1[[#This Row],[Selling_Price_per_Unit]]</f>
        <v>1120056</v>
      </c>
      <c r="W839" s="7">
        <f>(Table1[[#This Row],[Units_Sold]]/$Z$1)</f>
        <v>1.18119347789006E-2</v>
      </c>
      <c r="X839" s="8">
        <f>((Table1[[#This Row],[Units_Sold]]*(Table1[[#This Row],[Selling_Price_per_Unit]]-Table1[[#This Row],[Manufacturing_Cost_per_Unit]]))-Table1[[#This Row],[Marketing_Spend]])/Table1[[#This Row],[Marketing_Spend]]</f>
        <v>-0.24010667710601649</v>
      </c>
    </row>
    <row r="840" spans="1:24" hidden="1" x14ac:dyDescent="0.3">
      <c r="A840" s="1" t="s">
        <v>857</v>
      </c>
      <c r="B840" s="1" t="s">
        <v>1230</v>
      </c>
      <c r="C840" s="1" t="s">
        <v>1632</v>
      </c>
      <c r="D840" s="1" t="s">
        <v>1636</v>
      </c>
      <c r="E840" s="1">
        <v>2023</v>
      </c>
      <c r="F840" s="1" t="s">
        <v>1641</v>
      </c>
      <c r="G840" s="1">
        <v>310</v>
      </c>
      <c r="H840" s="1">
        <v>8152</v>
      </c>
      <c r="I840" s="1">
        <v>2331</v>
      </c>
      <c r="J840" s="1">
        <v>435893</v>
      </c>
      <c r="K840" s="1">
        <v>2.44</v>
      </c>
      <c r="L840" s="1">
        <v>15</v>
      </c>
      <c r="M840" s="1">
        <v>5.24</v>
      </c>
      <c r="N840" s="1">
        <v>1.53</v>
      </c>
      <c r="O840" s="1">
        <v>76.14</v>
      </c>
      <c r="P840" s="1">
        <v>4.8</v>
      </c>
      <c r="Q840" s="1">
        <v>11175</v>
      </c>
      <c r="R840" s="1">
        <v>6368</v>
      </c>
      <c r="S840" s="1">
        <v>13</v>
      </c>
      <c r="T840" s="1">
        <f>(Table1[[#This Row],[Selling_Price_per_Unit]]-Table1[[#This Row],[Manufacturing_Cost_per_Unit]])*Table1[[#This Row],[Units_Sold]]-Table1[[#This Row],[Marketing_Spend]]-Table1[[#This Row],[Discount_%]]</f>
        <v>1368615.47</v>
      </c>
      <c r="U840" s="3">
        <f>Table1[[#This Row],[profit]]/(Table1[[#This Row],[Units_Sold]]*Table1[[#This Row],[Selling_Price_per_Unit]])*100</f>
        <v>54.157122336889415</v>
      </c>
      <c r="V840" s="6">
        <f>Table1[[#This Row],[Units_Sold]]*Table1[[#This Row],[Selling_Price_per_Unit]]</f>
        <v>2527120</v>
      </c>
      <c r="W840" s="7">
        <f>(Table1[[#This Row],[Units_Sold]]/$Z$1)</f>
        <v>6.2062708160325192E-2</v>
      </c>
      <c r="X840" s="8">
        <f>((Table1[[#This Row],[Units_Sold]]*(Table1[[#This Row],[Selling_Price_per_Unit]]-Table1[[#This Row],[Manufacturing_Cost_per_Unit]]))-Table1[[#This Row],[Marketing_Spend]])/Table1[[#This Row],[Marketing_Spend]]</f>
        <v>3.1398003638507617</v>
      </c>
    </row>
    <row r="841" spans="1:24" hidden="1" x14ac:dyDescent="0.3">
      <c r="A841" s="1" t="s">
        <v>858</v>
      </c>
      <c r="B841" s="1" t="s">
        <v>1284</v>
      </c>
      <c r="C841" s="1" t="s">
        <v>1634</v>
      </c>
      <c r="D841" s="1" t="s">
        <v>1637</v>
      </c>
      <c r="E841" s="1">
        <v>2023</v>
      </c>
      <c r="F841" s="1" t="s">
        <v>1642</v>
      </c>
      <c r="G841" s="1">
        <v>1723</v>
      </c>
      <c r="H841" s="1">
        <v>8921</v>
      </c>
      <c r="I841" s="1">
        <v>13874</v>
      </c>
      <c r="J841" s="1">
        <v>173765</v>
      </c>
      <c r="K841" s="1">
        <v>8.93</v>
      </c>
      <c r="L841" s="1">
        <v>13</v>
      </c>
      <c r="M841" s="1">
        <v>6.67</v>
      </c>
      <c r="N841" s="1">
        <v>17.86</v>
      </c>
      <c r="O841" s="1">
        <v>76.459999999999994</v>
      </c>
      <c r="P841" s="1">
        <v>3.9</v>
      </c>
      <c r="Q841" s="1">
        <v>1809</v>
      </c>
      <c r="R841" s="1">
        <v>2888</v>
      </c>
      <c r="S841" s="1">
        <v>3</v>
      </c>
      <c r="T841" s="1">
        <f>(Table1[[#This Row],[Selling_Price_per_Unit]]-Table1[[#This Row],[Manufacturing_Cost_per_Unit]])*Table1[[#This Row],[Units_Sold]]-Table1[[#This Row],[Marketing_Spend]]-Table1[[#This Row],[Discount_%]]</f>
        <v>-8707801.8599999994</v>
      </c>
      <c r="U841" s="3">
        <f>Table1[[#This Row],[profit]]/(Table1[[#This Row],[Units_Sold]]*Table1[[#This Row],[Selling_Price_per_Unit]])*100</f>
        <v>-56.651279305164181</v>
      </c>
      <c r="V841" s="6">
        <f>Table1[[#This Row],[Units_Sold]]*Table1[[#This Row],[Selling_Price_per_Unit]]</f>
        <v>15370883</v>
      </c>
      <c r="W841" s="7">
        <f>(Table1[[#This Row],[Units_Sold]]/$Z$1)</f>
        <v>0.34494853600077519</v>
      </c>
      <c r="X841" s="8">
        <f>((Table1[[#This Row],[Units_Sold]]*(Table1[[#This Row],[Selling_Price_per_Unit]]-Table1[[#This Row],[Manufacturing_Cost_per_Unit]]))-Table1[[#This Row],[Marketing_Spend]])/Table1[[#This Row],[Marketing_Spend]]</f>
        <v>-50.112416194285387</v>
      </c>
    </row>
    <row r="842" spans="1:24" hidden="1" x14ac:dyDescent="0.3">
      <c r="A842" s="1" t="s">
        <v>859</v>
      </c>
      <c r="B842" s="1" t="s">
        <v>1569</v>
      </c>
      <c r="C842" s="1" t="s">
        <v>1632</v>
      </c>
      <c r="D842" s="1" t="s">
        <v>1636</v>
      </c>
      <c r="E842" s="1">
        <v>2023</v>
      </c>
      <c r="F842" s="1" t="s">
        <v>1641</v>
      </c>
      <c r="G842" s="1">
        <v>2269</v>
      </c>
      <c r="H842" s="1">
        <v>2269</v>
      </c>
      <c r="I842" s="1">
        <v>3790</v>
      </c>
      <c r="J842" s="1">
        <v>437025</v>
      </c>
      <c r="K842" s="1">
        <v>2.2599999999999998</v>
      </c>
      <c r="L842" s="1">
        <v>8</v>
      </c>
      <c r="M842" s="1">
        <v>2.67</v>
      </c>
      <c r="N842" s="1">
        <v>15.59</v>
      </c>
      <c r="O842" s="1">
        <v>33.39</v>
      </c>
      <c r="P842" s="1">
        <v>3.6</v>
      </c>
      <c r="Q842" s="1">
        <v>5452</v>
      </c>
      <c r="R842" s="1">
        <v>4736</v>
      </c>
      <c r="S842" s="1">
        <v>11</v>
      </c>
      <c r="T842" s="1">
        <f>(Table1[[#This Row],[Selling_Price_per_Unit]]-Table1[[#This Row],[Manufacturing_Cost_per_Unit]])*Table1[[#This Row],[Units_Sold]]-Table1[[#This Row],[Marketing_Spend]]-Table1[[#This Row],[Discount_%]]</f>
        <v>-3888189.59</v>
      </c>
      <c r="U842" s="3">
        <f>Table1[[#This Row],[profit]]/(Table1[[#This Row],[Units_Sold]]*Table1[[#This Row],[Selling_Price_per_Unit]])*100</f>
        <v>-75.522862324533961</v>
      </c>
      <c r="V842" s="6">
        <f>Table1[[#This Row],[Units_Sold]]*Table1[[#This Row],[Selling_Price_per_Unit]]</f>
        <v>5148361</v>
      </c>
      <c r="W842" s="7">
        <f>(Table1[[#This Row],[Units_Sold]]/$Z$1)</f>
        <v>0.45425898327670278</v>
      </c>
      <c r="X842" s="8">
        <f>((Table1[[#This Row],[Units_Sold]]*(Table1[[#This Row],[Selling_Price_per_Unit]]-Table1[[#This Row],[Manufacturing_Cost_per_Unit]]))-Table1[[#This Row],[Marketing_Spend]])/Table1[[#This Row],[Marketing_Spend]]</f>
        <v>-8.8969143641668094</v>
      </c>
    </row>
    <row r="843" spans="1:24" x14ac:dyDescent="0.3">
      <c r="A843" s="1" t="s">
        <v>470</v>
      </c>
      <c r="B843" s="1" t="s">
        <v>1145</v>
      </c>
      <c r="C843" s="1" t="s">
        <v>1633</v>
      </c>
      <c r="D843" s="1" t="s">
        <v>1638</v>
      </c>
      <c r="E843" s="1">
        <v>2024</v>
      </c>
      <c r="F843" s="1" t="s">
        <v>1639</v>
      </c>
      <c r="G843" s="1">
        <v>4024</v>
      </c>
      <c r="H843" s="1">
        <v>13591</v>
      </c>
      <c r="I843" s="1">
        <v>8536</v>
      </c>
      <c r="J843" s="1">
        <v>198694</v>
      </c>
      <c r="K843" s="1">
        <v>8.68</v>
      </c>
      <c r="L843" s="1">
        <v>10</v>
      </c>
      <c r="M843" s="1">
        <v>8.4499999999999993</v>
      </c>
      <c r="N843" s="1">
        <v>16.82</v>
      </c>
      <c r="O843" s="1">
        <v>62.45</v>
      </c>
      <c r="P843" s="1">
        <v>3.7</v>
      </c>
      <c r="Q843" s="1">
        <v>8894</v>
      </c>
      <c r="R843" s="1">
        <v>3863</v>
      </c>
      <c r="S843" s="1">
        <v>13</v>
      </c>
      <c r="T843" s="1">
        <f>(Table1[[#This Row],[Selling_Price_per_Unit]]-Table1[[#This Row],[Manufacturing_Cost_per_Unit]])*Table1[[#This Row],[Units_Sold]]-Table1[[#This Row],[Marketing_Spend]]-Table1[[#This Row],[Discount_%]]</f>
        <v>20142609.18</v>
      </c>
      <c r="U843" s="3">
        <f>Table1[[#This Row],[profit]]/(Table1[[#This Row],[Units_Sold]]*Table1[[#This Row],[Selling_Price_per_Unit]])*100</f>
        <v>36.83039204987864</v>
      </c>
      <c r="V843" s="6">
        <f>Table1[[#This Row],[Units_Sold]]*Table1[[#This Row],[Selling_Price_per_Unit]]</f>
        <v>54690184</v>
      </c>
      <c r="W843" s="7">
        <f>(Table1[[#This Row],[Units_Sold]]/$Z$1)</f>
        <v>0.80561399237789855</v>
      </c>
      <c r="X843" s="8">
        <f>((Table1[[#This Row],[Units_Sold]]*(Table1[[#This Row],[Selling_Price_per_Unit]]-Table1[[#This Row],[Manufacturing_Cost_per_Unit]]))-Table1[[#This Row],[Marketing_Spend]])/Table1[[#This Row],[Marketing_Spend]]</f>
        <v>101.37510946480518</v>
      </c>
    </row>
    <row r="844" spans="1:24" x14ac:dyDescent="0.3">
      <c r="A844" s="1" t="s">
        <v>163</v>
      </c>
      <c r="B844" s="1" t="s">
        <v>1150</v>
      </c>
      <c r="C844" s="1" t="s">
        <v>1633</v>
      </c>
      <c r="D844" s="1" t="s">
        <v>1636</v>
      </c>
      <c r="E844" s="1">
        <v>2024</v>
      </c>
      <c r="F844" s="1" t="s">
        <v>1639</v>
      </c>
      <c r="G844" s="1">
        <v>4794</v>
      </c>
      <c r="H844" s="1">
        <v>17007</v>
      </c>
      <c r="I844" s="1">
        <v>12711</v>
      </c>
      <c r="J844" s="1">
        <v>482548</v>
      </c>
      <c r="K844" s="1">
        <v>4.17</v>
      </c>
      <c r="L844" s="1">
        <v>15</v>
      </c>
      <c r="M844" s="1">
        <v>7</v>
      </c>
      <c r="N844" s="1">
        <v>16.09</v>
      </c>
      <c r="O844" s="1">
        <v>51.16</v>
      </c>
      <c r="P844" s="1">
        <v>3.7</v>
      </c>
      <c r="Q844" s="1">
        <v>2082</v>
      </c>
      <c r="R844" s="1">
        <v>6201</v>
      </c>
      <c r="S844" s="1">
        <v>12</v>
      </c>
      <c r="T844" s="1">
        <f>(Table1[[#This Row],[Selling_Price_per_Unit]]-Table1[[#This Row],[Manufacturing_Cost_per_Unit]])*Table1[[#This Row],[Units_Sold]]-Table1[[#This Row],[Marketing_Spend]]-Table1[[#This Row],[Discount_%]]</f>
        <v>20112459.91</v>
      </c>
      <c r="U844" s="3">
        <f>Table1[[#This Row],[profit]]/(Table1[[#This Row],[Units_Sold]]*Table1[[#This Row],[Selling_Price_per_Unit]])*100</f>
        <v>24.668312986242704</v>
      </c>
      <c r="V844" s="6">
        <f>Table1[[#This Row],[Units_Sold]]*Table1[[#This Row],[Selling_Price_per_Unit]]</f>
        <v>81531558</v>
      </c>
      <c r="W844" s="7">
        <f>(Table1[[#This Row],[Units_Sold]]/$Z$1)</f>
        <v>0.95976975135677078</v>
      </c>
      <c r="X844" s="8">
        <f>((Table1[[#This Row],[Units_Sold]]*(Table1[[#This Row],[Selling_Price_per_Unit]]-Table1[[#This Row],[Manufacturing_Cost_per_Unit]]))-Table1[[#This Row],[Marketing_Spend]])/Table1[[#This Row],[Marketing_Spend]]</f>
        <v>41.679741704452198</v>
      </c>
    </row>
    <row r="845" spans="1:24" hidden="1" x14ac:dyDescent="0.3">
      <c r="A845" s="1" t="s">
        <v>862</v>
      </c>
      <c r="B845" s="1" t="s">
        <v>1570</v>
      </c>
      <c r="C845" s="1" t="s">
        <v>1634</v>
      </c>
      <c r="D845" s="1" t="s">
        <v>1638</v>
      </c>
      <c r="E845" s="1">
        <v>2024</v>
      </c>
      <c r="F845" s="1" t="s">
        <v>1639</v>
      </c>
      <c r="G845" s="1">
        <v>1669</v>
      </c>
      <c r="H845" s="1">
        <v>5858</v>
      </c>
      <c r="I845" s="1">
        <v>10135</v>
      </c>
      <c r="J845" s="1">
        <v>239699</v>
      </c>
      <c r="K845" s="1">
        <v>7.52</v>
      </c>
      <c r="L845" s="1">
        <v>4</v>
      </c>
      <c r="M845" s="1">
        <v>1.29</v>
      </c>
      <c r="N845" s="1">
        <v>8.41</v>
      </c>
      <c r="O845" s="1">
        <v>43.43</v>
      </c>
      <c r="P845" s="1">
        <v>4.4000000000000004</v>
      </c>
      <c r="Q845" s="1">
        <v>11192</v>
      </c>
      <c r="R845" s="1">
        <v>7802</v>
      </c>
      <c r="S845" s="1">
        <v>4</v>
      </c>
      <c r="T845" s="1">
        <f>(Table1[[#This Row],[Selling_Price_per_Unit]]-Table1[[#This Row],[Manufacturing_Cost_per_Unit]])*Table1[[#This Row],[Units_Sold]]-Table1[[#This Row],[Marketing_Spend]]-Table1[[#This Row],[Discount_%]]</f>
        <v>-7378020.4100000001</v>
      </c>
      <c r="U845" s="3">
        <f>Table1[[#This Row],[profit]]/(Table1[[#This Row],[Units_Sold]]*Table1[[#This Row],[Selling_Price_per_Unit]])*100</f>
        <v>-75.463014224605857</v>
      </c>
      <c r="V845" s="6">
        <f>Table1[[#This Row],[Units_Sold]]*Table1[[#This Row],[Selling_Price_per_Unit]]</f>
        <v>9777002</v>
      </c>
      <c r="W845" s="7">
        <f>(Table1[[#This Row],[Units_Sold]]/$Z$1)</f>
        <v>0.33413761264381531</v>
      </c>
      <c r="X845" s="8">
        <f>((Table1[[#This Row],[Units_Sold]]*(Table1[[#This Row],[Selling_Price_per_Unit]]-Table1[[#This Row],[Manufacturing_Cost_per_Unit]]))-Table1[[#This Row],[Marketing_Spend]])/Table1[[#This Row],[Marketing_Spend]]</f>
        <v>-30.780320318399326</v>
      </c>
    </row>
    <row r="846" spans="1:24" hidden="1" x14ac:dyDescent="0.3">
      <c r="A846" s="1" t="s">
        <v>863</v>
      </c>
      <c r="B846" s="1" t="s">
        <v>1174</v>
      </c>
      <c r="C846" s="1" t="s">
        <v>1633</v>
      </c>
      <c r="D846" s="1" t="s">
        <v>1636</v>
      </c>
      <c r="E846" s="1">
        <v>2023</v>
      </c>
      <c r="F846" s="1" t="s">
        <v>1641</v>
      </c>
      <c r="G846" s="1">
        <v>370</v>
      </c>
      <c r="H846" s="1">
        <v>13043</v>
      </c>
      <c r="I846" s="1">
        <v>1733</v>
      </c>
      <c r="J846" s="1">
        <v>247227</v>
      </c>
      <c r="K846" s="1">
        <v>3.7</v>
      </c>
      <c r="L846" s="1">
        <v>9</v>
      </c>
      <c r="M846" s="1">
        <v>7.42</v>
      </c>
      <c r="N846" s="1">
        <v>12.98</v>
      </c>
      <c r="O846" s="1">
        <v>69.87</v>
      </c>
      <c r="P846" s="1">
        <v>3.4</v>
      </c>
      <c r="Q846" s="1">
        <v>1515</v>
      </c>
      <c r="R846" s="1">
        <v>205</v>
      </c>
      <c r="S846" s="1">
        <v>4</v>
      </c>
      <c r="T846" s="1">
        <f>(Table1[[#This Row],[Selling_Price_per_Unit]]-Table1[[#This Row],[Manufacturing_Cost_per_Unit]])*Table1[[#This Row],[Units_Sold]]-Table1[[#This Row],[Marketing_Spend]]-Table1[[#This Row],[Discount_%]]</f>
        <v>3937460.02</v>
      </c>
      <c r="U846" s="3">
        <f>Table1[[#This Row],[profit]]/(Table1[[#This Row],[Units_Sold]]*Table1[[#This Row],[Selling_Price_per_Unit]])*100</f>
        <v>81.590001056795501</v>
      </c>
      <c r="V846" s="6">
        <f>Table1[[#This Row],[Units_Sold]]*Table1[[#This Row],[Selling_Price_per_Unit]]</f>
        <v>4825910</v>
      </c>
      <c r="W846" s="7">
        <f>(Table1[[#This Row],[Units_Sold]]/$Z$1)</f>
        <v>7.4074845223613933E-2</v>
      </c>
      <c r="X846" s="8">
        <f>((Table1[[#This Row],[Units_Sold]]*(Table1[[#This Row],[Selling_Price_per_Unit]]-Table1[[#This Row],[Manufacturing_Cost_per_Unit]]))-Table1[[#This Row],[Marketing_Spend]])/Table1[[#This Row],[Marketing_Spend]]</f>
        <v>15.92654928466551</v>
      </c>
    </row>
    <row r="847" spans="1:24" hidden="1" x14ac:dyDescent="0.3">
      <c r="A847" s="1" t="s">
        <v>864</v>
      </c>
      <c r="B847" s="1" t="s">
        <v>1571</v>
      </c>
      <c r="C847" s="1" t="s">
        <v>1634</v>
      </c>
      <c r="D847" s="1" t="s">
        <v>1637</v>
      </c>
      <c r="E847" s="1">
        <v>2024</v>
      </c>
      <c r="F847" s="1" t="s">
        <v>1641</v>
      </c>
      <c r="G847" s="1">
        <v>1392</v>
      </c>
      <c r="H847" s="1">
        <v>7199</v>
      </c>
      <c r="I847" s="1">
        <v>2260</v>
      </c>
      <c r="J847" s="1">
        <v>337516</v>
      </c>
      <c r="K847" s="1">
        <v>7.06</v>
      </c>
      <c r="L847" s="1">
        <v>12</v>
      </c>
      <c r="M847" s="1">
        <v>6.43</v>
      </c>
      <c r="N847" s="1">
        <v>24.48</v>
      </c>
      <c r="O847" s="1">
        <v>86.91</v>
      </c>
      <c r="P847" s="1">
        <v>2.2999999999999998</v>
      </c>
      <c r="Q847" s="1">
        <v>18489</v>
      </c>
      <c r="R847" s="1">
        <v>9446</v>
      </c>
      <c r="S847" s="1">
        <v>14</v>
      </c>
      <c r="T847" s="1">
        <f>(Table1[[#This Row],[Selling_Price_per_Unit]]-Table1[[#This Row],[Manufacturing_Cost_per_Unit]])*Table1[[#This Row],[Units_Sold]]-Table1[[#This Row],[Marketing_Spend]]-Table1[[#This Row],[Discount_%]]</f>
        <v>6537547.5199999996</v>
      </c>
      <c r="U847" s="3">
        <f>Table1[[#This Row],[profit]]/(Table1[[#This Row],[Units_Sold]]*Table1[[#This Row],[Selling_Price_per_Unit]])*100</f>
        <v>65.238422322385119</v>
      </c>
      <c r="V847" s="6">
        <f>Table1[[#This Row],[Units_Sold]]*Table1[[#This Row],[Selling_Price_per_Unit]]</f>
        <v>10021008</v>
      </c>
      <c r="W847" s="7">
        <f>(Table1[[#This Row],[Units_Sold]]/$Z$1)</f>
        <v>0.27868157986829889</v>
      </c>
      <c r="X847" s="8">
        <f>((Table1[[#This Row],[Units_Sold]]*(Table1[[#This Row],[Selling_Price_per_Unit]]-Table1[[#This Row],[Manufacturing_Cost_per_Unit]]))-Table1[[#This Row],[Marketing_Spend]])/Table1[[#This Row],[Marketing_Spend]]</f>
        <v>19.369665438082937</v>
      </c>
    </row>
    <row r="848" spans="1:24" hidden="1" x14ac:dyDescent="0.3">
      <c r="A848" s="1" t="s">
        <v>865</v>
      </c>
      <c r="B848" s="1" t="s">
        <v>1473</v>
      </c>
      <c r="C848" s="1" t="s">
        <v>1632</v>
      </c>
      <c r="D848" s="1" t="s">
        <v>1638</v>
      </c>
      <c r="E848" s="1">
        <v>2023</v>
      </c>
      <c r="F848" s="1" t="s">
        <v>1640</v>
      </c>
      <c r="G848" s="1">
        <v>2426</v>
      </c>
      <c r="H848" s="1">
        <v>19125</v>
      </c>
      <c r="I848" s="1">
        <v>14940</v>
      </c>
      <c r="J848" s="1">
        <v>315786</v>
      </c>
      <c r="K848" s="1">
        <v>9.93</v>
      </c>
      <c r="L848" s="1">
        <v>3</v>
      </c>
      <c r="M848" s="1">
        <v>3.16</v>
      </c>
      <c r="N848" s="1">
        <v>17.41</v>
      </c>
      <c r="O848" s="1">
        <v>46.72</v>
      </c>
      <c r="P848" s="1">
        <v>4.3</v>
      </c>
      <c r="Q848" s="1">
        <v>17505</v>
      </c>
      <c r="R848" s="1">
        <v>4187</v>
      </c>
      <c r="S848" s="1">
        <v>13</v>
      </c>
      <c r="T848" s="1">
        <f>(Table1[[#This Row],[Selling_Price_per_Unit]]-Table1[[#This Row],[Manufacturing_Cost_per_Unit]])*Table1[[#This Row],[Units_Sold]]-Table1[[#This Row],[Marketing_Spend]]-Table1[[#This Row],[Discount_%]]</f>
        <v>9837006.5899999999</v>
      </c>
      <c r="U848" s="3">
        <f>Table1[[#This Row],[profit]]/(Table1[[#This Row],[Units_Sold]]*Table1[[#This Row],[Selling_Price_per_Unit]])*100</f>
        <v>21.201701803447403</v>
      </c>
      <c r="V848" s="6">
        <f>Table1[[#This Row],[Units_Sold]]*Table1[[#This Row],[Selling_Price_per_Unit]]</f>
        <v>46397250</v>
      </c>
      <c r="W848" s="7">
        <f>(Table1[[#This Row],[Units_Sold]]/$Z$1)</f>
        <v>0.48569074192564166</v>
      </c>
      <c r="X848" s="8">
        <f>((Table1[[#This Row],[Units_Sold]]*(Table1[[#This Row],[Selling_Price_per_Unit]]-Table1[[#This Row],[Manufacturing_Cost_per_Unit]]))-Table1[[#This Row],[Marketing_Spend]])/Table1[[#This Row],[Marketing_Spend]]</f>
        <v>31.150918660105262</v>
      </c>
    </row>
    <row r="849" spans="1:24" hidden="1" x14ac:dyDescent="0.3">
      <c r="A849" s="1" t="s">
        <v>866</v>
      </c>
      <c r="B849" s="1" t="s">
        <v>1572</v>
      </c>
      <c r="C849" s="1" t="s">
        <v>1634</v>
      </c>
      <c r="D849" s="1" t="s">
        <v>1635</v>
      </c>
      <c r="E849" s="1">
        <v>2024</v>
      </c>
      <c r="F849" s="1" t="s">
        <v>1639</v>
      </c>
      <c r="G849" s="1">
        <v>2882</v>
      </c>
      <c r="H849" s="1">
        <v>2625</v>
      </c>
      <c r="I849" s="1">
        <v>3523</v>
      </c>
      <c r="J849" s="1">
        <v>310220</v>
      </c>
      <c r="K849" s="1">
        <v>11.27</v>
      </c>
      <c r="L849" s="1">
        <v>12</v>
      </c>
      <c r="M849" s="1">
        <v>6.22</v>
      </c>
      <c r="N849" s="1">
        <v>16.8</v>
      </c>
      <c r="O849" s="1">
        <v>29.07</v>
      </c>
      <c r="P849" s="1">
        <v>4.2</v>
      </c>
      <c r="Q849" s="1">
        <v>15778</v>
      </c>
      <c r="R849" s="1">
        <v>4025</v>
      </c>
      <c r="S849" s="1">
        <v>4</v>
      </c>
      <c r="T849" s="1">
        <f>(Table1[[#This Row],[Selling_Price_per_Unit]]-Table1[[#This Row],[Manufacturing_Cost_per_Unit]])*Table1[[#This Row],[Units_Sold]]-Table1[[#This Row],[Marketing_Spend]]-Table1[[#This Row],[Discount_%]]</f>
        <v>-2898272.8</v>
      </c>
      <c r="U849" s="3">
        <f>Table1[[#This Row],[profit]]/(Table1[[#This Row],[Units_Sold]]*Table1[[#This Row],[Selling_Price_per_Unit]])*100</f>
        <v>-38.310337397970983</v>
      </c>
      <c r="V849" s="6">
        <f>Table1[[#This Row],[Units_Sold]]*Table1[[#This Row],[Selling_Price_per_Unit]]</f>
        <v>7565250</v>
      </c>
      <c r="W849" s="7">
        <f>(Table1[[#This Row],[Units_Sold]]/$Z$1)</f>
        <v>0.57698298360663614</v>
      </c>
      <c r="X849" s="8">
        <f>((Table1[[#This Row],[Units_Sold]]*(Table1[[#This Row],[Selling_Price_per_Unit]]-Table1[[#This Row],[Manufacturing_Cost_per_Unit]]))-Table1[[#This Row],[Marketing_Spend]])/Table1[[#This Row],[Marketing_Spend]]</f>
        <v>-9.342582683257044</v>
      </c>
    </row>
    <row r="850" spans="1:24" hidden="1" x14ac:dyDescent="0.3">
      <c r="A850" s="1" t="s">
        <v>867</v>
      </c>
      <c r="B850" s="1" t="s">
        <v>1573</v>
      </c>
      <c r="C850" s="1" t="s">
        <v>1633</v>
      </c>
      <c r="D850" s="1" t="s">
        <v>1636</v>
      </c>
      <c r="E850" s="1">
        <v>2024</v>
      </c>
      <c r="F850" s="1" t="s">
        <v>1640</v>
      </c>
      <c r="G850" s="1">
        <v>2874</v>
      </c>
      <c r="H850" s="1">
        <v>12293</v>
      </c>
      <c r="I850" s="1">
        <v>11504</v>
      </c>
      <c r="J850" s="1">
        <v>471217</v>
      </c>
      <c r="K850" s="1">
        <v>11.31</v>
      </c>
      <c r="L850" s="1">
        <v>11</v>
      </c>
      <c r="M850" s="1">
        <v>2.2000000000000002</v>
      </c>
      <c r="N850" s="1">
        <v>6.02</v>
      </c>
      <c r="O850" s="1">
        <v>85.35</v>
      </c>
      <c r="P850" s="1">
        <v>4.4000000000000004</v>
      </c>
      <c r="Q850" s="1">
        <v>16317</v>
      </c>
      <c r="R850" s="1">
        <v>2008</v>
      </c>
      <c r="S850" s="1">
        <v>7</v>
      </c>
      <c r="T850" s="1">
        <f>(Table1[[#This Row],[Selling_Price_per_Unit]]-Table1[[#This Row],[Manufacturing_Cost_per_Unit]])*Table1[[#This Row],[Units_Sold]]-Table1[[#This Row],[Marketing_Spend]]-Table1[[#This Row],[Discount_%]]</f>
        <v>1796362.98</v>
      </c>
      <c r="U850" s="3">
        <f>Table1[[#This Row],[profit]]/(Table1[[#This Row],[Units_Sold]]*Table1[[#This Row],[Selling_Price_per_Unit]])*100</f>
        <v>5.0845140410373233</v>
      </c>
      <c r="V850" s="6">
        <f>Table1[[#This Row],[Units_Sold]]*Table1[[#This Row],[Selling_Price_per_Unit]]</f>
        <v>35330082</v>
      </c>
      <c r="W850" s="7">
        <f>(Table1[[#This Row],[Units_Sold]]/$Z$1)</f>
        <v>0.57538136533153095</v>
      </c>
      <c r="X850" s="8">
        <f>((Table1[[#This Row],[Units_Sold]]*(Table1[[#This Row],[Selling_Price_per_Unit]]-Table1[[#This Row],[Manufacturing_Cost_per_Unit]]))-Table1[[#This Row],[Marketing_Spend]])/Table1[[#This Row],[Marketing_Spend]]</f>
        <v>3.8121905618855005</v>
      </c>
    </row>
    <row r="851" spans="1:24" hidden="1" x14ac:dyDescent="0.3">
      <c r="A851" s="1" t="s">
        <v>868</v>
      </c>
      <c r="B851" s="1" t="s">
        <v>1025</v>
      </c>
      <c r="C851" s="1" t="s">
        <v>1634</v>
      </c>
      <c r="D851" s="1" t="s">
        <v>1636</v>
      </c>
      <c r="E851" s="1">
        <v>2024</v>
      </c>
      <c r="F851" s="1" t="s">
        <v>1639</v>
      </c>
      <c r="G851" s="1">
        <v>2044</v>
      </c>
      <c r="H851" s="1">
        <v>8264</v>
      </c>
      <c r="I851" s="1">
        <v>1085</v>
      </c>
      <c r="J851" s="1">
        <v>346208</v>
      </c>
      <c r="K851" s="1">
        <v>8.67</v>
      </c>
      <c r="L851" s="1">
        <v>4</v>
      </c>
      <c r="M851" s="1">
        <v>4.45</v>
      </c>
      <c r="N851" s="1">
        <v>18.59</v>
      </c>
      <c r="O851" s="1">
        <v>58.3</v>
      </c>
      <c r="P851" s="1">
        <v>1.5</v>
      </c>
      <c r="Q851" s="1">
        <v>11259</v>
      </c>
      <c r="R851" s="1">
        <v>2149</v>
      </c>
      <c r="S851" s="1">
        <v>5</v>
      </c>
      <c r="T851" s="1">
        <f>(Table1[[#This Row],[Selling_Price_per_Unit]]-Table1[[#This Row],[Manufacturing_Cost_per_Unit]])*Table1[[#This Row],[Units_Sold]]-Table1[[#This Row],[Marketing_Spend]]-Table1[[#This Row],[Discount_%]]</f>
        <v>14327649.41</v>
      </c>
      <c r="U851" s="3">
        <f>Table1[[#This Row],[profit]]/(Table1[[#This Row],[Units_Sold]]*Table1[[#This Row],[Selling_Price_per_Unit]])*100</f>
        <v>84.821069872770011</v>
      </c>
      <c r="V851" s="6">
        <f>Table1[[#This Row],[Units_Sold]]*Table1[[#This Row],[Selling_Price_per_Unit]]</f>
        <v>16891616</v>
      </c>
      <c r="W851" s="7">
        <f>(Table1[[#This Row],[Units_Sold]]/$Z$1)</f>
        <v>0.40921346928936997</v>
      </c>
      <c r="X851" s="8">
        <f>((Table1[[#This Row],[Units_Sold]]*(Table1[[#This Row],[Selling_Price_per_Unit]]-Table1[[#This Row],[Manufacturing_Cost_per_Unit]]))-Table1[[#This Row],[Marketing_Spend]])/Table1[[#This Row],[Marketing_Spend]]</f>
        <v>41.384566503373698</v>
      </c>
    </row>
    <row r="852" spans="1:24" hidden="1" x14ac:dyDescent="0.3">
      <c r="A852" s="1" t="s">
        <v>665</v>
      </c>
      <c r="B852" s="1" t="s">
        <v>1478</v>
      </c>
      <c r="C852" s="1" t="s">
        <v>1634</v>
      </c>
      <c r="D852" s="1" t="s">
        <v>1638</v>
      </c>
      <c r="E852" s="1">
        <v>2023</v>
      </c>
      <c r="F852" s="1" t="s">
        <v>1641</v>
      </c>
      <c r="G852" s="1">
        <v>2131</v>
      </c>
      <c r="H852" s="1">
        <v>12224</v>
      </c>
      <c r="I852" s="1">
        <v>2698</v>
      </c>
      <c r="J852" s="1">
        <v>189088</v>
      </c>
      <c r="K852" s="1">
        <v>3.85</v>
      </c>
      <c r="L852" s="1">
        <v>12</v>
      </c>
      <c r="M852" s="1">
        <v>7.88</v>
      </c>
      <c r="N852" s="1">
        <v>21.71</v>
      </c>
      <c r="O852" s="1">
        <v>19.829999999999998</v>
      </c>
      <c r="P852" s="1">
        <v>1.2</v>
      </c>
      <c r="Q852" s="1">
        <v>17496</v>
      </c>
      <c r="R852" s="1">
        <v>5125</v>
      </c>
      <c r="S852" s="1">
        <v>10</v>
      </c>
      <c r="T852" s="1">
        <f>(Table1[[#This Row],[Selling_Price_per_Unit]]-Table1[[#This Row],[Manufacturing_Cost_per_Unit]])*Table1[[#This Row],[Units_Sold]]-Table1[[#This Row],[Marketing_Spend]]-Table1[[#This Row],[Discount_%]]</f>
        <v>20110796.289999999</v>
      </c>
      <c r="U852" s="3">
        <f>Table1[[#This Row],[profit]]/(Table1[[#This Row],[Units_Sold]]*Table1[[#This Row],[Selling_Price_per_Unit]])*100</f>
        <v>77.202697657184757</v>
      </c>
      <c r="V852" s="6">
        <f>Table1[[#This Row],[Units_Sold]]*Table1[[#This Row],[Selling_Price_per_Unit]]</f>
        <v>26049344</v>
      </c>
      <c r="W852" s="7">
        <f>(Table1[[#This Row],[Units_Sold]]/$Z$1)</f>
        <v>0.42663106803113865</v>
      </c>
      <c r="X852" s="8">
        <f>((Table1[[#This Row],[Units_Sold]]*(Table1[[#This Row],[Selling_Price_per_Unit]]-Table1[[#This Row],[Manufacturing_Cost_per_Unit]]))-Table1[[#This Row],[Marketing_Spend]])/Table1[[#This Row],[Marketing_Spend]]</f>
        <v>106.35692376036555</v>
      </c>
    </row>
    <row r="853" spans="1:24" hidden="1" x14ac:dyDescent="0.3">
      <c r="A853" s="1" t="s">
        <v>870</v>
      </c>
      <c r="B853" s="1" t="s">
        <v>1043</v>
      </c>
      <c r="C853" s="1" t="s">
        <v>1633</v>
      </c>
      <c r="D853" s="1" t="s">
        <v>1638</v>
      </c>
      <c r="E853" s="1">
        <v>2023</v>
      </c>
      <c r="F853" s="1" t="s">
        <v>1642</v>
      </c>
      <c r="G853" s="1">
        <v>2088</v>
      </c>
      <c r="H853" s="1">
        <v>14531</v>
      </c>
      <c r="I853" s="1">
        <v>11359</v>
      </c>
      <c r="J853" s="1">
        <v>326266</v>
      </c>
      <c r="K853" s="1">
        <v>12.26</v>
      </c>
      <c r="L853" s="1">
        <v>8</v>
      </c>
      <c r="M853" s="1">
        <v>1.34</v>
      </c>
      <c r="N853" s="1">
        <v>7.93</v>
      </c>
      <c r="O853" s="1">
        <v>55.81</v>
      </c>
      <c r="P853" s="1">
        <v>4.8</v>
      </c>
      <c r="Q853" s="1">
        <v>7912</v>
      </c>
      <c r="R853" s="1">
        <v>9237</v>
      </c>
      <c r="S853" s="1">
        <v>4</v>
      </c>
      <c r="T853" s="1">
        <f>(Table1[[#This Row],[Selling_Price_per_Unit]]-Table1[[#This Row],[Manufacturing_Cost_per_Unit]])*Table1[[#This Row],[Units_Sold]]-Table1[[#This Row],[Marketing_Spend]]-Table1[[#This Row],[Discount_%]]</f>
        <v>6296862.0700000003</v>
      </c>
      <c r="U853" s="3">
        <f>Table1[[#This Row],[profit]]/(Table1[[#This Row],[Units_Sold]]*Table1[[#This Row],[Selling_Price_per_Unit]])*100</f>
        <v>20.753826572651786</v>
      </c>
      <c r="V853" s="6">
        <f>Table1[[#This Row],[Units_Sold]]*Table1[[#This Row],[Selling_Price_per_Unit]]</f>
        <v>30340728</v>
      </c>
      <c r="W853" s="7">
        <f>(Table1[[#This Row],[Units_Sold]]/$Z$1)</f>
        <v>0.41802236980244839</v>
      </c>
      <c r="X853" s="8">
        <f>((Table1[[#This Row],[Units_Sold]]*(Table1[[#This Row],[Selling_Price_per_Unit]]-Table1[[#This Row],[Manufacturing_Cost_per_Unit]]))-Table1[[#This Row],[Marketing_Spend]])/Table1[[#This Row],[Marketing_Spend]]</f>
        <v>19.299804454034437</v>
      </c>
    </row>
    <row r="854" spans="1:24" hidden="1" x14ac:dyDescent="0.3">
      <c r="A854" s="1" t="s">
        <v>577</v>
      </c>
      <c r="B854" s="1" t="s">
        <v>1430</v>
      </c>
      <c r="C854" s="1" t="s">
        <v>1633</v>
      </c>
      <c r="D854" s="1" t="s">
        <v>1635</v>
      </c>
      <c r="E854" s="1">
        <v>2023</v>
      </c>
      <c r="F854" s="1" t="s">
        <v>1641</v>
      </c>
      <c r="G854" s="1">
        <v>3490</v>
      </c>
      <c r="H854" s="1">
        <v>18042</v>
      </c>
      <c r="I854" s="1">
        <v>12207</v>
      </c>
      <c r="J854" s="1">
        <v>406374</v>
      </c>
      <c r="K854" s="1">
        <v>8.9</v>
      </c>
      <c r="L854" s="1">
        <v>11</v>
      </c>
      <c r="M854" s="1">
        <v>0.3</v>
      </c>
      <c r="N854" s="1">
        <v>16.829999999999998</v>
      </c>
      <c r="O854" s="1">
        <v>88.64</v>
      </c>
      <c r="P854" s="1">
        <v>1.5</v>
      </c>
      <c r="Q854" s="1">
        <v>18794</v>
      </c>
      <c r="R854" s="1">
        <v>9738</v>
      </c>
      <c r="S854" s="1">
        <v>12</v>
      </c>
      <c r="T854" s="1">
        <f>(Table1[[#This Row],[Selling_Price_per_Unit]]-Table1[[#This Row],[Manufacturing_Cost_per_Unit]])*Table1[[#This Row],[Units_Sold]]-Table1[[#This Row],[Marketing_Spend]]-Table1[[#This Row],[Discount_%]]</f>
        <v>19957759.170000002</v>
      </c>
      <c r="U854" s="3">
        <f>Table1[[#This Row],[profit]]/(Table1[[#This Row],[Units_Sold]]*Table1[[#This Row],[Selling_Price_per_Unit]])*100</f>
        <v>31.695796674998071</v>
      </c>
      <c r="V854" s="6">
        <f>Table1[[#This Row],[Units_Sold]]*Table1[[#This Row],[Selling_Price_per_Unit]]</f>
        <v>62966580</v>
      </c>
      <c r="W854" s="7">
        <f>(Table1[[#This Row],[Units_Sold]]/$Z$1)</f>
        <v>0.69870597251462874</v>
      </c>
      <c r="X854" s="8">
        <f>((Table1[[#This Row],[Units_Sold]]*(Table1[[#This Row],[Selling_Price_per_Unit]]-Table1[[#This Row],[Manufacturing_Cost_per_Unit]]))-Table1[[#This Row],[Marketing_Spend]])/Table1[[#This Row],[Marketing_Spend]]</f>
        <v>49.111842785217561</v>
      </c>
    </row>
    <row r="855" spans="1:24" x14ac:dyDescent="0.3">
      <c r="A855" s="1" t="s">
        <v>872</v>
      </c>
      <c r="B855" s="1" t="s">
        <v>1575</v>
      </c>
      <c r="C855" s="1" t="s">
        <v>1633</v>
      </c>
      <c r="D855" s="1" t="s">
        <v>1637</v>
      </c>
      <c r="E855" s="1">
        <v>2023</v>
      </c>
      <c r="F855" s="1" t="s">
        <v>1642</v>
      </c>
      <c r="G855" s="1">
        <v>3727</v>
      </c>
      <c r="H855" s="1">
        <v>14140</v>
      </c>
      <c r="I855" s="1">
        <v>12439</v>
      </c>
      <c r="J855" s="1">
        <v>118431</v>
      </c>
      <c r="K855" s="1">
        <v>0.83</v>
      </c>
      <c r="L855" s="1">
        <v>6</v>
      </c>
      <c r="M855" s="1">
        <v>8.2100000000000009</v>
      </c>
      <c r="N855" s="1">
        <v>7.37</v>
      </c>
      <c r="O855" s="1">
        <v>78.45</v>
      </c>
      <c r="P855" s="1">
        <v>1.3</v>
      </c>
      <c r="Q855" s="1">
        <v>10007</v>
      </c>
      <c r="R855" s="1">
        <v>4004</v>
      </c>
      <c r="S855" s="1">
        <v>14</v>
      </c>
      <c r="T855" s="1">
        <f>(Table1[[#This Row],[Selling_Price_per_Unit]]-Table1[[#This Row],[Manufacturing_Cost_per_Unit]])*Table1[[#This Row],[Units_Sold]]-Table1[[#This Row],[Marketing_Spend]]-Table1[[#This Row],[Discount_%]]</f>
        <v>6221188.6299999999</v>
      </c>
      <c r="U855" s="3">
        <f>Table1[[#This Row],[profit]]/(Table1[[#This Row],[Units_Sold]]*Table1[[#This Row],[Selling_Price_per_Unit]])*100</f>
        <v>11.804961292058525</v>
      </c>
      <c r="V855" s="6">
        <f>Table1[[#This Row],[Units_Sold]]*Table1[[#This Row],[Selling_Price_per_Unit]]</f>
        <v>52699780</v>
      </c>
      <c r="W855" s="7">
        <f>(Table1[[#This Row],[Units_Sold]]/$Z$1)</f>
        <v>0.74615391391461927</v>
      </c>
      <c r="X855" s="8">
        <f>((Table1[[#This Row],[Units_Sold]]*(Table1[[#This Row],[Selling_Price_per_Unit]]-Table1[[#This Row],[Manufacturing_Cost_per_Unit]]))-Table1[[#This Row],[Marketing_Spend]])/Table1[[#This Row],[Marketing_Spend]]</f>
        <v>52.530131468956604</v>
      </c>
    </row>
    <row r="856" spans="1:24" hidden="1" x14ac:dyDescent="0.3">
      <c r="A856" s="1" t="s">
        <v>873</v>
      </c>
      <c r="B856" s="1" t="s">
        <v>1188</v>
      </c>
      <c r="C856" s="1" t="s">
        <v>1633</v>
      </c>
      <c r="D856" s="1" t="s">
        <v>1638</v>
      </c>
      <c r="E856" s="1">
        <v>2024</v>
      </c>
      <c r="F856" s="1" t="s">
        <v>1639</v>
      </c>
      <c r="G856" s="1">
        <v>1168</v>
      </c>
      <c r="H856" s="1">
        <v>9343</v>
      </c>
      <c r="I856" s="1">
        <v>14765</v>
      </c>
      <c r="J856" s="1">
        <v>105745</v>
      </c>
      <c r="K856" s="1">
        <v>0.1</v>
      </c>
      <c r="L856" s="1">
        <v>1</v>
      </c>
      <c r="M856" s="1">
        <v>9.69</v>
      </c>
      <c r="N856" s="1">
        <v>6.47</v>
      </c>
      <c r="O856" s="1">
        <v>52.46</v>
      </c>
      <c r="P856" s="1">
        <v>1.7</v>
      </c>
      <c r="Q856" s="1">
        <v>6320</v>
      </c>
      <c r="R856" s="1">
        <v>3896</v>
      </c>
      <c r="S856" s="1">
        <v>4</v>
      </c>
      <c r="T856" s="1">
        <f>(Table1[[#This Row],[Selling_Price_per_Unit]]-Table1[[#This Row],[Manufacturing_Cost_per_Unit]])*Table1[[#This Row],[Units_Sold]]-Table1[[#This Row],[Marketing_Spend]]-Table1[[#This Row],[Discount_%]]</f>
        <v>-6438647.4699999997</v>
      </c>
      <c r="U856" s="3">
        <f>Table1[[#This Row],[profit]]/(Table1[[#This Row],[Units_Sold]]*Table1[[#This Row],[Selling_Price_per_Unit]])*100</f>
        <v>-59.001826416817806</v>
      </c>
      <c r="V856" s="6">
        <f>Table1[[#This Row],[Units_Sold]]*Table1[[#This Row],[Selling_Price_per_Unit]]</f>
        <v>10912624</v>
      </c>
      <c r="W856" s="7">
        <f>(Table1[[#This Row],[Units_Sold]]/$Z$1)</f>
        <v>0.23383626816535427</v>
      </c>
      <c r="X856" s="8">
        <f>((Table1[[#This Row],[Units_Sold]]*(Table1[[#This Row],[Selling_Price_per_Unit]]-Table1[[#This Row],[Manufacturing_Cost_per_Unit]]))-Table1[[#This Row],[Marketing_Spend]])/Table1[[#This Row],[Marketing_Spend]]</f>
        <v>-60.888372972717384</v>
      </c>
    </row>
    <row r="857" spans="1:24" hidden="1" x14ac:dyDescent="0.3">
      <c r="A857" s="1" t="s">
        <v>874</v>
      </c>
      <c r="B857" s="1" t="s">
        <v>1576</v>
      </c>
      <c r="C857" s="1" t="s">
        <v>1634</v>
      </c>
      <c r="D857" s="1" t="s">
        <v>1636</v>
      </c>
      <c r="E857" s="1">
        <v>2023</v>
      </c>
      <c r="F857" s="1" t="s">
        <v>1640</v>
      </c>
      <c r="G857" s="1">
        <v>1654</v>
      </c>
      <c r="H857" s="1">
        <v>15710</v>
      </c>
      <c r="I857" s="1">
        <v>14314</v>
      </c>
      <c r="J857" s="1">
        <v>100081</v>
      </c>
      <c r="K857" s="1">
        <v>3.19</v>
      </c>
      <c r="L857" s="1">
        <v>6</v>
      </c>
      <c r="M857" s="1">
        <v>4.54</v>
      </c>
      <c r="N857" s="1">
        <v>0.65</v>
      </c>
      <c r="O857" s="1">
        <v>30.42</v>
      </c>
      <c r="P857" s="1">
        <v>5</v>
      </c>
      <c r="Q857" s="1">
        <v>9335</v>
      </c>
      <c r="R857" s="1">
        <v>392</v>
      </c>
      <c r="S857" s="1">
        <v>5</v>
      </c>
      <c r="T857" s="1">
        <f>(Table1[[#This Row],[Selling_Price_per_Unit]]-Table1[[#This Row],[Manufacturing_Cost_per_Unit]])*Table1[[#This Row],[Units_Sold]]-Table1[[#This Row],[Marketing_Spend]]-Table1[[#This Row],[Discount_%]]</f>
        <v>2208902.35</v>
      </c>
      <c r="U857" s="3">
        <f>Table1[[#This Row],[profit]]/(Table1[[#This Row],[Units_Sold]]*Table1[[#This Row],[Selling_Price_per_Unit]])*100</f>
        <v>8.500898425744122</v>
      </c>
      <c r="V857" s="6">
        <f>Table1[[#This Row],[Units_Sold]]*Table1[[#This Row],[Selling_Price_per_Unit]]</f>
        <v>25984340</v>
      </c>
      <c r="W857" s="7">
        <f>(Table1[[#This Row],[Units_Sold]]/$Z$1)</f>
        <v>0.33113457837799309</v>
      </c>
      <c r="X857" s="8">
        <f>((Table1[[#This Row],[Units_Sold]]*(Table1[[#This Row],[Selling_Price_per_Unit]]-Table1[[#This Row],[Manufacturing_Cost_per_Unit]]))-Table1[[#This Row],[Marketing_Spend]])/Table1[[#This Row],[Marketing_Spend]]</f>
        <v>22.071152366583068</v>
      </c>
    </row>
    <row r="858" spans="1:24" x14ac:dyDescent="0.3">
      <c r="A858" s="1" t="s">
        <v>875</v>
      </c>
      <c r="B858" s="1" t="s">
        <v>1096</v>
      </c>
      <c r="C858" s="1" t="s">
        <v>1632</v>
      </c>
      <c r="D858" s="1" t="s">
        <v>1635</v>
      </c>
      <c r="E858" s="1">
        <v>2023</v>
      </c>
      <c r="F858" s="1" t="s">
        <v>1642</v>
      </c>
      <c r="G858" s="1">
        <v>4077</v>
      </c>
      <c r="H858" s="1">
        <v>17956</v>
      </c>
      <c r="I858" s="1">
        <v>13908</v>
      </c>
      <c r="J858" s="1">
        <v>451927</v>
      </c>
      <c r="K858" s="1">
        <v>9.9499999999999993</v>
      </c>
      <c r="L858" s="1">
        <v>7</v>
      </c>
      <c r="M858" s="1">
        <v>5.07</v>
      </c>
      <c r="N858" s="1">
        <v>7.13</v>
      </c>
      <c r="O858" s="1">
        <v>64.05</v>
      </c>
      <c r="P858" s="1">
        <v>3.3</v>
      </c>
      <c r="Q858" s="1">
        <v>3349</v>
      </c>
      <c r="R858" s="1">
        <v>6366</v>
      </c>
      <c r="S858" s="1">
        <v>7</v>
      </c>
      <c r="T858" s="1">
        <f>(Table1[[#This Row],[Selling_Price_per_Unit]]-Table1[[#This Row],[Manufacturing_Cost_per_Unit]])*Table1[[#This Row],[Units_Sold]]-Table1[[#This Row],[Marketing_Spend]]-Table1[[#This Row],[Discount_%]]</f>
        <v>16051761.869999999</v>
      </c>
      <c r="U858" s="3">
        <f>Table1[[#This Row],[profit]]/(Table1[[#This Row],[Units_Sold]]*Table1[[#This Row],[Selling_Price_per_Unit]])*100</f>
        <v>21.926655846332569</v>
      </c>
      <c r="V858" s="6">
        <f>Table1[[#This Row],[Units_Sold]]*Table1[[#This Row],[Selling_Price_per_Unit]]</f>
        <v>73206612</v>
      </c>
      <c r="W858" s="7">
        <f>(Table1[[#This Row],[Units_Sold]]/$Z$1)</f>
        <v>0.81622471345047032</v>
      </c>
      <c r="X858" s="8">
        <f>((Table1[[#This Row],[Units_Sold]]*(Table1[[#This Row],[Selling_Price_per_Unit]]-Table1[[#This Row],[Manufacturing_Cost_per_Unit]]))-Table1[[#This Row],[Marketing_Spend]])/Table1[[#This Row],[Marketing_Spend]]</f>
        <v>35.518499669194362</v>
      </c>
    </row>
    <row r="859" spans="1:24" hidden="1" x14ac:dyDescent="0.3">
      <c r="A859" s="1" t="s">
        <v>876</v>
      </c>
      <c r="B859" s="1" t="s">
        <v>1577</v>
      </c>
      <c r="C859" s="1" t="s">
        <v>1632</v>
      </c>
      <c r="D859" s="1" t="s">
        <v>1635</v>
      </c>
      <c r="E859" s="1">
        <v>2023</v>
      </c>
      <c r="F859" s="1" t="s">
        <v>1640</v>
      </c>
      <c r="G859" s="1">
        <v>285</v>
      </c>
      <c r="H859" s="1">
        <v>11606</v>
      </c>
      <c r="I859" s="1">
        <v>2562</v>
      </c>
      <c r="J859" s="1">
        <v>266204</v>
      </c>
      <c r="K859" s="1">
        <v>6.17</v>
      </c>
      <c r="L859" s="1">
        <v>6</v>
      </c>
      <c r="M859" s="1">
        <v>5.72</v>
      </c>
      <c r="N859" s="1">
        <v>13.85</v>
      </c>
      <c r="O859" s="1">
        <v>53.41</v>
      </c>
      <c r="P859" s="1">
        <v>2.4</v>
      </c>
      <c r="Q859" s="1">
        <v>15087</v>
      </c>
      <c r="R859" s="1">
        <v>6470</v>
      </c>
      <c r="S859" s="1">
        <v>5</v>
      </c>
      <c r="T859" s="1">
        <f>(Table1[[#This Row],[Selling_Price_per_Unit]]-Table1[[#This Row],[Manufacturing_Cost_per_Unit]])*Table1[[#This Row],[Units_Sold]]-Table1[[#This Row],[Marketing_Spend]]-Table1[[#This Row],[Discount_%]]</f>
        <v>2311322.15</v>
      </c>
      <c r="U859" s="3">
        <f>Table1[[#This Row],[profit]]/(Table1[[#This Row],[Units_Sold]]*Table1[[#This Row],[Selling_Price_per_Unit]])*100</f>
        <v>69.876807519401638</v>
      </c>
      <c r="V859" s="6">
        <f>Table1[[#This Row],[Units_Sold]]*Table1[[#This Row],[Selling_Price_per_Unit]]</f>
        <v>3307710</v>
      </c>
      <c r="W859" s="7">
        <f>(Table1[[#This Row],[Units_Sold]]/$Z$1)</f>
        <v>5.7057651050621543E-2</v>
      </c>
      <c r="X859" s="8">
        <f>((Table1[[#This Row],[Units_Sold]]*(Table1[[#This Row],[Selling_Price_per_Unit]]-Table1[[#This Row],[Manufacturing_Cost_per_Unit]]))-Table1[[#This Row],[Marketing_Spend]])/Table1[[#This Row],[Marketing_Spend]]</f>
        <v>8.6825742663521215</v>
      </c>
    </row>
    <row r="860" spans="1:24" hidden="1" x14ac:dyDescent="0.3">
      <c r="A860" s="1" t="s">
        <v>877</v>
      </c>
      <c r="B860" s="1" t="s">
        <v>1578</v>
      </c>
      <c r="C860" s="1" t="s">
        <v>1633</v>
      </c>
      <c r="D860" s="1" t="s">
        <v>1636</v>
      </c>
      <c r="E860" s="1">
        <v>2024</v>
      </c>
      <c r="F860" s="1" t="s">
        <v>1642</v>
      </c>
      <c r="G860" s="1">
        <v>2019</v>
      </c>
      <c r="H860" s="1">
        <v>6689</v>
      </c>
      <c r="I860" s="1">
        <v>12040</v>
      </c>
      <c r="J860" s="1">
        <v>462009</v>
      </c>
      <c r="K860" s="1">
        <v>6.04</v>
      </c>
      <c r="L860" s="1">
        <v>13</v>
      </c>
      <c r="M860" s="1">
        <v>9.32</v>
      </c>
      <c r="N860" s="1">
        <v>0.04</v>
      </c>
      <c r="O860" s="1">
        <v>28.64</v>
      </c>
      <c r="P860" s="1">
        <v>2.2000000000000002</v>
      </c>
      <c r="Q860" s="1">
        <v>3453</v>
      </c>
      <c r="R860" s="1">
        <v>4960</v>
      </c>
      <c r="S860" s="1">
        <v>9</v>
      </c>
      <c r="T860" s="1">
        <f>(Table1[[#This Row],[Selling_Price_per_Unit]]-Table1[[#This Row],[Manufacturing_Cost_per_Unit]])*Table1[[#This Row],[Units_Sold]]-Table1[[#This Row],[Marketing_Spend]]-Table1[[#This Row],[Discount_%]]</f>
        <v>-11265678.039999999</v>
      </c>
      <c r="U860" s="3">
        <f>Table1[[#This Row],[profit]]/(Table1[[#This Row],[Units_Sold]]*Table1[[#This Row],[Selling_Price_per_Unit]])*100</f>
        <v>-83.418009104862747</v>
      </c>
      <c r="V860" s="6">
        <f>Table1[[#This Row],[Units_Sold]]*Table1[[#This Row],[Selling_Price_per_Unit]]</f>
        <v>13505091</v>
      </c>
      <c r="W860" s="7">
        <f>(Table1[[#This Row],[Units_Sold]]/$Z$1)</f>
        <v>0.4042084121796663</v>
      </c>
      <c r="X860" s="8">
        <f>((Table1[[#This Row],[Units_Sold]]*(Table1[[#This Row],[Selling_Price_per_Unit]]-Table1[[#This Row],[Manufacturing_Cost_per_Unit]]))-Table1[[#This Row],[Marketing_Spend]])/Table1[[#This Row],[Marketing_Spend]]</f>
        <v>-24.384109400466226</v>
      </c>
    </row>
    <row r="861" spans="1:24" x14ac:dyDescent="0.3">
      <c r="A861" s="1" t="s">
        <v>878</v>
      </c>
      <c r="B861" s="1" t="s">
        <v>1087</v>
      </c>
      <c r="C861" s="1" t="s">
        <v>1633</v>
      </c>
      <c r="D861" s="1" t="s">
        <v>1635</v>
      </c>
      <c r="E861" s="1">
        <v>2023</v>
      </c>
      <c r="F861" s="1" t="s">
        <v>1642</v>
      </c>
      <c r="G861" s="1">
        <v>4479</v>
      </c>
      <c r="H861" s="1">
        <v>3972</v>
      </c>
      <c r="I861" s="1">
        <v>11373</v>
      </c>
      <c r="J861" s="1">
        <v>451415</v>
      </c>
      <c r="K861" s="1">
        <v>13.27</v>
      </c>
      <c r="L861" s="1">
        <v>18</v>
      </c>
      <c r="M861" s="1">
        <v>8.58</v>
      </c>
      <c r="N861" s="1">
        <v>7.08</v>
      </c>
      <c r="O861" s="1">
        <v>55.89</v>
      </c>
      <c r="P861" s="1">
        <v>2</v>
      </c>
      <c r="Q861" s="1">
        <v>20653</v>
      </c>
      <c r="R861" s="1">
        <v>3829</v>
      </c>
      <c r="S861" s="1">
        <v>4</v>
      </c>
      <c r="T861" s="1">
        <f>(Table1[[#This Row],[Selling_Price_per_Unit]]-Table1[[#This Row],[Manufacturing_Cost_per_Unit]])*Table1[[#This Row],[Units_Sold]]-Table1[[#This Row],[Marketing_Spend]]-Table1[[#This Row],[Discount_%]]</f>
        <v>-33600501.079999998</v>
      </c>
      <c r="U861" s="3">
        <f>Table1[[#This Row],[profit]]/(Table1[[#This Row],[Units_Sold]]*Table1[[#This Row],[Selling_Price_per_Unit]])*100</f>
        <v>-188.86672593396011</v>
      </c>
      <c r="V861" s="6">
        <f>Table1[[#This Row],[Units_Sold]]*Table1[[#This Row],[Selling_Price_per_Unit]]</f>
        <v>17790588</v>
      </c>
      <c r="W861" s="7">
        <f>(Table1[[#This Row],[Units_Sold]]/$Z$1)</f>
        <v>0.89670603177450492</v>
      </c>
      <c r="X861" s="8">
        <f>((Table1[[#This Row],[Units_Sold]]*(Table1[[#This Row],[Selling_Price_per_Unit]]-Table1[[#This Row],[Manufacturing_Cost_per_Unit]]))-Table1[[#This Row],[Marketing_Spend]])/Table1[[#This Row],[Marketing_Spend]]</f>
        <v>-74.433711772980516</v>
      </c>
    </row>
    <row r="862" spans="1:24" hidden="1" x14ac:dyDescent="0.3">
      <c r="A862" s="1" t="s">
        <v>879</v>
      </c>
      <c r="B862" s="1" t="s">
        <v>1579</v>
      </c>
      <c r="C862" s="1" t="s">
        <v>1634</v>
      </c>
      <c r="D862" s="1" t="s">
        <v>1635</v>
      </c>
      <c r="E862" s="1">
        <v>2024</v>
      </c>
      <c r="F862" s="1" t="s">
        <v>1640</v>
      </c>
      <c r="G862" s="1">
        <v>1958</v>
      </c>
      <c r="H862" s="1">
        <v>18591</v>
      </c>
      <c r="I862" s="1">
        <v>11261</v>
      </c>
      <c r="J862" s="1">
        <v>126253</v>
      </c>
      <c r="K862" s="1">
        <v>13.43</v>
      </c>
      <c r="L862" s="1">
        <v>4</v>
      </c>
      <c r="M862" s="1">
        <v>1.71</v>
      </c>
      <c r="N862" s="1">
        <v>22.04</v>
      </c>
      <c r="O862" s="1">
        <v>75.72</v>
      </c>
      <c r="P862" s="1">
        <v>3.7</v>
      </c>
      <c r="Q862" s="1">
        <v>14231</v>
      </c>
      <c r="R862" s="1">
        <v>8062</v>
      </c>
      <c r="S862" s="1">
        <v>13</v>
      </c>
      <c r="T862" s="1">
        <f>(Table1[[#This Row],[Selling_Price_per_Unit]]-Table1[[#This Row],[Manufacturing_Cost_per_Unit]])*Table1[[#This Row],[Units_Sold]]-Table1[[#This Row],[Marketing_Spend]]-Table1[[#This Row],[Discount_%]]</f>
        <v>14225864.960000001</v>
      </c>
      <c r="U862" s="3">
        <f>Table1[[#This Row],[profit]]/(Table1[[#This Row],[Units_Sold]]*Table1[[#This Row],[Selling_Price_per_Unit]])*100</f>
        <v>39.080781836236184</v>
      </c>
      <c r="V862" s="6">
        <f>Table1[[#This Row],[Units_Sold]]*Table1[[#This Row],[Selling_Price_per_Unit]]</f>
        <v>36401178</v>
      </c>
      <c r="W862" s="7">
        <f>(Table1[[#This Row],[Units_Sold]]/$Z$1)</f>
        <v>0.3919960728319894</v>
      </c>
      <c r="X862" s="8">
        <f>((Table1[[#This Row],[Units_Sold]]*(Table1[[#This Row],[Selling_Price_per_Unit]]-Table1[[#This Row],[Manufacturing_Cost_per_Unit]]))-Table1[[#This Row],[Marketing_Spend]])/Table1[[#This Row],[Marketing_Spend]]</f>
        <v>112.67761558141193</v>
      </c>
    </row>
    <row r="863" spans="1:24" hidden="1" x14ac:dyDescent="0.3">
      <c r="A863" s="1" t="s">
        <v>880</v>
      </c>
      <c r="B863" s="1" t="s">
        <v>1580</v>
      </c>
      <c r="C863" s="1" t="s">
        <v>1632</v>
      </c>
      <c r="D863" s="1" t="s">
        <v>1635</v>
      </c>
      <c r="E863" s="1">
        <v>2024</v>
      </c>
      <c r="F863" s="1" t="s">
        <v>1640</v>
      </c>
      <c r="G863" s="1">
        <v>425</v>
      </c>
      <c r="H863" s="1">
        <v>19688</v>
      </c>
      <c r="I863" s="1">
        <v>840</v>
      </c>
      <c r="J863" s="1">
        <v>348335</v>
      </c>
      <c r="K863" s="1">
        <v>13.64</v>
      </c>
      <c r="L863" s="1">
        <v>17</v>
      </c>
      <c r="M863" s="1">
        <v>4.37</v>
      </c>
      <c r="N863" s="1">
        <v>14.84</v>
      </c>
      <c r="O863" s="1">
        <v>12.29</v>
      </c>
      <c r="P863" s="1">
        <v>2.7</v>
      </c>
      <c r="Q863" s="1">
        <v>20930</v>
      </c>
      <c r="R863" s="1">
        <v>5610</v>
      </c>
      <c r="S863" s="1">
        <v>4</v>
      </c>
      <c r="T863" s="1">
        <f>(Table1[[#This Row],[Selling_Price_per_Unit]]-Table1[[#This Row],[Manufacturing_Cost_per_Unit]])*Table1[[#This Row],[Units_Sold]]-Table1[[#This Row],[Marketing_Spend]]-Table1[[#This Row],[Discount_%]]</f>
        <v>7662050.1600000001</v>
      </c>
      <c r="U863" s="3">
        <f>Table1[[#This Row],[profit]]/(Table1[[#This Row],[Units_Sold]]*Table1[[#This Row],[Selling_Price_per_Unit]])*100</f>
        <v>91.570262686139074</v>
      </c>
      <c r="V863" s="6">
        <f>Table1[[#This Row],[Units_Sold]]*Table1[[#This Row],[Selling_Price_per_Unit]]</f>
        <v>8367400</v>
      </c>
      <c r="W863" s="7">
        <f>(Table1[[#This Row],[Units_Sold]]/$Z$1)</f>
        <v>8.5085970864961946E-2</v>
      </c>
      <c r="X863" s="8">
        <f>((Table1[[#This Row],[Units_Sold]]*(Table1[[#This Row],[Selling_Price_per_Unit]]-Table1[[#This Row],[Manufacturing_Cost_per_Unit]]))-Table1[[#This Row],[Marketing_Spend]])/Table1[[#This Row],[Marketing_Spend]]</f>
        <v>21.996253606442075</v>
      </c>
    </row>
    <row r="864" spans="1:24" hidden="1" x14ac:dyDescent="0.3">
      <c r="A864" s="1" t="s">
        <v>881</v>
      </c>
      <c r="B864" s="1" t="s">
        <v>1284</v>
      </c>
      <c r="C864" s="1" t="s">
        <v>1633</v>
      </c>
      <c r="D864" s="1" t="s">
        <v>1638</v>
      </c>
      <c r="E864" s="1">
        <v>2023</v>
      </c>
      <c r="F864" s="1" t="s">
        <v>1641</v>
      </c>
      <c r="G864" s="1">
        <v>3580</v>
      </c>
      <c r="H864" s="1">
        <v>8204</v>
      </c>
      <c r="I864" s="1">
        <v>6627</v>
      </c>
      <c r="J864" s="1">
        <v>322355</v>
      </c>
      <c r="K864" s="1">
        <v>4.71</v>
      </c>
      <c r="L864" s="1">
        <v>19</v>
      </c>
      <c r="M864" s="1">
        <v>4.6399999999999997</v>
      </c>
      <c r="N864" s="1">
        <v>15.2</v>
      </c>
      <c r="O864" s="1">
        <v>60.47</v>
      </c>
      <c r="P864" s="1">
        <v>4.9000000000000004</v>
      </c>
      <c r="Q864" s="1">
        <v>8340</v>
      </c>
      <c r="R864" s="1">
        <v>8719</v>
      </c>
      <c r="S864" s="1">
        <v>4</v>
      </c>
      <c r="T864" s="1">
        <f>(Table1[[#This Row],[Selling_Price_per_Unit]]-Table1[[#This Row],[Manufacturing_Cost_per_Unit]])*Table1[[#This Row],[Units_Sold]]-Table1[[#This Row],[Marketing_Spend]]-Table1[[#This Row],[Discount_%]]</f>
        <v>5323289.8</v>
      </c>
      <c r="U864" s="3">
        <f>Table1[[#This Row],[profit]]/(Table1[[#This Row],[Units_Sold]]*Table1[[#This Row],[Selling_Price_per_Unit]])*100</f>
        <v>18.124725232820072</v>
      </c>
      <c r="V864" s="6">
        <f>Table1[[#This Row],[Units_Sold]]*Table1[[#This Row],[Selling_Price_per_Unit]]</f>
        <v>29370320</v>
      </c>
      <c r="W864" s="7">
        <f>(Table1[[#This Row],[Units_Sold]]/$Z$1)</f>
        <v>0.7167241781095619</v>
      </c>
      <c r="X864" s="8">
        <f>((Table1[[#This Row],[Units_Sold]]*(Table1[[#This Row],[Selling_Price_per_Unit]]-Table1[[#This Row],[Manufacturing_Cost_per_Unit]]))-Table1[[#This Row],[Marketing_Spend]])/Table1[[#This Row],[Marketing_Spend]]</f>
        <v>16.513796900932203</v>
      </c>
    </row>
    <row r="865" spans="1:24" hidden="1" x14ac:dyDescent="0.3">
      <c r="A865" s="1" t="s">
        <v>882</v>
      </c>
      <c r="B865" s="1" t="s">
        <v>1165</v>
      </c>
      <c r="C865" s="1" t="s">
        <v>1633</v>
      </c>
      <c r="D865" s="1" t="s">
        <v>1637</v>
      </c>
      <c r="E865" s="1">
        <v>2024</v>
      </c>
      <c r="F865" s="1" t="s">
        <v>1641</v>
      </c>
      <c r="G865" s="1">
        <v>2685</v>
      </c>
      <c r="H865" s="1">
        <v>5213</v>
      </c>
      <c r="I865" s="1">
        <v>9059</v>
      </c>
      <c r="J865" s="1">
        <v>161086</v>
      </c>
      <c r="K865" s="1">
        <v>10.37</v>
      </c>
      <c r="L865" s="1">
        <v>11</v>
      </c>
      <c r="M865" s="1">
        <v>7.89</v>
      </c>
      <c r="N865" s="1">
        <v>10.08</v>
      </c>
      <c r="O865" s="1">
        <v>37.97</v>
      </c>
      <c r="P865" s="1">
        <v>3.7</v>
      </c>
      <c r="Q865" s="1">
        <v>6566</v>
      </c>
      <c r="R865" s="1">
        <v>6861</v>
      </c>
      <c r="S865" s="1">
        <v>9</v>
      </c>
      <c r="T865" s="1">
        <f>(Table1[[#This Row],[Selling_Price_per_Unit]]-Table1[[#This Row],[Manufacturing_Cost_per_Unit]])*Table1[[#This Row],[Units_Sold]]-Table1[[#This Row],[Marketing_Spend]]-Table1[[#This Row],[Discount_%]]</f>
        <v>-10487606.08</v>
      </c>
      <c r="U865" s="3">
        <f>Table1[[#This Row],[profit]]/(Table1[[#This Row],[Units_Sold]]*Table1[[#This Row],[Selling_Price_per_Unit]])*100</f>
        <v>-74.928036448057625</v>
      </c>
      <c r="V865" s="6">
        <f>Table1[[#This Row],[Units_Sold]]*Table1[[#This Row],[Selling_Price_per_Unit]]</f>
        <v>13996905</v>
      </c>
      <c r="W865" s="7">
        <f>(Table1[[#This Row],[Units_Sold]]/$Z$1)</f>
        <v>0.53754313358217143</v>
      </c>
      <c r="X865" s="8">
        <f>((Table1[[#This Row],[Units_Sold]]*(Table1[[#This Row],[Selling_Price_per_Unit]]-Table1[[#This Row],[Manufacturing_Cost_per_Unit]]))-Table1[[#This Row],[Marketing_Spend]])/Table1[[#This Row],[Marketing_Spend]]</f>
        <v>-65.105570937263323</v>
      </c>
    </row>
    <row r="866" spans="1:24" hidden="1" x14ac:dyDescent="0.3">
      <c r="A866" s="1" t="s">
        <v>883</v>
      </c>
      <c r="B866" s="1" t="s">
        <v>1579</v>
      </c>
      <c r="C866" s="1" t="s">
        <v>1633</v>
      </c>
      <c r="D866" s="1" t="s">
        <v>1636</v>
      </c>
      <c r="E866" s="1">
        <v>2024</v>
      </c>
      <c r="F866" s="1" t="s">
        <v>1642</v>
      </c>
      <c r="G866" s="1">
        <v>1620</v>
      </c>
      <c r="H866" s="1">
        <v>6551</v>
      </c>
      <c r="I866" s="1">
        <v>1787</v>
      </c>
      <c r="J866" s="1">
        <v>499962</v>
      </c>
      <c r="K866" s="1">
        <v>4.07</v>
      </c>
      <c r="L866" s="1">
        <v>16</v>
      </c>
      <c r="M866" s="1">
        <v>6.03</v>
      </c>
      <c r="N866" s="1">
        <v>16.91</v>
      </c>
      <c r="O866" s="1">
        <v>33.409999999999997</v>
      </c>
      <c r="P866" s="1">
        <v>4.2</v>
      </c>
      <c r="Q866" s="1">
        <v>3915</v>
      </c>
      <c r="R866" s="1">
        <v>6210</v>
      </c>
      <c r="S866" s="1">
        <v>5</v>
      </c>
      <c r="T866" s="1">
        <f>(Table1[[#This Row],[Selling_Price_per_Unit]]-Table1[[#This Row],[Manufacturing_Cost_per_Unit]])*Table1[[#This Row],[Units_Sold]]-Table1[[#This Row],[Marketing_Spend]]-Table1[[#This Row],[Discount_%]]</f>
        <v>7217701.0899999999</v>
      </c>
      <c r="U866" s="3">
        <f>Table1[[#This Row],[profit]]/(Table1[[#This Row],[Units_Sold]]*Table1[[#This Row],[Selling_Price_per_Unit]])*100</f>
        <v>68.01054866752979</v>
      </c>
      <c r="V866" s="6">
        <f>Table1[[#This Row],[Units_Sold]]*Table1[[#This Row],[Selling_Price_per_Unit]]</f>
        <v>10612620</v>
      </c>
      <c r="W866" s="7">
        <f>(Table1[[#This Row],[Units_Sold]]/$Z$1)</f>
        <v>0.32432770070879613</v>
      </c>
      <c r="X866" s="8">
        <f>((Table1[[#This Row],[Units_Sold]]*(Table1[[#This Row],[Selling_Price_per_Unit]]-Table1[[#This Row],[Manufacturing_Cost_per_Unit]]))-Table1[[#This Row],[Marketing_Spend]])/Table1[[#This Row],[Marketing_Spend]]</f>
        <v>14.436533176521415</v>
      </c>
    </row>
    <row r="867" spans="1:24" hidden="1" x14ac:dyDescent="0.3">
      <c r="A867" s="1" t="s">
        <v>884</v>
      </c>
      <c r="B867" s="1" t="s">
        <v>1581</v>
      </c>
      <c r="C867" s="1" t="s">
        <v>1632</v>
      </c>
      <c r="D867" s="1" t="s">
        <v>1636</v>
      </c>
      <c r="E867" s="1">
        <v>2023</v>
      </c>
      <c r="F867" s="1" t="s">
        <v>1640</v>
      </c>
      <c r="G867" s="1">
        <v>2610</v>
      </c>
      <c r="H867" s="1">
        <v>12256</v>
      </c>
      <c r="I867" s="1">
        <v>14887</v>
      </c>
      <c r="J867" s="1">
        <v>464758</v>
      </c>
      <c r="K867" s="1">
        <v>2.86</v>
      </c>
      <c r="L867" s="1">
        <v>12</v>
      </c>
      <c r="M867" s="1">
        <v>6.54</v>
      </c>
      <c r="N867" s="1">
        <v>4.75</v>
      </c>
      <c r="O867" s="1">
        <v>41.41</v>
      </c>
      <c r="P867" s="1">
        <v>2.2000000000000002</v>
      </c>
      <c r="Q867" s="1">
        <v>3889</v>
      </c>
      <c r="R867" s="1">
        <v>7055</v>
      </c>
      <c r="S867" s="1">
        <v>2</v>
      </c>
      <c r="T867" s="1">
        <f>(Table1[[#This Row],[Selling_Price_per_Unit]]-Table1[[#This Row],[Manufacturing_Cost_per_Unit]])*Table1[[#This Row],[Units_Sold]]-Table1[[#This Row],[Marketing_Spend]]-Table1[[#This Row],[Discount_%]]</f>
        <v>-7331672.75</v>
      </c>
      <c r="U867" s="3">
        <f>Table1[[#This Row],[profit]]/(Table1[[#This Row],[Units_Sold]]*Table1[[#This Row],[Selling_Price_per_Unit]])*100</f>
        <v>-22.919957728109399</v>
      </c>
      <c r="V867" s="6">
        <f>Table1[[#This Row],[Units_Sold]]*Table1[[#This Row],[Selling_Price_per_Unit]]</f>
        <v>31988160</v>
      </c>
      <c r="W867" s="7">
        <f>(Table1[[#This Row],[Units_Sold]]/$Z$1)</f>
        <v>0.52252796225306042</v>
      </c>
      <c r="X867" s="8">
        <f>((Table1[[#This Row],[Units_Sold]]*(Table1[[#This Row],[Selling_Price_per_Unit]]-Table1[[#This Row],[Manufacturing_Cost_per_Unit]]))-Table1[[#This Row],[Marketing_Spend]])/Table1[[#This Row],[Marketing_Spend]]</f>
        <v>-15.77523786572797</v>
      </c>
    </row>
    <row r="868" spans="1:24" hidden="1" x14ac:dyDescent="0.3">
      <c r="A868" s="1" t="s">
        <v>885</v>
      </c>
      <c r="B868" s="1" t="s">
        <v>1310</v>
      </c>
      <c r="C868" s="1" t="s">
        <v>1632</v>
      </c>
      <c r="D868" s="1" t="s">
        <v>1636</v>
      </c>
      <c r="E868" s="1">
        <v>2024</v>
      </c>
      <c r="F868" s="1" t="s">
        <v>1640</v>
      </c>
      <c r="G868" s="1">
        <v>3441</v>
      </c>
      <c r="H868" s="1">
        <v>3975</v>
      </c>
      <c r="I868" s="1">
        <v>8604</v>
      </c>
      <c r="J868" s="1">
        <v>474528</v>
      </c>
      <c r="K868" s="1">
        <v>2.77</v>
      </c>
      <c r="L868" s="1">
        <v>1</v>
      </c>
      <c r="M868" s="1">
        <v>9.98</v>
      </c>
      <c r="N868" s="1">
        <v>20.47</v>
      </c>
      <c r="O868" s="1">
        <v>37.36</v>
      </c>
      <c r="P868" s="1">
        <v>1.3</v>
      </c>
      <c r="Q868" s="1">
        <v>17711</v>
      </c>
      <c r="R868" s="1">
        <v>206</v>
      </c>
      <c r="S868" s="1">
        <v>3</v>
      </c>
      <c r="T868" s="1">
        <f>(Table1[[#This Row],[Selling_Price_per_Unit]]-Table1[[#This Row],[Manufacturing_Cost_per_Unit]])*Table1[[#This Row],[Units_Sold]]-Table1[[#This Row],[Marketing_Spend]]-Table1[[#This Row],[Discount_%]]</f>
        <v>-16402937.470000001</v>
      </c>
      <c r="U868" s="3">
        <f>Table1[[#This Row],[profit]]/(Table1[[#This Row],[Units_Sold]]*Table1[[#This Row],[Selling_Price_per_Unit]])*100</f>
        <v>-119.9222653207072</v>
      </c>
      <c r="V868" s="6">
        <f>Table1[[#This Row],[Units_Sold]]*Table1[[#This Row],[Selling_Price_per_Unit]]</f>
        <v>13677975</v>
      </c>
      <c r="W868" s="7">
        <f>(Table1[[#This Row],[Units_Sold]]/$Z$1)</f>
        <v>0.68889606057960961</v>
      </c>
      <c r="X868" s="8">
        <f>((Table1[[#This Row],[Units_Sold]]*(Table1[[#This Row],[Selling_Price_per_Unit]]-Table1[[#This Row],[Manufacturing_Cost_per_Unit]]))-Table1[[#This Row],[Marketing_Spend]])/Table1[[#This Row],[Marketing_Spend]]</f>
        <v>-34.566805330770784</v>
      </c>
    </row>
    <row r="869" spans="1:24" hidden="1" x14ac:dyDescent="0.3">
      <c r="A869" s="1" t="s">
        <v>886</v>
      </c>
      <c r="B869" s="1" t="s">
        <v>1582</v>
      </c>
      <c r="C869" s="1" t="s">
        <v>1633</v>
      </c>
      <c r="D869" s="1" t="s">
        <v>1637</v>
      </c>
      <c r="E869" s="1">
        <v>2024</v>
      </c>
      <c r="F869" s="1" t="s">
        <v>1639</v>
      </c>
      <c r="G869" s="1">
        <v>3015</v>
      </c>
      <c r="H869" s="1">
        <v>5110</v>
      </c>
      <c r="I869" s="1">
        <v>8589</v>
      </c>
      <c r="J869" s="1">
        <v>488458</v>
      </c>
      <c r="K869" s="1">
        <v>5.13</v>
      </c>
      <c r="L869" s="1">
        <v>12</v>
      </c>
      <c r="M869" s="1">
        <v>0.75</v>
      </c>
      <c r="N869" s="1">
        <v>2.92</v>
      </c>
      <c r="O869" s="1">
        <v>76.58</v>
      </c>
      <c r="P869" s="1">
        <v>3</v>
      </c>
      <c r="Q869" s="1">
        <v>2263</v>
      </c>
      <c r="R869" s="1">
        <v>4854</v>
      </c>
      <c r="S869" s="1">
        <v>14</v>
      </c>
      <c r="T869" s="1">
        <f>(Table1[[#This Row],[Selling_Price_per_Unit]]-Table1[[#This Row],[Manufacturing_Cost_per_Unit]])*Table1[[#This Row],[Units_Sold]]-Table1[[#This Row],[Marketing_Spend]]-Table1[[#This Row],[Discount_%]]</f>
        <v>-10977645.92</v>
      </c>
      <c r="U869" s="3">
        <f>Table1[[#This Row],[profit]]/(Table1[[#This Row],[Units_Sold]]*Table1[[#This Row],[Selling_Price_per_Unit]])*100</f>
        <v>-71.252646876511122</v>
      </c>
      <c r="V869" s="6">
        <f>Table1[[#This Row],[Units_Sold]]*Table1[[#This Row],[Selling_Price_per_Unit]]</f>
        <v>15406650</v>
      </c>
      <c r="W869" s="7">
        <f>(Table1[[#This Row],[Units_Sold]]/$Z$1)</f>
        <v>0.60360988743025945</v>
      </c>
      <c r="X869" s="8">
        <f>((Table1[[#This Row],[Units_Sold]]*(Table1[[#This Row],[Selling_Price_per_Unit]]-Table1[[#This Row],[Manufacturing_Cost_per_Unit]]))-Table1[[#This Row],[Marketing_Spend]])/Table1[[#This Row],[Marketing_Spend]]</f>
        <v>-22.474077607491331</v>
      </c>
    </row>
    <row r="870" spans="1:24" hidden="1" x14ac:dyDescent="0.3">
      <c r="A870" s="1" t="s">
        <v>887</v>
      </c>
      <c r="B870" s="1" t="s">
        <v>1490</v>
      </c>
      <c r="C870" s="1" t="s">
        <v>1633</v>
      </c>
      <c r="D870" s="1" t="s">
        <v>1637</v>
      </c>
      <c r="E870" s="1">
        <v>2024</v>
      </c>
      <c r="F870" s="1" t="s">
        <v>1639</v>
      </c>
      <c r="G870" s="1">
        <v>3693</v>
      </c>
      <c r="H870" s="1">
        <v>5755</v>
      </c>
      <c r="I870" s="1">
        <v>6517</v>
      </c>
      <c r="J870" s="1">
        <v>414115</v>
      </c>
      <c r="K870" s="1">
        <v>6.45</v>
      </c>
      <c r="L870" s="1">
        <v>6</v>
      </c>
      <c r="M870" s="1">
        <v>2.23</v>
      </c>
      <c r="N870" s="1">
        <v>16.399999999999999</v>
      </c>
      <c r="O870" s="1">
        <v>31.98</v>
      </c>
      <c r="P870" s="1">
        <v>2.2999999999999998</v>
      </c>
      <c r="Q870" s="1">
        <v>18699</v>
      </c>
      <c r="R870" s="1">
        <v>5378</v>
      </c>
      <c r="S870" s="1">
        <v>11</v>
      </c>
      <c r="T870" s="1">
        <f>(Table1[[#This Row],[Selling_Price_per_Unit]]-Table1[[#This Row],[Manufacturing_Cost_per_Unit]])*Table1[[#This Row],[Units_Sold]]-Table1[[#This Row],[Marketing_Spend]]-Table1[[#This Row],[Discount_%]]</f>
        <v>-3228197.4</v>
      </c>
      <c r="U870" s="3">
        <f>Table1[[#This Row],[profit]]/(Table1[[#This Row],[Units_Sold]]*Table1[[#This Row],[Selling_Price_per_Unit]])*100</f>
        <v>-15.189219136963514</v>
      </c>
      <c r="V870" s="6">
        <f>Table1[[#This Row],[Units_Sold]]*Table1[[#This Row],[Selling_Price_per_Unit]]</f>
        <v>21253215</v>
      </c>
      <c r="W870" s="7">
        <f>(Table1[[#This Row],[Units_Sold]]/$Z$1)</f>
        <v>0.73934703624542231</v>
      </c>
      <c r="X870" s="8">
        <f>((Table1[[#This Row],[Units_Sold]]*(Table1[[#This Row],[Selling_Price_per_Unit]]-Table1[[#This Row],[Manufacturing_Cost_per_Unit]]))-Table1[[#This Row],[Marketing_Spend]])/Table1[[#This Row],[Marketing_Spend]]</f>
        <v>-7.7953732658802508</v>
      </c>
    </row>
    <row r="871" spans="1:24" x14ac:dyDescent="0.3">
      <c r="A871" s="1" t="s">
        <v>888</v>
      </c>
      <c r="B871" s="1" t="s">
        <v>1583</v>
      </c>
      <c r="C871" s="1" t="s">
        <v>1632</v>
      </c>
      <c r="D871" s="1" t="s">
        <v>1636</v>
      </c>
      <c r="E871" s="1">
        <v>2024</v>
      </c>
      <c r="F871" s="1" t="s">
        <v>1640</v>
      </c>
      <c r="G871" s="1">
        <v>3900</v>
      </c>
      <c r="H871" s="1">
        <v>15984</v>
      </c>
      <c r="I871" s="1">
        <v>13000</v>
      </c>
      <c r="J871" s="1">
        <v>143783</v>
      </c>
      <c r="K871" s="1">
        <v>12.46</v>
      </c>
      <c r="L871" s="1">
        <v>9</v>
      </c>
      <c r="M871" s="1">
        <v>4.08</v>
      </c>
      <c r="N871" s="1">
        <v>8.5299999999999994</v>
      </c>
      <c r="O871" s="1">
        <v>68.650000000000006</v>
      </c>
      <c r="P871" s="1">
        <v>1.8</v>
      </c>
      <c r="Q871" s="1">
        <v>7755</v>
      </c>
      <c r="R871" s="1">
        <v>6508</v>
      </c>
      <c r="S871" s="1">
        <v>14</v>
      </c>
      <c r="T871" s="1">
        <f>(Table1[[#This Row],[Selling_Price_per_Unit]]-Table1[[#This Row],[Manufacturing_Cost_per_Unit]])*Table1[[#This Row],[Units_Sold]]-Table1[[#This Row],[Marketing_Spend]]-Table1[[#This Row],[Discount_%]]</f>
        <v>11493808.470000001</v>
      </c>
      <c r="U871" s="3">
        <f>Table1[[#This Row],[profit]]/(Table1[[#This Row],[Units_Sold]]*Table1[[#This Row],[Selling_Price_per_Unit]])*100</f>
        <v>18.438002858627861</v>
      </c>
      <c r="V871" s="6">
        <f>Table1[[#This Row],[Units_Sold]]*Table1[[#This Row],[Selling_Price_per_Unit]]</f>
        <v>62337600</v>
      </c>
      <c r="W871" s="7">
        <f>(Table1[[#This Row],[Units_Sold]]/$Z$1)</f>
        <v>0.78078890911376853</v>
      </c>
      <c r="X871" s="8">
        <f>((Table1[[#This Row],[Units_Sold]]*(Table1[[#This Row],[Selling_Price_per_Unit]]-Table1[[#This Row],[Manufacturing_Cost_per_Unit]]))-Table1[[#This Row],[Marketing_Spend]])/Table1[[#This Row],[Marketing_Spend]]</f>
        <v>79.938636695575966</v>
      </c>
    </row>
    <row r="872" spans="1:24" hidden="1" x14ac:dyDescent="0.3">
      <c r="A872" s="1" t="s">
        <v>889</v>
      </c>
      <c r="B872" s="1" t="s">
        <v>1584</v>
      </c>
      <c r="C872" s="1" t="s">
        <v>1633</v>
      </c>
      <c r="D872" s="1" t="s">
        <v>1638</v>
      </c>
      <c r="E872" s="1">
        <v>2024</v>
      </c>
      <c r="F872" s="1" t="s">
        <v>1639</v>
      </c>
      <c r="G872" s="1">
        <v>922</v>
      </c>
      <c r="H872" s="1">
        <v>3235</v>
      </c>
      <c r="I872" s="1">
        <v>14743</v>
      </c>
      <c r="J872" s="1">
        <v>175681</v>
      </c>
      <c r="K872" s="1">
        <v>1.8</v>
      </c>
      <c r="L872" s="1">
        <v>5</v>
      </c>
      <c r="M872" s="1">
        <v>3.48</v>
      </c>
      <c r="N872" s="1">
        <v>18.690000000000001</v>
      </c>
      <c r="O872" s="1">
        <v>17.52</v>
      </c>
      <c r="P872" s="1">
        <v>4.8</v>
      </c>
      <c r="Q872" s="1">
        <v>18761</v>
      </c>
      <c r="R872" s="1">
        <v>7735</v>
      </c>
      <c r="S872" s="1">
        <v>14</v>
      </c>
      <c r="T872" s="1">
        <f>(Table1[[#This Row],[Selling_Price_per_Unit]]-Table1[[#This Row],[Manufacturing_Cost_per_Unit]])*Table1[[#This Row],[Units_Sold]]-Table1[[#This Row],[Marketing_Spend]]-Table1[[#This Row],[Discount_%]]</f>
        <v>-10786075.689999999</v>
      </c>
      <c r="U872" s="3">
        <f>Table1[[#This Row],[profit]]/(Table1[[#This Row],[Units_Sold]]*Table1[[#This Row],[Selling_Price_per_Unit]])*100</f>
        <v>-361.62484250688141</v>
      </c>
      <c r="V872" s="6">
        <f>Table1[[#This Row],[Units_Sold]]*Table1[[#This Row],[Selling_Price_per_Unit]]</f>
        <v>2982670</v>
      </c>
      <c r="W872" s="7">
        <f>(Table1[[#This Row],[Units_Sold]]/$Z$1)</f>
        <v>0.18458650620587039</v>
      </c>
      <c r="X872" s="8">
        <f>((Table1[[#This Row],[Units_Sold]]*(Table1[[#This Row],[Selling_Price_per_Unit]]-Table1[[#This Row],[Manufacturing_Cost_per_Unit]]))-Table1[[#This Row],[Marketing_Spend]])/Table1[[#This Row],[Marketing_Spend]]</f>
        <v>-61.39569446895225</v>
      </c>
    </row>
    <row r="873" spans="1:24" hidden="1" x14ac:dyDescent="0.3">
      <c r="A873" s="1" t="s">
        <v>890</v>
      </c>
      <c r="B873" s="1" t="s">
        <v>1166</v>
      </c>
      <c r="C873" s="1" t="s">
        <v>1634</v>
      </c>
      <c r="D873" s="1" t="s">
        <v>1637</v>
      </c>
      <c r="E873" s="1">
        <v>2023</v>
      </c>
      <c r="F873" s="1" t="s">
        <v>1642</v>
      </c>
      <c r="G873" s="1">
        <v>1302</v>
      </c>
      <c r="H873" s="1">
        <v>9758</v>
      </c>
      <c r="I873" s="1">
        <v>3998</v>
      </c>
      <c r="J873" s="1">
        <v>137893</v>
      </c>
      <c r="K873" s="1">
        <v>11.02</v>
      </c>
      <c r="L873" s="1">
        <v>2</v>
      </c>
      <c r="M873" s="1">
        <v>0.22</v>
      </c>
      <c r="N873" s="1">
        <v>13.74</v>
      </c>
      <c r="O873" s="1">
        <v>86.11</v>
      </c>
      <c r="P873" s="1">
        <v>2.8</v>
      </c>
      <c r="Q873" s="1">
        <v>8673</v>
      </c>
      <c r="R873" s="1">
        <v>1325</v>
      </c>
      <c r="S873" s="1">
        <v>3</v>
      </c>
      <c r="T873" s="1">
        <f>(Table1[[#This Row],[Selling_Price_per_Unit]]-Table1[[#This Row],[Manufacturing_Cost_per_Unit]])*Table1[[#This Row],[Units_Sold]]-Table1[[#This Row],[Marketing_Spend]]-Table1[[#This Row],[Discount_%]]</f>
        <v>7361613.2599999998</v>
      </c>
      <c r="U873" s="3">
        <f>Table1[[#This Row],[profit]]/(Table1[[#This Row],[Units_Sold]]*Table1[[#This Row],[Selling_Price_per_Unit]])*100</f>
        <v>57.943029768949273</v>
      </c>
      <c r="V873" s="6">
        <f>Table1[[#This Row],[Units_Sold]]*Table1[[#This Row],[Selling_Price_per_Unit]]</f>
        <v>12704916</v>
      </c>
      <c r="W873" s="7">
        <f>(Table1[[#This Row],[Units_Sold]]/$Z$1)</f>
        <v>0.26066337427336578</v>
      </c>
      <c r="X873" s="8">
        <f>((Table1[[#This Row],[Units_Sold]]*(Table1[[#This Row],[Selling_Price_per_Unit]]-Table1[[#This Row],[Manufacturing_Cost_per_Unit]]))-Table1[[#This Row],[Marketing_Spend]])/Table1[[#This Row],[Marketing_Spend]]</f>
        <v>53.386517082085383</v>
      </c>
    </row>
    <row r="874" spans="1:24" hidden="1" x14ac:dyDescent="0.3">
      <c r="A874" s="1" t="s">
        <v>891</v>
      </c>
      <c r="B874" s="1" t="s">
        <v>1353</v>
      </c>
      <c r="C874" s="1" t="s">
        <v>1633</v>
      </c>
      <c r="D874" s="1" t="s">
        <v>1638</v>
      </c>
      <c r="E874" s="1">
        <v>2024</v>
      </c>
      <c r="F874" s="1" t="s">
        <v>1639</v>
      </c>
      <c r="G874" s="1">
        <v>1364</v>
      </c>
      <c r="H874" s="1">
        <v>9479</v>
      </c>
      <c r="I874" s="1">
        <v>6174</v>
      </c>
      <c r="J874" s="1">
        <v>498604</v>
      </c>
      <c r="K874" s="1">
        <v>7.97</v>
      </c>
      <c r="L874" s="1">
        <v>2</v>
      </c>
      <c r="M874" s="1">
        <v>0.92</v>
      </c>
      <c r="N874" s="1">
        <v>11.31</v>
      </c>
      <c r="O874" s="1">
        <v>59.79</v>
      </c>
      <c r="P874" s="1">
        <v>1.7</v>
      </c>
      <c r="Q874" s="1">
        <v>12018</v>
      </c>
      <c r="R874" s="1">
        <v>4350</v>
      </c>
      <c r="S874" s="1">
        <v>4</v>
      </c>
      <c r="T874" s="1">
        <f>(Table1[[#This Row],[Selling_Price_per_Unit]]-Table1[[#This Row],[Manufacturing_Cost_per_Unit]])*Table1[[#This Row],[Units_Sold]]-Table1[[#This Row],[Marketing_Spend]]-Table1[[#This Row],[Discount_%]]</f>
        <v>4009404.69</v>
      </c>
      <c r="U874" s="3">
        <f>Table1[[#This Row],[profit]]/(Table1[[#This Row],[Units_Sold]]*Table1[[#This Row],[Selling_Price_per_Unit]])*100</f>
        <v>31.010088128132601</v>
      </c>
      <c r="V874" s="6">
        <f>Table1[[#This Row],[Units_Sold]]*Table1[[#This Row],[Selling_Price_per_Unit]]</f>
        <v>12929356</v>
      </c>
      <c r="W874" s="7">
        <f>(Table1[[#This Row],[Units_Sold]]/$Z$1)</f>
        <v>0.27307591590543084</v>
      </c>
      <c r="X874" s="8">
        <f>((Table1[[#This Row],[Units_Sold]]*(Table1[[#This Row],[Selling_Price_per_Unit]]-Table1[[#This Row],[Manufacturing_Cost_per_Unit]]))-Table1[[#This Row],[Marketing_Spend]])/Table1[[#This Row],[Marketing_Spend]]</f>
        <v>8.041283262869932</v>
      </c>
    </row>
    <row r="875" spans="1:24" x14ac:dyDescent="0.3">
      <c r="A875" s="1" t="s">
        <v>892</v>
      </c>
      <c r="B875" s="1" t="s">
        <v>1585</v>
      </c>
      <c r="C875" s="1" t="s">
        <v>1632</v>
      </c>
      <c r="D875" s="1" t="s">
        <v>1638</v>
      </c>
      <c r="E875" s="1">
        <v>2024</v>
      </c>
      <c r="F875" s="1" t="s">
        <v>1641</v>
      </c>
      <c r="G875" s="1">
        <v>4870</v>
      </c>
      <c r="H875" s="1">
        <v>3928</v>
      </c>
      <c r="I875" s="1">
        <v>5590</v>
      </c>
      <c r="J875" s="1">
        <v>208763</v>
      </c>
      <c r="K875" s="1">
        <v>4.32</v>
      </c>
      <c r="L875" s="1">
        <v>17</v>
      </c>
      <c r="M875" s="1">
        <v>6.81</v>
      </c>
      <c r="N875" s="1">
        <v>4.24</v>
      </c>
      <c r="O875" s="1">
        <v>66.540000000000006</v>
      </c>
      <c r="P875" s="1">
        <v>1.8</v>
      </c>
      <c r="Q875" s="1">
        <v>11752</v>
      </c>
      <c r="R875" s="1">
        <v>995</v>
      </c>
      <c r="S875" s="1">
        <v>7</v>
      </c>
      <c r="T875" s="1">
        <f>(Table1[[#This Row],[Selling_Price_per_Unit]]-Table1[[#This Row],[Manufacturing_Cost_per_Unit]])*Table1[[#This Row],[Units_Sold]]-Table1[[#This Row],[Marketing_Spend]]-Table1[[#This Row],[Discount_%]]</f>
        <v>-8302707.2400000002</v>
      </c>
      <c r="U875" s="3">
        <f>Table1[[#This Row],[profit]]/(Table1[[#This Row],[Units_Sold]]*Table1[[#This Row],[Selling_Price_per_Unit]])*100</f>
        <v>-43.402953575028121</v>
      </c>
      <c r="V875" s="6">
        <f>Table1[[#This Row],[Units_Sold]]*Table1[[#This Row],[Selling_Price_per_Unit]]</f>
        <v>19129360</v>
      </c>
      <c r="W875" s="7">
        <f>(Table1[[#This Row],[Units_Sold]]/$Z$1)</f>
        <v>0.9749851249702699</v>
      </c>
      <c r="X875" s="8">
        <f>((Table1[[#This Row],[Units_Sold]]*(Table1[[#This Row],[Selling_Price_per_Unit]]-Table1[[#This Row],[Manufacturing_Cost_per_Unit]]))-Table1[[#This Row],[Marketing_Spend]])/Table1[[#This Row],[Marketing_Spend]]</f>
        <v>-39.77095079108846</v>
      </c>
    </row>
    <row r="876" spans="1:24" hidden="1" x14ac:dyDescent="0.3">
      <c r="A876" s="1" t="s">
        <v>893</v>
      </c>
      <c r="B876" s="1" t="s">
        <v>1526</v>
      </c>
      <c r="C876" s="1" t="s">
        <v>1634</v>
      </c>
      <c r="D876" s="1" t="s">
        <v>1636</v>
      </c>
      <c r="E876" s="1">
        <v>2024</v>
      </c>
      <c r="F876" s="1" t="s">
        <v>1640</v>
      </c>
      <c r="G876" s="1">
        <v>2948</v>
      </c>
      <c r="H876" s="1">
        <v>13845</v>
      </c>
      <c r="I876" s="1">
        <v>7983</v>
      </c>
      <c r="J876" s="1">
        <v>127960</v>
      </c>
      <c r="K876" s="1">
        <v>7.39</v>
      </c>
      <c r="L876" s="1">
        <v>10</v>
      </c>
      <c r="M876" s="1">
        <v>8.7899999999999991</v>
      </c>
      <c r="N876" s="1">
        <v>15.92</v>
      </c>
      <c r="O876" s="1">
        <v>33.840000000000003</v>
      </c>
      <c r="P876" s="1">
        <v>2.1</v>
      </c>
      <c r="Q876" s="1">
        <v>13947</v>
      </c>
      <c r="R876" s="1">
        <v>1720</v>
      </c>
      <c r="S876" s="1">
        <v>9</v>
      </c>
      <c r="T876" s="1">
        <f>(Table1[[#This Row],[Selling_Price_per_Unit]]-Table1[[#This Row],[Manufacturing_Cost_per_Unit]])*Table1[[#This Row],[Units_Sold]]-Table1[[#This Row],[Marketing_Spend]]-Table1[[#This Row],[Discount_%]]</f>
        <v>17153200.079999998</v>
      </c>
      <c r="U876" s="3">
        <f>Table1[[#This Row],[profit]]/(Table1[[#This Row],[Units_Sold]]*Table1[[#This Row],[Selling_Price_per_Unit]])*100</f>
        <v>42.026644282772089</v>
      </c>
      <c r="V876" s="6">
        <f>Table1[[#This Row],[Units_Sold]]*Table1[[#This Row],[Selling_Price_per_Unit]]</f>
        <v>40815060</v>
      </c>
      <c r="W876" s="7">
        <f>(Table1[[#This Row],[Units_Sold]]/$Z$1)</f>
        <v>0.59019633437625374</v>
      </c>
      <c r="X876" s="8">
        <f>((Table1[[#This Row],[Units_Sold]]*(Table1[[#This Row],[Selling_Price_per_Unit]]-Table1[[#This Row],[Manufacturing_Cost_per_Unit]]))-Table1[[#This Row],[Marketing_Spend]])/Table1[[#This Row],[Marketing_Spend]]</f>
        <v>134.05139105970616</v>
      </c>
    </row>
    <row r="877" spans="1:24" hidden="1" x14ac:dyDescent="0.3">
      <c r="A877" s="1" t="s">
        <v>894</v>
      </c>
      <c r="B877" s="1" t="s">
        <v>1060</v>
      </c>
      <c r="C877" s="1" t="s">
        <v>1634</v>
      </c>
      <c r="D877" s="1" t="s">
        <v>1636</v>
      </c>
      <c r="E877" s="1">
        <v>2024</v>
      </c>
      <c r="F877" s="1" t="s">
        <v>1640</v>
      </c>
      <c r="G877" s="1">
        <v>127</v>
      </c>
      <c r="H877" s="1">
        <v>8926</v>
      </c>
      <c r="I877" s="1">
        <v>3324</v>
      </c>
      <c r="J877" s="1">
        <v>396532</v>
      </c>
      <c r="K877" s="1">
        <v>4.5</v>
      </c>
      <c r="L877" s="1">
        <v>19</v>
      </c>
      <c r="M877" s="1">
        <v>5.14</v>
      </c>
      <c r="N877" s="1">
        <v>24.37</v>
      </c>
      <c r="O877" s="1">
        <v>42.97</v>
      </c>
      <c r="P877" s="1">
        <v>5</v>
      </c>
      <c r="Q877" s="1">
        <v>16589</v>
      </c>
      <c r="R877" s="1">
        <v>5188</v>
      </c>
      <c r="S877" s="1">
        <v>13</v>
      </c>
      <c r="T877" s="1">
        <f>(Table1[[#This Row],[Selling_Price_per_Unit]]-Table1[[#This Row],[Manufacturing_Cost_per_Unit]])*Table1[[#This Row],[Units_Sold]]-Table1[[#This Row],[Marketing_Spend]]-Table1[[#This Row],[Discount_%]]</f>
        <v>314897.63</v>
      </c>
      <c r="U877" s="3">
        <f>Table1[[#This Row],[profit]]/(Table1[[#This Row],[Units_Sold]]*Table1[[#This Row],[Selling_Price_per_Unit]])*100</f>
        <v>27.77849986150342</v>
      </c>
      <c r="V877" s="6">
        <f>Table1[[#This Row],[Units_Sold]]*Table1[[#This Row],[Selling_Price_per_Unit]]</f>
        <v>1133602</v>
      </c>
      <c r="W877" s="7">
        <f>(Table1[[#This Row],[Units_Sold]]/$Z$1)</f>
        <v>2.5425690117294512E-2</v>
      </c>
      <c r="X877" s="8">
        <f>((Table1[[#This Row],[Units_Sold]]*(Table1[[#This Row],[Selling_Price_per_Unit]]-Table1[[#This Row],[Manufacturing_Cost_per_Unit]]))-Table1[[#This Row],[Marketing_Spend]])/Table1[[#This Row],[Marketing_Spend]]</f>
        <v>0.7941906327862569</v>
      </c>
    </row>
    <row r="878" spans="1:24" hidden="1" x14ac:dyDescent="0.3">
      <c r="A878" s="1" t="s">
        <v>895</v>
      </c>
      <c r="B878" s="1" t="s">
        <v>1137</v>
      </c>
      <c r="C878" s="1" t="s">
        <v>1634</v>
      </c>
      <c r="D878" s="1" t="s">
        <v>1638</v>
      </c>
      <c r="E878" s="1">
        <v>2023</v>
      </c>
      <c r="F878" s="1" t="s">
        <v>1641</v>
      </c>
      <c r="G878" s="1">
        <v>2671</v>
      </c>
      <c r="H878" s="1">
        <v>10033</v>
      </c>
      <c r="I878" s="1">
        <v>10077</v>
      </c>
      <c r="J878" s="1">
        <v>72601</v>
      </c>
      <c r="K878" s="1">
        <v>8.94</v>
      </c>
      <c r="L878" s="1">
        <v>4</v>
      </c>
      <c r="M878" s="1">
        <v>5.39</v>
      </c>
      <c r="N878" s="1">
        <v>20.64</v>
      </c>
      <c r="O878" s="1">
        <v>27.9</v>
      </c>
      <c r="P878" s="1">
        <v>2.1</v>
      </c>
      <c r="Q878" s="1">
        <v>10895</v>
      </c>
      <c r="R878" s="1">
        <v>5519</v>
      </c>
      <c r="S878" s="1">
        <v>2</v>
      </c>
      <c r="T878" s="1">
        <f>(Table1[[#This Row],[Selling_Price_per_Unit]]-Table1[[#This Row],[Manufacturing_Cost_per_Unit]])*Table1[[#This Row],[Units_Sold]]-Table1[[#This Row],[Marketing_Spend]]-Table1[[#This Row],[Discount_%]]</f>
        <v>-190145.64</v>
      </c>
      <c r="U878" s="3">
        <f>Table1[[#This Row],[profit]]/(Table1[[#This Row],[Units_Sold]]*Table1[[#This Row],[Selling_Price_per_Unit]])*100</f>
        <v>-0.70954782202632483</v>
      </c>
      <c r="V878" s="6">
        <f>Table1[[#This Row],[Units_Sold]]*Table1[[#This Row],[Selling_Price_per_Unit]]</f>
        <v>26798143</v>
      </c>
      <c r="W878" s="7">
        <f>(Table1[[#This Row],[Units_Sold]]/$Z$1)</f>
        <v>0.53474030160073738</v>
      </c>
      <c r="X878" s="8">
        <f>((Table1[[#This Row],[Units_Sold]]*(Table1[[#This Row],[Selling_Price_per_Unit]]-Table1[[#This Row],[Manufacturing_Cost_per_Unit]]))-Table1[[#This Row],[Marketing_Spend]])/Table1[[#This Row],[Marketing_Spend]]</f>
        <v>-2.6187655817412985</v>
      </c>
    </row>
    <row r="879" spans="1:24" x14ac:dyDescent="0.3">
      <c r="A879" s="1" t="s">
        <v>896</v>
      </c>
      <c r="B879" s="1" t="s">
        <v>1502</v>
      </c>
      <c r="C879" s="1" t="s">
        <v>1633</v>
      </c>
      <c r="D879" s="1" t="s">
        <v>1635</v>
      </c>
      <c r="E879" s="1">
        <v>2024</v>
      </c>
      <c r="F879" s="1" t="s">
        <v>1639</v>
      </c>
      <c r="G879" s="1">
        <v>4277</v>
      </c>
      <c r="H879" s="1">
        <v>6749</v>
      </c>
      <c r="I879" s="1">
        <v>3279</v>
      </c>
      <c r="J879" s="1">
        <v>461236</v>
      </c>
      <c r="K879" s="1">
        <v>6.51</v>
      </c>
      <c r="L879" s="1">
        <v>18</v>
      </c>
      <c r="M879" s="1">
        <v>2.5499999999999998</v>
      </c>
      <c r="N879" s="1">
        <v>1.5</v>
      </c>
      <c r="O879" s="1">
        <v>84.6</v>
      </c>
      <c r="P879" s="1">
        <v>2.2999999999999998</v>
      </c>
      <c r="Q879" s="1">
        <v>13567</v>
      </c>
      <c r="R879" s="1">
        <v>1485</v>
      </c>
      <c r="S879" s="1">
        <v>10</v>
      </c>
      <c r="T879" s="1">
        <f>(Table1[[#This Row],[Selling_Price_per_Unit]]-Table1[[#This Row],[Manufacturing_Cost_per_Unit]])*Table1[[#This Row],[Units_Sold]]-Table1[[#This Row],[Marketing_Spend]]-Table1[[#This Row],[Discount_%]]</f>
        <v>14379952.5</v>
      </c>
      <c r="U879" s="3">
        <f>Table1[[#This Row],[profit]]/(Table1[[#This Row],[Units_Sold]]*Table1[[#This Row],[Selling_Price_per_Unit]])*100</f>
        <v>49.817137934999366</v>
      </c>
      <c r="V879" s="6">
        <f>Table1[[#This Row],[Units_Sold]]*Table1[[#This Row],[Selling_Price_per_Unit]]</f>
        <v>28865473</v>
      </c>
      <c r="W879" s="7">
        <f>(Table1[[#This Row],[Units_Sold]]/$Z$1)</f>
        <v>0.85626517032809946</v>
      </c>
      <c r="X879" s="8">
        <f>((Table1[[#This Row],[Units_Sold]]*(Table1[[#This Row],[Selling_Price_per_Unit]]-Table1[[#This Row],[Manufacturing_Cost_per_Unit]]))-Table1[[#This Row],[Marketing_Spend]])/Table1[[#This Row],[Marketing_Spend]]</f>
        <v>31.176998326236461</v>
      </c>
    </row>
    <row r="880" spans="1:24" hidden="1" x14ac:dyDescent="0.3">
      <c r="A880" s="1" t="s">
        <v>897</v>
      </c>
      <c r="B880" s="1" t="s">
        <v>1270</v>
      </c>
      <c r="C880" s="1" t="s">
        <v>1633</v>
      </c>
      <c r="D880" s="1" t="s">
        <v>1637</v>
      </c>
      <c r="E880" s="1">
        <v>2023</v>
      </c>
      <c r="F880" s="1" t="s">
        <v>1641</v>
      </c>
      <c r="G880" s="1">
        <v>650</v>
      </c>
      <c r="H880" s="1">
        <v>11186</v>
      </c>
      <c r="I880" s="1">
        <v>10685</v>
      </c>
      <c r="J880" s="1">
        <v>189227</v>
      </c>
      <c r="K880" s="1">
        <v>2.4700000000000002</v>
      </c>
      <c r="L880" s="1">
        <v>18</v>
      </c>
      <c r="M880" s="1">
        <v>7.68</v>
      </c>
      <c r="N880" s="1">
        <v>9.41</v>
      </c>
      <c r="O880" s="1">
        <v>49.05</v>
      </c>
      <c r="P880" s="1">
        <v>3.6</v>
      </c>
      <c r="Q880" s="1">
        <v>20707</v>
      </c>
      <c r="R880" s="1">
        <v>2533</v>
      </c>
      <c r="S880" s="1">
        <v>2</v>
      </c>
      <c r="T880" s="1">
        <f>(Table1[[#This Row],[Selling_Price_per_Unit]]-Table1[[#This Row],[Manufacturing_Cost_per_Unit]])*Table1[[#This Row],[Units_Sold]]-Table1[[#This Row],[Marketing_Spend]]-Table1[[#This Row],[Discount_%]]</f>
        <v>136413.59</v>
      </c>
      <c r="U880" s="3">
        <f>Table1[[#This Row],[profit]]/(Table1[[#This Row],[Units_Sold]]*Table1[[#This Row],[Selling_Price_per_Unit]])*100</f>
        <v>1.8761582472596239</v>
      </c>
      <c r="V880" s="6">
        <f>Table1[[#This Row],[Units_Sold]]*Table1[[#This Row],[Selling_Price_per_Unit]]</f>
        <v>7270900</v>
      </c>
      <c r="W880" s="7">
        <f>(Table1[[#This Row],[Units_Sold]]/$Z$1)</f>
        <v>0.13013148485229475</v>
      </c>
      <c r="X880" s="8">
        <f>((Table1[[#This Row],[Units_Sold]]*(Table1[[#This Row],[Selling_Price_per_Unit]]-Table1[[#This Row],[Manufacturing_Cost_per_Unit]]))-Table1[[#This Row],[Marketing_Spend]])/Table1[[#This Row],[Marketing_Spend]]</f>
        <v>0.72094891321005983</v>
      </c>
    </row>
    <row r="881" spans="1:24" hidden="1" x14ac:dyDescent="0.3">
      <c r="A881" s="1" t="s">
        <v>898</v>
      </c>
      <c r="B881" s="1" t="s">
        <v>1477</v>
      </c>
      <c r="C881" s="1" t="s">
        <v>1634</v>
      </c>
      <c r="D881" s="1" t="s">
        <v>1636</v>
      </c>
      <c r="E881" s="1">
        <v>2024</v>
      </c>
      <c r="F881" s="1" t="s">
        <v>1641</v>
      </c>
      <c r="G881" s="1">
        <v>1115</v>
      </c>
      <c r="H881" s="1">
        <v>15609</v>
      </c>
      <c r="I881" s="1">
        <v>11307</v>
      </c>
      <c r="J881" s="1">
        <v>250191</v>
      </c>
      <c r="K881" s="1">
        <v>1.75</v>
      </c>
      <c r="L881" s="1">
        <v>14</v>
      </c>
      <c r="M881" s="1">
        <v>7.52</v>
      </c>
      <c r="N881" s="1">
        <v>23.14</v>
      </c>
      <c r="O881" s="1">
        <v>60.44</v>
      </c>
      <c r="P881" s="1">
        <v>2.2000000000000002</v>
      </c>
      <c r="Q881" s="1">
        <v>6787</v>
      </c>
      <c r="R881" s="1">
        <v>1401</v>
      </c>
      <c r="S881" s="1">
        <v>11</v>
      </c>
      <c r="T881" s="1">
        <f>(Table1[[#This Row],[Selling_Price_per_Unit]]-Table1[[#This Row],[Manufacturing_Cost_per_Unit]])*Table1[[#This Row],[Units_Sold]]-Table1[[#This Row],[Marketing_Spend]]-Table1[[#This Row],[Discount_%]]</f>
        <v>4546515.8600000003</v>
      </c>
      <c r="U881" s="3">
        <f>Table1[[#This Row],[profit]]/(Table1[[#This Row],[Units_Sold]]*Table1[[#This Row],[Selling_Price_per_Unit]])*100</f>
        <v>26.123343580956949</v>
      </c>
      <c r="V881" s="6">
        <f>Table1[[#This Row],[Units_Sold]]*Table1[[#This Row],[Selling_Price_per_Unit]]</f>
        <v>17404035</v>
      </c>
      <c r="W881" s="7">
        <f>(Table1[[#This Row],[Units_Sold]]/$Z$1)</f>
        <v>0.22322554709278253</v>
      </c>
      <c r="X881" s="8">
        <f>((Table1[[#This Row],[Units_Sold]]*(Table1[[#This Row],[Selling_Price_per_Unit]]-Table1[[#This Row],[Manufacturing_Cost_per_Unit]]))-Table1[[#This Row],[Marketing_Spend]])/Table1[[#This Row],[Marketing_Spend]]</f>
        <v>18.172272383898701</v>
      </c>
    </row>
    <row r="882" spans="1:24" hidden="1" x14ac:dyDescent="0.3">
      <c r="A882" s="1" t="s">
        <v>899</v>
      </c>
      <c r="B882" s="1" t="s">
        <v>1053</v>
      </c>
      <c r="C882" s="1" t="s">
        <v>1633</v>
      </c>
      <c r="D882" s="1" t="s">
        <v>1635</v>
      </c>
      <c r="E882" s="1">
        <v>2023</v>
      </c>
      <c r="F882" s="1" t="s">
        <v>1639</v>
      </c>
      <c r="G882" s="1">
        <v>2186</v>
      </c>
      <c r="H882" s="1">
        <v>2161</v>
      </c>
      <c r="I882" s="1">
        <v>5954</v>
      </c>
      <c r="J882" s="1">
        <v>217849</v>
      </c>
      <c r="K882" s="1">
        <v>8.1999999999999993</v>
      </c>
      <c r="L882" s="1">
        <v>15</v>
      </c>
      <c r="M882" s="1">
        <v>5.88</v>
      </c>
      <c r="N882" s="1">
        <v>12.58</v>
      </c>
      <c r="O882" s="1">
        <v>68.739999999999995</v>
      </c>
      <c r="P882" s="1">
        <v>1.9</v>
      </c>
      <c r="Q882" s="1">
        <v>14961</v>
      </c>
      <c r="R882" s="1">
        <v>6958</v>
      </c>
      <c r="S882" s="1">
        <v>3</v>
      </c>
      <c r="T882" s="1">
        <f>(Table1[[#This Row],[Selling_Price_per_Unit]]-Table1[[#This Row],[Manufacturing_Cost_per_Unit]])*Table1[[#This Row],[Units_Sold]]-Table1[[#This Row],[Marketing_Spend]]-Table1[[#This Row],[Discount_%]]</f>
        <v>-8509359.5800000001</v>
      </c>
      <c r="U882" s="3">
        <f>Table1[[#This Row],[profit]]/(Table1[[#This Row],[Units_Sold]]*Table1[[#This Row],[Selling_Price_per_Unit]])*100</f>
        <v>-180.13244816939061</v>
      </c>
      <c r="V882" s="6">
        <f>Table1[[#This Row],[Units_Sold]]*Table1[[#This Row],[Selling_Price_per_Unit]]</f>
        <v>4723946</v>
      </c>
      <c r="W882" s="7">
        <f>(Table1[[#This Row],[Units_Sold]]/$Z$1)</f>
        <v>0.43764219367248663</v>
      </c>
      <c r="X882" s="8">
        <f>((Table1[[#This Row],[Units_Sold]]*(Table1[[#This Row],[Selling_Price_per_Unit]]-Table1[[#This Row],[Manufacturing_Cost_per_Unit]]))-Table1[[#This Row],[Marketing_Spend]])/Table1[[#This Row],[Marketing_Spend]]</f>
        <v>-39.060757680778892</v>
      </c>
    </row>
    <row r="883" spans="1:24" hidden="1" x14ac:dyDescent="0.3">
      <c r="A883" s="1" t="s">
        <v>806</v>
      </c>
      <c r="B883" s="1" t="s">
        <v>1037</v>
      </c>
      <c r="C883" s="1" t="s">
        <v>1632</v>
      </c>
      <c r="D883" s="1" t="s">
        <v>1635</v>
      </c>
      <c r="E883" s="1">
        <v>2024</v>
      </c>
      <c r="F883" s="1" t="s">
        <v>1639</v>
      </c>
      <c r="G883" s="1">
        <v>1362</v>
      </c>
      <c r="H883" s="1">
        <v>17210</v>
      </c>
      <c r="I883" s="1">
        <v>2587</v>
      </c>
      <c r="J883" s="1">
        <v>134703</v>
      </c>
      <c r="K883" s="1">
        <v>5.7</v>
      </c>
      <c r="L883" s="1">
        <v>8</v>
      </c>
      <c r="M883" s="1">
        <v>1.04</v>
      </c>
      <c r="N883" s="1">
        <v>12.31</v>
      </c>
      <c r="O883" s="1">
        <v>75.05</v>
      </c>
      <c r="P883" s="1">
        <v>4.0999999999999996</v>
      </c>
      <c r="Q883" s="1">
        <v>7547</v>
      </c>
      <c r="R883" s="1">
        <v>6188</v>
      </c>
      <c r="S883" s="1">
        <v>5</v>
      </c>
      <c r="T883" s="1">
        <f>(Table1[[#This Row],[Selling_Price_per_Unit]]-Table1[[#This Row],[Manufacturing_Cost_per_Unit]])*Table1[[#This Row],[Units_Sold]]-Table1[[#This Row],[Marketing_Spend]]-Table1[[#This Row],[Discount_%]]</f>
        <v>19781810.690000001</v>
      </c>
      <c r="U883" s="3">
        <f>Table1[[#This Row],[profit]]/(Table1[[#This Row],[Units_Sold]]*Table1[[#This Row],[Selling_Price_per_Unit]])*100</f>
        <v>84.393318307748885</v>
      </c>
      <c r="V883" s="6">
        <f>Table1[[#This Row],[Units_Sold]]*Table1[[#This Row],[Selling_Price_per_Unit]]</f>
        <v>23440020</v>
      </c>
      <c r="W883" s="7">
        <f>(Table1[[#This Row],[Units_Sold]]/$Z$1)</f>
        <v>0.27267551133665452</v>
      </c>
      <c r="X883" s="8">
        <f>((Table1[[#This Row],[Units_Sold]]*(Table1[[#This Row],[Selling_Price_per_Unit]]-Table1[[#This Row],[Manufacturing_Cost_per_Unit]]))-Table1[[#This Row],[Marketing_Spend]])/Table1[[#This Row],[Marketing_Spend]]</f>
        <v>146.85510344981182</v>
      </c>
    </row>
    <row r="884" spans="1:24" hidden="1" x14ac:dyDescent="0.3">
      <c r="A884" s="1" t="s">
        <v>901</v>
      </c>
      <c r="B884" s="1" t="s">
        <v>1093</v>
      </c>
      <c r="C884" s="1" t="s">
        <v>1634</v>
      </c>
      <c r="D884" s="1" t="s">
        <v>1637</v>
      </c>
      <c r="E884" s="1">
        <v>2024</v>
      </c>
      <c r="F884" s="1" t="s">
        <v>1641</v>
      </c>
      <c r="G884" s="1">
        <v>2393</v>
      </c>
      <c r="H884" s="1">
        <v>16288</v>
      </c>
      <c r="I884" s="1">
        <v>13581</v>
      </c>
      <c r="J884" s="1">
        <v>420858</v>
      </c>
      <c r="K884" s="1">
        <v>5.16</v>
      </c>
      <c r="L884" s="1">
        <v>3</v>
      </c>
      <c r="M884" s="1">
        <v>0.97</v>
      </c>
      <c r="N884" s="1">
        <v>22.81</v>
      </c>
      <c r="O884" s="1">
        <v>67.61</v>
      </c>
      <c r="P884" s="1">
        <v>2.2999999999999998</v>
      </c>
      <c r="Q884" s="1">
        <v>8933</v>
      </c>
      <c r="R884" s="1">
        <v>9038</v>
      </c>
      <c r="S884" s="1">
        <v>8</v>
      </c>
      <c r="T884" s="1">
        <f>(Table1[[#This Row],[Selling_Price_per_Unit]]-Table1[[#This Row],[Manufacturing_Cost_per_Unit]])*Table1[[#This Row],[Units_Sold]]-Table1[[#This Row],[Marketing_Spend]]-Table1[[#This Row],[Discount_%]]</f>
        <v>6056970.1900000004</v>
      </c>
      <c r="U884" s="3">
        <f>Table1[[#This Row],[profit]]/(Table1[[#This Row],[Units_Sold]]*Table1[[#This Row],[Selling_Price_per_Unit]])*100</f>
        <v>15.539783966948459</v>
      </c>
      <c r="V884" s="6">
        <f>Table1[[#This Row],[Units_Sold]]*Table1[[#This Row],[Selling_Price_per_Unit]]</f>
        <v>38977184</v>
      </c>
      <c r="W884" s="7">
        <f>(Table1[[#This Row],[Units_Sold]]/$Z$1)</f>
        <v>0.47908406654083285</v>
      </c>
      <c r="X884" s="8">
        <f>((Table1[[#This Row],[Units_Sold]]*(Table1[[#This Row],[Selling_Price_per_Unit]]-Table1[[#This Row],[Manufacturing_Cost_per_Unit]]))-Table1[[#This Row],[Marketing_Spend]])/Table1[[#This Row],[Marketing_Spend]]</f>
        <v>14.392011082122711</v>
      </c>
    </row>
    <row r="885" spans="1:24" hidden="1" x14ac:dyDescent="0.3">
      <c r="A885" s="1" t="s">
        <v>902</v>
      </c>
      <c r="B885" s="1" t="s">
        <v>1586</v>
      </c>
      <c r="C885" s="1" t="s">
        <v>1633</v>
      </c>
      <c r="D885" s="1" t="s">
        <v>1638</v>
      </c>
      <c r="E885" s="1">
        <v>2023</v>
      </c>
      <c r="F885" s="1" t="s">
        <v>1640</v>
      </c>
      <c r="G885" s="1">
        <v>1913</v>
      </c>
      <c r="H885" s="1">
        <v>11560</v>
      </c>
      <c r="I885" s="1">
        <v>10577</v>
      </c>
      <c r="J885" s="1">
        <v>205604</v>
      </c>
      <c r="K885" s="1">
        <v>11</v>
      </c>
      <c r="L885" s="1">
        <v>14</v>
      </c>
      <c r="M885" s="1">
        <v>0.64</v>
      </c>
      <c r="N885" s="1">
        <v>21.84</v>
      </c>
      <c r="O885" s="1">
        <v>64.08</v>
      </c>
      <c r="P885" s="1">
        <v>1.4</v>
      </c>
      <c r="Q885" s="1">
        <v>12784</v>
      </c>
      <c r="R885" s="1">
        <v>8884</v>
      </c>
      <c r="S885" s="1">
        <v>10</v>
      </c>
      <c r="T885" s="1">
        <f>(Table1[[#This Row],[Selling_Price_per_Unit]]-Table1[[#This Row],[Manufacturing_Cost_per_Unit]])*Table1[[#This Row],[Units_Sold]]-Table1[[#This Row],[Marketing_Spend]]-Table1[[#This Row],[Discount_%]]</f>
        <v>1674853.16</v>
      </c>
      <c r="U885" s="3">
        <f>Table1[[#This Row],[profit]]/(Table1[[#This Row],[Units_Sold]]*Table1[[#This Row],[Selling_Price_per_Unit]])*100</f>
        <v>7.5736273575264486</v>
      </c>
      <c r="V885" s="6">
        <f>Table1[[#This Row],[Units_Sold]]*Table1[[#This Row],[Selling_Price_per_Unit]]</f>
        <v>22114280</v>
      </c>
      <c r="W885" s="7">
        <f>(Table1[[#This Row],[Units_Sold]]/$Z$1)</f>
        <v>0.38298697003452287</v>
      </c>
      <c r="X885" s="8">
        <f>((Table1[[#This Row],[Units_Sold]]*(Table1[[#This Row],[Selling_Price_per_Unit]]-Table1[[#This Row],[Manufacturing_Cost_per_Unit]]))-Table1[[#This Row],[Marketing_Spend]])/Table1[[#This Row],[Marketing_Spend]]</f>
        <v>8.1461206980408942</v>
      </c>
    </row>
    <row r="886" spans="1:24" hidden="1" x14ac:dyDescent="0.3">
      <c r="A886" s="1" t="s">
        <v>417</v>
      </c>
      <c r="B886" s="1" t="s">
        <v>1250</v>
      </c>
      <c r="C886" s="1" t="s">
        <v>1634</v>
      </c>
      <c r="D886" s="1" t="s">
        <v>1635</v>
      </c>
      <c r="E886" s="1">
        <v>2024</v>
      </c>
      <c r="F886" s="1" t="s">
        <v>1639</v>
      </c>
      <c r="G886" s="1">
        <v>3109</v>
      </c>
      <c r="H886" s="1">
        <v>9313</v>
      </c>
      <c r="I886" s="1">
        <v>2925</v>
      </c>
      <c r="J886" s="1">
        <v>267228</v>
      </c>
      <c r="K886" s="1">
        <v>13.53</v>
      </c>
      <c r="L886" s="1">
        <v>12</v>
      </c>
      <c r="M886" s="1">
        <v>1.01</v>
      </c>
      <c r="N886" s="1">
        <v>20.46</v>
      </c>
      <c r="O886" s="1">
        <v>62.34</v>
      </c>
      <c r="P886" s="1">
        <v>4</v>
      </c>
      <c r="Q886" s="1">
        <v>11548</v>
      </c>
      <c r="R886" s="1">
        <v>7153</v>
      </c>
      <c r="S886" s="1">
        <v>10</v>
      </c>
      <c r="T886" s="1">
        <f>(Table1[[#This Row],[Selling_Price_per_Unit]]-Table1[[#This Row],[Manufacturing_Cost_per_Unit]])*Table1[[#This Row],[Units_Sold]]-Table1[[#This Row],[Marketing_Spend]]-Table1[[#This Row],[Discount_%]]</f>
        <v>19593043.539999999</v>
      </c>
      <c r="U886" s="3">
        <f>Table1[[#This Row],[profit]]/(Table1[[#This Row],[Units_Sold]]*Table1[[#This Row],[Selling_Price_per_Unit]])*100</f>
        <v>67.66928357718524</v>
      </c>
      <c r="V886" s="6">
        <f>Table1[[#This Row],[Units_Sold]]*Table1[[#This Row],[Selling_Price_per_Unit]]</f>
        <v>28954117</v>
      </c>
      <c r="W886" s="7">
        <f>(Table1[[#This Row],[Units_Sold]]/$Z$1)</f>
        <v>0.62242890216274516</v>
      </c>
      <c r="X886" s="8">
        <f>((Table1[[#This Row],[Units_Sold]]*(Table1[[#This Row],[Selling_Price_per_Unit]]-Table1[[#This Row],[Manufacturing_Cost_per_Unit]]))-Table1[[#This Row],[Marketing_Spend]])/Table1[[#This Row],[Marketing_Spend]]</f>
        <v>73.319652132261595</v>
      </c>
    </row>
    <row r="887" spans="1:24" x14ac:dyDescent="0.3">
      <c r="A887" s="1" t="s">
        <v>904</v>
      </c>
      <c r="B887" s="1" t="s">
        <v>1395</v>
      </c>
      <c r="C887" s="1" t="s">
        <v>1632</v>
      </c>
      <c r="D887" s="1" t="s">
        <v>1636</v>
      </c>
      <c r="E887" s="1">
        <v>2023</v>
      </c>
      <c r="F887" s="1" t="s">
        <v>1641</v>
      </c>
      <c r="G887" s="1">
        <v>4761</v>
      </c>
      <c r="H887" s="1">
        <v>12026</v>
      </c>
      <c r="I887" s="1">
        <v>14878</v>
      </c>
      <c r="J887" s="1">
        <v>461817</v>
      </c>
      <c r="K887" s="1">
        <v>13.97</v>
      </c>
      <c r="L887" s="1">
        <v>2</v>
      </c>
      <c r="M887" s="1">
        <v>8.25</v>
      </c>
      <c r="N887" s="1">
        <v>10.94</v>
      </c>
      <c r="O887" s="1">
        <v>49.14</v>
      </c>
      <c r="P887" s="1">
        <v>4.2</v>
      </c>
      <c r="Q887" s="1">
        <v>5164</v>
      </c>
      <c r="R887" s="1">
        <v>5188</v>
      </c>
      <c r="S887" s="1">
        <v>9</v>
      </c>
      <c r="T887" s="1">
        <f>(Table1[[#This Row],[Selling_Price_per_Unit]]-Table1[[#This Row],[Manufacturing_Cost_per_Unit]])*Table1[[#This Row],[Units_Sold]]-Table1[[#This Row],[Marketing_Spend]]-Table1[[#This Row],[Discount_%]]</f>
        <v>-14040199.939999999</v>
      </c>
      <c r="U887" s="3">
        <f>Table1[[#This Row],[profit]]/(Table1[[#This Row],[Units_Sold]]*Table1[[#This Row],[Selling_Price_per_Unit]])*100</f>
        <v>-24.521888390458912</v>
      </c>
      <c r="V887" s="6">
        <f>Table1[[#This Row],[Units_Sold]]*Table1[[#This Row],[Selling_Price_per_Unit]]</f>
        <v>57255786</v>
      </c>
      <c r="W887" s="7">
        <f>(Table1[[#This Row],[Units_Sold]]/$Z$1)</f>
        <v>0.95316307597196204</v>
      </c>
      <c r="X887" s="8">
        <f>((Table1[[#This Row],[Units_Sold]]*(Table1[[#This Row],[Selling_Price_per_Unit]]-Table1[[#This Row],[Manufacturing_Cost_per_Unit]]))-Table1[[#This Row],[Marketing_Spend]])/Table1[[#This Row],[Marketing_Spend]]</f>
        <v>-30.402061855670102</v>
      </c>
    </row>
    <row r="888" spans="1:24" hidden="1" x14ac:dyDescent="0.3">
      <c r="A888" s="1" t="s">
        <v>905</v>
      </c>
      <c r="B888" s="1" t="s">
        <v>1406</v>
      </c>
      <c r="C888" s="1" t="s">
        <v>1633</v>
      </c>
      <c r="D888" s="1" t="s">
        <v>1637</v>
      </c>
      <c r="E888" s="1">
        <v>2023</v>
      </c>
      <c r="F888" s="1" t="s">
        <v>1640</v>
      </c>
      <c r="G888" s="1">
        <v>3647</v>
      </c>
      <c r="H888" s="1">
        <v>4874</v>
      </c>
      <c r="I888" s="1">
        <v>1460</v>
      </c>
      <c r="J888" s="1">
        <v>113227</v>
      </c>
      <c r="K888" s="1">
        <v>12.31</v>
      </c>
      <c r="L888" s="1">
        <v>13</v>
      </c>
      <c r="M888" s="1">
        <v>8.58</v>
      </c>
      <c r="N888" s="1">
        <v>8.49</v>
      </c>
      <c r="O888" s="1">
        <v>40.630000000000003</v>
      </c>
      <c r="P888" s="1">
        <v>1.6</v>
      </c>
      <c r="Q888" s="1">
        <v>12028</v>
      </c>
      <c r="R888" s="1">
        <v>9360</v>
      </c>
      <c r="S888" s="1">
        <v>10</v>
      </c>
      <c r="T888" s="1">
        <f>(Table1[[#This Row],[Selling_Price_per_Unit]]-Table1[[#This Row],[Manufacturing_Cost_per_Unit]])*Table1[[#This Row],[Units_Sold]]-Table1[[#This Row],[Marketing_Spend]]-Table1[[#This Row],[Discount_%]]</f>
        <v>12337622.51</v>
      </c>
      <c r="U888" s="3">
        <f>Table1[[#This Row],[profit]]/(Table1[[#This Row],[Units_Sold]]*Table1[[#This Row],[Selling_Price_per_Unit]])*100</f>
        <v>69.408105424788019</v>
      </c>
      <c r="V888" s="6">
        <f>Table1[[#This Row],[Units_Sold]]*Table1[[#This Row],[Selling_Price_per_Unit]]</f>
        <v>17775478</v>
      </c>
      <c r="W888" s="7">
        <f>(Table1[[#This Row],[Units_Sold]]/$Z$1)</f>
        <v>0.73013773116356762</v>
      </c>
      <c r="X888" s="8">
        <f>((Table1[[#This Row],[Units_Sold]]*(Table1[[#This Row],[Selling_Price_per_Unit]]-Table1[[#This Row],[Manufacturing_Cost_per_Unit]]))-Table1[[#This Row],[Marketing_Spend]])/Table1[[#This Row],[Marketing_Spend]]</f>
        <v>108.96368357370592</v>
      </c>
    </row>
    <row r="889" spans="1:24" x14ac:dyDescent="0.3">
      <c r="A889" s="1" t="s">
        <v>906</v>
      </c>
      <c r="B889" s="1" t="s">
        <v>1352</v>
      </c>
      <c r="C889" s="1" t="s">
        <v>1634</v>
      </c>
      <c r="D889" s="1" t="s">
        <v>1635</v>
      </c>
      <c r="E889" s="1">
        <v>2023</v>
      </c>
      <c r="F889" s="1" t="s">
        <v>1639</v>
      </c>
      <c r="G889" s="1">
        <v>3812</v>
      </c>
      <c r="H889" s="1">
        <v>1707</v>
      </c>
      <c r="I889" s="1">
        <v>2148</v>
      </c>
      <c r="J889" s="1">
        <v>186039</v>
      </c>
      <c r="K889" s="1">
        <v>8.5</v>
      </c>
      <c r="L889" s="1">
        <v>16</v>
      </c>
      <c r="M889" s="1">
        <v>4.6399999999999997</v>
      </c>
      <c r="N889" s="1">
        <v>17.98</v>
      </c>
      <c r="O889" s="1">
        <v>27.77</v>
      </c>
      <c r="P889" s="1">
        <v>4.0999999999999996</v>
      </c>
      <c r="Q889" s="1">
        <v>1997</v>
      </c>
      <c r="R889" s="1">
        <v>5540</v>
      </c>
      <c r="S889" s="1">
        <v>11</v>
      </c>
      <c r="T889" s="1">
        <f>(Table1[[#This Row],[Selling_Price_per_Unit]]-Table1[[#This Row],[Manufacturing_Cost_per_Unit]])*Table1[[#This Row],[Units_Sold]]-Table1[[#This Row],[Marketing_Spend]]-Table1[[#This Row],[Discount_%]]</f>
        <v>-1867148.98</v>
      </c>
      <c r="U889" s="3">
        <f>Table1[[#This Row],[profit]]/(Table1[[#This Row],[Units_Sold]]*Table1[[#This Row],[Selling_Price_per_Unit]])*100</f>
        <v>-28.694096772071791</v>
      </c>
      <c r="V889" s="6">
        <f>Table1[[#This Row],[Units_Sold]]*Table1[[#This Row],[Selling_Price_per_Unit]]</f>
        <v>6507084</v>
      </c>
      <c r="W889" s="7">
        <f>(Table1[[#This Row],[Units_Sold]]/$Z$1)</f>
        <v>0.76317110808761168</v>
      </c>
      <c r="X889" s="8">
        <f>((Table1[[#This Row],[Units_Sold]]*(Table1[[#This Row],[Selling_Price_per_Unit]]-Table1[[#This Row],[Manufacturing_Cost_per_Unit]]))-Table1[[#This Row],[Marketing_Spend]])/Table1[[#This Row],[Marketing_Spend]]</f>
        <v>-10.036234337961396</v>
      </c>
    </row>
    <row r="890" spans="1:24" x14ac:dyDescent="0.3">
      <c r="A890" s="1" t="s">
        <v>907</v>
      </c>
      <c r="B890" s="1" t="s">
        <v>1569</v>
      </c>
      <c r="C890" s="1" t="s">
        <v>1632</v>
      </c>
      <c r="D890" s="1" t="s">
        <v>1637</v>
      </c>
      <c r="E890" s="1">
        <v>2024</v>
      </c>
      <c r="F890" s="1" t="s">
        <v>1641</v>
      </c>
      <c r="G890" s="1">
        <v>4720</v>
      </c>
      <c r="H890" s="1">
        <v>4165</v>
      </c>
      <c r="I890" s="1">
        <v>14415</v>
      </c>
      <c r="J890" s="1">
        <v>134289</v>
      </c>
      <c r="K890" s="1">
        <v>9.86</v>
      </c>
      <c r="L890" s="1">
        <v>18</v>
      </c>
      <c r="M890" s="1">
        <v>7.84</v>
      </c>
      <c r="N890" s="1">
        <v>7.17</v>
      </c>
      <c r="O890" s="1">
        <v>75.97</v>
      </c>
      <c r="P890" s="1">
        <v>4.2</v>
      </c>
      <c r="Q890" s="1">
        <v>9141</v>
      </c>
      <c r="R890" s="1">
        <v>7593</v>
      </c>
      <c r="S890" s="1">
        <v>8</v>
      </c>
      <c r="T890" s="1">
        <f>(Table1[[#This Row],[Selling_Price_per_Unit]]-Table1[[#This Row],[Manufacturing_Cost_per_Unit]])*Table1[[#This Row],[Units_Sold]]-Table1[[#This Row],[Marketing_Spend]]-Table1[[#This Row],[Discount_%]]</f>
        <v>-48514296.170000002</v>
      </c>
      <c r="U890" s="3">
        <f>Table1[[#This Row],[profit]]/(Table1[[#This Row],[Units_Sold]]*Table1[[#This Row],[Selling_Price_per_Unit]])*100</f>
        <v>-246.78157451116039</v>
      </c>
      <c r="V890" s="6">
        <f>Table1[[#This Row],[Units_Sold]]*Table1[[#This Row],[Selling_Price_per_Unit]]</f>
        <v>19658800</v>
      </c>
      <c r="W890" s="7">
        <f>(Table1[[#This Row],[Units_Sold]]/$Z$1)</f>
        <v>0.94495478231204799</v>
      </c>
      <c r="X890" s="8">
        <f>((Table1[[#This Row],[Units_Sold]]*(Table1[[#This Row],[Selling_Price_per_Unit]]-Table1[[#This Row],[Manufacturing_Cost_per_Unit]]))-Table1[[#This Row],[Marketing_Spend]])/Table1[[#This Row],[Marketing_Spend]]</f>
        <v>-361.26778068196205</v>
      </c>
    </row>
    <row r="891" spans="1:24" hidden="1" x14ac:dyDescent="0.3">
      <c r="A891" s="1" t="s">
        <v>908</v>
      </c>
      <c r="B891" s="1" t="s">
        <v>1295</v>
      </c>
      <c r="C891" s="1" t="s">
        <v>1634</v>
      </c>
      <c r="D891" s="1" t="s">
        <v>1635</v>
      </c>
      <c r="E891" s="1">
        <v>2024</v>
      </c>
      <c r="F891" s="1" t="s">
        <v>1640</v>
      </c>
      <c r="G891" s="1">
        <v>2240</v>
      </c>
      <c r="H891" s="1">
        <v>2132</v>
      </c>
      <c r="I891" s="1">
        <v>10291</v>
      </c>
      <c r="J891" s="1">
        <v>201094</v>
      </c>
      <c r="K891" s="1">
        <v>13.48</v>
      </c>
      <c r="L891" s="1">
        <v>5</v>
      </c>
      <c r="M891" s="1">
        <v>9.4700000000000006</v>
      </c>
      <c r="N891" s="1">
        <v>6.25</v>
      </c>
      <c r="O891" s="1">
        <v>58.67</v>
      </c>
      <c r="P891" s="1">
        <v>3.2</v>
      </c>
      <c r="Q891" s="1">
        <v>6143</v>
      </c>
      <c r="R891" s="1">
        <v>6391</v>
      </c>
      <c r="S891" s="1">
        <v>5</v>
      </c>
      <c r="T891" s="1">
        <f>(Table1[[#This Row],[Selling_Price_per_Unit]]-Table1[[#This Row],[Manufacturing_Cost_per_Unit]])*Table1[[#This Row],[Units_Sold]]-Table1[[#This Row],[Marketing_Spend]]-Table1[[#This Row],[Discount_%]]</f>
        <v>-18477260.25</v>
      </c>
      <c r="U891" s="3">
        <f>Table1[[#This Row],[profit]]/(Table1[[#This Row],[Units_Sold]]*Table1[[#This Row],[Selling_Price_per_Unit]])*100</f>
        <v>-386.90323158168047</v>
      </c>
      <c r="V891" s="6">
        <f>Table1[[#This Row],[Units_Sold]]*Table1[[#This Row],[Selling_Price_per_Unit]]</f>
        <v>4775680</v>
      </c>
      <c r="W891" s="7">
        <f>(Table1[[#This Row],[Units_Sold]]/$Z$1)</f>
        <v>0.44845311702944651</v>
      </c>
      <c r="X891" s="8">
        <f>((Table1[[#This Row],[Units_Sold]]*(Table1[[#This Row],[Selling_Price_per_Unit]]-Table1[[#This Row],[Manufacturing_Cost_per_Unit]]))-Table1[[#This Row],[Marketing_Spend]])/Table1[[#This Row],[Marketing_Spend]]</f>
        <v>-91.883666345092351</v>
      </c>
    </row>
    <row r="892" spans="1:24" hidden="1" x14ac:dyDescent="0.3">
      <c r="A892" s="1" t="s">
        <v>909</v>
      </c>
      <c r="B892" s="1" t="s">
        <v>1588</v>
      </c>
      <c r="C892" s="1" t="s">
        <v>1632</v>
      </c>
      <c r="D892" s="1" t="s">
        <v>1636</v>
      </c>
      <c r="E892" s="1">
        <v>2023</v>
      </c>
      <c r="F892" s="1" t="s">
        <v>1639</v>
      </c>
      <c r="G892" s="1">
        <v>1042</v>
      </c>
      <c r="H892" s="1">
        <v>4583</v>
      </c>
      <c r="I892" s="1">
        <v>12932</v>
      </c>
      <c r="J892" s="1">
        <v>486679</v>
      </c>
      <c r="K892" s="1">
        <v>5.99</v>
      </c>
      <c r="L892" s="1">
        <v>3</v>
      </c>
      <c r="M892" s="1">
        <v>2.75</v>
      </c>
      <c r="N892" s="1">
        <v>8.91</v>
      </c>
      <c r="O892" s="1">
        <v>45.55</v>
      </c>
      <c r="P892" s="1">
        <v>2.2000000000000002</v>
      </c>
      <c r="Q892" s="1">
        <v>6556</v>
      </c>
      <c r="R892" s="1">
        <v>3407</v>
      </c>
      <c r="S892" s="1">
        <v>5</v>
      </c>
      <c r="T892" s="1">
        <f>(Table1[[#This Row],[Selling_Price_per_Unit]]-Table1[[#This Row],[Manufacturing_Cost_per_Unit]])*Table1[[#This Row],[Units_Sold]]-Table1[[#This Row],[Marketing_Spend]]-Table1[[#This Row],[Discount_%]]</f>
        <v>-9186345.9100000001</v>
      </c>
      <c r="U892" s="3">
        <f>Table1[[#This Row],[profit]]/(Table1[[#This Row],[Units_Sold]]*Table1[[#This Row],[Selling_Price_per_Unit]])*100</f>
        <v>-192.36462864722043</v>
      </c>
      <c r="V892" s="6">
        <f>Table1[[#This Row],[Units_Sold]]*Table1[[#This Row],[Selling_Price_per_Unit]]</f>
        <v>4775486</v>
      </c>
      <c r="W892" s="7">
        <f>(Table1[[#This Row],[Units_Sold]]/$Z$1)</f>
        <v>0.2086107803324479</v>
      </c>
      <c r="X892" s="8">
        <f>((Table1[[#This Row],[Units_Sold]]*(Table1[[#This Row],[Selling_Price_per_Unit]]-Table1[[#This Row],[Manufacturing_Cost_per_Unit]]))-Table1[[#This Row],[Marketing_Spend]])/Table1[[#This Row],[Marketing_Spend]]</f>
        <v>-18.875556578360687</v>
      </c>
    </row>
    <row r="893" spans="1:24" hidden="1" x14ac:dyDescent="0.3">
      <c r="A893" s="1" t="s">
        <v>910</v>
      </c>
      <c r="B893" s="1" t="s">
        <v>1141</v>
      </c>
      <c r="C893" s="1" t="s">
        <v>1634</v>
      </c>
      <c r="D893" s="1" t="s">
        <v>1638</v>
      </c>
      <c r="E893" s="1">
        <v>2024</v>
      </c>
      <c r="F893" s="1" t="s">
        <v>1640</v>
      </c>
      <c r="G893" s="1">
        <v>2762</v>
      </c>
      <c r="H893" s="1">
        <v>15211</v>
      </c>
      <c r="I893" s="1">
        <v>10978</v>
      </c>
      <c r="J893" s="1">
        <v>255743</v>
      </c>
      <c r="K893" s="1">
        <v>4.9000000000000004</v>
      </c>
      <c r="L893" s="1">
        <v>6</v>
      </c>
      <c r="M893" s="1">
        <v>3.98</v>
      </c>
      <c r="N893" s="1">
        <v>4.43</v>
      </c>
      <c r="O893" s="1">
        <v>85.52</v>
      </c>
      <c r="P893" s="1">
        <v>1.6</v>
      </c>
      <c r="Q893" s="1">
        <v>1631</v>
      </c>
      <c r="R893" s="1">
        <v>8994</v>
      </c>
      <c r="S893" s="1">
        <v>5</v>
      </c>
      <c r="T893" s="1">
        <f>(Table1[[#This Row],[Selling_Price_per_Unit]]-Table1[[#This Row],[Manufacturing_Cost_per_Unit]])*Table1[[#This Row],[Units_Sold]]-Table1[[#This Row],[Marketing_Spend]]-Table1[[#This Row],[Discount_%]]</f>
        <v>11435798.57</v>
      </c>
      <c r="U893" s="3">
        <f>Table1[[#This Row],[profit]]/(Table1[[#This Row],[Units_Sold]]*Table1[[#This Row],[Selling_Price_per_Unit]])*100</f>
        <v>27.219807938450728</v>
      </c>
      <c r="V893" s="6">
        <f>Table1[[#This Row],[Units_Sold]]*Table1[[#This Row],[Selling_Price_per_Unit]]</f>
        <v>42012782</v>
      </c>
      <c r="W893" s="7">
        <f>(Table1[[#This Row],[Units_Sold]]/$Z$1)</f>
        <v>0.55295870948005865</v>
      </c>
      <c r="X893" s="8">
        <f>((Table1[[#This Row],[Units_Sold]]*(Table1[[#This Row],[Selling_Price_per_Unit]]-Table1[[#This Row],[Manufacturing_Cost_per_Unit]]))-Table1[[#This Row],[Marketing_Spend]])/Table1[[#This Row],[Marketing_Spend]]</f>
        <v>44.715996136746654</v>
      </c>
    </row>
    <row r="894" spans="1:24" hidden="1" x14ac:dyDescent="0.3">
      <c r="A894" s="1" t="s">
        <v>911</v>
      </c>
      <c r="B894" s="1" t="s">
        <v>1589</v>
      </c>
      <c r="C894" s="1" t="s">
        <v>1633</v>
      </c>
      <c r="D894" s="1" t="s">
        <v>1638</v>
      </c>
      <c r="E894" s="1">
        <v>2023</v>
      </c>
      <c r="F894" s="1" t="s">
        <v>1640</v>
      </c>
      <c r="G894" s="1">
        <v>2242</v>
      </c>
      <c r="H894" s="1">
        <v>11623</v>
      </c>
      <c r="I894" s="1">
        <v>8651</v>
      </c>
      <c r="J894" s="1">
        <v>317866</v>
      </c>
      <c r="K894" s="1">
        <v>0.16</v>
      </c>
      <c r="L894" s="1">
        <v>18</v>
      </c>
      <c r="M894" s="1">
        <v>9.31</v>
      </c>
      <c r="N894" s="1">
        <v>17.38</v>
      </c>
      <c r="O894" s="1">
        <v>13.83</v>
      </c>
      <c r="P894" s="1">
        <v>3.9</v>
      </c>
      <c r="Q894" s="1">
        <v>6943</v>
      </c>
      <c r="R894" s="1">
        <v>4808</v>
      </c>
      <c r="S894" s="1">
        <v>7</v>
      </c>
      <c r="T894" s="1">
        <f>(Table1[[#This Row],[Selling_Price_per_Unit]]-Table1[[#This Row],[Manufacturing_Cost_per_Unit]])*Table1[[#This Row],[Units_Sold]]-Table1[[#This Row],[Marketing_Spend]]-Table1[[#This Row],[Discount_%]]</f>
        <v>6345340.6200000001</v>
      </c>
      <c r="U894" s="3">
        <f>Table1[[#This Row],[profit]]/(Table1[[#This Row],[Units_Sold]]*Table1[[#This Row],[Selling_Price_per_Unit]])*100</f>
        <v>24.350119341798457</v>
      </c>
      <c r="V894" s="6">
        <f>Table1[[#This Row],[Units_Sold]]*Table1[[#This Row],[Selling_Price_per_Unit]]</f>
        <v>26058766</v>
      </c>
      <c r="W894" s="7">
        <f>(Table1[[#This Row],[Units_Sold]]/$Z$1)</f>
        <v>0.44885352159822284</v>
      </c>
      <c r="X894" s="8">
        <f>((Table1[[#This Row],[Units_Sold]]*(Table1[[#This Row],[Selling_Price_per_Unit]]-Table1[[#This Row],[Manufacturing_Cost_per_Unit]]))-Table1[[#This Row],[Marketing_Spend]])/Table1[[#This Row],[Marketing_Spend]]</f>
        <v>19.962367790200901</v>
      </c>
    </row>
    <row r="895" spans="1:24" hidden="1" x14ac:dyDescent="0.3">
      <c r="A895" s="1" t="s">
        <v>912</v>
      </c>
      <c r="B895" s="1" t="s">
        <v>1198</v>
      </c>
      <c r="C895" s="1" t="s">
        <v>1632</v>
      </c>
      <c r="D895" s="1" t="s">
        <v>1636</v>
      </c>
      <c r="E895" s="1">
        <v>2024</v>
      </c>
      <c r="F895" s="1" t="s">
        <v>1641</v>
      </c>
      <c r="G895" s="1">
        <v>1298</v>
      </c>
      <c r="H895" s="1">
        <v>8623</v>
      </c>
      <c r="I895" s="1">
        <v>7956</v>
      </c>
      <c r="J895" s="1">
        <v>208485</v>
      </c>
      <c r="K895" s="1">
        <v>12.4</v>
      </c>
      <c r="L895" s="1">
        <v>16</v>
      </c>
      <c r="M895" s="1">
        <v>3.38</v>
      </c>
      <c r="N895" s="1">
        <v>15.41</v>
      </c>
      <c r="O895" s="1">
        <v>78.010000000000005</v>
      </c>
      <c r="P895" s="1">
        <v>3.4</v>
      </c>
      <c r="Q895" s="1">
        <v>18741</v>
      </c>
      <c r="R895" s="1">
        <v>204</v>
      </c>
      <c r="S895" s="1">
        <v>5</v>
      </c>
      <c r="T895" s="1">
        <f>(Table1[[#This Row],[Selling_Price_per_Unit]]-Table1[[#This Row],[Manufacturing_Cost_per_Unit]])*Table1[[#This Row],[Units_Sold]]-Table1[[#This Row],[Marketing_Spend]]-Table1[[#This Row],[Discount_%]]</f>
        <v>657265.59</v>
      </c>
      <c r="U895" s="3">
        <f>Table1[[#This Row],[profit]]/(Table1[[#This Row],[Units_Sold]]*Table1[[#This Row],[Selling_Price_per_Unit]])*100</f>
        <v>5.8722943637853895</v>
      </c>
      <c r="V895" s="6">
        <f>Table1[[#This Row],[Units_Sold]]*Table1[[#This Row],[Selling_Price_per_Unit]]</f>
        <v>11192654</v>
      </c>
      <c r="W895" s="7">
        <f>(Table1[[#This Row],[Units_Sold]]/$Z$1)</f>
        <v>0.25986256513581318</v>
      </c>
      <c r="X895" s="8">
        <f>((Table1[[#This Row],[Units_Sold]]*(Table1[[#This Row],[Selling_Price_per_Unit]]-Table1[[#This Row],[Manufacturing_Cost_per_Unit]]))-Table1[[#This Row],[Marketing_Spend]])/Table1[[#This Row],[Marketing_Spend]]</f>
        <v>3.1526536681296018</v>
      </c>
    </row>
    <row r="896" spans="1:24" hidden="1" x14ac:dyDescent="0.3">
      <c r="A896" s="1" t="s">
        <v>549</v>
      </c>
      <c r="B896" s="1" t="s">
        <v>1238</v>
      </c>
      <c r="C896" s="1" t="s">
        <v>1632</v>
      </c>
      <c r="D896" s="1" t="s">
        <v>1638</v>
      </c>
      <c r="E896" s="1">
        <v>2023</v>
      </c>
      <c r="F896" s="1" t="s">
        <v>1641</v>
      </c>
      <c r="G896" s="1">
        <v>1877</v>
      </c>
      <c r="H896" s="1">
        <v>11826</v>
      </c>
      <c r="I896" s="1">
        <v>1397</v>
      </c>
      <c r="J896" s="1">
        <v>284104</v>
      </c>
      <c r="K896" s="1">
        <v>11.47</v>
      </c>
      <c r="L896" s="1">
        <v>5</v>
      </c>
      <c r="M896" s="1">
        <v>3.39</v>
      </c>
      <c r="N896" s="1">
        <v>12.58</v>
      </c>
      <c r="O896" s="1">
        <v>54.93</v>
      </c>
      <c r="P896" s="1">
        <v>1</v>
      </c>
      <c r="Q896" s="1">
        <v>6176</v>
      </c>
      <c r="R896" s="1">
        <v>1431</v>
      </c>
      <c r="S896" s="1">
        <v>5</v>
      </c>
      <c r="T896" s="1">
        <f>(Table1[[#This Row],[Selling_Price_per_Unit]]-Table1[[#This Row],[Manufacturing_Cost_per_Unit]])*Table1[[#This Row],[Units_Sold]]-Table1[[#This Row],[Marketing_Spend]]-Table1[[#This Row],[Discount_%]]</f>
        <v>19291116.420000002</v>
      </c>
      <c r="U896" s="3">
        <f>Table1[[#This Row],[profit]]/(Table1[[#This Row],[Units_Sold]]*Table1[[#This Row],[Selling_Price_per_Unit]])*100</f>
        <v>86.907091289331973</v>
      </c>
      <c r="V896" s="6">
        <f>Table1[[#This Row],[Units_Sold]]*Table1[[#This Row],[Selling_Price_per_Unit]]</f>
        <v>22197402</v>
      </c>
      <c r="W896" s="7">
        <f>(Table1[[#This Row],[Units_Sold]]/$Z$1)</f>
        <v>0.37577968779654963</v>
      </c>
      <c r="X896" s="8">
        <f>((Table1[[#This Row],[Units_Sold]]*(Table1[[#This Row],[Selling_Price_per_Unit]]-Table1[[#This Row],[Manufacturing_Cost_per_Unit]]))-Table1[[#This Row],[Marketing_Spend]])/Table1[[#This Row],[Marketing_Spend]]</f>
        <v>67.90164517219047</v>
      </c>
    </row>
    <row r="897" spans="1:24" x14ac:dyDescent="0.3">
      <c r="A897" s="1" t="s">
        <v>914</v>
      </c>
      <c r="B897" s="1" t="s">
        <v>1591</v>
      </c>
      <c r="C897" s="1" t="s">
        <v>1633</v>
      </c>
      <c r="D897" s="1" t="s">
        <v>1638</v>
      </c>
      <c r="E897" s="1">
        <v>2024</v>
      </c>
      <c r="F897" s="1" t="s">
        <v>1641</v>
      </c>
      <c r="G897" s="1">
        <v>4648</v>
      </c>
      <c r="H897" s="1">
        <v>3179</v>
      </c>
      <c r="I897" s="1">
        <v>8168</v>
      </c>
      <c r="J897" s="1">
        <v>283820</v>
      </c>
      <c r="K897" s="1">
        <v>1.57</v>
      </c>
      <c r="L897" s="1">
        <v>14</v>
      </c>
      <c r="M897" s="1">
        <v>9.81</v>
      </c>
      <c r="N897" s="1">
        <v>9.76</v>
      </c>
      <c r="O897" s="1">
        <v>80.959999999999994</v>
      </c>
      <c r="P897" s="1">
        <v>1</v>
      </c>
      <c r="Q897" s="1">
        <v>10212</v>
      </c>
      <c r="R897" s="1">
        <v>3933</v>
      </c>
      <c r="S897" s="1">
        <v>10</v>
      </c>
      <c r="T897" s="1">
        <f>(Table1[[#This Row],[Selling_Price_per_Unit]]-Table1[[#This Row],[Manufacturing_Cost_per_Unit]])*Table1[[#This Row],[Units_Sold]]-Table1[[#This Row],[Marketing_Spend]]-Table1[[#This Row],[Discount_%]]</f>
        <v>-23472701.760000002</v>
      </c>
      <c r="U897" s="3">
        <f>Table1[[#This Row],[profit]]/(Table1[[#This Row],[Units_Sold]]*Table1[[#This Row],[Selling_Price_per_Unit]])*100</f>
        <v>-158.85702807635522</v>
      </c>
      <c r="V897" s="6">
        <f>Table1[[#This Row],[Units_Sold]]*Table1[[#This Row],[Selling_Price_per_Unit]]</f>
        <v>14775992</v>
      </c>
      <c r="W897" s="7">
        <f>(Table1[[#This Row],[Units_Sold]]/$Z$1)</f>
        <v>0.93054021783610152</v>
      </c>
      <c r="X897" s="8">
        <f>((Table1[[#This Row],[Units_Sold]]*(Table1[[#This Row],[Selling_Price_per_Unit]]-Table1[[#This Row],[Manufacturing_Cost_per_Unit]]))-Table1[[#This Row],[Marketing_Spend]])/Table1[[#This Row],[Marketing_Spend]]</f>
        <v>-82.702741173983512</v>
      </c>
    </row>
    <row r="898" spans="1:24" hidden="1" x14ac:dyDescent="0.3">
      <c r="A898" s="1" t="s">
        <v>817</v>
      </c>
      <c r="B898" s="1" t="s">
        <v>1458</v>
      </c>
      <c r="C898" s="1" t="s">
        <v>1632</v>
      </c>
      <c r="D898" s="1" t="s">
        <v>1637</v>
      </c>
      <c r="E898" s="1">
        <v>2023</v>
      </c>
      <c r="F898" s="1" t="s">
        <v>1640</v>
      </c>
      <c r="G898" s="1">
        <v>2920</v>
      </c>
      <c r="H898" s="1">
        <v>11100</v>
      </c>
      <c r="I898" s="1">
        <v>4474</v>
      </c>
      <c r="J898" s="1">
        <v>93309</v>
      </c>
      <c r="K898" s="1">
        <v>0.99</v>
      </c>
      <c r="L898" s="1">
        <v>12</v>
      </c>
      <c r="M898" s="1">
        <v>1.74</v>
      </c>
      <c r="N898" s="1">
        <v>3.63</v>
      </c>
      <c r="O898" s="1">
        <v>79.37</v>
      </c>
      <c r="P898" s="1">
        <v>1.6</v>
      </c>
      <c r="Q898" s="1">
        <v>6729</v>
      </c>
      <c r="R898" s="1">
        <v>3956</v>
      </c>
      <c r="S898" s="1">
        <v>8</v>
      </c>
      <c r="T898" s="1">
        <f>(Table1[[#This Row],[Selling_Price_per_Unit]]-Table1[[#This Row],[Manufacturing_Cost_per_Unit]])*Table1[[#This Row],[Units_Sold]]-Table1[[#This Row],[Marketing_Spend]]-Table1[[#This Row],[Discount_%]]</f>
        <v>19254607.370000001</v>
      </c>
      <c r="U898" s="3">
        <f>Table1[[#This Row],[profit]]/(Table1[[#This Row],[Units_Sold]]*Table1[[#This Row],[Selling_Price_per_Unit]])*100</f>
        <v>59.405798377144272</v>
      </c>
      <c r="V898" s="6">
        <f>Table1[[#This Row],[Units_Sold]]*Table1[[#This Row],[Selling_Price_per_Unit]]</f>
        <v>32412000</v>
      </c>
      <c r="W898" s="7">
        <f>(Table1[[#This Row],[Units_Sold]]/$Z$1)</f>
        <v>0.58459067041338564</v>
      </c>
      <c r="X898" s="8">
        <f>((Table1[[#This Row],[Units_Sold]]*(Table1[[#This Row],[Selling_Price_per_Unit]]-Table1[[#This Row],[Manufacturing_Cost_per_Unit]]))-Table1[[#This Row],[Marketing_Spend]])/Table1[[#This Row],[Marketing_Spend]]</f>
        <v>206.35320279930124</v>
      </c>
    </row>
    <row r="899" spans="1:24" hidden="1" x14ac:dyDescent="0.3">
      <c r="A899" s="1" t="s">
        <v>916</v>
      </c>
      <c r="B899" s="1" t="s">
        <v>1593</v>
      </c>
      <c r="C899" s="1" t="s">
        <v>1634</v>
      </c>
      <c r="D899" s="1" t="s">
        <v>1638</v>
      </c>
      <c r="E899" s="1">
        <v>2023</v>
      </c>
      <c r="F899" s="1" t="s">
        <v>1639</v>
      </c>
      <c r="G899" s="1">
        <v>2047</v>
      </c>
      <c r="H899" s="1">
        <v>1736</v>
      </c>
      <c r="I899" s="1">
        <v>14435</v>
      </c>
      <c r="J899" s="1">
        <v>395740</v>
      </c>
      <c r="K899" s="1">
        <v>6.96</v>
      </c>
      <c r="L899" s="1">
        <v>18</v>
      </c>
      <c r="M899" s="1">
        <v>8.17</v>
      </c>
      <c r="N899" s="1">
        <v>0.73</v>
      </c>
      <c r="O899" s="1">
        <v>39.94</v>
      </c>
      <c r="P899" s="1">
        <v>1.3</v>
      </c>
      <c r="Q899" s="1">
        <v>17160</v>
      </c>
      <c r="R899" s="1">
        <v>3617</v>
      </c>
      <c r="S899" s="1">
        <v>8</v>
      </c>
      <c r="T899" s="1">
        <f>(Table1[[#This Row],[Selling_Price_per_Unit]]-Table1[[#This Row],[Manufacturing_Cost_per_Unit]])*Table1[[#This Row],[Units_Sold]]-Table1[[#This Row],[Marketing_Spend]]-Table1[[#This Row],[Discount_%]]</f>
        <v>-26390593.73</v>
      </c>
      <c r="U899" s="3">
        <f>Table1[[#This Row],[profit]]/(Table1[[#This Row],[Units_Sold]]*Table1[[#This Row],[Selling_Price_per_Unit]])*100</f>
        <v>-742.64557467486418</v>
      </c>
      <c r="V899" s="6">
        <f>Table1[[#This Row],[Units_Sold]]*Table1[[#This Row],[Selling_Price_per_Unit]]</f>
        <v>3553592</v>
      </c>
      <c r="W899" s="7">
        <f>(Table1[[#This Row],[Units_Sold]]/$Z$1)</f>
        <v>0.4098140761425344</v>
      </c>
      <c r="X899" s="8">
        <f>((Table1[[#This Row],[Units_Sold]]*(Table1[[#This Row],[Selling_Price_per_Unit]]-Table1[[#This Row],[Manufacturing_Cost_per_Unit]]))-Table1[[#This Row],[Marketing_Spend]])/Table1[[#This Row],[Marketing_Spend]]</f>
        <v>-66.686695810380556</v>
      </c>
    </row>
    <row r="900" spans="1:24" x14ac:dyDescent="0.3">
      <c r="A900" s="1" t="s">
        <v>917</v>
      </c>
      <c r="B900" s="1" t="s">
        <v>1229</v>
      </c>
      <c r="C900" s="1" t="s">
        <v>1633</v>
      </c>
      <c r="D900" s="1" t="s">
        <v>1638</v>
      </c>
      <c r="E900" s="1">
        <v>2024</v>
      </c>
      <c r="F900" s="1" t="s">
        <v>1642</v>
      </c>
      <c r="G900" s="1">
        <v>4966</v>
      </c>
      <c r="H900" s="1">
        <v>8946</v>
      </c>
      <c r="I900" s="1">
        <v>10050</v>
      </c>
      <c r="J900" s="1">
        <v>378876</v>
      </c>
      <c r="K900" s="1">
        <v>1.78</v>
      </c>
      <c r="L900" s="1">
        <v>7</v>
      </c>
      <c r="M900" s="1">
        <v>7.5</v>
      </c>
      <c r="N900" s="1">
        <v>19.23</v>
      </c>
      <c r="O900" s="1">
        <v>28.51</v>
      </c>
      <c r="P900" s="1">
        <v>2.5</v>
      </c>
      <c r="Q900" s="1">
        <v>7647</v>
      </c>
      <c r="R900" s="1">
        <v>3391</v>
      </c>
      <c r="S900" s="1">
        <v>9</v>
      </c>
      <c r="T900" s="1">
        <f>(Table1[[#This Row],[Selling_Price_per_Unit]]-Table1[[#This Row],[Manufacturing_Cost_per_Unit]])*Table1[[#This Row],[Units_Sold]]-Table1[[#This Row],[Marketing_Spend]]-Table1[[#This Row],[Discount_%]]</f>
        <v>-5861359.2300000004</v>
      </c>
      <c r="U900" s="3">
        <f>Table1[[#This Row],[profit]]/(Table1[[#This Row],[Units_Sold]]*Table1[[#This Row],[Selling_Price_per_Unit]])*100</f>
        <v>-13.193582288468358</v>
      </c>
      <c r="V900" s="6">
        <f>Table1[[#This Row],[Units_Sold]]*Table1[[#This Row],[Selling_Price_per_Unit]]</f>
        <v>44425836</v>
      </c>
      <c r="W900" s="7">
        <f>(Table1[[#This Row],[Units_Sold]]/$Z$1)</f>
        <v>0.99420454427153193</v>
      </c>
      <c r="X900" s="8">
        <f>((Table1[[#This Row],[Units_Sold]]*(Table1[[#This Row],[Selling_Price_per_Unit]]-Table1[[#This Row],[Manufacturing_Cost_per_Unit]]))-Table1[[#This Row],[Marketing_Spend]])/Table1[[#This Row],[Marketing_Spend]]</f>
        <v>-15.470338580432648</v>
      </c>
    </row>
    <row r="901" spans="1:24" x14ac:dyDescent="0.3">
      <c r="A901" s="1" t="s">
        <v>918</v>
      </c>
      <c r="B901" s="1" t="s">
        <v>1043</v>
      </c>
      <c r="C901" s="1" t="s">
        <v>1633</v>
      </c>
      <c r="D901" s="1" t="s">
        <v>1637</v>
      </c>
      <c r="E901" s="1">
        <v>2023</v>
      </c>
      <c r="F901" s="1" t="s">
        <v>1639</v>
      </c>
      <c r="G901" s="1">
        <v>3737</v>
      </c>
      <c r="H901" s="1">
        <v>5943</v>
      </c>
      <c r="I901" s="1">
        <v>9968</v>
      </c>
      <c r="J901" s="1">
        <v>455513</v>
      </c>
      <c r="K901" s="1">
        <v>14.71</v>
      </c>
      <c r="L901" s="1">
        <v>17</v>
      </c>
      <c r="M901" s="1">
        <v>7</v>
      </c>
      <c r="N901" s="1">
        <v>22.55</v>
      </c>
      <c r="O901" s="1">
        <v>68.790000000000006</v>
      </c>
      <c r="P901" s="1">
        <v>2.6</v>
      </c>
      <c r="Q901" s="1">
        <v>13088</v>
      </c>
      <c r="R901" s="1">
        <v>2110</v>
      </c>
      <c r="S901" s="1">
        <v>6</v>
      </c>
      <c r="T901" s="1">
        <f>(Table1[[#This Row],[Selling_Price_per_Unit]]-Table1[[#This Row],[Manufacturing_Cost_per_Unit]])*Table1[[#This Row],[Units_Sold]]-Table1[[#This Row],[Marketing_Spend]]-Table1[[#This Row],[Discount_%]]</f>
        <v>-15496960.550000001</v>
      </c>
      <c r="U901" s="3">
        <f>Table1[[#This Row],[profit]]/(Table1[[#This Row],[Units_Sold]]*Table1[[#This Row],[Selling_Price_per_Unit]])*100</f>
        <v>-69.77786856683403</v>
      </c>
      <c r="V901" s="6">
        <f>Table1[[#This Row],[Units_Sold]]*Table1[[#This Row],[Selling_Price_per_Unit]]</f>
        <v>22208991</v>
      </c>
      <c r="W901" s="7">
        <f>(Table1[[#This Row],[Units_Sold]]/$Z$1)</f>
        <v>0.74815593675850078</v>
      </c>
      <c r="X901" s="8">
        <f>((Table1[[#This Row],[Units_Sold]]*(Table1[[#This Row],[Selling_Price_per_Unit]]-Table1[[#This Row],[Manufacturing_Cost_per_Unit]]))-Table1[[#This Row],[Marketing_Spend]])/Table1[[#This Row],[Marketing_Spend]]</f>
        <v>-34.02084682544735</v>
      </c>
    </row>
    <row r="902" spans="1:24" x14ac:dyDescent="0.3">
      <c r="A902" s="1" t="s">
        <v>349</v>
      </c>
      <c r="B902" s="1" t="s">
        <v>1144</v>
      </c>
      <c r="C902" s="1" t="s">
        <v>1633</v>
      </c>
      <c r="D902" s="1" t="s">
        <v>1636</v>
      </c>
      <c r="E902" s="1">
        <v>2023</v>
      </c>
      <c r="F902" s="1" t="s">
        <v>1641</v>
      </c>
      <c r="G902" s="1">
        <v>3897</v>
      </c>
      <c r="H902" s="1">
        <v>18201</v>
      </c>
      <c r="I902" s="1">
        <v>13275</v>
      </c>
      <c r="J902" s="1">
        <v>68354</v>
      </c>
      <c r="K902" s="1">
        <v>7.72</v>
      </c>
      <c r="L902" s="1">
        <v>2</v>
      </c>
      <c r="M902" s="1">
        <v>7.92</v>
      </c>
      <c r="N902" s="1">
        <v>15.4</v>
      </c>
      <c r="O902" s="1">
        <v>10.75</v>
      </c>
      <c r="P902" s="1">
        <v>1.2</v>
      </c>
      <c r="Q902" s="1">
        <v>13052</v>
      </c>
      <c r="R902" s="1">
        <v>4821</v>
      </c>
      <c r="S902" s="1">
        <v>8</v>
      </c>
      <c r="T902" s="1">
        <f>(Table1[[#This Row],[Selling_Price_per_Unit]]-Table1[[#This Row],[Manufacturing_Cost_per_Unit]])*Table1[[#This Row],[Units_Sold]]-Table1[[#This Row],[Marketing_Spend]]-Table1[[#This Row],[Discount_%]]</f>
        <v>19128252.600000001</v>
      </c>
      <c r="U902" s="3">
        <f>Table1[[#This Row],[profit]]/(Table1[[#This Row],[Units_Sold]]*Table1[[#This Row],[Selling_Price_per_Unit]])*100</f>
        <v>26.968056091124097</v>
      </c>
      <c r="V902" s="6">
        <f>Table1[[#This Row],[Units_Sold]]*Table1[[#This Row],[Selling_Price_per_Unit]]</f>
        <v>70929297</v>
      </c>
      <c r="W902" s="7">
        <f>(Table1[[#This Row],[Units_Sold]]/$Z$1)</f>
        <v>0.78018830226060409</v>
      </c>
      <c r="X902" s="8">
        <f>((Table1[[#This Row],[Units_Sold]]*(Table1[[#This Row],[Selling_Price_per_Unit]]-Table1[[#This Row],[Manufacturing_Cost_per_Unit]]))-Table1[[#This Row],[Marketing_Spend]])/Table1[[#This Row],[Marketing_Spend]]</f>
        <v>279.84123825964832</v>
      </c>
    </row>
    <row r="903" spans="1:24" hidden="1" x14ac:dyDescent="0.3">
      <c r="A903" s="1" t="s">
        <v>447</v>
      </c>
      <c r="B903" s="1" t="s">
        <v>1150</v>
      </c>
      <c r="C903" s="1" t="s">
        <v>1632</v>
      </c>
      <c r="D903" s="1" t="s">
        <v>1637</v>
      </c>
      <c r="E903" s="1">
        <v>2024</v>
      </c>
      <c r="F903" s="1" t="s">
        <v>1641</v>
      </c>
      <c r="G903" s="1">
        <v>1618</v>
      </c>
      <c r="H903" s="1">
        <v>18817</v>
      </c>
      <c r="I903" s="1">
        <v>6852</v>
      </c>
      <c r="J903" s="1">
        <v>291324</v>
      </c>
      <c r="K903" s="1">
        <v>12.07</v>
      </c>
      <c r="L903" s="1">
        <v>10</v>
      </c>
      <c r="M903" s="1">
        <v>3.17</v>
      </c>
      <c r="N903" s="1">
        <v>2.88</v>
      </c>
      <c r="O903" s="1">
        <v>48.3</v>
      </c>
      <c r="P903" s="1">
        <v>4.4000000000000004</v>
      </c>
      <c r="Q903" s="1">
        <v>14493</v>
      </c>
      <c r="R903" s="1">
        <v>6975</v>
      </c>
      <c r="S903" s="1">
        <v>12</v>
      </c>
      <c r="T903" s="1">
        <f>(Table1[[#This Row],[Selling_Price_per_Unit]]-Table1[[#This Row],[Manufacturing_Cost_per_Unit]])*Table1[[#This Row],[Units_Sold]]-Table1[[#This Row],[Marketing_Spend]]-Table1[[#This Row],[Discount_%]]</f>
        <v>19068043.120000001</v>
      </c>
      <c r="U903" s="3">
        <f>Table1[[#This Row],[profit]]/(Table1[[#This Row],[Units_Sold]]*Table1[[#This Row],[Selling_Price_per_Unit]])*100</f>
        <v>62.629251762125257</v>
      </c>
      <c r="V903" s="6">
        <f>Table1[[#This Row],[Units_Sold]]*Table1[[#This Row],[Selling_Price_per_Unit]]</f>
        <v>30445906</v>
      </c>
      <c r="W903" s="7">
        <f>(Table1[[#This Row],[Units_Sold]]/$Z$1)</f>
        <v>0.32392729614001986</v>
      </c>
      <c r="X903" s="8">
        <f>((Table1[[#This Row],[Units_Sold]]*(Table1[[#This Row],[Selling_Price_per_Unit]]-Table1[[#This Row],[Manufacturing_Cost_per_Unit]]))-Table1[[#This Row],[Marketing_Spend]])/Table1[[#This Row],[Marketing_Spend]]</f>
        <v>65.453055704301747</v>
      </c>
    </row>
    <row r="904" spans="1:24" x14ac:dyDescent="0.3">
      <c r="A904" s="1" t="s">
        <v>978</v>
      </c>
      <c r="B904" s="1" t="s">
        <v>1614</v>
      </c>
      <c r="C904" s="1" t="s">
        <v>1633</v>
      </c>
      <c r="D904" s="1" t="s">
        <v>1636</v>
      </c>
      <c r="E904" s="1">
        <v>2024</v>
      </c>
      <c r="F904" s="1" t="s">
        <v>1640</v>
      </c>
      <c r="G904" s="1">
        <v>4501</v>
      </c>
      <c r="H904" s="1">
        <v>15391</v>
      </c>
      <c r="I904" s="1">
        <v>11132</v>
      </c>
      <c r="J904" s="1">
        <v>307906</v>
      </c>
      <c r="K904" s="1">
        <v>1.03</v>
      </c>
      <c r="L904" s="1">
        <v>2</v>
      </c>
      <c r="M904" s="1">
        <v>0.77</v>
      </c>
      <c r="N904" s="1">
        <v>18.239999999999998</v>
      </c>
      <c r="O904" s="1">
        <v>22.51</v>
      </c>
      <c r="P904" s="1">
        <v>4.8</v>
      </c>
      <c r="Q904" s="1">
        <v>11217</v>
      </c>
      <c r="R904" s="1">
        <v>8753</v>
      </c>
      <c r="S904" s="1">
        <v>4</v>
      </c>
      <c r="T904" s="1">
        <f>(Table1[[#This Row],[Selling_Price_per_Unit]]-Table1[[#This Row],[Manufacturing_Cost_per_Unit]])*Table1[[#This Row],[Units_Sold]]-Table1[[#This Row],[Marketing_Spend]]-Table1[[#This Row],[Discount_%]]</f>
        <v>18861834.760000002</v>
      </c>
      <c r="U904" s="3">
        <f>Table1[[#This Row],[profit]]/(Table1[[#This Row],[Units_Sold]]*Table1[[#This Row],[Selling_Price_per_Unit]])*100</f>
        <v>27.227519939367355</v>
      </c>
      <c r="V904" s="6">
        <f>Table1[[#This Row],[Units_Sold]]*Table1[[#This Row],[Selling_Price_per_Unit]]</f>
        <v>69274891</v>
      </c>
      <c r="W904" s="7">
        <f>(Table1[[#This Row],[Units_Sold]]/$Z$1)</f>
        <v>0.90111048203104416</v>
      </c>
      <c r="X904" s="8">
        <f>((Table1[[#This Row],[Units_Sold]]*(Table1[[#This Row],[Selling_Price_per_Unit]]-Table1[[#This Row],[Manufacturing_Cost_per_Unit]]))-Table1[[#This Row],[Marketing_Spend]])/Table1[[#This Row],[Marketing_Spend]]</f>
        <v>61.258478236864498</v>
      </c>
    </row>
    <row r="905" spans="1:24" hidden="1" x14ac:dyDescent="0.3">
      <c r="A905" s="1" t="s">
        <v>922</v>
      </c>
      <c r="B905" s="1" t="s">
        <v>1595</v>
      </c>
      <c r="C905" s="1" t="s">
        <v>1634</v>
      </c>
      <c r="D905" s="1" t="s">
        <v>1635</v>
      </c>
      <c r="E905" s="1">
        <v>2024</v>
      </c>
      <c r="F905" s="1" t="s">
        <v>1640</v>
      </c>
      <c r="G905" s="1">
        <v>2020</v>
      </c>
      <c r="H905" s="1">
        <v>1648</v>
      </c>
      <c r="I905" s="1">
        <v>12128</v>
      </c>
      <c r="J905" s="1">
        <v>462918</v>
      </c>
      <c r="K905" s="1">
        <v>11.08</v>
      </c>
      <c r="L905" s="1">
        <v>9</v>
      </c>
      <c r="M905" s="1">
        <v>6.67</v>
      </c>
      <c r="N905" s="1">
        <v>5.31</v>
      </c>
      <c r="O905" s="1">
        <v>35</v>
      </c>
      <c r="P905" s="1">
        <v>4.3</v>
      </c>
      <c r="Q905" s="1">
        <v>17899</v>
      </c>
      <c r="R905" s="1">
        <v>4862</v>
      </c>
      <c r="S905" s="1">
        <v>8</v>
      </c>
      <c r="T905" s="1">
        <f>(Table1[[#This Row],[Selling_Price_per_Unit]]-Table1[[#This Row],[Manufacturing_Cost_per_Unit]])*Table1[[#This Row],[Units_Sold]]-Table1[[#This Row],[Marketing_Spend]]-Table1[[#This Row],[Discount_%]]</f>
        <v>-21632523.309999999</v>
      </c>
      <c r="U905" s="3">
        <f>Table1[[#This Row],[profit]]/(Table1[[#This Row],[Units_Sold]]*Table1[[#This Row],[Selling_Price_per_Unit]])*100</f>
        <v>-649.82827399548205</v>
      </c>
      <c r="V905" s="6">
        <f>Table1[[#This Row],[Units_Sold]]*Table1[[#This Row],[Selling_Price_per_Unit]]</f>
        <v>3328960</v>
      </c>
      <c r="W905" s="7">
        <f>(Table1[[#This Row],[Units_Sold]]/$Z$1)</f>
        <v>0.40440861446405446</v>
      </c>
      <c r="X905" s="8">
        <f>((Table1[[#This Row],[Units_Sold]]*(Table1[[#This Row],[Selling_Price_per_Unit]]-Table1[[#This Row],[Manufacturing_Cost_per_Unit]]))-Table1[[#This Row],[Marketing_Spend]])/Table1[[#This Row],[Marketing_Spend]]</f>
        <v>-46.730777373098476</v>
      </c>
    </row>
    <row r="906" spans="1:24" hidden="1" x14ac:dyDescent="0.3">
      <c r="A906" s="1" t="s">
        <v>923</v>
      </c>
      <c r="B906" s="1" t="s">
        <v>1596</v>
      </c>
      <c r="C906" s="1" t="s">
        <v>1634</v>
      </c>
      <c r="D906" s="1" t="s">
        <v>1637</v>
      </c>
      <c r="E906" s="1">
        <v>2024</v>
      </c>
      <c r="F906" s="1" t="s">
        <v>1640</v>
      </c>
      <c r="G906" s="1">
        <v>247</v>
      </c>
      <c r="H906" s="1">
        <v>14895</v>
      </c>
      <c r="I906" s="1">
        <v>14119</v>
      </c>
      <c r="J906" s="1">
        <v>468458</v>
      </c>
      <c r="K906" s="1">
        <v>0.49</v>
      </c>
      <c r="L906" s="1">
        <v>16</v>
      </c>
      <c r="M906" s="1">
        <v>1.03</v>
      </c>
      <c r="N906" s="1">
        <v>13</v>
      </c>
      <c r="O906" s="1">
        <v>83.16</v>
      </c>
      <c r="P906" s="1">
        <v>4.5</v>
      </c>
      <c r="Q906" s="1">
        <v>5105</v>
      </c>
      <c r="R906" s="1">
        <v>1151</v>
      </c>
      <c r="S906" s="1">
        <v>12</v>
      </c>
      <c r="T906" s="1">
        <f>(Table1[[#This Row],[Selling_Price_per_Unit]]-Table1[[#This Row],[Manufacturing_Cost_per_Unit]])*Table1[[#This Row],[Units_Sold]]-Table1[[#This Row],[Marketing_Spend]]-Table1[[#This Row],[Discount_%]]</f>
        <v>-276799</v>
      </c>
      <c r="U906" s="3">
        <f>Table1[[#This Row],[profit]]/(Table1[[#This Row],[Units_Sold]]*Table1[[#This Row],[Selling_Price_per_Unit]])*100</f>
        <v>-7.5236235293478098</v>
      </c>
      <c r="V906" s="6">
        <f>Table1[[#This Row],[Units_Sold]]*Table1[[#This Row],[Selling_Price_per_Unit]]</f>
        <v>3679065</v>
      </c>
      <c r="W906" s="7">
        <f>(Table1[[#This Row],[Units_Sold]]/$Z$1)</f>
        <v>4.9449964243872005E-2</v>
      </c>
      <c r="X906" s="8">
        <f>((Table1[[#This Row],[Units_Sold]]*(Table1[[#This Row],[Selling_Price_per_Unit]]-Table1[[#This Row],[Manufacturing_Cost_per_Unit]]))-Table1[[#This Row],[Marketing_Spend]])/Table1[[#This Row],[Marketing_Spend]]</f>
        <v>-0.59084485695622657</v>
      </c>
    </row>
    <row r="907" spans="1:24" hidden="1" x14ac:dyDescent="0.3">
      <c r="A907" s="1" t="s">
        <v>924</v>
      </c>
      <c r="B907" s="1" t="s">
        <v>1597</v>
      </c>
      <c r="C907" s="1" t="s">
        <v>1634</v>
      </c>
      <c r="D907" s="1" t="s">
        <v>1635</v>
      </c>
      <c r="E907" s="1">
        <v>2024</v>
      </c>
      <c r="F907" s="1" t="s">
        <v>1639</v>
      </c>
      <c r="G907" s="1">
        <v>2676</v>
      </c>
      <c r="H907" s="1">
        <v>6395</v>
      </c>
      <c r="I907" s="1">
        <v>8268</v>
      </c>
      <c r="J907" s="1">
        <v>105841</v>
      </c>
      <c r="K907" s="1">
        <v>9.8800000000000008</v>
      </c>
      <c r="L907" s="1">
        <v>12</v>
      </c>
      <c r="M907" s="1">
        <v>0.12</v>
      </c>
      <c r="N907" s="1">
        <v>11.87</v>
      </c>
      <c r="O907" s="1">
        <v>77.25</v>
      </c>
      <c r="P907" s="1">
        <v>3</v>
      </c>
      <c r="Q907" s="1">
        <v>14784</v>
      </c>
      <c r="R907" s="1">
        <v>2941</v>
      </c>
      <c r="S907" s="1">
        <v>14</v>
      </c>
      <c r="T907" s="1">
        <f>(Table1[[#This Row],[Selling_Price_per_Unit]]-Table1[[#This Row],[Manufacturing_Cost_per_Unit]])*Table1[[#This Row],[Units_Sold]]-Table1[[#This Row],[Marketing_Spend]]-Table1[[#This Row],[Discount_%]]</f>
        <v>-5118000.87</v>
      </c>
      <c r="U907" s="3">
        <f>Table1[[#This Row],[profit]]/(Table1[[#This Row],[Units_Sold]]*Table1[[#This Row],[Selling_Price_per_Unit]])*100</f>
        <v>-29.907058309988539</v>
      </c>
      <c r="V907" s="6">
        <f>Table1[[#This Row],[Units_Sold]]*Table1[[#This Row],[Selling_Price_per_Unit]]</f>
        <v>17113020</v>
      </c>
      <c r="W907" s="7">
        <f>(Table1[[#This Row],[Units_Sold]]/$Z$1)</f>
        <v>0.53574131302267813</v>
      </c>
      <c r="X907" s="8">
        <f>((Table1[[#This Row],[Units_Sold]]*(Table1[[#This Row],[Selling_Price_per_Unit]]-Table1[[#This Row],[Manufacturing_Cost_per_Unit]]))-Table1[[#This Row],[Marketing_Spend]])/Table1[[#This Row],[Marketing_Spend]]</f>
        <v>-48.355448266739735</v>
      </c>
    </row>
    <row r="908" spans="1:24" x14ac:dyDescent="0.3">
      <c r="A908" s="1" t="s">
        <v>819</v>
      </c>
      <c r="B908" s="1" t="s">
        <v>1435</v>
      </c>
      <c r="C908" s="1" t="s">
        <v>1632</v>
      </c>
      <c r="D908" s="1" t="s">
        <v>1637</v>
      </c>
      <c r="E908" s="1">
        <v>2024</v>
      </c>
      <c r="F908" s="1" t="s">
        <v>1640</v>
      </c>
      <c r="G908" s="1">
        <v>4904</v>
      </c>
      <c r="H908" s="1">
        <v>11400</v>
      </c>
      <c r="I908" s="1">
        <v>7501</v>
      </c>
      <c r="J908" s="1">
        <v>487470</v>
      </c>
      <c r="K908" s="1">
        <v>12.4</v>
      </c>
      <c r="L908" s="1">
        <v>5</v>
      </c>
      <c r="M908" s="1">
        <v>7.14</v>
      </c>
      <c r="N908" s="1">
        <v>24.07</v>
      </c>
      <c r="O908" s="1">
        <v>42.39</v>
      </c>
      <c r="P908" s="1">
        <v>4.5</v>
      </c>
      <c r="Q908" s="1">
        <v>8877</v>
      </c>
      <c r="R908" s="1">
        <v>6183</v>
      </c>
      <c r="S908" s="1">
        <v>3</v>
      </c>
      <c r="T908" s="1">
        <f>(Table1[[#This Row],[Selling_Price_per_Unit]]-Table1[[#This Row],[Manufacturing_Cost_per_Unit]])*Table1[[#This Row],[Units_Sold]]-Table1[[#This Row],[Marketing_Spend]]-Table1[[#This Row],[Discount_%]]</f>
        <v>18633201.93</v>
      </c>
      <c r="U908" s="3">
        <f>Table1[[#This Row],[profit]]/(Table1[[#This Row],[Units_Sold]]*Table1[[#This Row],[Selling_Price_per_Unit]])*100</f>
        <v>33.32975932643599</v>
      </c>
      <c r="V908" s="6">
        <f>Table1[[#This Row],[Units_Sold]]*Table1[[#This Row],[Selling_Price_per_Unit]]</f>
        <v>55905600</v>
      </c>
      <c r="W908" s="7">
        <f>(Table1[[#This Row],[Units_Sold]]/$Z$1)</f>
        <v>0.98179200263946687</v>
      </c>
      <c r="X908" s="8">
        <f>((Table1[[#This Row],[Units_Sold]]*(Table1[[#This Row],[Selling_Price_per_Unit]]-Table1[[#This Row],[Manufacturing_Cost_per_Unit]]))-Table1[[#This Row],[Marketing_Spend]])/Table1[[#This Row],[Marketing_Spend]]</f>
        <v>38.224354319240156</v>
      </c>
    </row>
    <row r="909" spans="1:24" hidden="1" x14ac:dyDescent="0.3">
      <c r="A909" s="1" t="s">
        <v>256</v>
      </c>
      <c r="B909" s="1" t="s">
        <v>1229</v>
      </c>
      <c r="C909" s="1" t="s">
        <v>1632</v>
      </c>
      <c r="D909" s="1" t="s">
        <v>1636</v>
      </c>
      <c r="E909" s="1">
        <v>2023</v>
      </c>
      <c r="F909" s="1" t="s">
        <v>1639</v>
      </c>
      <c r="G909" s="1">
        <v>2607</v>
      </c>
      <c r="H909" s="1">
        <v>19916</v>
      </c>
      <c r="I909" s="1">
        <v>12670</v>
      </c>
      <c r="J909" s="1">
        <v>297199</v>
      </c>
      <c r="K909" s="1">
        <v>1.22</v>
      </c>
      <c r="L909" s="1">
        <v>9</v>
      </c>
      <c r="M909" s="1">
        <v>5.54</v>
      </c>
      <c r="N909" s="1">
        <v>20.010000000000002</v>
      </c>
      <c r="O909" s="1">
        <v>55.55</v>
      </c>
      <c r="P909" s="1">
        <v>2.4</v>
      </c>
      <c r="Q909" s="1">
        <v>20551</v>
      </c>
      <c r="R909" s="1">
        <v>5960</v>
      </c>
      <c r="S909" s="1">
        <v>5</v>
      </c>
      <c r="T909" s="1">
        <f>(Table1[[#This Row],[Selling_Price_per_Unit]]-Table1[[#This Row],[Manufacturing_Cost_per_Unit]])*Table1[[#This Row],[Units_Sold]]-Table1[[#This Row],[Marketing_Spend]]-Table1[[#This Row],[Discount_%]]</f>
        <v>18593102.989999998</v>
      </c>
      <c r="U909" s="3">
        <f>Table1[[#This Row],[profit]]/(Table1[[#This Row],[Units_Sold]]*Table1[[#This Row],[Selling_Price_per_Unit]])*100</f>
        <v>35.810363230208218</v>
      </c>
      <c r="V909" s="6">
        <f>Table1[[#This Row],[Units_Sold]]*Table1[[#This Row],[Selling_Price_per_Unit]]</f>
        <v>51921012</v>
      </c>
      <c r="W909" s="7">
        <f>(Table1[[#This Row],[Units_Sold]]/$Z$1)</f>
        <v>0.52192735539989599</v>
      </c>
      <c r="X909" s="8">
        <f>((Table1[[#This Row],[Units_Sold]]*(Table1[[#This Row],[Selling_Price_per_Unit]]-Table1[[#This Row],[Manufacturing_Cost_per_Unit]]))-Table1[[#This Row],[Marketing_Spend]])/Table1[[#This Row],[Marketing_Spend]]</f>
        <v>62.561189640611175</v>
      </c>
    </row>
    <row r="910" spans="1:24" hidden="1" x14ac:dyDescent="0.3">
      <c r="A910" s="1" t="s">
        <v>927</v>
      </c>
      <c r="B910" s="1" t="s">
        <v>1121</v>
      </c>
      <c r="C910" s="1" t="s">
        <v>1634</v>
      </c>
      <c r="D910" s="1" t="s">
        <v>1638</v>
      </c>
      <c r="E910" s="1">
        <v>2024</v>
      </c>
      <c r="F910" s="1" t="s">
        <v>1642</v>
      </c>
      <c r="G910" s="1">
        <v>527</v>
      </c>
      <c r="H910" s="1">
        <v>12199</v>
      </c>
      <c r="I910" s="1">
        <v>11371</v>
      </c>
      <c r="J910" s="1">
        <v>157096</v>
      </c>
      <c r="K910" s="1">
        <v>2.59</v>
      </c>
      <c r="L910" s="1">
        <v>9</v>
      </c>
      <c r="M910" s="1">
        <v>9.73</v>
      </c>
      <c r="N910" s="1">
        <v>22.49</v>
      </c>
      <c r="O910" s="1">
        <v>80.47</v>
      </c>
      <c r="P910" s="1">
        <v>3</v>
      </c>
      <c r="Q910" s="1">
        <v>3516</v>
      </c>
      <c r="R910" s="1">
        <v>7572</v>
      </c>
      <c r="S910" s="1">
        <v>10</v>
      </c>
      <c r="T910" s="1">
        <f>(Table1[[#This Row],[Selling_Price_per_Unit]]-Table1[[#This Row],[Manufacturing_Cost_per_Unit]])*Table1[[#This Row],[Units_Sold]]-Table1[[#This Row],[Marketing_Spend]]-Table1[[#This Row],[Discount_%]]</f>
        <v>279237.51</v>
      </c>
      <c r="U910" s="3">
        <f>Table1[[#This Row],[profit]]/(Table1[[#This Row],[Units_Sold]]*Table1[[#This Row],[Selling_Price_per_Unit]])*100</f>
        <v>4.3434908420185003</v>
      </c>
      <c r="V910" s="6">
        <f>Table1[[#This Row],[Units_Sold]]*Table1[[#This Row],[Selling_Price_per_Unit]]</f>
        <v>6428873</v>
      </c>
      <c r="W910" s="7">
        <f>(Table1[[#This Row],[Units_Sold]]/$Z$1)</f>
        <v>0.10550660387255283</v>
      </c>
      <c r="X910" s="8">
        <f>((Table1[[#This Row],[Units_Sold]]*(Table1[[#This Row],[Selling_Price_per_Unit]]-Table1[[#This Row],[Manufacturing_Cost_per_Unit]]))-Table1[[#This Row],[Marketing_Spend]])/Table1[[#This Row],[Marketing_Spend]]</f>
        <v>1.7776391505830829</v>
      </c>
    </row>
    <row r="911" spans="1:24" hidden="1" x14ac:dyDescent="0.3">
      <c r="A911" s="1" t="s">
        <v>928</v>
      </c>
      <c r="B911" s="1" t="s">
        <v>1599</v>
      </c>
      <c r="C911" s="1" t="s">
        <v>1632</v>
      </c>
      <c r="D911" s="1" t="s">
        <v>1636</v>
      </c>
      <c r="E911" s="1">
        <v>2023</v>
      </c>
      <c r="F911" s="1" t="s">
        <v>1642</v>
      </c>
      <c r="G911" s="1">
        <v>1304</v>
      </c>
      <c r="H911" s="1">
        <v>11215</v>
      </c>
      <c r="I911" s="1">
        <v>7381</v>
      </c>
      <c r="J911" s="1">
        <v>142764</v>
      </c>
      <c r="K911" s="1">
        <v>8.52</v>
      </c>
      <c r="L911" s="1">
        <v>1</v>
      </c>
      <c r="M911" s="1">
        <v>9.83</v>
      </c>
      <c r="N911" s="1">
        <v>19.55</v>
      </c>
      <c r="O911" s="1">
        <v>74.459999999999994</v>
      </c>
      <c r="P911" s="1">
        <v>1.6</v>
      </c>
      <c r="Q911" s="1">
        <v>5074</v>
      </c>
      <c r="R911" s="1">
        <v>8013</v>
      </c>
      <c r="S911" s="1">
        <v>3</v>
      </c>
      <c r="T911" s="1">
        <f>(Table1[[#This Row],[Selling_Price_per_Unit]]-Table1[[#This Row],[Manufacturing_Cost_per_Unit]])*Table1[[#This Row],[Units_Sold]]-Table1[[#This Row],[Marketing_Spend]]-Table1[[#This Row],[Discount_%]]</f>
        <v>4856752.45</v>
      </c>
      <c r="U911" s="3">
        <f>Table1[[#This Row],[profit]]/(Table1[[#This Row],[Units_Sold]]*Table1[[#This Row],[Selling_Price_per_Unit]])*100</f>
        <v>33.210017053737737</v>
      </c>
      <c r="V911" s="6">
        <f>Table1[[#This Row],[Units_Sold]]*Table1[[#This Row],[Selling_Price_per_Unit]]</f>
        <v>14624360</v>
      </c>
      <c r="W911" s="7">
        <f>(Table1[[#This Row],[Units_Sold]]/$Z$1)</f>
        <v>0.2610637788421421</v>
      </c>
      <c r="X911" s="8">
        <f>((Table1[[#This Row],[Units_Sold]]*(Table1[[#This Row],[Selling_Price_per_Unit]]-Table1[[#This Row],[Manufacturing_Cost_per_Unit]]))-Table1[[#This Row],[Marketing_Spend]])/Table1[[#This Row],[Marketing_Spend]]</f>
        <v>34.019584769269564</v>
      </c>
    </row>
    <row r="912" spans="1:24" hidden="1" x14ac:dyDescent="0.3">
      <c r="A912" s="1" t="s">
        <v>929</v>
      </c>
      <c r="B912" s="1" t="s">
        <v>1409</v>
      </c>
      <c r="C912" s="1" t="s">
        <v>1633</v>
      </c>
      <c r="D912" s="1" t="s">
        <v>1635</v>
      </c>
      <c r="E912" s="1">
        <v>2024</v>
      </c>
      <c r="F912" s="1" t="s">
        <v>1640</v>
      </c>
      <c r="G912" s="1">
        <v>972</v>
      </c>
      <c r="H912" s="1">
        <v>17663</v>
      </c>
      <c r="I912" s="1">
        <v>12651</v>
      </c>
      <c r="J912" s="1">
        <v>496790</v>
      </c>
      <c r="K912" s="1">
        <v>4.45</v>
      </c>
      <c r="L912" s="1">
        <v>3</v>
      </c>
      <c r="M912" s="1">
        <v>4.9400000000000004</v>
      </c>
      <c r="N912" s="1">
        <v>4.88</v>
      </c>
      <c r="O912" s="1">
        <v>58.2</v>
      </c>
      <c r="P912" s="1">
        <v>2.5</v>
      </c>
      <c r="Q912" s="1">
        <v>15041</v>
      </c>
      <c r="R912" s="1">
        <v>5624</v>
      </c>
      <c r="S912" s="1">
        <v>4</v>
      </c>
      <c r="T912" s="1">
        <f>(Table1[[#This Row],[Selling_Price_per_Unit]]-Table1[[#This Row],[Manufacturing_Cost_per_Unit]])*Table1[[#This Row],[Units_Sold]]-Table1[[#This Row],[Marketing_Spend]]-Table1[[#This Row],[Discount_%]]</f>
        <v>4374869.12</v>
      </c>
      <c r="U912" s="3">
        <f>Table1[[#This Row],[profit]]/(Table1[[#This Row],[Units_Sold]]*Table1[[#This Row],[Selling_Price_per_Unit]])*100</f>
        <v>25.482048102692641</v>
      </c>
      <c r="V912" s="6">
        <f>Table1[[#This Row],[Units_Sold]]*Table1[[#This Row],[Selling_Price_per_Unit]]</f>
        <v>17168436</v>
      </c>
      <c r="W912" s="7">
        <f>(Table1[[#This Row],[Units_Sold]]/$Z$1)</f>
        <v>0.1945966204252777</v>
      </c>
      <c r="X912" s="8">
        <f>((Table1[[#This Row],[Units_Sold]]*(Table1[[#This Row],[Selling_Price_per_Unit]]-Table1[[#This Row],[Manufacturing_Cost_per_Unit]]))-Table1[[#This Row],[Marketing_Spend]])/Table1[[#This Row],[Marketing_Spend]]</f>
        <v>8.8062843454980975</v>
      </c>
    </row>
    <row r="913" spans="1:24" hidden="1" x14ac:dyDescent="0.3">
      <c r="A913" s="1" t="s">
        <v>930</v>
      </c>
      <c r="B913" s="1" t="s">
        <v>1375</v>
      </c>
      <c r="C913" s="1" t="s">
        <v>1634</v>
      </c>
      <c r="D913" s="1" t="s">
        <v>1635</v>
      </c>
      <c r="E913" s="1">
        <v>2023</v>
      </c>
      <c r="F913" s="1" t="s">
        <v>1642</v>
      </c>
      <c r="G913" s="1">
        <v>469</v>
      </c>
      <c r="H913" s="1">
        <v>7282</v>
      </c>
      <c r="I913" s="1">
        <v>7117</v>
      </c>
      <c r="J913" s="1">
        <v>135744</v>
      </c>
      <c r="K913" s="1">
        <v>14.07</v>
      </c>
      <c r="L913" s="1">
        <v>5</v>
      </c>
      <c r="M913" s="1">
        <v>8.69</v>
      </c>
      <c r="N913" s="1">
        <v>2.17</v>
      </c>
      <c r="O913" s="1">
        <v>33.67</v>
      </c>
      <c r="P913" s="1">
        <v>2.2999999999999998</v>
      </c>
      <c r="Q913" s="1">
        <v>8774</v>
      </c>
      <c r="R913" s="1">
        <v>3684</v>
      </c>
      <c r="S913" s="1">
        <v>13</v>
      </c>
      <c r="T913" s="1">
        <f>(Table1[[#This Row],[Selling_Price_per_Unit]]-Table1[[#This Row],[Manufacturing_Cost_per_Unit]])*Table1[[#This Row],[Units_Sold]]-Table1[[#This Row],[Marketing_Spend]]-Table1[[#This Row],[Discount_%]]</f>
        <v>-58361.17</v>
      </c>
      <c r="U913" s="3">
        <f>Table1[[#This Row],[profit]]/(Table1[[#This Row],[Units_Sold]]*Table1[[#This Row],[Selling_Price_per_Unit]])*100</f>
        <v>-1.7088363455996589</v>
      </c>
      <c r="V913" s="6">
        <f>Table1[[#This Row],[Units_Sold]]*Table1[[#This Row],[Selling_Price_per_Unit]]</f>
        <v>3415258</v>
      </c>
      <c r="W913" s="7">
        <f>(Table1[[#This Row],[Units_Sold]]/$Z$1)</f>
        <v>9.3894871378040368E-2</v>
      </c>
      <c r="X913" s="8">
        <f>((Table1[[#This Row],[Units_Sold]]*(Table1[[#This Row],[Selling_Price_per_Unit]]-Table1[[#This Row],[Manufacturing_Cost_per_Unit]]))-Table1[[#This Row],[Marketing_Spend]])/Table1[[#This Row],[Marketing_Spend]]</f>
        <v>-0.42991955445544555</v>
      </c>
    </row>
    <row r="914" spans="1:24" hidden="1" x14ac:dyDescent="0.3">
      <c r="A914" s="1" t="s">
        <v>273</v>
      </c>
      <c r="B914" s="1" t="s">
        <v>1244</v>
      </c>
      <c r="C914" s="1" t="s">
        <v>1634</v>
      </c>
      <c r="D914" s="1" t="s">
        <v>1638</v>
      </c>
      <c r="E914" s="1">
        <v>2023</v>
      </c>
      <c r="F914" s="1" t="s">
        <v>1640</v>
      </c>
      <c r="G914" s="1">
        <v>1268</v>
      </c>
      <c r="H914" s="1">
        <v>15769</v>
      </c>
      <c r="I914" s="1">
        <v>822</v>
      </c>
      <c r="J914" s="1">
        <v>367922</v>
      </c>
      <c r="K914" s="1">
        <v>4.03</v>
      </c>
      <c r="L914" s="1">
        <v>11</v>
      </c>
      <c r="M914" s="1">
        <v>3.87</v>
      </c>
      <c r="N914" s="1">
        <v>0.79</v>
      </c>
      <c r="O914" s="1">
        <v>47.45</v>
      </c>
      <c r="P914" s="1">
        <v>4.0999999999999996</v>
      </c>
      <c r="Q914" s="1">
        <v>11149</v>
      </c>
      <c r="R914" s="1">
        <v>1996</v>
      </c>
      <c r="S914" s="1">
        <v>8</v>
      </c>
      <c r="T914" s="1">
        <f>(Table1[[#This Row],[Selling_Price_per_Unit]]-Table1[[#This Row],[Manufacturing_Cost_per_Unit]])*Table1[[#This Row],[Units_Sold]]-Table1[[#This Row],[Marketing_Spend]]-Table1[[#This Row],[Discount_%]]</f>
        <v>18584873.210000001</v>
      </c>
      <c r="U914" s="3">
        <f>Table1[[#This Row],[profit]]/(Table1[[#This Row],[Units_Sold]]*Table1[[#This Row],[Selling_Price_per_Unit]])*100</f>
        <v>92.94717528681538</v>
      </c>
      <c r="V914" s="6">
        <f>Table1[[#This Row],[Units_Sold]]*Table1[[#This Row],[Selling_Price_per_Unit]]</f>
        <v>19995092</v>
      </c>
      <c r="W914" s="7">
        <f>(Table1[[#This Row],[Units_Sold]]/$Z$1)</f>
        <v>0.25385649660416881</v>
      </c>
      <c r="X914" s="8">
        <f>((Table1[[#This Row],[Units_Sold]]*(Table1[[#This Row],[Selling_Price_per_Unit]]-Table1[[#This Row],[Manufacturing_Cost_per_Unit]]))-Table1[[#This Row],[Marketing_Spend]])/Table1[[#This Row],[Marketing_Spend]]</f>
        <v>50.5130815770734</v>
      </c>
    </row>
    <row r="915" spans="1:24" hidden="1" x14ac:dyDescent="0.3">
      <c r="A915" s="1" t="s">
        <v>932</v>
      </c>
      <c r="B915" s="1" t="s">
        <v>1422</v>
      </c>
      <c r="C915" s="1" t="s">
        <v>1633</v>
      </c>
      <c r="D915" s="1" t="s">
        <v>1638</v>
      </c>
      <c r="E915" s="1">
        <v>2023</v>
      </c>
      <c r="F915" s="1" t="s">
        <v>1641</v>
      </c>
      <c r="G915" s="1">
        <v>2647</v>
      </c>
      <c r="H915" s="1">
        <v>4317</v>
      </c>
      <c r="I915" s="1">
        <v>10888</v>
      </c>
      <c r="J915" s="1">
        <v>59171</v>
      </c>
      <c r="K915" s="1">
        <v>14.75</v>
      </c>
      <c r="L915" s="1">
        <v>5</v>
      </c>
      <c r="M915" s="1">
        <v>5.01</v>
      </c>
      <c r="N915" s="1">
        <v>1.43</v>
      </c>
      <c r="O915" s="1">
        <v>77.25</v>
      </c>
      <c r="P915" s="1">
        <v>3.3</v>
      </c>
      <c r="Q915" s="1">
        <v>17248</v>
      </c>
      <c r="R915" s="1">
        <v>1363</v>
      </c>
      <c r="S915" s="1">
        <v>3</v>
      </c>
      <c r="T915" s="1">
        <f>(Table1[[#This Row],[Selling_Price_per_Unit]]-Table1[[#This Row],[Manufacturing_Cost_per_Unit]])*Table1[[#This Row],[Units_Sold]]-Table1[[#This Row],[Marketing_Spend]]-Table1[[#This Row],[Discount_%]]</f>
        <v>-17452609.43</v>
      </c>
      <c r="U915" s="3">
        <f>Table1[[#This Row],[profit]]/(Table1[[#This Row],[Units_Sold]]*Table1[[#This Row],[Selling_Price_per_Unit]])*100</f>
        <v>-152.730009865146</v>
      </c>
      <c r="V915" s="6">
        <f>Table1[[#This Row],[Units_Sold]]*Table1[[#This Row],[Selling_Price_per_Unit]]</f>
        <v>11427099</v>
      </c>
      <c r="W915" s="7">
        <f>(Table1[[#This Row],[Units_Sold]]/$Z$1)</f>
        <v>0.52993544677542181</v>
      </c>
      <c r="X915" s="8">
        <f>((Table1[[#This Row],[Units_Sold]]*(Table1[[#This Row],[Selling_Price_per_Unit]]-Table1[[#This Row],[Manufacturing_Cost_per_Unit]]))-Table1[[#This Row],[Marketing_Spend]])/Table1[[#This Row],[Marketing_Spend]]</f>
        <v>-294.95205421574758</v>
      </c>
    </row>
    <row r="916" spans="1:24" hidden="1" x14ac:dyDescent="0.3">
      <c r="A916" s="1" t="s">
        <v>933</v>
      </c>
      <c r="B916" s="1" t="s">
        <v>1247</v>
      </c>
      <c r="C916" s="1" t="s">
        <v>1632</v>
      </c>
      <c r="D916" s="1" t="s">
        <v>1638</v>
      </c>
      <c r="E916" s="1">
        <v>2023</v>
      </c>
      <c r="F916" s="1" t="s">
        <v>1641</v>
      </c>
      <c r="G916" s="1">
        <v>1170</v>
      </c>
      <c r="H916" s="1">
        <v>16596</v>
      </c>
      <c r="I916" s="1">
        <v>13746</v>
      </c>
      <c r="J916" s="1">
        <v>150755</v>
      </c>
      <c r="K916" s="1">
        <v>3.9</v>
      </c>
      <c r="L916" s="1">
        <v>16</v>
      </c>
      <c r="M916" s="1">
        <v>5.73</v>
      </c>
      <c r="N916" s="1">
        <v>16.82</v>
      </c>
      <c r="O916" s="1">
        <v>47.83</v>
      </c>
      <c r="P916" s="1">
        <v>4.5999999999999996</v>
      </c>
      <c r="Q916" s="1">
        <v>7906</v>
      </c>
      <c r="R916" s="1">
        <v>4765</v>
      </c>
      <c r="S916" s="1">
        <v>11</v>
      </c>
      <c r="T916" s="1">
        <f>(Table1[[#This Row],[Selling_Price_per_Unit]]-Table1[[#This Row],[Manufacturing_Cost_per_Unit]])*Table1[[#This Row],[Units_Sold]]-Table1[[#This Row],[Marketing_Spend]]-Table1[[#This Row],[Discount_%]]</f>
        <v>3183728.18</v>
      </c>
      <c r="U916" s="3">
        <f>Table1[[#This Row],[profit]]/(Table1[[#This Row],[Units_Sold]]*Table1[[#This Row],[Selling_Price_per_Unit]])*100</f>
        <v>16.396331625579638</v>
      </c>
      <c r="V916" s="6">
        <f>Table1[[#This Row],[Units_Sold]]*Table1[[#This Row],[Selling_Price_per_Unit]]</f>
        <v>19417320</v>
      </c>
      <c r="W916" s="7">
        <f>(Table1[[#This Row],[Units_Sold]]/$Z$1)</f>
        <v>0.23423667273413054</v>
      </c>
      <c r="X916" s="8">
        <f>((Table1[[#This Row],[Units_Sold]]*(Table1[[#This Row],[Selling_Price_per_Unit]]-Table1[[#This Row],[Manufacturing_Cost_per_Unit]]))-Table1[[#This Row],[Marketing_Spend]])/Table1[[#This Row],[Marketing_Spend]]</f>
        <v>21.118669364200194</v>
      </c>
    </row>
    <row r="917" spans="1:24" hidden="1" x14ac:dyDescent="0.3">
      <c r="A917" s="1" t="s">
        <v>934</v>
      </c>
      <c r="B917" s="1" t="s">
        <v>1163</v>
      </c>
      <c r="C917" s="1" t="s">
        <v>1634</v>
      </c>
      <c r="D917" s="1" t="s">
        <v>1638</v>
      </c>
      <c r="E917" s="1">
        <v>2023</v>
      </c>
      <c r="F917" s="1" t="s">
        <v>1640</v>
      </c>
      <c r="G917" s="1">
        <v>3118</v>
      </c>
      <c r="H917" s="1">
        <v>6799</v>
      </c>
      <c r="I917" s="1">
        <v>11065</v>
      </c>
      <c r="J917" s="1">
        <v>158125</v>
      </c>
      <c r="K917" s="1">
        <v>14.55</v>
      </c>
      <c r="L917" s="1">
        <v>13</v>
      </c>
      <c r="M917" s="1">
        <v>1.37</v>
      </c>
      <c r="N917" s="1">
        <v>13.26</v>
      </c>
      <c r="O917" s="1">
        <v>13.13</v>
      </c>
      <c r="P917" s="1">
        <v>2.6</v>
      </c>
      <c r="Q917" s="1">
        <v>13326</v>
      </c>
      <c r="R917" s="1">
        <v>8114</v>
      </c>
      <c r="S917" s="1">
        <v>8</v>
      </c>
      <c r="T917" s="1">
        <f>(Table1[[#This Row],[Selling_Price_per_Unit]]-Table1[[#This Row],[Manufacturing_Cost_per_Unit]])*Table1[[#This Row],[Units_Sold]]-Table1[[#This Row],[Marketing_Spend]]-Table1[[#This Row],[Discount_%]]</f>
        <v>-13459526.26</v>
      </c>
      <c r="U917" s="3">
        <f>Table1[[#This Row],[profit]]/(Table1[[#This Row],[Units_Sold]]*Table1[[#This Row],[Selling_Price_per_Unit]])*100</f>
        <v>-63.490481705937022</v>
      </c>
      <c r="V917" s="6">
        <f>Table1[[#This Row],[Units_Sold]]*Table1[[#This Row],[Selling_Price_per_Unit]]</f>
        <v>21199282</v>
      </c>
      <c r="W917" s="7">
        <f>(Table1[[#This Row],[Units_Sold]]/$Z$1)</f>
        <v>0.62423072272223856</v>
      </c>
      <c r="X917" s="8">
        <f>((Table1[[#This Row],[Units_Sold]]*(Table1[[#This Row],[Selling_Price_per_Unit]]-Table1[[#This Row],[Manufacturing_Cost_per_Unit]]))-Table1[[#This Row],[Marketing_Spend]])/Table1[[#This Row],[Marketing_Spend]]</f>
        <v>-85.119449802371548</v>
      </c>
    </row>
    <row r="918" spans="1:24" hidden="1" x14ac:dyDescent="0.3">
      <c r="A918" s="1" t="s">
        <v>935</v>
      </c>
      <c r="B918" s="1" t="s">
        <v>1600</v>
      </c>
      <c r="C918" s="1" t="s">
        <v>1632</v>
      </c>
      <c r="D918" s="1" t="s">
        <v>1635</v>
      </c>
      <c r="E918" s="1">
        <v>2024</v>
      </c>
      <c r="F918" s="1" t="s">
        <v>1642</v>
      </c>
      <c r="G918" s="1">
        <v>1000</v>
      </c>
      <c r="H918" s="1">
        <v>11417</v>
      </c>
      <c r="I918" s="1">
        <v>13907</v>
      </c>
      <c r="J918" s="1">
        <v>442866</v>
      </c>
      <c r="K918" s="1">
        <v>6.47</v>
      </c>
      <c r="L918" s="1">
        <v>10</v>
      </c>
      <c r="M918" s="1">
        <v>9.3800000000000008</v>
      </c>
      <c r="N918" s="1">
        <v>16.57</v>
      </c>
      <c r="O918" s="1">
        <v>61.08</v>
      </c>
      <c r="P918" s="1">
        <v>4.9000000000000004</v>
      </c>
      <c r="Q918" s="1">
        <v>18972</v>
      </c>
      <c r="R918" s="1">
        <v>1451</v>
      </c>
      <c r="S918" s="1">
        <v>13</v>
      </c>
      <c r="T918" s="1">
        <f>(Table1[[#This Row],[Selling_Price_per_Unit]]-Table1[[#This Row],[Manufacturing_Cost_per_Unit]])*Table1[[#This Row],[Units_Sold]]-Table1[[#This Row],[Marketing_Spend]]-Table1[[#This Row],[Discount_%]]</f>
        <v>-2932882.57</v>
      </c>
      <c r="U918" s="3">
        <f>Table1[[#This Row],[profit]]/(Table1[[#This Row],[Units_Sold]]*Table1[[#This Row],[Selling_Price_per_Unit]])*100</f>
        <v>-25.688732328983093</v>
      </c>
      <c r="V918" s="6">
        <f>Table1[[#This Row],[Units_Sold]]*Table1[[#This Row],[Selling_Price_per_Unit]]</f>
        <v>11417000</v>
      </c>
      <c r="W918" s="7">
        <f>(Table1[[#This Row],[Units_Sold]]/$Z$1)</f>
        <v>0.20020228438814577</v>
      </c>
      <c r="X918" s="8">
        <f>((Table1[[#This Row],[Units_Sold]]*(Table1[[#This Row],[Selling_Price_per_Unit]]-Table1[[#This Row],[Manufacturing_Cost_per_Unit]]))-Table1[[#This Row],[Marketing_Spend]])/Table1[[#This Row],[Marketing_Spend]]</f>
        <v>-6.6224681957973743</v>
      </c>
    </row>
    <row r="919" spans="1:24" x14ac:dyDescent="0.3">
      <c r="A919" s="1" t="s">
        <v>560</v>
      </c>
      <c r="B919" s="1" t="s">
        <v>1424</v>
      </c>
      <c r="C919" s="1" t="s">
        <v>1634</v>
      </c>
      <c r="D919" s="1" t="s">
        <v>1638</v>
      </c>
      <c r="E919" s="1">
        <v>2023</v>
      </c>
      <c r="F919" s="1" t="s">
        <v>1641</v>
      </c>
      <c r="G919" s="1">
        <v>4318</v>
      </c>
      <c r="H919" s="1">
        <v>11681</v>
      </c>
      <c r="I919" s="1">
        <v>7366</v>
      </c>
      <c r="J919" s="1">
        <v>141218</v>
      </c>
      <c r="K919" s="1">
        <v>14.86</v>
      </c>
      <c r="L919" s="1">
        <v>4</v>
      </c>
      <c r="M919" s="1">
        <v>3.11</v>
      </c>
      <c r="N919" s="1">
        <v>5.39</v>
      </c>
      <c r="O919" s="1">
        <v>72.36</v>
      </c>
      <c r="P919" s="1">
        <v>2.2999999999999998</v>
      </c>
      <c r="Q919" s="1">
        <v>11956</v>
      </c>
      <c r="R919" s="1">
        <v>7205</v>
      </c>
      <c r="S919" s="1">
        <v>9</v>
      </c>
      <c r="T919" s="1">
        <f>(Table1[[#This Row],[Selling_Price_per_Unit]]-Table1[[#This Row],[Manufacturing_Cost_per_Unit]])*Table1[[#This Row],[Units_Sold]]-Table1[[#This Row],[Marketing_Spend]]-Table1[[#This Row],[Discount_%]]</f>
        <v>18490946.609999999</v>
      </c>
      <c r="U919" s="3">
        <f>Table1[[#This Row],[profit]]/(Table1[[#This Row],[Units_Sold]]*Table1[[#This Row],[Selling_Price_per_Unit]])*100</f>
        <v>36.660339516446925</v>
      </c>
      <c r="V919" s="6">
        <f>Table1[[#This Row],[Units_Sold]]*Table1[[#This Row],[Selling_Price_per_Unit]]</f>
        <v>50438558</v>
      </c>
      <c r="W919" s="7">
        <f>(Table1[[#This Row],[Units_Sold]]/$Z$1)</f>
        <v>0.86447346398801339</v>
      </c>
      <c r="X919" s="8">
        <f>((Table1[[#This Row],[Units_Sold]]*(Table1[[#This Row],[Selling_Price_per_Unit]]-Table1[[#This Row],[Manufacturing_Cost_per_Unit]]))-Table1[[#This Row],[Marketing_Spend]])/Table1[[#This Row],[Marketing_Spend]]</f>
        <v>130.93905876021469</v>
      </c>
    </row>
    <row r="920" spans="1:24" hidden="1" x14ac:dyDescent="0.3">
      <c r="A920" s="1" t="s">
        <v>937</v>
      </c>
      <c r="B920" s="1" t="s">
        <v>1058</v>
      </c>
      <c r="C920" s="1" t="s">
        <v>1633</v>
      </c>
      <c r="D920" s="1" t="s">
        <v>1638</v>
      </c>
      <c r="E920" s="1">
        <v>2023</v>
      </c>
      <c r="F920" s="1" t="s">
        <v>1642</v>
      </c>
      <c r="G920" s="1">
        <v>2293</v>
      </c>
      <c r="H920" s="1">
        <v>4767</v>
      </c>
      <c r="I920" s="1">
        <v>1205</v>
      </c>
      <c r="J920" s="1">
        <v>53696</v>
      </c>
      <c r="K920" s="1">
        <v>0.76</v>
      </c>
      <c r="L920" s="1">
        <v>1</v>
      </c>
      <c r="M920" s="1">
        <v>4.46</v>
      </c>
      <c r="N920" s="1">
        <v>10.57</v>
      </c>
      <c r="O920" s="1">
        <v>84.1</v>
      </c>
      <c r="P920" s="1">
        <v>3</v>
      </c>
      <c r="Q920" s="1">
        <v>5973</v>
      </c>
      <c r="R920" s="1">
        <v>7290</v>
      </c>
      <c r="S920" s="1">
        <v>13</v>
      </c>
      <c r="T920" s="1">
        <f>(Table1[[#This Row],[Selling_Price_per_Unit]]-Table1[[#This Row],[Manufacturing_Cost_per_Unit]])*Table1[[#This Row],[Units_Sold]]-Table1[[#This Row],[Marketing_Spend]]-Table1[[#This Row],[Discount_%]]</f>
        <v>8113959.4299999997</v>
      </c>
      <c r="U920" s="3">
        <f>Table1[[#This Row],[profit]]/(Table1[[#This Row],[Units_Sold]]*Table1[[#This Row],[Selling_Price_per_Unit]])*100</f>
        <v>74.23071183436862</v>
      </c>
      <c r="V920" s="6">
        <f>Table1[[#This Row],[Units_Sold]]*Table1[[#This Row],[Selling_Price_per_Unit]]</f>
        <v>10930731</v>
      </c>
      <c r="W920" s="7">
        <f>(Table1[[#This Row],[Units_Sold]]/$Z$1)</f>
        <v>0.45906383810201823</v>
      </c>
      <c r="X920" s="8">
        <f>((Table1[[#This Row],[Units_Sold]]*(Table1[[#This Row],[Selling_Price_per_Unit]]-Table1[[#This Row],[Manufacturing_Cost_per_Unit]]))-Table1[[#This Row],[Marketing_Spend]])/Table1[[#This Row],[Marketing_Spend]]</f>
        <v>151.10939362336114</v>
      </c>
    </row>
    <row r="921" spans="1:24" hidden="1" x14ac:dyDescent="0.3">
      <c r="A921" s="1" t="s">
        <v>938</v>
      </c>
      <c r="B921" s="1" t="s">
        <v>1174</v>
      </c>
      <c r="C921" s="1" t="s">
        <v>1634</v>
      </c>
      <c r="D921" s="1" t="s">
        <v>1638</v>
      </c>
      <c r="E921" s="1">
        <v>2023</v>
      </c>
      <c r="F921" s="1" t="s">
        <v>1640</v>
      </c>
      <c r="G921" s="1">
        <v>2695</v>
      </c>
      <c r="H921" s="1">
        <v>5906</v>
      </c>
      <c r="I921" s="1">
        <v>8786</v>
      </c>
      <c r="J921" s="1">
        <v>176310</v>
      </c>
      <c r="K921" s="1">
        <v>0.79</v>
      </c>
      <c r="L921" s="1">
        <v>2</v>
      </c>
      <c r="M921" s="1">
        <v>6.72</v>
      </c>
      <c r="N921" s="1">
        <v>5.0199999999999996</v>
      </c>
      <c r="O921" s="1">
        <v>86.93</v>
      </c>
      <c r="P921" s="1">
        <v>3.6</v>
      </c>
      <c r="Q921" s="1">
        <v>8819</v>
      </c>
      <c r="R921" s="1">
        <v>3927</v>
      </c>
      <c r="S921" s="1">
        <v>3</v>
      </c>
      <c r="T921" s="1">
        <f>(Table1[[#This Row],[Selling_Price_per_Unit]]-Table1[[#This Row],[Manufacturing_Cost_per_Unit]])*Table1[[#This Row],[Units_Sold]]-Table1[[#This Row],[Marketing_Spend]]-Table1[[#This Row],[Discount_%]]</f>
        <v>-7937915.0199999996</v>
      </c>
      <c r="U921" s="3">
        <f>Table1[[#This Row],[profit]]/(Table1[[#This Row],[Units_Sold]]*Table1[[#This Row],[Selling_Price_per_Unit]])*100</f>
        <v>-49.871706958804822</v>
      </c>
      <c r="V921" s="6">
        <f>Table1[[#This Row],[Units_Sold]]*Table1[[#This Row],[Selling_Price_per_Unit]]</f>
        <v>15916670</v>
      </c>
      <c r="W921" s="7">
        <f>(Table1[[#This Row],[Units_Sold]]/$Z$1)</f>
        <v>0.53954515642605283</v>
      </c>
      <c r="X921" s="8">
        <f>((Table1[[#This Row],[Units_Sold]]*(Table1[[#This Row],[Selling_Price_per_Unit]]-Table1[[#This Row],[Manufacturing_Cost_per_Unit]]))-Table1[[#This Row],[Marketing_Spend]])/Table1[[#This Row],[Marketing_Spend]]</f>
        <v>-45.022460438999488</v>
      </c>
    </row>
    <row r="922" spans="1:24" hidden="1" x14ac:dyDescent="0.3">
      <c r="A922" s="1" t="s">
        <v>939</v>
      </c>
      <c r="B922" s="1" t="s">
        <v>1410</v>
      </c>
      <c r="C922" s="1" t="s">
        <v>1632</v>
      </c>
      <c r="D922" s="1" t="s">
        <v>1635</v>
      </c>
      <c r="E922" s="1">
        <v>2023</v>
      </c>
      <c r="F922" s="1" t="s">
        <v>1641</v>
      </c>
      <c r="G922" s="1">
        <v>1907</v>
      </c>
      <c r="H922" s="1">
        <v>19326</v>
      </c>
      <c r="I922" s="1">
        <v>10565</v>
      </c>
      <c r="J922" s="1">
        <v>463274</v>
      </c>
      <c r="K922" s="1">
        <v>10.38</v>
      </c>
      <c r="L922" s="1">
        <v>10</v>
      </c>
      <c r="M922" s="1">
        <v>3.34</v>
      </c>
      <c r="N922" s="1">
        <v>7.64</v>
      </c>
      <c r="O922" s="1">
        <v>25.16</v>
      </c>
      <c r="P922" s="1">
        <v>1.4</v>
      </c>
      <c r="Q922" s="1">
        <v>10167</v>
      </c>
      <c r="R922" s="1">
        <v>8961</v>
      </c>
      <c r="S922" s="1">
        <v>3</v>
      </c>
      <c r="T922" s="1">
        <f>(Table1[[#This Row],[Selling_Price_per_Unit]]-Table1[[#This Row],[Manufacturing_Cost_per_Unit]])*Table1[[#This Row],[Units_Sold]]-Table1[[#This Row],[Marketing_Spend]]-Table1[[#This Row],[Discount_%]]</f>
        <v>16243945.359999999</v>
      </c>
      <c r="U922" s="3">
        <f>Table1[[#This Row],[profit]]/(Table1[[#This Row],[Units_Sold]]*Table1[[#This Row],[Selling_Price_per_Unit]])*100</f>
        <v>44.075662788244927</v>
      </c>
      <c r="V922" s="6">
        <f>Table1[[#This Row],[Units_Sold]]*Table1[[#This Row],[Selling_Price_per_Unit]]</f>
        <v>36854682</v>
      </c>
      <c r="W922" s="7">
        <f>(Table1[[#This Row],[Units_Sold]]/$Z$1)</f>
        <v>0.381785756328194</v>
      </c>
      <c r="X922" s="8">
        <f>((Table1[[#This Row],[Units_Sold]]*(Table1[[#This Row],[Selling_Price_per_Unit]]-Table1[[#This Row],[Manufacturing_Cost_per_Unit]]))-Table1[[#This Row],[Marketing_Spend]])/Table1[[#This Row],[Marketing_Spend]]</f>
        <v>35.063381497774536</v>
      </c>
    </row>
    <row r="923" spans="1:24" x14ac:dyDescent="0.3">
      <c r="A923" s="1" t="s">
        <v>940</v>
      </c>
      <c r="B923" s="1" t="s">
        <v>1602</v>
      </c>
      <c r="C923" s="1" t="s">
        <v>1632</v>
      </c>
      <c r="D923" s="1" t="s">
        <v>1636</v>
      </c>
      <c r="E923" s="1">
        <v>2024</v>
      </c>
      <c r="F923" s="1" t="s">
        <v>1642</v>
      </c>
      <c r="G923" s="1">
        <v>4662</v>
      </c>
      <c r="H923" s="1">
        <v>11882</v>
      </c>
      <c r="I923" s="1">
        <v>14899</v>
      </c>
      <c r="J923" s="1">
        <v>201385</v>
      </c>
      <c r="K923" s="1">
        <v>6.87</v>
      </c>
      <c r="L923" s="1">
        <v>5</v>
      </c>
      <c r="M923" s="1">
        <v>2.54</v>
      </c>
      <c r="N923" s="1">
        <v>13.11</v>
      </c>
      <c r="O923" s="1">
        <v>64.11</v>
      </c>
      <c r="P923" s="1">
        <v>4.4000000000000004</v>
      </c>
      <c r="Q923" s="1">
        <v>10981</v>
      </c>
      <c r="R923" s="1">
        <v>2746</v>
      </c>
      <c r="S923" s="1">
        <v>13</v>
      </c>
      <c r="T923" s="1">
        <f>(Table1[[#This Row],[Selling_Price_per_Unit]]-Table1[[#This Row],[Manufacturing_Cost_per_Unit]])*Table1[[#This Row],[Units_Sold]]-Table1[[#This Row],[Marketing_Spend]]-Table1[[#This Row],[Discount_%]]</f>
        <v>-14266652.109999999</v>
      </c>
      <c r="U923" s="3">
        <f>Table1[[#This Row],[profit]]/(Table1[[#This Row],[Units_Sold]]*Table1[[#This Row],[Selling_Price_per_Unit]])*100</f>
        <v>-25.75492289004324</v>
      </c>
      <c r="V923" s="6">
        <f>Table1[[#This Row],[Units_Sold]]*Table1[[#This Row],[Selling_Price_per_Unit]]</f>
        <v>55393884</v>
      </c>
      <c r="W923" s="7">
        <f>(Table1[[#This Row],[Units_Sold]]/$Z$1)</f>
        <v>0.93334304981753557</v>
      </c>
      <c r="X923" s="8">
        <f>((Table1[[#This Row],[Units_Sold]]*(Table1[[#This Row],[Selling_Price_per_Unit]]-Table1[[#This Row],[Manufacturing_Cost_per_Unit]]))-Table1[[#This Row],[Marketing_Spend]])/Table1[[#This Row],[Marketing_Spend]]</f>
        <v>-70.84260992626065</v>
      </c>
    </row>
    <row r="924" spans="1:24" hidden="1" x14ac:dyDescent="0.3">
      <c r="A924" s="1" t="s">
        <v>941</v>
      </c>
      <c r="B924" s="1" t="s">
        <v>1369</v>
      </c>
      <c r="C924" s="1" t="s">
        <v>1634</v>
      </c>
      <c r="D924" s="1" t="s">
        <v>1635</v>
      </c>
      <c r="E924" s="1">
        <v>2023</v>
      </c>
      <c r="F924" s="1" t="s">
        <v>1642</v>
      </c>
      <c r="G924" s="1">
        <v>1915</v>
      </c>
      <c r="H924" s="1">
        <v>5937</v>
      </c>
      <c r="I924" s="1">
        <v>13592</v>
      </c>
      <c r="J924" s="1">
        <v>331293</v>
      </c>
      <c r="K924" s="1">
        <v>3.4</v>
      </c>
      <c r="L924" s="1">
        <v>13</v>
      </c>
      <c r="M924" s="1">
        <v>6.31</v>
      </c>
      <c r="N924" s="1">
        <v>16.3</v>
      </c>
      <c r="O924" s="1">
        <v>17.38</v>
      </c>
      <c r="P924" s="1">
        <v>3.3</v>
      </c>
      <c r="Q924" s="1">
        <v>10020</v>
      </c>
      <c r="R924" s="1">
        <v>366</v>
      </c>
      <c r="S924" s="1">
        <v>14</v>
      </c>
      <c r="T924" s="1">
        <f>(Table1[[#This Row],[Selling_Price_per_Unit]]-Table1[[#This Row],[Manufacturing_Cost_per_Unit]])*Table1[[#This Row],[Units_Sold]]-Table1[[#This Row],[Marketing_Spend]]-Table1[[#This Row],[Discount_%]]</f>
        <v>-14990634.300000001</v>
      </c>
      <c r="U924" s="3">
        <f>Table1[[#This Row],[profit]]/(Table1[[#This Row],[Units_Sold]]*Table1[[#This Row],[Selling_Price_per_Unit]])*100</f>
        <v>-131.85122902750422</v>
      </c>
      <c r="V924" s="6">
        <f>Table1[[#This Row],[Units_Sold]]*Table1[[#This Row],[Selling_Price_per_Unit]]</f>
        <v>11369355</v>
      </c>
      <c r="W924" s="7">
        <f>(Table1[[#This Row],[Units_Sold]]/$Z$1)</f>
        <v>0.38338737460329914</v>
      </c>
      <c r="X924" s="8">
        <f>((Table1[[#This Row],[Units_Sold]]*(Table1[[#This Row],[Selling_Price_per_Unit]]-Table1[[#This Row],[Manufacturing_Cost_per_Unit]]))-Table1[[#This Row],[Marketing_Spend]])/Table1[[#This Row],[Marketing_Spend]]</f>
        <v>-45.248822039705033</v>
      </c>
    </row>
    <row r="925" spans="1:24" hidden="1" x14ac:dyDescent="0.3">
      <c r="A925" s="1" t="s">
        <v>942</v>
      </c>
      <c r="B925" s="1" t="s">
        <v>1267</v>
      </c>
      <c r="C925" s="1" t="s">
        <v>1632</v>
      </c>
      <c r="D925" s="1" t="s">
        <v>1636</v>
      </c>
      <c r="E925" s="1">
        <v>2024</v>
      </c>
      <c r="F925" s="1" t="s">
        <v>1642</v>
      </c>
      <c r="G925" s="1">
        <v>2962</v>
      </c>
      <c r="H925" s="1">
        <v>6935</v>
      </c>
      <c r="I925" s="1">
        <v>4540</v>
      </c>
      <c r="J925" s="1">
        <v>442208</v>
      </c>
      <c r="K925" s="1">
        <v>9.2100000000000009</v>
      </c>
      <c r="L925" s="1">
        <v>18</v>
      </c>
      <c r="M925" s="1">
        <v>0.25</v>
      </c>
      <c r="N925" s="1">
        <v>19.489999999999998</v>
      </c>
      <c r="O925" s="1">
        <v>68.36</v>
      </c>
      <c r="P925" s="1">
        <v>4.9000000000000004</v>
      </c>
      <c r="Q925" s="1">
        <v>19070</v>
      </c>
      <c r="R925" s="1">
        <v>9730</v>
      </c>
      <c r="S925" s="1">
        <v>5</v>
      </c>
      <c r="T925" s="1">
        <f>(Table1[[#This Row],[Selling_Price_per_Unit]]-Table1[[#This Row],[Manufacturing_Cost_per_Unit]])*Table1[[#This Row],[Units_Sold]]-Table1[[#This Row],[Marketing_Spend]]-Table1[[#This Row],[Discount_%]]</f>
        <v>6651762.5099999998</v>
      </c>
      <c r="U925" s="3">
        <f>Table1[[#This Row],[profit]]/(Table1[[#This Row],[Units_Sold]]*Table1[[#This Row],[Selling_Price_per_Unit]])*100</f>
        <v>32.382115350069881</v>
      </c>
      <c r="V925" s="6">
        <f>Table1[[#This Row],[Units_Sold]]*Table1[[#This Row],[Selling_Price_per_Unit]]</f>
        <v>20541470</v>
      </c>
      <c r="W925" s="7">
        <f>(Table1[[#This Row],[Units_Sold]]/$Z$1)</f>
        <v>0.59299916635768779</v>
      </c>
      <c r="X925" s="8">
        <f>((Table1[[#This Row],[Units_Sold]]*(Table1[[#This Row],[Selling_Price_per_Unit]]-Table1[[#This Row],[Manufacturing_Cost_per_Unit]]))-Table1[[#This Row],[Marketing_Spend]])/Table1[[#This Row],[Marketing_Spend]]</f>
        <v>15.042201859758304</v>
      </c>
    </row>
    <row r="926" spans="1:24" hidden="1" x14ac:dyDescent="0.3">
      <c r="A926" s="1" t="s">
        <v>943</v>
      </c>
      <c r="B926" s="1" t="s">
        <v>1603</v>
      </c>
      <c r="C926" s="1" t="s">
        <v>1633</v>
      </c>
      <c r="D926" s="1" t="s">
        <v>1637</v>
      </c>
      <c r="E926" s="1">
        <v>2023</v>
      </c>
      <c r="F926" s="1" t="s">
        <v>1640</v>
      </c>
      <c r="G926" s="1">
        <v>2903</v>
      </c>
      <c r="H926" s="1">
        <v>5607</v>
      </c>
      <c r="I926" s="1">
        <v>13266</v>
      </c>
      <c r="J926" s="1">
        <v>365665</v>
      </c>
      <c r="K926" s="1">
        <v>3.79</v>
      </c>
      <c r="L926" s="1">
        <v>15</v>
      </c>
      <c r="M926" s="1">
        <v>7.21</v>
      </c>
      <c r="N926" s="1">
        <v>19.18</v>
      </c>
      <c r="O926" s="1">
        <v>37.78</v>
      </c>
      <c r="P926" s="1">
        <v>3.5</v>
      </c>
      <c r="Q926" s="1">
        <v>5036</v>
      </c>
      <c r="R926" s="1">
        <v>7534</v>
      </c>
      <c r="S926" s="1">
        <v>2</v>
      </c>
      <c r="T926" s="1">
        <f>(Table1[[#This Row],[Selling_Price_per_Unit]]-Table1[[#This Row],[Manufacturing_Cost_per_Unit]])*Table1[[#This Row],[Units_Sold]]-Table1[[#This Row],[Marketing_Spend]]-Table1[[#This Row],[Discount_%]]</f>
        <v>-22599761.18</v>
      </c>
      <c r="U926" s="3">
        <f>Table1[[#This Row],[profit]]/(Table1[[#This Row],[Units_Sold]]*Table1[[#This Row],[Selling_Price_per_Unit]])*100</f>
        <v>-138.84372537379306</v>
      </c>
      <c r="V926" s="6">
        <f>Table1[[#This Row],[Units_Sold]]*Table1[[#This Row],[Selling_Price_per_Unit]]</f>
        <v>16277121</v>
      </c>
      <c r="W926" s="7">
        <f>(Table1[[#This Row],[Units_Sold]]/$Z$1)</f>
        <v>0.58118723157878716</v>
      </c>
      <c r="X926" s="8">
        <f>((Table1[[#This Row],[Units_Sold]]*(Table1[[#This Row],[Selling_Price_per_Unit]]-Table1[[#This Row],[Manufacturing_Cost_per_Unit]]))-Table1[[#This Row],[Marketing_Spend]])/Table1[[#This Row],[Marketing_Spend]]</f>
        <v>-61.804498653138801</v>
      </c>
    </row>
    <row r="927" spans="1:24" x14ac:dyDescent="0.3">
      <c r="A927" s="1" t="s">
        <v>944</v>
      </c>
      <c r="B927" s="1" t="s">
        <v>1201</v>
      </c>
      <c r="C927" s="1" t="s">
        <v>1632</v>
      </c>
      <c r="D927" s="1" t="s">
        <v>1637</v>
      </c>
      <c r="E927" s="1">
        <v>2023</v>
      </c>
      <c r="F927" s="1" t="s">
        <v>1639</v>
      </c>
      <c r="G927" s="1">
        <v>4960</v>
      </c>
      <c r="H927" s="1">
        <v>2060</v>
      </c>
      <c r="I927" s="1">
        <v>13219</v>
      </c>
      <c r="J927" s="1">
        <v>95740</v>
      </c>
      <c r="K927" s="1">
        <v>8.66</v>
      </c>
      <c r="L927" s="1">
        <v>6</v>
      </c>
      <c r="M927" s="1">
        <v>5.14</v>
      </c>
      <c r="N927" s="1">
        <v>24.32</v>
      </c>
      <c r="O927" s="1">
        <v>64.48</v>
      </c>
      <c r="P927" s="1">
        <v>4.3</v>
      </c>
      <c r="Q927" s="1">
        <v>3273</v>
      </c>
      <c r="R927" s="1">
        <v>1122</v>
      </c>
      <c r="S927" s="1">
        <v>3</v>
      </c>
      <c r="T927" s="1">
        <f>(Table1[[#This Row],[Selling_Price_per_Unit]]-Table1[[#This Row],[Manufacturing_Cost_per_Unit]])*Table1[[#This Row],[Units_Sold]]-Table1[[#This Row],[Marketing_Spend]]-Table1[[#This Row],[Discount_%]]</f>
        <v>-55444404.32</v>
      </c>
      <c r="U927" s="3">
        <f>Table1[[#This Row],[profit]]/(Table1[[#This Row],[Units_Sold]]*Table1[[#This Row],[Selling_Price_per_Unit]])*100</f>
        <v>-542.63627779517697</v>
      </c>
      <c r="V927" s="6">
        <f>Table1[[#This Row],[Units_Sold]]*Table1[[#This Row],[Selling_Price_per_Unit]]</f>
        <v>10217600</v>
      </c>
      <c r="W927" s="7">
        <f>(Table1[[#This Row],[Units_Sold]]/$Z$1)</f>
        <v>0.99300333056520307</v>
      </c>
      <c r="X927" s="8">
        <f>((Table1[[#This Row],[Units_Sold]]*(Table1[[#This Row],[Selling_Price_per_Unit]]-Table1[[#This Row],[Manufacturing_Cost_per_Unit]]))-Table1[[#This Row],[Marketing_Spend]])/Table1[[#This Row],[Marketing_Spend]]</f>
        <v>-579.11405890954666</v>
      </c>
    </row>
    <row r="928" spans="1:24" hidden="1" x14ac:dyDescent="0.3">
      <c r="A928" s="1" t="s">
        <v>533</v>
      </c>
      <c r="B928" s="1" t="s">
        <v>1412</v>
      </c>
      <c r="C928" s="1" t="s">
        <v>1634</v>
      </c>
      <c r="D928" s="1" t="s">
        <v>1637</v>
      </c>
      <c r="E928" s="1">
        <v>2023</v>
      </c>
      <c r="F928" s="1" t="s">
        <v>1639</v>
      </c>
      <c r="G928" s="1">
        <v>3043</v>
      </c>
      <c r="H928" s="1">
        <v>15129</v>
      </c>
      <c r="I928" s="1">
        <v>8900</v>
      </c>
      <c r="J928" s="1">
        <v>475113</v>
      </c>
      <c r="K928" s="1">
        <v>11.22</v>
      </c>
      <c r="L928" s="1">
        <v>6</v>
      </c>
      <c r="M928" s="1">
        <v>5.93</v>
      </c>
      <c r="N928" s="1">
        <v>23.29</v>
      </c>
      <c r="O928" s="1">
        <v>78.34</v>
      </c>
      <c r="P928" s="1">
        <v>3.9</v>
      </c>
      <c r="Q928" s="1">
        <v>12658</v>
      </c>
      <c r="R928" s="1">
        <v>6937</v>
      </c>
      <c r="S928" s="1">
        <v>10</v>
      </c>
      <c r="T928" s="1">
        <f>(Table1[[#This Row],[Selling_Price_per_Unit]]-Table1[[#This Row],[Manufacturing_Cost_per_Unit]])*Table1[[#This Row],[Units_Sold]]-Table1[[#This Row],[Marketing_Spend]]-Table1[[#This Row],[Discount_%]]</f>
        <v>18479710.710000001</v>
      </c>
      <c r="U928" s="3">
        <f>Table1[[#This Row],[profit]]/(Table1[[#This Row],[Units_Sold]]*Table1[[#This Row],[Selling_Price_per_Unit]])*100</f>
        <v>40.140519889124413</v>
      </c>
      <c r="V928" s="6">
        <f>Table1[[#This Row],[Units_Sold]]*Table1[[#This Row],[Selling_Price_per_Unit]]</f>
        <v>46037547</v>
      </c>
      <c r="W928" s="7">
        <f>(Table1[[#This Row],[Units_Sold]]/$Z$1)</f>
        <v>0.60921555139312755</v>
      </c>
      <c r="X928" s="8">
        <f>((Table1[[#This Row],[Units_Sold]]*(Table1[[#This Row],[Selling_Price_per_Unit]]-Table1[[#This Row],[Manufacturing_Cost_per_Unit]]))-Table1[[#This Row],[Marketing_Spend]])/Table1[[#This Row],[Marketing_Spend]]</f>
        <v>38.895450135020511</v>
      </c>
    </row>
    <row r="929" spans="1:24" x14ac:dyDescent="0.3">
      <c r="A929" s="1" t="s">
        <v>946</v>
      </c>
      <c r="B929" s="1" t="s">
        <v>1604</v>
      </c>
      <c r="C929" s="1" t="s">
        <v>1634</v>
      </c>
      <c r="D929" s="1" t="s">
        <v>1638</v>
      </c>
      <c r="E929" s="1">
        <v>2023</v>
      </c>
      <c r="F929" s="1" t="s">
        <v>1642</v>
      </c>
      <c r="G929" s="1">
        <v>3769</v>
      </c>
      <c r="H929" s="1">
        <v>3326</v>
      </c>
      <c r="I929" s="1">
        <v>2278</v>
      </c>
      <c r="J929" s="1">
        <v>448172</v>
      </c>
      <c r="K929" s="1">
        <v>12.35</v>
      </c>
      <c r="L929" s="1">
        <v>18</v>
      </c>
      <c r="M929" s="1">
        <v>6.32</v>
      </c>
      <c r="N929" s="1">
        <v>1.78</v>
      </c>
      <c r="O929" s="1">
        <v>21.65</v>
      </c>
      <c r="P929" s="1">
        <v>2.4</v>
      </c>
      <c r="Q929" s="1">
        <v>4058</v>
      </c>
      <c r="R929" s="1">
        <v>2137</v>
      </c>
      <c r="S929" s="1">
        <v>8</v>
      </c>
      <c r="T929" s="1">
        <f>(Table1[[#This Row],[Selling_Price_per_Unit]]-Table1[[#This Row],[Manufacturing_Cost_per_Unit]])*Table1[[#This Row],[Units_Sold]]-Table1[[#This Row],[Marketing_Spend]]-Table1[[#This Row],[Discount_%]]</f>
        <v>3501738.22</v>
      </c>
      <c r="U929" s="3">
        <f>Table1[[#This Row],[profit]]/(Table1[[#This Row],[Units_Sold]]*Table1[[#This Row],[Selling_Price_per_Unit]])*100</f>
        <v>27.934139266641324</v>
      </c>
      <c r="V929" s="6">
        <f>Table1[[#This Row],[Units_Sold]]*Table1[[#This Row],[Selling_Price_per_Unit]]</f>
        <v>12535694</v>
      </c>
      <c r="W929" s="7">
        <f>(Table1[[#This Row],[Units_Sold]]/$Z$1)</f>
        <v>0.75456240985892142</v>
      </c>
      <c r="X929" s="8">
        <f>((Table1[[#This Row],[Units_Sold]]*(Table1[[#This Row],[Selling_Price_per_Unit]]-Table1[[#This Row],[Manufacturing_Cost_per_Unit]]))-Table1[[#This Row],[Marketing_Spend]])/Table1[[#This Row],[Marketing_Spend]]</f>
        <v>7.8133841471577874</v>
      </c>
    </row>
    <row r="930" spans="1:24" hidden="1" x14ac:dyDescent="0.3">
      <c r="A930" s="1" t="s">
        <v>947</v>
      </c>
      <c r="B930" s="1" t="s">
        <v>1226</v>
      </c>
      <c r="C930" s="1" t="s">
        <v>1633</v>
      </c>
      <c r="D930" s="1" t="s">
        <v>1638</v>
      </c>
      <c r="E930" s="1">
        <v>2023</v>
      </c>
      <c r="F930" s="1" t="s">
        <v>1641</v>
      </c>
      <c r="G930" s="1">
        <v>3278</v>
      </c>
      <c r="H930" s="1">
        <v>12921</v>
      </c>
      <c r="I930" s="1">
        <v>11387</v>
      </c>
      <c r="J930" s="1">
        <v>298922</v>
      </c>
      <c r="K930" s="1">
        <v>12.31</v>
      </c>
      <c r="L930" s="1">
        <v>19</v>
      </c>
      <c r="M930" s="1">
        <v>5.27</v>
      </c>
      <c r="N930" s="1">
        <v>8.64</v>
      </c>
      <c r="O930" s="1">
        <v>42.49</v>
      </c>
      <c r="P930" s="1">
        <v>2</v>
      </c>
      <c r="Q930" s="1">
        <v>6579</v>
      </c>
      <c r="R930" s="1">
        <v>8856</v>
      </c>
      <c r="S930" s="1">
        <v>11</v>
      </c>
      <c r="T930" s="1">
        <f>(Table1[[#This Row],[Selling_Price_per_Unit]]-Table1[[#This Row],[Manufacturing_Cost_per_Unit]])*Table1[[#This Row],[Units_Sold]]-Table1[[#This Row],[Marketing_Spend]]-Table1[[#This Row],[Discount_%]]</f>
        <v>4729521.3600000003</v>
      </c>
      <c r="U930" s="3">
        <f>Table1[[#This Row],[profit]]/(Table1[[#This Row],[Units_Sold]]*Table1[[#This Row],[Selling_Price_per_Unit]])*100</f>
        <v>11.16637260483629</v>
      </c>
      <c r="V930" s="6">
        <f>Table1[[#This Row],[Units_Sold]]*Table1[[#This Row],[Selling_Price_per_Unit]]</f>
        <v>42355038</v>
      </c>
      <c r="W930" s="7">
        <f>(Table1[[#This Row],[Units_Sold]]/$Z$1)</f>
        <v>0.65626308822434187</v>
      </c>
      <c r="X930" s="8">
        <f>((Table1[[#This Row],[Units_Sold]]*(Table1[[#This Row],[Selling_Price_per_Unit]]-Table1[[#This Row],[Manufacturing_Cost_per_Unit]]))-Table1[[#This Row],[Marketing_Spend]])/Table1[[#This Row],[Marketing_Spend]]</f>
        <v>15.821953553100808</v>
      </c>
    </row>
    <row r="931" spans="1:24" hidden="1" x14ac:dyDescent="0.3">
      <c r="A931" s="1" t="s">
        <v>250</v>
      </c>
      <c r="B931" s="1" t="s">
        <v>1224</v>
      </c>
      <c r="C931" s="1" t="s">
        <v>1632</v>
      </c>
      <c r="D931" s="1" t="s">
        <v>1638</v>
      </c>
      <c r="E931" s="1">
        <v>2023</v>
      </c>
      <c r="F931" s="1" t="s">
        <v>1641</v>
      </c>
      <c r="G931" s="1">
        <v>1698</v>
      </c>
      <c r="H931" s="1">
        <v>15419</v>
      </c>
      <c r="I931" s="1">
        <v>4337</v>
      </c>
      <c r="J931" s="1">
        <v>398980</v>
      </c>
      <c r="K931" s="1">
        <v>3.71</v>
      </c>
      <c r="L931" s="1">
        <v>16</v>
      </c>
      <c r="M931" s="1">
        <v>6.91</v>
      </c>
      <c r="N931" s="1">
        <v>12.73</v>
      </c>
      <c r="O931" s="1">
        <v>62.33</v>
      </c>
      <c r="P931" s="1">
        <v>3.9</v>
      </c>
      <c r="Q931" s="1">
        <v>17706</v>
      </c>
      <c r="R931" s="1">
        <v>1903</v>
      </c>
      <c r="S931" s="1">
        <v>11</v>
      </c>
      <c r="T931" s="1">
        <f>(Table1[[#This Row],[Selling_Price_per_Unit]]-Table1[[#This Row],[Manufacturing_Cost_per_Unit]])*Table1[[#This Row],[Units_Sold]]-Table1[[#This Row],[Marketing_Spend]]-Table1[[#This Row],[Discount_%]]</f>
        <v>18418243.27</v>
      </c>
      <c r="U931" s="3">
        <f>Table1[[#This Row],[profit]]/(Table1[[#This Row],[Units_Sold]]*Table1[[#This Row],[Selling_Price_per_Unit]])*100</f>
        <v>70.3484139655761</v>
      </c>
      <c r="V931" s="6">
        <f>Table1[[#This Row],[Units_Sold]]*Table1[[#This Row],[Selling_Price_per_Unit]]</f>
        <v>26181462</v>
      </c>
      <c r="W931" s="7">
        <f>(Table1[[#This Row],[Units_Sold]]/$Z$1)</f>
        <v>0.33994347889107152</v>
      </c>
      <c r="X931" s="8">
        <f>((Table1[[#This Row],[Units_Sold]]*(Table1[[#This Row],[Selling_Price_per_Unit]]-Table1[[#This Row],[Manufacturing_Cost_per_Unit]]))-Table1[[#This Row],[Marketing_Spend]])/Table1[[#This Row],[Marketing_Spend]]</f>
        <v>46.163356559226024</v>
      </c>
    </row>
    <row r="932" spans="1:24" hidden="1" x14ac:dyDescent="0.3">
      <c r="A932" s="1" t="s">
        <v>949</v>
      </c>
      <c r="B932" s="1" t="s">
        <v>1606</v>
      </c>
      <c r="C932" s="1" t="s">
        <v>1632</v>
      </c>
      <c r="D932" s="1" t="s">
        <v>1637</v>
      </c>
      <c r="E932" s="1">
        <v>2024</v>
      </c>
      <c r="F932" s="1" t="s">
        <v>1640</v>
      </c>
      <c r="G932" s="1">
        <v>2941</v>
      </c>
      <c r="H932" s="1">
        <v>9129</v>
      </c>
      <c r="I932" s="1">
        <v>6325</v>
      </c>
      <c r="J932" s="1">
        <v>113811</v>
      </c>
      <c r="K932" s="1">
        <v>5.26</v>
      </c>
      <c r="L932" s="1">
        <v>6</v>
      </c>
      <c r="M932" s="1">
        <v>6.84</v>
      </c>
      <c r="N932" s="1">
        <v>10.95</v>
      </c>
      <c r="O932" s="1">
        <v>56.15</v>
      </c>
      <c r="P932" s="1">
        <v>2.9</v>
      </c>
      <c r="Q932" s="1">
        <v>11481</v>
      </c>
      <c r="R932" s="1">
        <v>1159</v>
      </c>
      <c r="S932" s="1">
        <v>7</v>
      </c>
      <c r="T932" s="1">
        <f>(Table1[[#This Row],[Selling_Price_per_Unit]]-Table1[[#This Row],[Manufacturing_Cost_per_Unit]])*Table1[[#This Row],[Units_Sold]]-Table1[[#This Row],[Marketing_Spend]]-Table1[[#This Row],[Discount_%]]</f>
        <v>8132742.0499999998</v>
      </c>
      <c r="U932" s="3">
        <f>Table1[[#This Row],[profit]]/(Table1[[#This Row],[Units_Sold]]*Table1[[#This Row],[Selling_Price_per_Unit]])*100</f>
        <v>30.291359567235116</v>
      </c>
      <c r="V932" s="6">
        <f>Table1[[#This Row],[Units_Sold]]*Table1[[#This Row],[Selling_Price_per_Unit]]</f>
        <v>26848389</v>
      </c>
      <c r="W932" s="7">
        <f>(Table1[[#This Row],[Units_Sold]]/$Z$1)</f>
        <v>0.58879491838553666</v>
      </c>
      <c r="X932" s="8">
        <f>((Table1[[#This Row],[Units_Sold]]*(Table1[[#This Row],[Selling_Price_per_Unit]]-Table1[[#This Row],[Manufacturing_Cost_per_Unit]]))-Table1[[#This Row],[Marketing_Spend]])/Table1[[#This Row],[Marketing_Spend]]</f>
        <v>71.458409116869191</v>
      </c>
    </row>
    <row r="933" spans="1:24" x14ac:dyDescent="0.3">
      <c r="A933" s="1" t="s">
        <v>950</v>
      </c>
      <c r="B933" s="1" t="s">
        <v>1267</v>
      </c>
      <c r="C933" s="1" t="s">
        <v>1633</v>
      </c>
      <c r="D933" s="1" t="s">
        <v>1635</v>
      </c>
      <c r="E933" s="1">
        <v>2024</v>
      </c>
      <c r="F933" s="1" t="s">
        <v>1642</v>
      </c>
      <c r="G933" s="1">
        <v>3806</v>
      </c>
      <c r="H933" s="1">
        <v>9825</v>
      </c>
      <c r="I933" s="1">
        <v>9570</v>
      </c>
      <c r="J933" s="1">
        <v>495376</v>
      </c>
      <c r="K933" s="1">
        <v>5.44</v>
      </c>
      <c r="L933" s="1">
        <v>8</v>
      </c>
      <c r="M933" s="1">
        <v>7.53</v>
      </c>
      <c r="N933" s="1">
        <v>20.440000000000001</v>
      </c>
      <c r="O933" s="1">
        <v>13.28</v>
      </c>
      <c r="P933" s="1">
        <v>2</v>
      </c>
      <c r="Q933" s="1">
        <v>5024</v>
      </c>
      <c r="R933" s="1">
        <v>1524</v>
      </c>
      <c r="S933" s="1">
        <v>4</v>
      </c>
      <c r="T933" s="1">
        <f>(Table1[[#This Row],[Selling_Price_per_Unit]]-Table1[[#This Row],[Manufacturing_Cost_per_Unit]])*Table1[[#This Row],[Units_Sold]]-Table1[[#This Row],[Marketing_Spend]]-Table1[[#This Row],[Discount_%]]</f>
        <v>475133.56</v>
      </c>
      <c r="U933" s="3">
        <f>Table1[[#This Row],[profit]]/(Table1[[#This Row],[Units_Sold]]*Table1[[#This Row],[Selling_Price_per_Unit]])*100</f>
        <v>1.2706161290797042</v>
      </c>
      <c r="V933" s="6">
        <f>Table1[[#This Row],[Units_Sold]]*Table1[[#This Row],[Selling_Price_per_Unit]]</f>
        <v>37393950</v>
      </c>
      <c r="W933" s="7">
        <f>(Table1[[#This Row],[Units_Sold]]/$Z$1)</f>
        <v>0.76196989438128282</v>
      </c>
      <c r="X933" s="8">
        <f>((Table1[[#This Row],[Units_Sold]]*(Table1[[#This Row],[Selling_Price_per_Unit]]-Table1[[#This Row],[Manufacturing_Cost_per_Unit]]))-Table1[[#This Row],[Marketing_Spend]])/Table1[[#This Row],[Marketing_Spend]]</f>
        <v>0.95917848260715088</v>
      </c>
    </row>
    <row r="934" spans="1:24" x14ac:dyDescent="0.3">
      <c r="A934" s="1" t="s">
        <v>951</v>
      </c>
      <c r="B934" s="1" t="s">
        <v>1057</v>
      </c>
      <c r="C934" s="1" t="s">
        <v>1634</v>
      </c>
      <c r="D934" s="1" t="s">
        <v>1638</v>
      </c>
      <c r="E934" s="1">
        <v>2023</v>
      </c>
      <c r="F934" s="1" t="s">
        <v>1642</v>
      </c>
      <c r="G934" s="1">
        <v>4275</v>
      </c>
      <c r="H934" s="1">
        <v>9193</v>
      </c>
      <c r="I934" s="1">
        <v>11893</v>
      </c>
      <c r="J934" s="1">
        <v>232385</v>
      </c>
      <c r="K934" s="1">
        <v>12.09</v>
      </c>
      <c r="L934" s="1">
        <v>12</v>
      </c>
      <c r="M934" s="1">
        <v>7.27</v>
      </c>
      <c r="N934" s="1">
        <v>13.73</v>
      </c>
      <c r="O934" s="1">
        <v>52.19</v>
      </c>
      <c r="P934" s="1">
        <v>4.5999999999999996</v>
      </c>
      <c r="Q934" s="1">
        <v>10498</v>
      </c>
      <c r="R934" s="1">
        <v>4223</v>
      </c>
      <c r="S934" s="1">
        <v>4</v>
      </c>
      <c r="T934" s="1">
        <f>(Table1[[#This Row],[Selling_Price_per_Unit]]-Table1[[#This Row],[Manufacturing_Cost_per_Unit]])*Table1[[#This Row],[Units_Sold]]-Table1[[#This Row],[Marketing_Spend]]-Table1[[#This Row],[Discount_%]]</f>
        <v>-11774898.73</v>
      </c>
      <c r="U934" s="3">
        <f>Table1[[#This Row],[profit]]/(Table1[[#This Row],[Units_Sold]]*Table1[[#This Row],[Selling_Price_per_Unit]])*100</f>
        <v>-29.961517198122394</v>
      </c>
      <c r="V934" s="6">
        <f>Table1[[#This Row],[Units_Sold]]*Table1[[#This Row],[Selling_Price_per_Unit]]</f>
        <v>39300075</v>
      </c>
      <c r="W934" s="7">
        <f>(Table1[[#This Row],[Units_Sold]]/$Z$1)</f>
        <v>0.85586476575932313</v>
      </c>
      <c r="X934" s="8">
        <f>((Table1[[#This Row],[Units_Sold]]*(Table1[[#This Row],[Selling_Price_per_Unit]]-Table1[[#This Row],[Manufacturing_Cost_per_Unit]]))-Table1[[#This Row],[Marketing_Spend]])/Table1[[#This Row],[Marketing_Spend]]</f>
        <v>-50.66972911332487</v>
      </c>
    </row>
    <row r="935" spans="1:24" hidden="1" x14ac:dyDescent="0.3">
      <c r="A935" s="1" t="s">
        <v>952</v>
      </c>
      <c r="B935" s="1" t="s">
        <v>1515</v>
      </c>
      <c r="C935" s="1" t="s">
        <v>1634</v>
      </c>
      <c r="D935" s="1" t="s">
        <v>1636</v>
      </c>
      <c r="E935" s="1">
        <v>2024</v>
      </c>
      <c r="F935" s="1" t="s">
        <v>1639</v>
      </c>
      <c r="G935" s="1">
        <v>144</v>
      </c>
      <c r="H935" s="1">
        <v>9764</v>
      </c>
      <c r="I935" s="1">
        <v>14603</v>
      </c>
      <c r="J935" s="1">
        <v>113232</v>
      </c>
      <c r="K935" s="1">
        <v>4.92</v>
      </c>
      <c r="L935" s="1">
        <v>0</v>
      </c>
      <c r="M935" s="1">
        <v>8.6999999999999993</v>
      </c>
      <c r="N935" s="1">
        <v>23.24</v>
      </c>
      <c r="O935" s="1">
        <v>80.91</v>
      </c>
      <c r="P935" s="1">
        <v>3.2</v>
      </c>
      <c r="Q935" s="1">
        <v>15197</v>
      </c>
      <c r="R935" s="1">
        <v>319</v>
      </c>
      <c r="S935" s="1">
        <v>5</v>
      </c>
      <c r="T935" s="1">
        <f>(Table1[[#This Row],[Selling_Price_per_Unit]]-Table1[[#This Row],[Manufacturing_Cost_per_Unit]])*Table1[[#This Row],[Units_Sold]]-Table1[[#This Row],[Marketing_Spend]]-Table1[[#This Row],[Discount_%]]</f>
        <v>-810071.24</v>
      </c>
      <c r="U935" s="3">
        <f>Table1[[#This Row],[profit]]/(Table1[[#This Row],[Units_Sold]]*Table1[[#This Row],[Selling_Price_per_Unit]])*100</f>
        <v>-57.614653033820382</v>
      </c>
      <c r="V935" s="6">
        <f>Table1[[#This Row],[Units_Sold]]*Table1[[#This Row],[Selling_Price_per_Unit]]</f>
        <v>1406016</v>
      </c>
      <c r="W935" s="7">
        <f>(Table1[[#This Row],[Units_Sold]]/$Z$1)</f>
        <v>2.8829128951892991E-2</v>
      </c>
      <c r="X935" s="8">
        <f>((Table1[[#This Row],[Units_Sold]]*(Table1[[#This Row],[Selling_Price_per_Unit]]-Table1[[#This Row],[Manufacturing_Cost_per_Unit]]))-Table1[[#This Row],[Marketing_Spend]])/Table1[[#This Row],[Marketing_Spend]]</f>
        <v>-7.1538787621873672</v>
      </c>
    </row>
    <row r="936" spans="1:24" hidden="1" x14ac:dyDescent="0.3">
      <c r="A936" s="1" t="s">
        <v>409</v>
      </c>
      <c r="B936" s="1" t="s">
        <v>1311</v>
      </c>
      <c r="C936" s="1" t="s">
        <v>1634</v>
      </c>
      <c r="D936" s="1" t="s">
        <v>1635</v>
      </c>
      <c r="E936" s="1">
        <v>2023</v>
      </c>
      <c r="F936" s="1" t="s">
        <v>1639</v>
      </c>
      <c r="G936" s="1">
        <v>1729</v>
      </c>
      <c r="H936" s="1">
        <v>12883</v>
      </c>
      <c r="I936" s="1">
        <v>2083</v>
      </c>
      <c r="J936" s="1">
        <v>323734</v>
      </c>
      <c r="K936" s="1">
        <v>6.77</v>
      </c>
      <c r="L936" s="1">
        <v>18</v>
      </c>
      <c r="M936" s="1">
        <v>7.92</v>
      </c>
      <c r="N936" s="1">
        <v>5.94</v>
      </c>
      <c r="O936" s="1">
        <v>89.57</v>
      </c>
      <c r="P936" s="1">
        <v>2</v>
      </c>
      <c r="Q936" s="1">
        <v>8773</v>
      </c>
      <c r="R936" s="1">
        <v>3157</v>
      </c>
      <c r="S936" s="1">
        <v>8</v>
      </c>
      <c r="T936" s="1">
        <f>(Table1[[#This Row],[Selling_Price_per_Unit]]-Table1[[#This Row],[Manufacturing_Cost_per_Unit]])*Table1[[#This Row],[Units_Sold]]-Table1[[#This Row],[Marketing_Spend]]-Table1[[#This Row],[Discount_%]]</f>
        <v>18349460.059999999</v>
      </c>
      <c r="U936" s="3">
        <f>Table1[[#This Row],[profit]]/(Table1[[#This Row],[Units_Sold]]*Table1[[#This Row],[Selling_Price_per_Unit]])*100</f>
        <v>82.378008653492046</v>
      </c>
      <c r="V936" s="6">
        <f>Table1[[#This Row],[Units_Sold]]*Table1[[#This Row],[Selling_Price_per_Unit]]</f>
        <v>22274707</v>
      </c>
      <c r="W936" s="7">
        <f>(Table1[[#This Row],[Units_Sold]]/$Z$1)</f>
        <v>0.34614974970710405</v>
      </c>
      <c r="X936" s="8">
        <f>((Table1[[#This Row],[Units_Sold]]*(Table1[[#This Row],[Selling_Price_per_Unit]]-Table1[[#This Row],[Manufacturing_Cost_per_Unit]]))-Table1[[#This Row],[Marketing_Spend]])/Table1[[#This Row],[Marketing_Spend]]</f>
        <v>56.680688466457028</v>
      </c>
    </row>
    <row r="937" spans="1:24" hidden="1" x14ac:dyDescent="0.3">
      <c r="A937" s="1" t="s">
        <v>791</v>
      </c>
      <c r="B937" s="1" t="s">
        <v>1539</v>
      </c>
      <c r="C937" s="1" t="s">
        <v>1634</v>
      </c>
      <c r="D937" s="1" t="s">
        <v>1636</v>
      </c>
      <c r="E937" s="1">
        <v>2023</v>
      </c>
      <c r="F937" s="1" t="s">
        <v>1641</v>
      </c>
      <c r="G937" s="1">
        <v>2208</v>
      </c>
      <c r="H937" s="1">
        <v>15145</v>
      </c>
      <c r="I937" s="1">
        <v>6725</v>
      </c>
      <c r="J937" s="1">
        <v>392504</v>
      </c>
      <c r="K937" s="1">
        <v>0.75</v>
      </c>
      <c r="L937" s="1">
        <v>19</v>
      </c>
      <c r="M937" s="1">
        <v>2.3199999999999998</v>
      </c>
      <c r="N937" s="1">
        <v>11.23</v>
      </c>
      <c r="O937" s="1">
        <v>34.68</v>
      </c>
      <c r="P937" s="1">
        <v>1.2</v>
      </c>
      <c r="Q937" s="1">
        <v>12181</v>
      </c>
      <c r="R937" s="1">
        <v>9716</v>
      </c>
      <c r="S937" s="1">
        <v>12</v>
      </c>
      <c r="T937" s="1">
        <f>(Table1[[#This Row],[Selling_Price_per_Unit]]-Table1[[#This Row],[Manufacturing_Cost_per_Unit]])*Table1[[#This Row],[Units_Sold]]-Table1[[#This Row],[Marketing_Spend]]-Table1[[#This Row],[Discount_%]]</f>
        <v>18198844.77</v>
      </c>
      <c r="U937" s="3">
        <f>Table1[[#This Row],[profit]]/(Table1[[#This Row],[Units_Sold]]*Table1[[#This Row],[Selling_Price_per_Unit]])*100</f>
        <v>54.42212229247707</v>
      </c>
      <c r="V937" s="6">
        <f>Table1[[#This Row],[Units_Sold]]*Table1[[#This Row],[Selling_Price_per_Unit]]</f>
        <v>33440160</v>
      </c>
      <c r="W937" s="7">
        <f>(Table1[[#This Row],[Units_Sold]]/$Z$1)</f>
        <v>0.44204664392902587</v>
      </c>
      <c r="X937" s="8">
        <f>((Table1[[#This Row],[Units_Sold]]*(Table1[[#This Row],[Selling_Price_per_Unit]]-Table1[[#This Row],[Manufacturing_Cost_per_Unit]]))-Table1[[#This Row],[Marketing_Spend]])/Table1[[#This Row],[Marketing_Spend]]</f>
        <v>46.366039581762223</v>
      </c>
    </row>
    <row r="938" spans="1:24" hidden="1" x14ac:dyDescent="0.3">
      <c r="A938" s="1" t="s">
        <v>955</v>
      </c>
      <c r="B938" s="1" t="s">
        <v>1608</v>
      </c>
      <c r="C938" s="1" t="s">
        <v>1633</v>
      </c>
      <c r="D938" s="1" t="s">
        <v>1637</v>
      </c>
      <c r="E938" s="1">
        <v>2024</v>
      </c>
      <c r="F938" s="1" t="s">
        <v>1639</v>
      </c>
      <c r="G938" s="1">
        <v>843</v>
      </c>
      <c r="H938" s="1">
        <v>8221</v>
      </c>
      <c r="I938" s="1">
        <v>1985</v>
      </c>
      <c r="J938" s="1">
        <v>162492</v>
      </c>
      <c r="K938" s="1">
        <v>7</v>
      </c>
      <c r="L938" s="1">
        <v>2</v>
      </c>
      <c r="M938" s="1">
        <v>9.48</v>
      </c>
      <c r="N938" s="1">
        <v>11.41</v>
      </c>
      <c r="O938" s="1">
        <v>83.76</v>
      </c>
      <c r="P938" s="1">
        <v>3.2</v>
      </c>
      <c r="Q938" s="1">
        <v>14929</v>
      </c>
      <c r="R938" s="1">
        <v>2418</v>
      </c>
      <c r="S938" s="1">
        <v>8</v>
      </c>
      <c r="T938" s="1">
        <f>(Table1[[#This Row],[Selling_Price_per_Unit]]-Table1[[#This Row],[Manufacturing_Cost_per_Unit]])*Table1[[#This Row],[Units_Sold]]-Table1[[#This Row],[Marketing_Spend]]-Table1[[#This Row],[Discount_%]]</f>
        <v>5094444.59</v>
      </c>
      <c r="U938" s="3">
        <f>Table1[[#This Row],[profit]]/(Table1[[#This Row],[Units_Sold]]*Table1[[#This Row],[Selling_Price_per_Unit]])*100</f>
        <v>73.509694886356343</v>
      </c>
      <c r="V938" s="6">
        <f>Table1[[#This Row],[Units_Sold]]*Table1[[#This Row],[Selling_Price_per_Unit]]</f>
        <v>6930303</v>
      </c>
      <c r="W938" s="7">
        <f>(Table1[[#This Row],[Units_Sold]]/$Z$1)</f>
        <v>0.16877052573920689</v>
      </c>
      <c r="X938" s="8">
        <f>((Table1[[#This Row],[Units_Sold]]*(Table1[[#This Row],[Selling_Price_per_Unit]]-Table1[[#This Row],[Manufacturing_Cost_per_Unit]]))-Table1[[#This Row],[Marketing_Spend]])/Table1[[#This Row],[Marketing_Spend]]</f>
        <v>31.352041946680451</v>
      </c>
    </row>
    <row r="939" spans="1:24" hidden="1" x14ac:dyDescent="0.3">
      <c r="A939" s="1" t="s">
        <v>956</v>
      </c>
      <c r="B939" s="1" t="s">
        <v>1450</v>
      </c>
      <c r="C939" s="1" t="s">
        <v>1633</v>
      </c>
      <c r="D939" s="1" t="s">
        <v>1637</v>
      </c>
      <c r="E939" s="1">
        <v>2024</v>
      </c>
      <c r="F939" s="1" t="s">
        <v>1641</v>
      </c>
      <c r="G939" s="1">
        <v>1884</v>
      </c>
      <c r="H939" s="1">
        <v>8873</v>
      </c>
      <c r="I939" s="1">
        <v>3194</v>
      </c>
      <c r="J939" s="1">
        <v>80099</v>
      </c>
      <c r="K939" s="1">
        <v>7.23</v>
      </c>
      <c r="L939" s="1">
        <v>2</v>
      </c>
      <c r="M939" s="1">
        <v>3.97</v>
      </c>
      <c r="N939" s="1">
        <v>15.24</v>
      </c>
      <c r="O939" s="1">
        <v>18.36</v>
      </c>
      <c r="P939" s="1">
        <v>4.8</v>
      </c>
      <c r="Q939" s="1">
        <v>17539</v>
      </c>
      <c r="R939" s="1">
        <v>9966</v>
      </c>
      <c r="S939" s="1">
        <v>4</v>
      </c>
      <c r="T939" s="1">
        <f>(Table1[[#This Row],[Selling_Price_per_Unit]]-Table1[[#This Row],[Manufacturing_Cost_per_Unit]])*Table1[[#This Row],[Units_Sold]]-Table1[[#This Row],[Marketing_Spend]]-Table1[[#This Row],[Discount_%]]</f>
        <v>10619121.76</v>
      </c>
      <c r="U939" s="3">
        <f>Table1[[#This Row],[profit]]/(Table1[[#This Row],[Units_Sold]]*Table1[[#This Row],[Selling_Price_per_Unit]])*100</f>
        <v>63.523909816823043</v>
      </c>
      <c r="V939" s="6">
        <f>Table1[[#This Row],[Units_Sold]]*Table1[[#This Row],[Selling_Price_per_Unit]]</f>
        <v>16716732</v>
      </c>
      <c r="W939" s="7">
        <f>(Table1[[#This Row],[Units_Sold]]/$Z$1)</f>
        <v>0.3771811037872666</v>
      </c>
      <c r="X939" s="8">
        <f>((Table1[[#This Row],[Units_Sold]]*(Table1[[#This Row],[Selling_Price_per_Unit]]-Table1[[#This Row],[Manufacturing_Cost_per_Unit]]))-Table1[[#This Row],[Marketing_Spend]])/Table1[[#This Row],[Marketing_Spend]]</f>
        <v>132.57515075094571</v>
      </c>
    </row>
    <row r="940" spans="1:24" hidden="1" x14ac:dyDescent="0.3">
      <c r="A940" s="1" t="s">
        <v>957</v>
      </c>
      <c r="B940" s="1" t="s">
        <v>1609</v>
      </c>
      <c r="C940" s="1" t="s">
        <v>1632</v>
      </c>
      <c r="D940" s="1" t="s">
        <v>1638</v>
      </c>
      <c r="E940" s="1">
        <v>2023</v>
      </c>
      <c r="F940" s="1" t="s">
        <v>1641</v>
      </c>
      <c r="G940" s="1">
        <v>2166</v>
      </c>
      <c r="H940" s="1">
        <v>7407</v>
      </c>
      <c r="I940" s="1">
        <v>11990</v>
      </c>
      <c r="J940" s="1">
        <v>279206</v>
      </c>
      <c r="K940" s="1">
        <v>12.61</v>
      </c>
      <c r="L940" s="1">
        <v>12</v>
      </c>
      <c r="M940" s="1">
        <v>1.25</v>
      </c>
      <c r="N940" s="1">
        <v>6.4</v>
      </c>
      <c r="O940" s="1">
        <v>20.3</v>
      </c>
      <c r="P940" s="1">
        <v>3</v>
      </c>
      <c r="Q940" s="1">
        <v>8640</v>
      </c>
      <c r="R940" s="1">
        <v>9083</v>
      </c>
      <c r="S940" s="1">
        <v>9</v>
      </c>
      <c r="T940" s="1">
        <f>(Table1[[#This Row],[Selling_Price_per_Unit]]-Table1[[#This Row],[Manufacturing_Cost_per_Unit]])*Table1[[#This Row],[Units_Sold]]-Table1[[#This Row],[Marketing_Spend]]-Table1[[#This Row],[Discount_%]]</f>
        <v>-10205990.4</v>
      </c>
      <c r="U940" s="3">
        <f>Table1[[#This Row],[profit]]/(Table1[[#This Row],[Units_Sold]]*Table1[[#This Row],[Selling_Price_per_Unit]])*100</f>
        <v>-63.614242273629763</v>
      </c>
      <c r="V940" s="6">
        <f>Table1[[#This Row],[Units_Sold]]*Table1[[#This Row],[Selling_Price_per_Unit]]</f>
        <v>16043562</v>
      </c>
      <c r="W940" s="7">
        <f>(Table1[[#This Row],[Units_Sold]]/$Z$1)</f>
        <v>0.43363814798472372</v>
      </c>
      <c r="X940" s="8">
        <f>((Table1[[#This Row],[Units_Sold]]*(Table1[[#This Row],[Selling_Price_per_Unit]]-Table1[[#This Row],[Manufacturing_Cost_per_Unit]]))-Table1[[#This Row],[Marketing_Spend]])/Table1[[#This Row],[Marketing_Spend]]</f>
        <v>-36.553598418372097</v>
      </c>
    </row>
    <row r="941" spans="1:24" x14ac:dyDescent="0.3">
      <c r="A941" s="1" t="s">
        <v>958</v>
      </c>
      <c r="B941" s="1" t="s">
        <v>1440</v>
      </c>
      <c r="C941" s="1" t="s">
        <v>1633</v>
      </c>
      <c r="D941" s="1" t="s">
        <v>1638</v>
      </c>
      <c r="E941" s="1">
        <v>2024</v>
      </c>
      <c r="F941" s="1" t="s">
        <v>1639</v>
      </c>
      <c r="G941" s="1">
        <v>4156</v>
      </c>
      <c r="H941" s="1">
        <v>17627</v>
      </c>
      <c r="I941" s="1">
        <v>14472</v>
      </c>
      <c r="J941" s="1">
        <v>473177</v>
      </c>
      <c r="K941" s="1">
        <v>3.32</v>
      </c>
      <c r="L941" s="1">
        <v>7</v>
      </c>
      <c r="M941" s="1">
        <v>5.25</v>
      </c>
      <c r="N941" s="1">
        <v>10.18</v>
      </c>
      <c r="O941" s="1">
        <v>54.56</v>
      </c>
      <c r="P941" s="1">
        <v>4.5</v>
      </c>
      <c r="Q941" s="1">
        <v>10285</v>
      </c>
      <c r="R941" s="1">
        <v>5158</v>
      </c>
      <c r="S941" s="1">
        <v>9</v>
      </c>
      <c r="T941" s="1">
        <f>(Table1[[#This Row],[Selling_Price_per_Unit]]-Table1[[#This Row],[Manufacturing_Cost_per_Unit]])*Table1[[#This Row],[Units_Sold]]-Table1[[#This Row],[Marketing_Spend]]-Table1[[#This Row],[Discount_%]]</f>
        <v>12638992.82</v>
      </c>
      <c r="U941" s="3">
        <f>Table1[[#This Row],[profit]]/(Table1[[#This Row],[Units_Sold]]*Table1[[#This Row],[Selling_Price_per_Unit]])*100</f>
        <v>17.252757726370536</v>
      </c>
      <c r="V941" s="6">
        <f>Table1[[#This Row],[Units_Sold]]*Table1[[#This Row],[Selling_Price_per_Unit]]</f>
        <v>73257812</v>
      </c>
      <c r="W941" s="7">
        <f>(Table1[[#This Row],[Units_Sold]]/$Z$1)</f>
        <v>0.83204069391713387</v>
      </c>
      <c r="X941" s="8">
        <f>((Table1[[#This Row],[Units_Sold]]*(Table1[[#This Row],[Selling_Price_per_Unit]]-Table1[[#This Row],[Manufacturing_Cost_per_Unit]]))-Table1[[#This Row],[Marketing_Spend]])/Table1[[#This Row],[Marketing_Spend]]</f>
        <v>26.710941148872408</v>
      </c>
    </row>
    <row r="942" spans="1:24" hidden="1" x14ac:dyDescent="0.3">
      <c r="A942" s="1" t="s">
        <v>959</v>
      </c>
      <c r="B942" s="1" t="s">
        <v>1298</v>
      </c>
      <c r="C942" s="1" t="s">
        <v>1632</v>
      </c>
      <c r="D942" s="1" t="s">
        <v>1636</v>
      </c>
      <c r="E942" s="1">
        <v>2023</v>
      </c>
      <c r="F942" s="1" t="s">
        <v>1641</v>
      </c>
      <c r="G942" s="1">
        <v>3375</v>
      </c>
      <c r="H942" s="1">
        <v>7156</v>
      </c>
      <c r="I942" s="1">
        <v>10784</v>
      </c>
      <c r="J942" s="1">
        <v>455818</v>
      </c>
      <c r="K942" s="1">
        <v>5.71</v>
      </c>
      <c r="L942" s="1">
        <v>6</v>
      </c>
      <c r="M942" s="1">
        <v>1.0900000000000001</v>
      </c>
      <c r="N942" s="1">
        <v>16.940000000000001</v>
      </c>
      <c r="O942" s="1">
        <v>81.52</v>
      </c>
      <c r="P942" s="1">
        <v>2.4</v>
      </c>
      <c r="Q942" s="1">
        <v>16401</v>
      </c>
      <c r="R942" s="1">
        <v>1409</v>
      </c>
      <c r="S942" s="1">
        <v>12</v>
      </c>
      <c r="T942" s="1">
        <f>(Table1[[#This Row],[Selling_Price_per_Unit]]-Table1[[#This Row],[Manufacturing_Cost_per_Unit]])*Table1[[#This Row],[Units_Sold]]-Table1[[#This Row],[Marketing_Spend]]-Table1[[#This Row],[Discount_%]]</f>
        <v>-12700334.939999999</v>
      </c>
      <c r="U942" s="3">
        <f>Table1[[#This Row],[profit]]/(Table1[[#This Row],[Units_Sold]]*Table1[[#This Row],[Selling_Price_per_Unit]])*100</f>
        <v>-52.586112415377926</v>
      </c>
      <c r="V942" s="6">
        <f>Table1[[#This Row],[Units_Sold]]*Table1[[#This Row],[Selling_Price_per_Unit]]</f>
        <v>24151500</v>
      </c>
      <c r="W942" s="7">
        <f>(Table1[[#This Row],[Units_Sold]]/$Z$1)</f>
        <v>0.67568270980999201</v>
      </c>
      <c r="X942" s="8">
        <f>((Table1[[#This Row],[Units_Sold]]*(Table1[[#This Row],[Selling_Price_per_Unit]]-Table1[[#This Row],[Manufacturing_Cost_per_Unit]]))-Table1[[#This Row],[Marketing_Spend]])/Table1[[#This Row],[Marketing_Spend]]</f>
        <v>-27.862695198522218</v>
      </c>
    </row>
    <row r="943" spans="1:24" hidden="1" x14ac:dyDescent="0.3">
      <c r="A943" s="1" t="s">
        <v>960</v>
      </c>
      <c r="B943" s="1" t="s">
        <v>1610</v>
      </c>
      <c r="C943" s="1" t="s">
        <v>1634</v>
      </c>
      <c r="D943" s="1" t="s">
        <v>1637</v>
      </c>
      <c r="E943" s="1">
        <v>2023</v>
      </c>
      <c r="F943" s="1" t="s">
        <v>1640</v>
      </c>
      <c r="G943" s="1">
        <v>2969</v>
      </c>
      <c r="H943" s="1">
        <v>10484</v>
      </c>
      <c r="I943" s="1">
        <v>10102</v>
      </c>
      <c r="J943" s="1">
        <v>168474</v>
      </c>
      <c r="K943" s="1">
        <v>12.13</v>
      </c>
      <c r="L943" s="1">
        <v>0</v>
      </c>
      <c r="M943" s="1">
        <v>2.0299999999999998</v>
      </c>
      <c r="N943" s="1">
        <v>5.67</v>
      </c>
      <c r="O943" s="1">
        <v>87.95</v>
      </c>
      <c r="P943" s="1">
        <v>2.5</v>
      </c>
      <c r="Q943" s="1">
        <v>4780</v>
      </c>
      <c r="R943" s="1">
        <v>7721</v>
      </c>
      <c r="S943" s="1">
        <v>14</v>
      </c>
      <c r="T943" s="1">
        <f>(Table1[[#This Row],[Selling_Price_per_Unit]]-Table1[[#This Row],[Manufacturing_Cost_per_Unit]])*Table1[[#This Row],[Units_Sold]]-Table1[[#This Row],[Marketing_Spend]]-Table1[[#This Row],[Discount_%]]</f>
        <v>965678.33</v>
      </c>
      <c r="U943" s="3">
        <f>Table1[[#This Row],[profit]]/(Table1[[#This Row],[Units_Sold]]*Table1[[#This Row],[Selling_Price_per_Unit]])*100</f>
        <v>3.1023820287701387</v>
      </c>
      <c r="V943" s="6">
        <f>Table1[[#This Row],[Units_Sold]]*Table1[[#This Row],[Selling_Price_per_Unit]]</f>
        <v>31126996</v>
      </c>
      <c r="W943" s="7">
        <f>(Table1[[#This Row],[Units_Sold]]/$Z$1)</f>
        <v>0.59440058234840476</v>
      </c>
      <c r="X943" s="8">
        <f>((Table1[[#This Row],[Units_Sold]]*(Table1[[#This Row],[Selling_Price_per_Unit]]-Table1[[#This Row],[Manufacturing_Cost_per_Unit]]))-Table1[[#This Row],[Marketing_Spend]])/Table1[[#This Row],[Marketing_Spend]]</f>
        <v>5.7319467692344217</v>
      </c>
    </row>
    <row r="944" spans="1:24" hidden="1" x14ac:dyDescent="0.3">
      <c r="A944" s="1" t="s">
        <v>961</v>
      </c>
      <c r="B944" s="1" t="s">
        <v>1263</v>
      </c>
      <c r="C944" s="1" t="s">
        <v>1632</v>
      </c>
      <c r="D944" s="1" t="s">
        <v>1637</v>
      </c>
      <c r="E944" s="1">
        <v>2024</v>
      </c>
      <c r="F944" s="1" t="s">
        <v>1641</v>
      </c>
      <c r="G944" s="1">
        <v>2647</v>
      </c>
      <c r="H944" s="1">
        <v>9786</v>
      </c>
      <c r="I944" s="1">
        <v>4805</v>
      </c>
      <c r="J944" s="1">
        <v>321400</v>
      </c>
      <c r="K944" s="1">
        <v>12.35</v>
      </c>
      <c r="L944" s="1">
        <v>15</v>
      </c>
      <c r="M944" s="1">
        <v>9.98</v>
      </c>
      <c r="N944" s="1">
        <v>15.05</v>
      </c>
      <c r="O944" s="1">
        <v>13.7</v>
      </c>
      <c r="P944" s="1">
        <v>2.7</v>
      </c>
      <c r="Q944" s="1">
        <v>3712</v>
      </c>
      <c r="R944" s="1">
        <v>5029</v>
      </c>
      <c r="S944" s="1">
        <v>8</v>
      </c>
      <c r="T944" s="1">
        <f>(Table1[[#This Row],[Selling_Price_per_Unit]]-Table1[[#This Row],[Manufacturing_Cost_per_Unit]])*Table1[[#This Row],[Units_Sold]]-Table1[[#This Row],[Marketing_Spend]]-Table1[[#This Row],[Discount_%]]</f>
        <v>12863291.949999999</v>
      </c>
      <c r="U944" s="3">
        <f>Table1[[#This Row],[profit]]/(Table1[[#This Row],[Units_Sold]]*Table1[[#This Row],[Selling_Price_per_Unit]])*100</f>
        <v>49.658428758507235</v>
      </c>
      <c r="V944" s="6">
        <f>Table1[[#This Row],[Units_Sold]]*Table1[[#This Row],[Selling_Price_per_Unit]]</f>
        <v>25903542</v>
      </c>
      <c r="W944" s="7">
        <f>(Table1[[#This Row],[Units_Sold]]/$Z$1)</f>
        <v>0.52993544677542181</v>
      </c>
      <c r="X944" s="8">
        <f>((Table1[[#This Row],[Units_Sold]]*(Table1[[#This Row],[Selling_Price_per_Unit]]-Table1[[#This Row],[Manufacturing_Cost_per_Unit]]))-Table1[[#This Row],[Marketing_Spend]])/Table1[[#This Row],[Marketing_Spend]]</f>
        <v>40.02273490976976</v>
      </c>
    </row>
    <row r="945" spans="1:24" hidden="1" x14ac:dyDescent="0.3">
      <c r="A945" s="1" t="s">
        <v>962</v>
      </c>
      <c r="B945" s="1" t="s">
        <v>1380</v>
      </c>
      <c r="C945" s="1" t="s">
        <v>1634</v>
      </c>
      <c r="D945" s="1" t="s">
        <v>1636</v>
      </c>
      <c r="E945" s="1">
        <v>2024</v>
      </c>
      <c r="F945" s="1" t="s">
        <v>1641</v>
      </c>
      <c r="G945" s="1">
        <v>3255</v>
      </c>
      <c r="H945" s="1">
        <v>7401</v>
      </c>
      <c r="I945" s="1">
        <v>8229</v>
      </c>
      <c r="J945" s="1">
        <v>293588</v>
      </c>
      <c r="K945" s="1">
        <v>5.77</v>
      </c>
      <c r="L945" s="1">
        <v>5</v>
      </c>
      <c r="M945" s="1">
        <v>5.41</v>
      </c>
      <c r="N945" s="1">
        <v>17.440000000000001</v>
      </c>
      <c r="O945" s="1">
        <v>38.46</v>
      </c>
      <c r="P945" s="1">
        <v>3.2</v>
      </c>
      <c r="Q945" s="1">
        <v>16713</v>
      </c>
      <c r="R945" s="1">
        <v>9622</v>
      </c>
      <c r="S945" s="1">
        <v>3</v>
      </c>
      <c r="T945" s="1">
        <f>(Table1[[#This Row],[Selling_Price_per_Unit]]-Table1[[#This Row],[Manufacturing_Cost_per_Unit]])*Table1[[#This Row],[Units_Sold]]-Table1[[#This Row],[Marketing_Spend]]-Table1[[#This Row],[Discount_%]]</f>
        <v>-2988745.44</v>
      </c>
      <c r="U945" s="3">
        <f>Table1[[#This Row],[profit]]/(Table1[[#This Row],[Units_Sold]]*Table1[[#This Row],[Selling_Price_per_Unit]])*100</f>
        <v>-12.406449993991346</v>
      </c>
      <c r="V945" s="6">
        <f>Table1[[#This Row],[Units_Sold]]*Table1[[#This Row],[Selling_Price_per_Unit]]</f>
        <v>24090255</v>
      </c>
      <c r="W945" s="7">
        <f>(Table1[[#This Row],[Units_Sold]]/$Z$1)</f>
        <v>0.65165843568341453</v>
      </c>
      <c r="X945" s="8">
        <f>((Table1[[#This Row],[Units_Sold]]*(Table1[[#This Row],[Selling_Price_per_Unit]]-Table1[[#This Row],[Manufacturing_Cost_per_Unit]]))-Table1[[#This Row],[Marketing_Spend]])/Table1[[#This Row],[Marketing_Spend]]</f>
        <v>-10.180007357248934</v>
      </c>
    </row>
    <row r="946" spans="1:24" x14ac:dyDescent="0.3">
      <c r="A946" s="1" t="s">
        <v>963</v>
      </c>
      <c r="B946" s="1" t="s">
        <v>1611</v>
      </c>
      <c r="C946" s="1" t="s">
        <v>1633</v>
      </c>
      <c r="D946" s="1" t="s">
        <v>1638</v>
      </c>
      <c r="E946" s="1">
        <v>2024</v>
      </c>
      <c r="F946" s="1" t="s">
        <v>1642</v>
      </c>
      <c r="G946" s="1">
        <v>4857</v>
      </c>
      <c r="H946" s="1">
        <v>6417</v>
      </c>
      <c r="I946" s="1">
        <v>3061</v>
      </c>
      <c r="J946" s="1">
        <v>84681</v>
      </c>
      <c r="K946" s="1">
        <v>6.89</v>
      </c>
      <c r="L946" s="1">
        <v>6</v>
      </c>
      <c r="M946" s="1">
        <v>2.84</v>
      </c>
      <c r="N946" s="1">
        <v>2.2599999999999998</v>
      </c>
      <c r="O946" s="1">
        <v>27.03</v>
      </c>
      <c r="P946" s="1">
        <v>3.2</v>
      </c>
      <c r="Q946" s="1">
        <v>9578</v>
      </c>
      <c r="R946" s="1">
        <v>8802</v>
      </c>
      <c r="S946" s="1">
        <v>6</v>
      </c>
      <c r="T946" s="1">
        <f>(Table1[[#This Row],[Selling_Price_per_Unit]]-Table1[[#This Row],[Manufacturing_Cost_per_Unit]])*Table1[[#This Row],[Units_Sold]]-Table1[[#This Row],[Marketing_Spend]]-Table1[[#This Row],[Discount_%]]</f>
        <v>16215408.74</v>
      </c>
      <c r="U946" s="3">
        <f>Table1[[#This Row],[profit]]/(Table1[[#This Row],[Units_Sold]]*Table1[[#This Row],[Selling_Price_per_Unit]])*100</f>
        <v>52.026877020001272</v>
      </c>
      <c r="V946" s="6">
        <f>Table1[[#This Row],[Units_Sold]]*Table1[[#This Row],[Selling_Price_per_Unit]]</f>
        <v>31167369</v>
      </c>
      <c r="W946" s="7">
        <f>(Table1[[#This Row],[Units_Sold]]/$Z$1)</f>
        <v>0.97238249527322396</v>
      </c>
      <c r="X946" s="8">
        <f>((Table1[[#This Row],[Units_Sold]]*(Table1[[#This Row],[Selling_Price_per_Unit]]-Table1[[#This Row],[Manufacturing_Cost_per_Unit]]))-Table1[[#This Row],[Marketing_Spend]])/Table1[[#This Row],[Marketing_Spend]]</f>
        <v>191.4881850710313</v>
      </c>
    </row>
    <row r="947" spans="1:24" hidden="1" x14ac:dyDescent="0.3">
      <c r="A947" s="1" t="s">
        <v>964</v>
      </c>
      <c r="B947" s="1" t="s">
        <v>1531</v>
      </c>
      <c r="C947" s="1" t="s">
        <v>1632</v>
      </c>
      <c r="D947" s="1" t="s">
        <v>1635</v>
      </c>
      <c r="E947" s="1">
        <v>2023</v>
      </c>
      <c r="F947" s="1" t="s">
        <v>1639</v>
      </c>
      <c r="G947" s="1">
        <v>864</v>
      </c>
      <c r="H947" s="1">
        <v>9929</v>
      </c>
      <c r="I947" s="1">
        <v>4536</v>
      </c>
      <c r="J947" s="1">
        <v>141328</v>
      </c>
      <c r="K947" s="1">
        <v>4.55</v>
      </c>
      <c r="L947" s="1">
        <v>11</v>
      </c>
      <c r="M947" s="1">
        <v>9.9499999999999993</v>
      </c>
      <c r="N947" s="1">
        <v>12.44</v>
      </c>
      <c r="O947" s="1">
        <v>70.48</v>
      </c>
      <c r="P947" s="1">
        <v>3</v>
      </c>
      <c r="Q947" s="1">
        <v>17436</v>
      </c>
      <c r="R947" s="1">
        <v>8783</v>
      </c>
      <c r="S947" s="1">
        <v>7</v>
      </c>
      <c r="T947" s="1">
        <f>(Table1[[#This Row],[Selling_Price_per_Unit]]-Table1[[#This Row],[Manufacturing_Cost_per_Unit]])*Table1[[#This Row],[Units_Sold]]-Table1[[#This Row],[Marketing_Spend]]-Table1[[#This Row],[Discount_%]]</f>
        <v>4518211.5599999996</v>
      </c>
      <c r="U947" s="3">
        <f>Table1[[#This Row],[profit]]/(Table1[[#This Row],[Units_Sold]]*Table1[[#This Row],[Selling_Price_per_Unit]])*100</f>
        <v>52.668058493078632</v>
      </c>
      <c r="V947" s="6">
        <f>Table1[[#This Row],[Units_Sold]]*Table1[[#This Row],[Selling_Price_per_Unit]]</f>
        <v>8578656</v>
      </c>
      <c r="W947" s="7">
        <f>(Table1[[#This Row],[Units_Sold]]/$Z$1)</f>
        <v>0.17297477371135794</v>
      </c>
      <c r="X947" s="8">
        <f>((Table1[[#This Row],[Units_Sold]]*(Table1[[#This Row],[Selling_Price_per_Unit]]-Table1[[#This Row],[Manufacturing_Cost_per_Unit]]))-Table1[[#This Row],[Marketing_Spend]])/Table1[[#This Row],[Marketing_Spend]]</f>
        <v>31.96977244424318</v>
      </c>
    </row>
    <row r="948" spans="1:24" hidden="1" x14ac:dyDescent="0.3">
      <c r="A948" s="1" t="s">
        <v>965</v>
      </c>
      <c r="B948" s="1" t="s">
        <v>1321</v>
      </c>
      <c r="C948" s="1" t="s">
        <v>1634</v>
      </c>
      <c r="D948" s="1" t="s">
        <v>1636</v>
      </c>
      <c r="E948" s="1">
        <v>2023</v>
      </c>
      <c r="F948" s="1" t="s">
        <v>1639</v>
      </c>
      <c r="G948" s="1">
        <v>395</v>
      </c>
      <c r="H948" s="1">
        <v>16216</v>
      </c>
      <c r="I948" s="1">
        <v>12785</v>
      </c>
      <c r="J948" s="1">
        <v>268512</v>
      </c>
      <c r="K948" s="1">
        <v>13.99</v>
      </c>
      <c r="L948" s="1">
        <v>8</v>
      </c>
      <c r="M948" s="1">
        <v>9.67</v>
      </c>
      <c r="N948" s="1">
        <v>6.58</v>
      </c>
      <c r="O948" s="1">
        <v>61.22</v>
      </c>
      <c r="P948" s="1">
        <v>2.2000000000000002</v>
      </c>
      <c r="Q948" s="1">
        <v>18497</v>
      </c>
      <c r="R948" s="1">
        <v>1717</v>
      </c>
      <c r="S948" s="1">
        <v>13</v>
      </c>
      <c r="T948" s="1">
        <f>(Table1[[#This Row],[Selling_Price_per_Unit]]-Table1[[#This Row],[Manufacturing_Cost_per_Unit]])*Table1[[#This Row],[Units_Sold]]-Table1[[#This Row],[Marketing_Spend]]-Table1[[#This Row],[Discount_%]]</f>
        <v>1086726.42</v>
      </c>
      <c r="U948" s="3">
        <f>Table1[[#This Row],[profit]]/(Table1[[#This Row],[Units_Sold]]*Table1[[#This Row],[Selling_Price_per_Unit]])*100</f>
        <v>16.965997327221746</v>
      </c>
      <c r="V948" s="6">
        <f>Table1[[#This Row],[Units_Sold]]*Table1[[#This Row],[Selling_Price_per_Unit]]</f>
        <v>6405320</v>
      </c>
      <c r="W948" s="7">
        <f>(Table1[[#This Row],[Units_Sold]]/$Z$1)</f>
        <v>7.9079902333317575E-2</v>
      </c>
      <c r="X948" s="8">
        <f>((Table1[[#This Row],[Units_Sold]]*(Table1[[#This Row],[Selling_Price_per_Unit]]-Table1[[#This Row],[Manufacturing_Cost_per_Unit]]))-Table1[[#This Row],[Marketing_Spend]])/Table1[[#This Row],[Marketing_Spend]]</f>
        <v>4.0472418364914793</v>
      </c>
    </row>
    <row r="949" spans="1:24" hidden="1" x14ac:dyDescent="0.3">
      <c r="A949" s="1" t="s">
        <v>966</v>
      </c>
      <c r="B949" s="1" t="s">
        <v>1051</v>
      </c>
      <c r="C949" s="1" t="s">
        <v>1633</v>
      </c>
      <c r="D949" s="1" t="s">
        <v>1636</v>
      </c>
      <c r="E949" s="1">
        <v>2024</v>
      </c>
      <c r="F949" s="1" t="s">
        <v>1639</v>
      </c>
      <c r="G949" s="1">
        <v>2399</v>
      </c>
      <c r="H949" s="1">
        <v>17295</v>
      </c>
      <c r="I949" s="1">
        <v>10928</v>
      </c>
      <c r="J949" s="1">
        <v>355505</v>
      </c>
      <c r="K949" s="1">
        <v>1.78</v>
      </c>
      <c r="L949" s="1">
        <v>10</v>
      </c>
      <c r="M949" s="1">
        <v>4.41</v>
      </c>
      <c r="N949" s="1">
        <v>18.11</v>
      </c>
      <c r="O949" s="1">
        <v>19.59</v>
      </c>
      <c r="P949" s="1">
        <v>4.7</v>
      </c>
      <c r="Q949" s="1">
        <v>15774</v>
      </c>
      <c r="R949" s="1">
        <v>1620</v>
      </c>
      <c r="S949" s="1">
        <v>11</v>
      </c>
      <c r="T949" s="1">
        <f>(Table1[[#This Row],[Selling_Price_per_Unit]]-Table1[[#This Row],[Manufacturing_Cost_per_Unit]])*Table1[[#This Row],[Units_Sold]]-Table1[[#This Row],[Marketing_Spend]]-Table1[[#This Row],[Discount_%]]</f>
        <v>14918909.890000001</v>
      </c>
      <c r="U949" s="3">
        <f>Table1[[#This Row],[profit]]/(Table1[[#This Row],[Units_Sold]]*Table1[[#This Row],[Selling_Price_per_Unit]])*100</f>
        <v>35.957234011810598</v>
      </c>
      <c r="V949" s="6">
        <f>Table1[[#This Row],[Units_Sold]]*Table1[[#This Row],[Selling_Price_per_Unit]]</f>
        <v>41490705</v>
      </c>
      <c r="W949" s="7">
        <f>(Table1[[#This Row],[Units_Sold]]/$Z$1)</f>
        <v>0.48028528024716172</v>
      </c>
      <c r="X949" s="8">
        <f>((Table1[[#This Row],[Units_Sold]]*(Table1[[#This Row],[Selling_Price_per_Unit]]-Table1[[#This Row],[Manufacturing_Cost_per_Unit]]))-Table1[[#This Row],[Marketing_Spend]])/Table1[[#This Row],[Marketing_Spend]]</f>
        <v>41.965451962700946</v>
      </c>
    </row>
    <row r="950" spans="1:24" hidden="1" x14ac:dyDescent="0.3">
      <c r="A950" s="1" t="s">
        <v>967</v>
      </c>
      <c r="B950" s="1" t="s">
        <v>1130</v>
      </c>
      <c r="C950" s="1" t="s">
        <v>1633</v>
      </c>
      <c r="D950" s="1" t="s">
        <v>1637</v>
      </c>
      <c r="E950" s="1">
        <v>2023</v>
      </c>
      <c r="F950" s="1" t="s">
        <v>1641</v>
      </c>
      <c r="G950" s="1">
        <v>412</v>
      </c>
      <c r="H950" s="1">
        <v>12638</v>
      </c>
      <c r="I950" s="1">
        <v>7516</v>
      </c>
      <c r="J950" s="1">
        <v>84540</v>
      </c>
      <c r="K950" s="1">
        <v>14.01</v>
      </c>
      <c r="L950" s="1">
        <v>9</v>
      </c>
      <c r="M950" s="1">
        <v>2.6</v>
      </c>
      <c r="N950" s="1">
        <v>4.74</v>
      </c>
      <c r="O950" s="1">
        <v>48.68</v>
      </c>
      <c r="P950" s="1">
        <v>3.4</v>
      </c>
      <c r="Q950" s="1">
        <v>2368</v>
      </c>
      <c r="R950" s="1">
        <v>7992</v>
      </c>
      <c r="S950" s="1">
        <v>5</v>
      </c>
      <c r="T950" s="1">
        <f>(Table1[[#This Row],[Selling_Price_per_Unit]]-Table1[[#This Row],[Manufacturing_Cost_per_Unit]])*Table1[[#This Row],[Units_Sold]]-Table1[[#This Row],[Marketing_Spend]]-Table1[[#This Row],[Discount_%]]</f>
        <v>2025719.26</v>
      </c>
      <c r="U950" s="3">
        <f>Table1[[#This Row],[profit]]/(Table1[[#This Row],[Units_Sold]]*Table1[[#This Row],[Selling_Price_per_Unit]])*100</f>
        <v>38.904845073495409</v>
      </c>
      <c r="V950" s="6">
        <f>Table1[[#This Row],[Units_Sold]]*Table1[[#This Row],[Selling_Price_per_Unit]]</f>
        <v>5206856</v>
      </c>
      <c r="W950" s="7">
        <f>(Table1[[#This Row],[Units_Sold]]/$Z$1)</f>
        <v>8.2483341167916058E-2</v>
      </c>
      <c r="X950" s="8">
        <f>((Table1[[#This Row],[Units_Sold]]*(Table1[[#This Row],[Selling_Price_per_Unit]]-Table1[[#This Row],[Manufacturing_Cost_per_Unit]]))-Table1[[#This Row],[Marketing_Spend]])/Table1[[#This Row],[Marketing_Spend]]</f>
        <v>23.961722261651289</v>
      </c>
    </row>
    <row r="951" spans="1:24" hidden="1" x14ac:dyDescent="0.3">
      <c r="A951" s="1" t="s">
        <v>968</v>
      </c>
      <c r="B951" s="1" t="s">
        <v>1612</v>
      </c>
      <c r="C951" s="1" t="s">
        <v>1634</v>
      </c>
      <c r="D951" s="1" t="s">
        <v>1638</v>
      </c>
      <c r="E951" s="1">
        <v>2023</v>
      </c>
      <c r="F951" s="1" t="s">
        <v>1639</v>
      </c>
      <c r="G951" s="1">
        <v>2493</v>
      </c>
      <c r="H951" s="1">
        <v>4030</v>
      </c>
      <c r="I951" s="1">
        <v>5675</v>
      </c>
      <c r="J951" s="1">
        <v>207608</v>
      </c>
      <c r="K951" s="1">
        <v>10.26</v>
      </c>
      <c r="L951" s="1">
        <v>0</v>
      </c>
      <c r="M951" s="1">
        <v>8.3800000000000008</v>
      </c>
      <c r="N951" s="1">
        <v>22.31</v>
      </c>
      <c r="O951" s="1">
        <v>64.84</v>
      </c>
      <c r="P951" s="1">
        <v>2.6</v>
      </c>
      <c r="Q951" s="1">
        <v>18695</v>
      </c>
      <c r="R951" s="1">
        <v>1683</v>
      </c>
      <c r="S951" s="1">
        <v>14</v>
      </c>
      <c r="T951" s="1">
        <f>(Table1[[#This Row],[Selling_Price_per_Unit]]-Table1[[#This Row],[Manufacturing_Cost_per_Unit]])*Table1[[#This Row],[Units_Sold]]-Table1[[#This Row],[Marketing_Spend]]-Table1[[#This Row],[Discount_%]]</f>
        <v>-4308615.3099999996</v>
      </c>
      <c r="U951" s="3">
        <f>Table1[[#This Row],[profit]]/(Table1[[#This Row],[Units_Sold]]*Table1[[#This Row],[Selling_Price_per_Unit]])*100</f>
        <v>-42.885491883477208</v>
      </c>
      <c r="V951" s="6">
        <f>Table1[[#This Row],[Units_Sold]]*Table1[[#This Row],[Selling_Price_per_Unit]]</f>
        <v>10046790</v>
      </c>
      <c r="W951" s="7">
        <f>(Table1[[#This Row],[Units_Sold]]/$Z$1)</f>
        <v>0.49910429497964742</v>
      </c>
      <c r="X951" s="8">
        <f>((Table1[[#This Row],[Units_Sold]]*(Table1[[#This Row],[Selling_Price_per_Unit]]-Table1[[#This Row],[Manufacturing_Cost_per_Unit]]))-Table1[[#This Row],[Marketing_Spend]])/Table1[[#This Row],[Marketing_Spend]]</f>
        <v>-20.753501791838463</v>
      </c>
    </row>
    <row r="952" spans="1:24" hidden="1" x14ac:dyDescent="0.3">
      <c r="A952" s="1" t="s">
        <v>969</v>
      </c>
      <c r="B952" s="1" t="s">
        <v>1567</v>
      </c>
      <c r="C952" s="1" t="s">
        <v>1633</v>
      </c>
      <c r="D952" s="1" t="s">
        <v>1638</v>
      </c>
      <c r="E952" s="1">
        <v>2024</v>
      </c>
      <c r="F952" s="1" t="s">
        <v>1640</v>
      </c>
      <c r="G952" s="1">
        <v>2315</v>
      </c>
      <c r="H952" s="1">
        <v>19844</v>
      </c>
      <c r="I952" s="1">
        <v>13349</v>
      </c>
      <c r="J952" s="1">
        <v>134700</v>
      </c>
      <c r="K952" s="1">
        <v>7.97</v>
      </c>
      <c r="L952" s="1">
        <v>17</v>
      </c>
      <c r="M952" s="1">
        <v>7.16</v>
      </c>
      <c r="N952" s="1">
        <v>10.77</v>
      </c>
      <c r="O952" s="1">
        <v>72.319999999999993</v>
      </c>
      <c r="P952" s="1">
        <v>3.6</v>
      </c>
      <c r="Q952" s="1">
        <v>17542</v>
      </c>
      <c r="R952" s="1">
        <v>6804</v>
      </c>
      <c r="S952" s="1">
        <v>11</v>
      </c>
      <c r="T952" s="1">
        <f>(Table1[[#This Row],[Selling_Price_per_Unit]]-Table1[[#This Row],[Manufacturing_Cost_per_Unit]])*Table1[[#This Row],[Units_Sold]]-Table1[[#This Row],[Marketing_Spend]]-Table1[[#This Row],[Discount_%]]</f>
        <v>14901214.23</v>
      </c>
      <c r="U952" s="3">
        <f>Table1[[#This Row],[profit]]/(Table1[[#This Row],[Units_Sold]]*Table1[[#This Row],[Selling_Price_per_Unit]])*100</f>
        <v>32.437057058011455</v>
      </c>
      <c r="V952" s="6">
        <f>Table1[[#This Row],[Units_Sold]]*Table1[[#This Row],[Selling_Price_per_Unit]]</f>
        <v>45938860</v>
      </c>
      <c r="W952" s="7">
        <f>(Table1[[#This Row],[Units_Sold]]/$Z$1)</f>
        <v>0.46346828835855747</v>
      </c>
      <c r="X952" s="8">
        <f>((Table1[[#This Row],[Units_Sold]]*(Table1[[#This Row],[Selling_Price_per_Unit]]-Table1[[#This Row],[Manufacturing_Cost_per_Unit]]))-Table1[[#This Row],[Marketing_Spend]])/Table1[[#This Row],[Marketing_Spend]]</f>
        <v>110.62527839643653</v>
      </c>
    </row>
    <row r="953" spans="1:24" hidden="1" x14ac:dyDescent="0.3">
      <c r="A953" s="1" t="s">
        <v>322</v>
      </c>
      <c r="B953" s="1" t="s">
        <v>1148</v>
      </c>
      <c r="C953" s="1" t="s">
        <v>1633</v>
      </c>
      <c r="D953" s="1" t="s">
        <v>1636</v>
      </c>
      <c r="E953" s="1">
        <v>2023</v>
      </c>
      <c r="F953" s="1" t="s">
        <v>1642</v>
      </c>
      <c r="G953" s="1">
        <v>1866</v>
      </c>
      <c r="H953" s="1">
        <v>13373</v>
      </c>
      <c r="I953" s="1">
        <v>3434</v>
      </c>
      <c r="J953" s="1">
        <v>415209</v>
      </c>
      <c r="K953" s="1">
        <v>4.9000000000000004</v>
      </c>
      <c r="L953" s="1">
        <v>18</v>
      </c>
      <c r="M953" s="1">
        <v>5.84</v>
      </c>
      <c r="N953" s="1">
        <v>5.33</v>
      </c>
      <c r="O953" s="1">
        <v>39.5</v>
      </c>
      <c r="P953" s="1">
        <v>5</v>
      </c>
      <c r="Q953" s="1">
        <v>7727</v>
      </c>
      <c r="R953" s="1">
        <v>9823</v>
      </c>
      <c r="S953" s="1">
        <v>7</v>
      </c>
      <c r="T953" s="1">
        <f>(Table1[[#This Row],[Selling_Price_per_Unit]]-Table1[[#This Row],[Manufacturing_Cost_per_Unit]])*Table1[[#This Row],[Units_Sold]]-Table1[[#This Row],[Marketing_Spend]]-Table1[[#This Row],[Discount_%]]</f>
        <v>18130959.670000002</v>
      </c>
      <c r="U953" s="3">
        <f>Table1[[#This Row],[profit]]/(Table1[[#This Row],[Units_Sold]]*Table1[[#This Row],[Selling_Price_per_Unit]])*100</f>
        <v>72.657476122682937</v>
      </c>
      <c r="V953" s="6">
        <f>Table1[[#This Row],[Units_Sold]]*Table1[[#This Row],[Selling_Price_per_Unit]]</f>
        <v>24954018</v>
      </c>
      <c r="W953" s="7">
        <f>(Table1[[#This Row],[Units_Sold]]/$Z$1)</f>
        <v>0.37357746266828001</v>
      </c>
      <c r="X953" s="8">
        <f>((Table1[[#This Row],[Units_Sold]]*(Table1[[#This Row],[Selling_Price_per_Unit]]-Table1[[#This Row],[Manufacturing_Cost_per_Unit]]))-Table1[[#This Row],[Marketing_Spend]])/Table1[[#This Row],[Marketing_Spend]]</f>
        <v>43.667080915876099</v>
      </c>
    </row>
    <row r="954" spans="1:24" hidden="1" x14ac:dyDescent="0.3">
      <c r="A954" s="1" t="s">
        <v>971</v>
      </c>
      <c r="B954" s="1" t="s">
        <v>1388</v>
      </c>
      <c r="C954" s="1" t="s">
        <v>1634</v>
      </c>
      <c r="D954" s="1" t="s">
        <v>1637</v>
      </c>
      <c r="E954" s="1">
        <v>2023</v>
      </c>
      <c r="F954" s="1" t="s">
        <v>1640</v>
      </c>
      <c r="G954" s="1">
        <v>3055</v>
      </c>
      <c r="H954" s="1">
        <v>7272</v>
      </c>
      <c r="I954" s="1">
        <v>5178</v>
      </c>
      <c r="J954" s="1">
        <v>237647</v>
      </c>
      <c r="K954" s="1">
        <v>7.13</v>
      </c>
      <c r="L954" s="1">
        <v>4</v>
      </c>
      <c r="M954" s="1">
        <v>8.93</v>
      </c>
      <c r="N954" s="1">
        <v>10.95</v>
      </c>
      <c r="O954" s="1">
        <v>81.239999999999995</v>
      </c>
      <c r="P954" s="1">
        <v>4.8</v>
      </c>
      <c r="Q954" s="1">
        <v>17754</v>
      </c>
      <c r="R954" s="1">
        <v>6683</v>
      </c>
      <c r="S954" s="1">
        <v>10</v>
      </c>
      <c r="T954" s="1">
        <f>(Table1[[#This Row],[Selling_Price_per_Unit]]-Table1[[#This Row],[Manufacturing_Cost_per_Unit]])*Table1[[#This Row],[Units_Sold]]-Table1[[#This Row],[Marketing_Spend]]-Table1[[#This Row],[Discount_%]]</f>
        <v>6159512.0499999998</v>
      </c>
      <c r="U954" s="3">
        <f>Table1[[#This Row],[profit]]/(Table1[[#This Row],[Units_Sold]]*Table1[[#This Row],[Selling_Price_per_Unit]])*100</f>
        <v>27.725617303956252</v>
      </c>
      <c r="V954" s="6">
        <f>Table1[[#This Row],[Units_Sold]]*Table1[[#This Row],[Selling_Price_per_Unit]]</f>
        <v>22215960</v>
      </c>
      <c r="W954" s="7">
        <f>(Table1[[#This Row],[Units_Sold]]/$Z$1)</f>
        <v>0.61161797880578528</v>
      </c>
      <c r="X954" s="8">
        <f>((Table1[[#This Row],[Units_Sold]]*(Table1[[#This Row],[Selling_Price_per_Unit]]-Table1[[#This Row],[Manufacturing_Cost_per_Unit]]))-Table1[[#This Row],[Marketing_Spend]])/Table1[[#This Row],[Marketing_Spend]]</f>
        <v>25.918791316532506</v>
      </c>
    </row>
    <row r="955" spans="1:24" hidden="1" x14ac:dyDescent="0.3">
      <c r="A955" s="1" t="s">
        <v>111</v>
      </c>
      <c r="B955" s="1" t="s">
        <v>1106</v>
      </c>
      <c r="C955" s="1" t="s">
        <v>1634</v>
      </c>
      <c r="D955" s="1" t="s">
        <v>1636</v>
      </c>
      <c r="E955" s="1">
        <v>2024</v>
      </c>
      <c r="F955" s="1" t="s">
        <v>1640</v>
      </c>
      <c r="G955" s="1">
        <v>2328</v>
      </c>
      <c r="H955" s="1">
        <v>8583</v>
      </c>
      <c r="I955" s="1">
        <v>878</v>
      </c>
      <c r="J955" s="1">
        <v>52282</v>
      </c>
      <c r="K955" s="1">
        <v>10.57</v>
      </c>
      <c r="L955" s="1">
        <v>11</v>
      </c>
      <c r="M955" s="1">
        <v>3.39</v>
      </c>
      <c r="N955" s="1">
        <v>16.97</v>
      </c>
      <c r="O955" s="1">
        <v>20</v>
      </c>
      <c r="P955" s="1">
        <v>4.8</v>
      </c>
      <c r="Q955" s="1">
        <v>9580</v>
      </c>
      <c r="R955" s="1">
        <v>8924</v>
      </c>
      <c r="S955" s="1">
        <v>13</v>
      </c>
      <c r="T955" s="1">
        <f>(Table1[[#This Row],[Selling_Price_per_Unit]]-Table1[[#This Row],[Manufacturing_Cost_per_Unit]])*Table1[[#This Row],[Units_Sold]]-Table1[[#This Row],[Marketing_Spend]]-Table1[[#This Row],[Discount_%]]</f>
        <v>17884941.030000001</v>
      </c>
      <c r="U955" s="3">
        <f>Table1[[#This Row],[profit]]/(Table1[[#This Row],[Units_Sold]]*Table1[[#This Row],[Selling_Price_per_Unit]])*100</f>
        <v>89.508735951311095</v>
      </c>
      <c r="V955" s="6">
        <f>Table1[[#This Row],[Units_Sold]]*Table1[[#This Row],[Selling_Price_per_Unit]]</f>
        <v>19981224</v>
      </c>
      <c r="W955" s="7">
        <f>(Table1[[#This Row],[Units_Sold]]/$Z$1)</f>
        <v>0.46607091805560336</v>
      </c>
      <c r="X955" s="8">
        <f>((Table1[[#This Row],[Units_Sold]]*(Table1[[#This Row],[Selling_Price_per_Unit]]-Table1[[#This Row],[Manufacturing_Cost_per_Unit]]))-Table1[[#This Row],[Marketing_Spend]])/Table1[[#This Row],[Marketing_Spend]]</f>
        <v>342.08633946673808</v>
      </c>
    </row>
    <row r="956" spans="1:24" hidden="1" x14ac:dyDescent="0.3">
      <c r="A956" s="1" t="s">
        <v>973</v>
      </c>
      <c r="B956" s="1" t="s">
        <v>1434</v>
      </c>
      <c r="C956" s="1" t="s">
        <v>1634</v>
      </c>
      <c r="D956" s="1" t="s">
        <v>1638</v>
      </c>
      <c r="E956" s="1">
        <v>2024</v>
      </c>
      <c r="F956" s="1" t="s">
        <v>1641</v>
      </c>
      <c r="G956" s="1">
        <v>1034</v>
      </c>
      <c r="H956" s="1">
        <v>17251</v>
      </c>
      <c r="I956" s="1">
        <v>14578</v>
      </c>
      <c r="J956" s="1">
        <v>446087</v>
      </c>
      <c r="K956" s="1">
        <v>2.42</v>
      </c>
      <c r="L956" s="1">
        <v>16</v>
      </c>
      <c r="M956" s="1">
        <v>2.84</v>
      </c>
      <c r="N956" s="1">
        <v>10.72</v>
      </c>
      <c r="O956" s="1">
        <v>74.95</v>
      </c>
      <c r="P956" s="1">
        <v>1.4</v>
      </c>
      <c r="Q956" s="1">
        <v>3756</v>
      </c>
      <c r="R956" s="1">
        <v>7035</v>
      </c>
      <c r="S956" s="1">
        <v>8</v>
      </c>
      <c r="T956" s="1">
        <f>(Table1[[#This Row],[Selling_Price_per_Unit]]-Table1[[#This Row],[Manufacturing_Cost_per_Unit]])*Table1[[#This Row],[Units_Sold]]-Table1[[#This Row],[Marketing_Spend]]-Table1[[#This Row],[Discount_%]]</f>
        <v>2317784.2799999998</v>
      </c>
      <c r="U956" s="3">
        <f>Table1[[#This Row],[profit]]/(Table1[[#This Row],[Units_Sold]]*Table1[[#This Row],[Selling_Price_per_Unit]])*100</f>
        <v>12.993860474211289</v>
      </c>
      <c r="V956" s="6">
        <f>Table1[[#This Row],[Units_Sold]]*Table1[[#This Row],[Selling_Price_per_Unit]]</f>
        <v>17837534</v>
      </c>
      <c r="W956" s="7">
        <f>(Table1[[#This Row],[Units_Sold]]/$Z$1)</f>
        <v>0.20700916205734274</v>
      </c>
      <c r="X956" s="8">
        <f>((Table1[[#This Row],[Units_Sold]]*(Table1[[#This Row],[Selling_Price_per_Unit]]-Table1[[#This Row],[Manufacturing_Cost_per_Unit]]))-Table1[[#This Row],[Marketing_Spend]])/Table1[[#This Row],[Marketing_Spend]]</f>
        <v>5.1958362382225891</v>
      </c>
    </row>
    <row r="957" spans="1:24" hidden="1" x14ac:dyDescent="0.3">
      <c r="A957" s="1" t="s">
        <v>974</v>
      </c>
      <c r="B957" s="1" t="s">
        <v>1489</v>
      </c>
      <c r="C957" s="1" t="s">
        <v>1634</v>
      </c>
      <c r="D957" s="1" t="s">
        <v>1635</v>
      </c>
      <c r="E957" s="1">
        <v>2023</v>
      </c>
      <c r="F957" s="1" t="s">
        <v>1642</v>
      </c>
      <c r="G957" s="1">
        <v>1689</v>
      </c>
      <c r="H957" s="1">
        <v>4464</v>
      </c>
      <c r="I957" s="1">
        <v>4251</v>
      </c>
      <c r="J957" s="1">
        <v>96002</v>
      </c>
      <c r="K957" s="1">
        <v>9.85</v>
      </c>
      <c r="L957" s="1">
        <v>2</v>
      </c>
      <c r="M957" s="1">
        <v>6.94</v>
      </c>
      <c r="N957" s="1">
        <v>14.64</v>
      </c>
      <c r="O957" s="1">
        <v>74.64</v>
      </c>
      <c r="P957" s="1">
        <v>2.8</v>
      </c>
      <c r="Q957" s="1">
        <v>13359</v>
      </c>
      <c r="R957" s="1">
        <v>6276</v>
      </c>
      <c r="S957" s="1">
        <v>3</v>
      </c>
      <c r="T957" s="1">
        <f>(Table1[[#This Row],[Selling_Price_per_Unit]]-Table1[[#This Row],[Manufacturing_Cost_per_Unit]])*Table1[[#This Row],[Units_Sold]]-Table1[[#This Row],[Marketing_Spend]]-Table1[[#This Row],[Discount_%]]</f>
        <v>263740.36</v>
      </c>
      <c r="U957" s="3">
        <f>Table1[[#This Row],[profit]]/(Table1[[#This Row],[Units_Sold]]*Table1[[#This Row],[Selling_Price_per_Unit]])*100</f>
        <v>3.4980237930017339</v>
      </c>
      <c r="V957" s="6">
        <f>Table1[[#This Row],[Units_Sold]]*Table1[[#This Row],[Selling_Price_per_Unit]]</f>
        <v>7539696</v>
      </c>
      <c r="W957" s="7">
        <f>(Table1[[#This Row],[Units_Sold]]/$Z$1)</f>
        <v>0.33814165833157822</v>
      </c>
      <c r="X957" s="8">
        <f>((Table1[[#This Row],[Units_Sold]]*(Table1[[#This Row],[Selling_Price_per_Unit]]-Table1[[#This Row],[Manufacturing_Cost_per_Unit]]))-Table1[[#This Row],[Marketing_Spend]])/Table1[[#This Row],[Marketing_Spend]]</f>
        <v>2.7473906793608465</v>
      </c>
    </row>
    <row r="958" spans="1:24" hidden="1" x14ac:dyDescent="0.3">
      <c r="A958" s="1" t="s">
        <v>975</v>
      </c>
      <c r="B958" s="1" t="s">
        <v>1243</v>
      </c>
      <c r="C958" s="1" t="s">
        <v>1633</v>
      </c>
      <c r="D958" s="1" t="s">
        <v>1636</v>
      </c>
      <c r="E958" s="1">
        <v>2023</v>
      </c>
      <c r="F958" s="1" t="s">
        <v>1639</v>
      </c>
      <c r="G958" s="1">
        <v>877</v>
      </c>
      <c r="H958" s="1">
        <v>8637</v>
      </c>
      <c r="I958" s="1">
        <v>13449</v>
      </c>
      <c r="J958" s="1">
        <v>99812</v>
      </c>
      <c r="K958" s="1">
        <v>14.57</v>
      </c>
      <c r="L958" s="1">
        <v>15</v>
      </c>
      <c r="M958" s="1">
        <v>3.06</v>
      </c>
      <c r="N958" s="1">
        <v>13.03</v>
      </c>
      <c r="O958" s="1">
        <v>25.19</v>
      </c>
      <c r="P958" s="1">
        <v>2.9</v>
      </c>
      <c r="Q958" s="1">
        <v>6923</v>
      </c>
      <c r="R958" s="1">
        <v>9338</v>
      </c>
      <c r="S958" s="1">
        <v>12</v>
      </c>
      <c r="T958" s="1">
        <f>(Table1[[#This Row],[Selling_Price_per_Unit]]-Table1[[#This Row],[Manufacturing_Cost_per_Unit]])*Table1[[#This Row],[Units_Sold]]-Table1[[#This Row],[Marketing_Spend]]-Table1[[#This Row],[Discount_%]]</f>
        <v>-4319949.03</v>
      </c>
      <c r="U958" s="3">
        <f>Table1[[#This Row],[profit]]/(Table1[[#This Row],[Units_Sold]]*Table1[[#This Row],[Selling_Price_per_Unit]])*100</f>
        <v>-57.031672754737549</v>
      </c>
      <c r="V958" s="6">
        <f>Table1[[#This Row],[Units_Sold]]*Table1[[#This Row],[Selling_Price_per_Unit]]</f>
        <v>7574649</v>
      </c>
      <c r="W958" s="7">
        <f>(Table1[[#This Row],[Units_Sold]]/$Z$1)</f>
        <v>0.17557740340840383</v>
      </c>
      <c r="X958" s="8">
        <f>((Table1[[#This Row],[Units_Sold]]*(Table1[[#This Row],[Selling_Price_per_Unit]]-Table1[[#This Row],[Manufacturing_Cost_per_Unit]]))-Table1[[#This Row],[Marketing_Spend]])/Table1[[#This Row],[Marketing_Spend]]</f>
        <v>-43.280727768204223</v>
      </c>
    </row>
    <row r="959" spans="1:24" hidden="1" x14ac:dyDescent="0.3">
      <c r="A959" s="1" t="s">
        <v>797</v>
      </c>
      <c r="B959" s="1" t="s">
        <v>1082</v>
      </c>
      <c r="C959" s="1" t="s">
        <v>1634</v>
      </c>
      <c r="D959" s="1" t="s">
        <v>1638</v>
      </c>
      <c r="E959" s="1">
        <v>2024</v>
      </c>
      <c r="F959" s="1" t="s">
        <v>1640</v>
      </c>
      <c r="G959" s="1">
        <v>2710</v>
      </c>
      <c r="H959" s="1">
        <v>8394</v>
      </c>
      <c r="I959" s="1">
        <v>1748</v>
      </c>
      <c r="J959" s="1">
        <v>174932</v>
      </c>
      <c r="K959" s="1">
        <v>0.37</v>
      </c>
      <c r="L959" s="1">
        <v>16</v>
      </c>
      <c r="M959" s="1">
        <v>8.66</v>
      </c>
      <c r="N959" s="1">
        <v>13.5</v>
      </c>
      <c r="O959" s="1">
        <v>53.53</v>
      </c>
      <c r="P959" s="1">
        <v>4.0999999999999996</v>
      </c>
      <c r="Q959" s="1">
        <v>19630</v>
      </c>
      <c r="R959" s="1">
        <v>7444</v>
      </c>
      <c r="S959" s="1">
        <v>6</v>
      </c>
      <c r="T959" s="1">
        <f>(Table1[[#This Row],[Selling_Price_per_Unit]]-Table1[[#This Row],[Manufacturing_Cost_per_Unit]])*Table1[[#This Row],[Units_Sold]]-Table1[[#This Row],[Marketing_Spend]]-Table1[[#This Row],[Discount_%]]</f>
        <v>17835714.5</v>
      </c>
      <c r="U959" s="3">
        <f>Table1[[#This Row],[profit]]/(Table1[[#This Row],[Units_Sold]]*Table1[[#This Row],[Selling_Price_per_Unit]])*100</f>
        <v>78.4065340117304</v>
      </c>
      <c r="V959" s="6">
        <f>Table1[[#This Row],[Units_Sold]]*Table1[[#This Row],[Selling_Price_per_Unit]]</f>
        <v>22747740</v>
      </c>
      <c r="W959" s="7">
        <f>(Table1[[#This Row],[Units_Sold]]/$Z$1)</f>
        <v>0.54254819069187499</v>
      </c>
      <c r="X959" s="8">
        <f>((Table1[[#This Row],[Units_Sold]]*(Table1[[#This Row],[Selling_Price_per_Unit]]-Table1[[#This Row],[Manufacturing_Cost_per_Unit]]))-Table1[[#This Row],[Marketing_Spend]])/Table1[[#This Row],[Marketing_Spend]]</f>
        <v>101.95806370475384</v>
      </c>
    </row>
    <row r="960" spans="1:24" hidden="1" x14ac:dyDescent="0.3">
      <c r="A960" s="1" t="s">
        <v>977</v>
      </c>
      <c r="B960" s="1" t="s">
        <v>1492</v>
      </c>
      <c r="C960" s="1" t="s">
        <v>1632</v>
      </c>
      <c r="D960" s="1" t="s">
        <v>1638</v>
      </c>
      <c r="E960" s="1">
        <v>2023</v>
      </c>
      <c r="F960" s="1" t="s">
        <v>1641</v>
      </c>
      <c r="G960" s="1">
        <v>3581</v>
      </c>
      <c r="H960" s="1">
        <v>18420</v>
      </c>
      <c r="I960" s="1">
        <v>13528</v>
      </c>
      <c r="J960" s="1">
        <v>241051</v>
      </c>
      <c r="K960" s="1">
        <v>10.72</v>
      </c>
      <c r="L960" s="1">
        <v>15</v>
      </c>
      <c r="M960" s="1">
        <v>6.2</v>
      </c>
      <c r="N960" s="1">
        <v>1.64</v>
      </c>
      <c r="O960" s="1">
        <v>67.7</v>
      </c>
      <c r="P960" s="1">
        <v>2.6</v>
      </c>
      <c r="Q960" s="1">
        <v>8108</v>
      </c>
      <c r="R960" s="1">
        <v>3992</v>
      </c>
      <c r="S960" s="1">
        <v>3</v>
      </c>
      <c r="T960" s="1">
        <f>(Table1[[#This Row],[Selling_Price_per_Unit]]-Table1[[#This Row],[Manufacturing_Cost_per_Unit]])*Table1[[#This Row],[Units_Sold]]-Table1[[#This Row],[Marketing_Spend]]-Table1[[#This Row],[Discount_%]]</f>
        <v>17277199.359999999</v>
      </c>
      <c r="U960" s="3">
        <f>Table1[[#This Row],[profit]]/(Table1[[#This Row],[Units_Sold]]*Table1[[#This Row],[Selling_Price_per_Unit]])*100</f>
        <v>26.192647465920537</v>
      </c>
      <c r="V960" s="6">
        <f>Table1[[#This Row],[Units_Sold]]*Table1[[#This Row],[Selling_Price_per_Unit]]</f>
        <v>65962020</v>
      </c>
      <c r="W960" s="7">
        <f>(Table1[[#This Row],[Units_Sold]]/$Z$1)</f>
        <v>0.71692438039395001</v>
      </c>
      <c r="X960" s="8">
        <f>((Table1[[#This Row],[Units_Sold]]*(Table1[[#This Row],[Selling_Price_per_Unit]]-Table1[[#This Row],[Manufacturing_Cost_per_Unit]]))-Table1[[#This Row],[Marketing_Spend]])/Table1[[#This Row],[Marketing_Spend]]</f>
        <v>71.67446308042696</v>
      </c>
    </row>
    <row r="961" spans="1:24" x14ac:dyDescent="0.3">
      <c r="A961" s="1" t="s">
        <v>700</v>
      </c>
      <c r="B961" s="1" t="s">
        <v>1277</v>
      </c>
      <c r="C961" s="1" t="s">
        <v>1633</v>
      </c>
      <c r="D961" s="1" t="s">
        <v>1635</v>
      </c>
      <c r="E961" s="1">
        <v>2023</v>
      </c>
      <c r="F961" s="1" t="s">
        <v>1641</v>
      </c>
      <c r="G961" s="1">
        <v>4311</v>
      </c>
      <c r="H961" s="1">
        <v>19082</v>
      </c>
      <c r="I961" s="1">
        <v>14846</v>
      </c>
      <c r="J961" s="1">
        <v>436721</v>
      </c>
      <c r="K961" s="1">
        <v>8.07</v>
      </c>
      <c r="L961" s="1">
        <v>17</v>
      </c>
      <c r="M961" s="1">
        <v>7.51</v>
      </c>
      <c r="N961" s="1">
        <v>4.34</v>
      </c>
      <c r="O961" s="1">
        <v>50.15</v>
      </c>
      <c r="P961" s="1">
        <v>2.2999999999999998</v>
      </c>
      <c r="Q961" s="1">
        <v>19530</v>
      </c>
      <c r="R961" s="1">
        <v>7348</v>
      </c>
      <c r="S961" s="1">
        <v>12</v>
      </c>
      <c r="T961" s="1">
        <f>(Table1[[#This Row],[Selling_Price_per_Unit]]-Table1[[#This Row],[Manufacturing_Cost_per_Unit]])*Table1[[#This Row],[Units_Sold]]-Table1[[#This Row],[Marketing_Spend]]-Table1[[#This Row],[Discount_%]]</f>
        <v>17824670.66</v>
      </c>
      <c r="U961" s="3">
        <f>Table1[[#This Row],[profit]]/(Table1[[#This Row],[Units_Sold]]*Table1[[#This Row],[Selling_Price_per_Unit]])*100</f>
        <v>21.668038567560224</v>
      </c>
      <c r="V961" s="6">
        <f>Table1[[#This Row],[Units_Sold]]*Table1[[#This Row],[Selling_Price_per_Unit]]</f>
        <v>82262502</v>
      </c>
      <c r="W961" s="7">
        <f>(Table1[[#This Row],[Units_Sold]]/$Z$1)</f>
        <v>0.86307204799729642</v>
      </c>
      <c r="X961" s="8">
        <f>((Table1[[#This Row],[Units_Sold]]*(Table1[[#This Row],[Selling_Price_per_Unit]]-Table1[[#This Row],[Manufacturing_Cost_per_Unit]]))-Table1[[#This Row],[Marketing_Spend]])/Table1[[#This Row],[Marketing_Spend]]</f>
        <v>40.81478793096737</v>
      </c>
    </row>
    <row r="962" spans="1:24" hidden="1" x14ac:dyDescent="0.3">
      <c r="A962" s="1" t="s">
        <v>979</v>
      </c>
      <c r="B962" s="1" t="s">
        <v>1469</v>
      </c>
      <c r="C962" s="1" t="s">
        <v>1633</v>
      </c>
      <c r="D962" s="1" t="s">
        <v>1637</v>
      </c>
      <c r="E962" s="1">
        <v>2024</v>
      </c>
      <c r="F962" s="1" t="s">
        <v>1640</v>
      </c>
      <c r="G962" s="1">
        <v>2985</v>
      </c>
      <c r="H962" s="1">
        <v>8840</v>
      </c>
      <c r="I962" s="1">
        <v>10636</v>
      </c>
      <c r="J962" s="1">
        <v>158946</v>
      </c>
      <c r="K962" s="1">
        <v>6.27</v>
      </c>
      <c r="L962" s="1">
        <v>19</v>
      </c>
      <c r="M962" s="1">
        <v>5.13</v>
      </c>
      <c r="N962" s="1">
        <v>13.99</v>
      </c>
      <c r="O962" s="1">
        <v>77.989999999999995</v>
      </c>
      <c r="P962" s="1">
        <v>2.9</v>
      </c>
      <c r="Q962" s="1">
        <v>19353</v>
      </c>
      <c r="R962" s="1">
        <v>6833</v>
      </c>
      <c r="S962" s="1">
        <v>12</v>
      </c>
      <c r="T962" s="1">
        <f>(Table1[[#This Row],[Selling_Price_per_Unit]]-Table1[[#This Row],[Manufacturing_Cost_per_Unit]])*Table1[[#This Row],[Units_Sold]]-Table1[[#This Row],[Marketing_Spend]]-Table1[[#This Row],[Discount_%]]</f>
        <v>-5520019.9900000002</v>
      </c>
      <c r="U962" s="3">
        <f>Table1[[#This Row],[profit]]/(Table1[[#This Row],[Units_Sold]]*Table1[[#This Row],[Selling_Price_per_Unit]])*100</f>
        <v>-20.919150768927594</v>
      </c>
      <c r="V962" s="6">
        <f>Table1[[#This Row],[Units_Sold]]*Table1[[#This Row],[Selling_Price_per_Unit]]</f>
        <v>26387400</v>
      </c>
      <c r="W962" s="7">
        <f>(Table1[[#This Row],[Units_Sold]]/$Z$1)</f>
        <v>0.59760381889861514</v>
      </c>
      <c r="X962" s="8">
        <f>((Table1[[#This Row],[Units_Sold]]*(Table1[[#This Row],[Selling_Price_per_Unit]]-Table1[[#This Row],[Manufacturing_Cost_per_Unit]]))-Table1[[#This Row],[Marketing_Spend]])/Table1[[#This Row],[Marketing_Spend]]</f>
        <v>-34.728813559322035</v>
      </c>
    </row>
    <row r="963" spans="1:24" hidden="1" x14ac:dyDescent="0.3">
      <c r="A963" s="1" t="s">
        <v>30</v>
      </c>
      <c r="B963" s="1" t="s">
        <v>1030</v>
      </c>
      <c r="C963" s="1" t="s">
        <v>1634</v>
      </c>
      <c r="D963" s="1" t="s">
        <v>1635</v>
      </c>
      <c r="E963" s="1">
        <v>2023</v>
      </c>
      <c r="F963" s="1" t="s">
        <v>1641</v>
      </c>
      <c r="G963" s="1">
        <v>2441</v>
      </c>
      <c r="H963" s="1">
        <v>11895</v>
      </c>
      <c r="I963" s="1">
        <v>4516</v>
      </c>
      <c r="J963" s="1">
        <v>364925</v>
      </c>
      <c r="K963" s="1">
        <v>11.48</v>
      </c>
      <c r="L963" s="1">
        <v>13</v>
      </c>
      <c r="M963" s="1">
        <v>1.37</v>
      </c>
      <c r="N963" s="1">
        <v>5.58</v>
      </c>
      <c r="O963" s="1">
        <v>49.86</v>
      </c>
      <c r="P963" s="1">
        <v>2.2999999999999998</v>
      </c>
      <c r="Q963" s="1">
        <v>2374</v>
      </c>
      <c r="R963" s="1">
        <v>1591</v>
      </c>
      <c r="S963" s="1">
        <v>11</v>
      </c>
      <c r="T963" s="1">
        <f>(Table1[[#This Row],[Selling_Price_per_Unit]]-Table1[[#This Row],[Manufacturing_Cost_per_Unit]])*Table1[[#This Row],[Units_Sold]]-Table1[[#This Row],[Marketing_Spend]]-Table1[[#This Row],[Discount_%]]</f>
        <v>17647208.420000002</v>
      </c>
      <c r="U963" s="3">
        <f>Table1[[#This Row],[profit]]/(Table1[[#This Row],[Units_Sold]]*Table1[[#This Row],[Selling_Price_per_Unit]])*100</f>
        <v>60.777633943323906</v>
      </c>
      <c r="V963" s="6">
        <f>Table1[[#This Row],[Units_Sold]]*Table1[[#This Row],[Selling_Price_per_Unit]]</f>
        <v>29035695</v>
      </c>
      <c r="W963" s="7">
        <f>(Table1[[#This Row],[Units_Sold]]/$Z$1)</f>
        <v>0.48869377619146381</v>
      </c>
      <c r="X963" s="8">
        <f>((Table1[[#This Row],[Units_Sold]]*(Table1[[#This Row],[Selling_Price_per_Unit]]-Table1[[#This Row],[Manufacturing_Cost_per_Unit]]))-Table1[[#This Row],[Marketing_Spend]])/Table1[[#This Row],[Marketing_Spend]]</f>
        <v>48.358468178392819</v>
      </c>
    </row>
    <row r="964" spans="1:24" hidden="1" x14ac:dyDescent="0.3">
      <c r="A964" s="1" t="s">
        <v>981</v>
      </c>
      <c r="B964" s="1" t="s">
        <v>1586</v>
      </c>
      <c r="C964" s="1" t="s">
        <v>1633</v>
      </c>
      <c r="D964" s="1" t="s">
        <v>1637</v>
      </c>
      <c r="E964" s="1">
        <v>2023</v>
      </c>
      <c r="F964" s="1" t="s">
        <v>1640</v>
      </c>
      <c r="G964" s="1">
        <v>176</v>
      </c>
      <c r="H964" s="1">
        <v>13915</v>
      </c>
      <c r="I964" s="1">
        <v>13954</v>
      </c>
      <c r="J964" s="1">
        <v>149003</v>
      </c>
      <c r="K964" s="1">
        <v>9.19</v>
      </c>
      <c r="L964" s="1">
        <v>2</v>
      </c>
      <c r="M964" s="1">
        <v>3.29</v>
      </c>
      <c r="N964" s="1">
        <v>20.21</v>
      </c>
      <c r="O964" s="1">
        <v>77.349999999999994</v>
      </c>
      <c r="P964" s="1">
        <v>1</v>
      </c>
      <c r="Q964" s="1">
        <v>19397</v>
      </c>
      <c r="R964" s="1">
        <v>8212</v>
      </c>
      <c r="S964" s="1">
        <v>12</v>
      </c>
      <c r="T964" s="1">
        <f>(Table1[[#This Row],[Selling_Price_per_Unit]]-Table1[[#This Row],[Manufacturing_Cost_per_Unit]])*Table1[[#This Row],[Units_Sold]]-Table1[[#This Row],[Marketing_Spend]]-Table1[[#This Row],[Discount_%]]</f>
        <v>-155887.21</v>
      </c>
      <c r="U964" s="3">
        <f>Table1[[#This Row],[profit]]/(Table1[[#This Row],[Units_Sold]]*Table1[[#This Row],[Selling_Price_per_Unit]])*100</f>
        <v>-6.3652373991441538</v>
      </c>
      <c r="V964" s="6">
        <f>Table1[[#This Row],[Units_Sold]]*Table1[[#This Row],[Selling_Price_per_Unit]]</f>
        <v>2449040</v>
      </c>
      <c r="W964" s="7">
        <f>(Table1[[#This Row],[Units_Sold]]/$Z$1)</f>
        <v>3.5235602052313658E-2</v>
      </c>
      <c r="X964" s="8">
        <f>((Table1[[#This Row],[Units_Sold]]*(Table1[[#This Row],[Selling_Price_per_Unit]]-Table1[[#This Row],[Manufacturing_Cost_per_Unit]]))-Table1[[#This Row],[Marketing_Spend]])/Table1[[#This Row],[Marketing_Spend]]</f>
        <v>-1.0460661865868472</v>
      </c>
    </row>
    <row r="965" spans="1:24" hidden="1" x14ac:dyDescent="0.3">
      <c r="A965" s="1" t="s">
        <v>982</v>
      </c>
      <c r="B965" s="1" t="s">
        <v>1615</v>
      </c>
      <c r="C965" s="1" t="s">
        <v>1634</v>
      </c>
      <c r="D965" s="1" t="s">
        <v>1637</v>
      </c>
      <c r="E965" s="1">
        <v>2023</v>
      </c>
      <c r="F965" s="1" t="s">
        <v>1640</v>
      </c>
      <c r="G965" s="1">
        <v>3227</v>
      </c>
      <c r="H965" s="1">
        <v>13371</v>
      </c>
      <c r="I965" s="1">
        <v>14535</v>
      </c>
      <c r="J965" s="1">
        <v>261142</v>
      </c>
      <c r="K965" s="1">
        <v>14.08</v>
      </c>
      <c r="L965" s="1">
        <v>19</v>
      </c>
      <c r="M965" s="1">
        <v>6.02</v>
      </c>
      <c r="N965" s="1">
        <v>9.6999999999999993</v>
      </c>
      <c r="O965" s="1">
        <v>33.92</v>
      </c>
      <c r="P965" s="1">
        <v>4.5999999999999996</v>
      </c>
      <c r="Q965" s="1">
        <v>6376</v>
      </c>
      <c r="R965" s="1">
        <v>1481</v>
      </c>
      <c r="S965" s="1">
        <v>4</v>
      </c>
      <c r="T965" s="1">
        <f>(Table1[[#This Row],[Selling_Price_per_Unit]]-Table1[[#This Row],[Manufacturing_Cost_per_Unit]])*Table1[[#This Row],[Units_Sold]]-Table1[[#This Row],[Marketing_Spend]]-Table1[[#This Row],[Discount_%]]</f>
        <v>-4017379.7</v>
      </c>
      <c r="U965" s="3">
        <f>Table1[[#This Row],[profit]]/(Table1[[#This Row],[Units_Sold]]*Table1[[#This Row],[Selling_Price_per_Unit]])*100</f>
        <v>-9.3106505420606371</v>
      </c>
      <c r="V965" s="6">
        <f>Table1[[#This Row],[Units_Sold]]*Table1[[#This Row],[Selling_Price_per_Unit]]</f>
        <v>43148217</v>
      </c>
      <c r="W965" s="7">
        <f>(Table1[[#This Row],[Units_Sold]]/$Z$1)</f>
        <v>0.64605277172054643</v>
      </c>
      <c r="X965" s="8">
        <f>((Table1[[#This Row],[Units_Sold]]*(Table1[[#This Row],[Selling_Price_per_Unit]]-Table1[[#This Row],[Manufacturing_Cost_per_Unit]]))-Table1[[#This Row],[Marketing_Spend]])/Table1[[#This Row],[Marketing_Spend]]</f>
        <v>-15.383852463410712</v>
      </c>
    </row>
    <row r="966" spans="1:24" hidden="1" x14ac:dyDescent="0.3">
      <c r="A966" s="1" t="s">
        <v>983</v>
      </c>
      <c r="B966" s="1" t="s">
        <v>1616</v>
      </c>
      <c r="C966" s="1" t="s">
        <v>1632</v>
      </c>
      <c r="D966" s="1" t="s">
        <v>1636</v>
      </c>
      <c r="E966" s="1">
        <v>2023</v>
      </c>
      <c r="F966" s="1" t="s">
        <v>1641</v>
      </c>
      <c r="G966" s="1">
        <v>3106</v>
      </c>
      <c r="H966" s="1">
        <v>13416</v>
      </c>
      <c r="I966" s="1">
        <v>9133</v>
      </c>
      <c r="J966" s="1">
        <v>270462</v>
      </c>
      <c r="K966" s="1">
        <v>9.93</v>
      </c>
      <c r="L966" s="1">
        <v>13</v>
      </c>
      <c r="M966" s="1">
        <v>3.22</v>
      </c>
      <c r="N966" s="1">
        <v>19.899999999999999</v>
      </c>
      <c r="O966" s="1">
        <v>35.33</v>
      </c>
      <c r="P966" s="1">
        <v>4.7</v>
      </c>
      <c r="Q966" s="1">
        <v>19335</v>
      </c>
      <c r="R966" s="1">
        <v>9437</v>
      </c>
      <c r="S966" s="1">
        <v>11</v>
      </c>
      <c r="T966" s="1">
        <f>(Table1[[#This Row],[Selling_Price_per_Unit]]-Table1[[#This Row],[Manufacturing_Cost_per_Unit]])*Table1[[#This Row],[Units_Sold]]-Table1[[#This Row],[Marketing_Spend]]-Table1[[#This Row],[Discount_%]]</f>
        <v>13032516.1</v>
      </c>
      <c r="U966" s="3">
        <f>Table1[[#This Row],[profit]]/(Table1[[#This Row],[Units_Sold]]*Table1[[#This Row],[Selling_Price_per_Unit]])*100</f>
        <v>31.275464544166155</v>
      </c>
      <c r="V966" s="6">
        <f>Table1[[#This Row],[Units_Sold]]*Table1[[#This Row],[Selling_Price_per_Unit]]</f>
        <v>41670096</v>
      </c>
      <c r="W966" s="7">
        <f>(Table1[[#This Row],[Units_Sold]]/$Z$1)</f>
        <v>0.62182829530958073</v>
      </c>
      <c r="X966" s="8">
        <f>((Table1[[#This Row],[Units_Sold]]*(Table1[[#This Row],[Selling_Price_per_Unit]]-Table1[[#This Row],[Manufacturing_Cost_per_Unit]]))-Table1[[#This Row],[Marketing_Spend]])/Table1[[#This Row],[Marketing_Spend]]</f>
        <v>48.186199909784001</v>
      </c>
    </row>
    <row r="967" spans="1:24" hidden="1" x14ac:dyDescent="0.3">
      <c r="A967" s="1" t="s">
        <v>984</v>
      </c>
      <c r="B967" s="1" t="s">
        <v>1049</v>
      </c>
      <c r="C967" s="1" t="s">
        <v>1632</v>
      </c>
      <c r="D967" s="1" t="s">
        <v>1635</v>
      </c>
      <c r="E967" s="1">
        <v>2024</v>
      </c>
      <c r="F967" s="1" t="s">
        <v>1641</v>
      </c>
      <c r="G967" s="1">
        <v>653</v>
      </c>
      <c r="H967" s="1">
        <v>10234</v>
      </c>
      <c r="I967" s="1">
        <v>6210</v>
      </c>
      <c r="J967" s="1">
        <v>355142</v>
      </c>
      <c r="K967" s="1">
        <v>1.1499999999999999</v>
      </c>
      <c r="L967" s="1">
        <v>15</v>
      </c>
      <c r="M967" s="1">
        <v>7.77</v>
      </c>
      <c r="N967" s="1">
        <v>7.64</v>
      </c>
      <c r="O967" s="1">
        <v>63.7</v>
      </c>
      <c r="P967" s="1">
        <v>4.8</v>
      </c>
      <c r="Q967" s="1">
        <v>4507</v>
      </c>
      <c r="R967" s="1">
        <v>3615</v>
      </c>
      <c r="S967" s="1">
        <v>12</v>
      </c>
      <c r="T967" s="1">
        <f>(Table1[[#This Row],[Selling_Price_per_Unit]]-Table1[[#This Row],[Manufacturing_Cost_per_Unit]])*Table1[[#This Row],[Units_Sold]]-Table1[[#This Row],[Marketing_Spend]]-Table1[[#This Row],[Discount_%]]</f>
        <v>2272522.36</v>
      </c>
      <c r="U967" s="3">
        <f>Table1[[#This Row],[profit]]/(Table1[[#This Row],[Units_Sold]]*Table1[[#This Row],[Selling_Price_per_Unit]])*100</f>
        <v>34.005531811356974</v>
      </c>
      <c r="V967" s="6">
        <f>Table1[[#This Row],[Units_Sold]]*Table1[[#This Row],[Selling_Price_per_Unit]]</f>
        <v>6682802</v>
      </c>
      <c r="W967" s="7">
        <f>(Table1[[#This Row],[Units_Sold]]/$Z$1)</f>
        <v>0.13073209170545919</v>
      </c>
      <c r="X967" s="8">
        <f>((Table1[[#This Row],[Units_Sold]]*(Table1[[#This Row],[Selling_Price_per_Unit]]-Table1[[#This Row],[Manufacturing_Cost_per_Unit]]))-Table1[[#This Row],[Marketing_Spend]])/Table1[[#This Row],[Marketing_Spend]]</f>
        <v>6.3989333843927216</v>
      </c>
    </row>
    <row r="968" spans="1:24" hidden="1" x14ac:dyDescent="0.3">
      <c r="A968" s="1" t="s">
        <v>985</v>
      </c>
      <c r="B968" s="1" t="s">
        <v>1422</v>
      </c>
      <c r="C968" s="1" t="s">
        <v>1634</v>
      </c>
      <c r="D968" s="1" t="s">
        <v>1637</v>
      </c>
      <c r="E968" s="1">
        <v>2024</v>
      </c>
      <c r="F968" s="1" t="s">
        <v>1640</v>
      </c>
      <c r="G968" s="1">
        <v>3499</v>
      </c>
      <c r="H968" s="1">
        <v>2345</v>
      </c>
      <c r="I968" s="1">
        <v>2255</v>
      </c>
      <c r="J968" s="1">
        <v>244886</v>
      </c>
      <c r="K968" s="1">
        <v>5.32</v>
      </c>
      <c r="L968" s="1">
        <v>16</v>
      </c>
      <c r="M968" s="1">
        <v>0.71</v>
      </c>
      <c r="N968" s="1">
        <v>1.82</v>
      </c>
      <c r="O968" s="1">
        <v>12.52</v>
      </c>
      <c r="P968" s="1">
        <v>1.1000000000000001</v>
      </c>
      <c r="Q968" s="1">
        <v>15825</v>
      </c>
      <c r="R968" s="1">
        <v>4554</v>
      </c>
      <c r="S968" s="1">
        <v>12</v>
      </c>
      <c r="T968" s="1">
        <f>(Table1[[#This Row],[Selling_Price_per_Unit]]-Table1[[#This Row],[Manufacturing_Cost_per_Unit]])*Table1[[#This Row],[Units_Sold]]-Table1[[#This Row],[Marketing_Spend]]-Table1[[#This Row],[Discount_%]]</f>
        <v>70022.179999999993</v>
      </c>
      <c r="U968" s="3">
        <f>Table1[[#This Row],[profit]]/(Table1[[#This Row],[Units_Sold]]*Table1[[#This Row],[Selling_Price_per_Unit]])*100</f>
        <v>0.85339253189001296</v>
      </c>
      <c r="V968" s="6">
        <f>Table1[[#This Row],[Units_Sold]]*Table1[[#This Row],[Selling_Price_per_Unit]]</f>
        <v>8205155</v>
      </c>
      <c r="W968" s="7">
        <f>(Table1[[#This Row],[Units_Sold]]/$Z$1)</f>
        <v>0.70050779307412203</v>
      </c>
      <c r="X968" s="8">
        <f>((Table1[[#This Row],[Units_Sold]]*(Table1[[#This Row],[Selling_Price_per_Unit]]-Table1[[#This Row],[Manufacturing_Cost_per_Unit]]))-Table1[[#This Row],[Marketing_Spend]])/Table1[[#This Row],[Marketing_Spend]]</f>
        <v>0.28594529699533661</v>
      </c>
    </row>
    <row r="969" spans="1:24" x14ac:dyDescent="0.3">
      <c r="A969" s="1" t="s">
        <v>986</v>
      </c>
      <c r="B969" s="1" t="s">
        <v>1540</v>
      </c>
      <c r="C969" s="1" t="s">
        <v>1632</v>
      </c>
      <c r="D969" s="1" t="s">
        <v>1636</v>
      </c>
      <c r="E969" s="1">
        <v>2024</v>
      </c>
      <c r="F969" s="1" t="s">
        <v>1639</v>
      </c>
      <c r="G969" s="1">
        <v>4196</v>
      </c>
      <c r="H969" s="1">
        <v>3994</v>
      </c>
      <c r="I969" s="1">
        <v>7692</v>
      </c>
      <c r="J969" s="1">
        <v>154601</v>
      </c>
      <c r="K969" s="1">
        <v>8.26</v>
      </c>
      <c r="L969" s="1">
        <v>19</v>
      </c>
      <c r="M969" s="1">
        <v>6.6</v>
      </c>
      <c r="N969" s="1">
        <v>23.32</v>
      </c>
      <c r="O969" s="1">
        <v>68.12</v>
      </c>
      <c r="P969" s="1">
        <v>1.7</v>
      </c>
      <c r="Q969" s="1">
        <v>4624</v>
      </c>
      <c r="R969" s="1">
        <v>7869</v>
      </c>
      <c r="S969" s="1">
        <v>13</v>
      </c>
      <c r="T969" s="1">
        <f>(Table1[[#This Row],[Selling_Price_per_Unit]]-Table1[[#This Row],[Manufacturing_Cost_per_Unit]])*Table1[[#This Row],[Units_Sold]]-Table1[[#This Row],[Marketing_Spend]]-Table1[[#This Row],[Discount_%]]</f>
        <v>-15671432.32</v>
      </c>
      <c r="U969" s="3">
        <f>Table1[[#This Row],[profit]]/(Table1[[#This Row],[Units_Sold]]*Table1[[#This Row],[Selling_Price_per_Unit]])*100</f>
        <v>-93.511527539163851</v>
      </c>
      <c r="V969" s="6">
        <f>Table1[[#This Row],[Units_Sold]]*Table1[[#This Row],[Selling_Price_per_Unit]]</f>
        <v>16758824</v>
      </c>
      <c r="W969" s="7">
        <f>(Table1[[#This Row],[Units_Sold]]/$Z$1)</f>
        <v>0.84004878529265969</v>
      </c>
      <c r="X969" s="8">
        <f>((Table1[[#This Row],[Units_Sold]]*(Table1[[#This Row],[Selling_Price_per_Unit]]-Table1[[#This Row],[Manufacturing_Cost_per_Unit]]))-Table1[[#This Row],[Marketing_Spend]])/Table1[[#This Row],[Marketing_Spend]]</f>
        <v>-101.36680228459066</v>
      </c>
    </row>
    <row r="970" spans="1:24" hidden="1" x14ac:dyDescent="0.3">
      <c r="A970" s="1" t="s">
        <v>987</v>
      </c>
      <c r="B970" s="1" t="s">
        <v>1617</v>
      </c>
      <c r="C970" s="1" t="s">
        <v>1633</v>
      </c>
      <c r="D970" s="1" t="s">
        <v>1635</v>
      </c>
      <c r="E970" s="1">
        <v>2023</v>
      </c>
      <c r="F970" s="1" t="s">
        <v>1641</v>
      </c>
      <c r="G970" s="1">
        <v>3583</v>
      </c>
      <c r="H970" s="1">
        <v>14177</v>
      </c>
      <c r="I970" s="1">
        <v>14963</v>
      </c>
      <c r="J970" s="1">
        <v>488823</v>
      </c>
      <c r="K970" s="1">
        <v>6.05</v>
      </c>
      <c r="L970" s="1">
        <v>17</v>
      </c>
      <c r="M970" s="1">
        <v>8.09</v>
      </c>
      <c r="N970" s="1">
        <v>9.86</v>
      </c>
      <c r="O970" s="1">
        <v>76.86</v>
      </c>
      <c r="P970" s="1">
        <v>3.6</v>
      </c>
      <c r="Q970" s="1">
        <v>3253</v>
      </c>
      <c r="R970" s="1">
        <v>6589</v>
      </c>
      <c r="S970" s="1">
        <v>13</v>
      </c>
      <c r="T970" s="1">
        <f>(Table1[[#This Row],[Selling_Price_per_Unit]]-Table1[[#This Row],[Manufacturing_Cost_per_Unit]])*Table1[[#This Row],[Units_Sold]]-Table1[[#This Row],[Marketing_Spend]]-Table1[[#This Row],[Discount_%]]</f>
        <v>-3305070.86</v>
      </c>
      <c r="U970" s="3">
        <f>Table1[[#This Row],[profit]]/(Table1[[#This Row],[Units_Sold]]*Table1[[#This Row],[Selling_Price_per_Unit]])*100</f>
        <v>-6.5065328618832847</v>
      </c>
      <c r="V970" s="6">
        <f>Table1[[#This Row],[Units_Sold]]*Table1[[#This Row],[Selling_Price_per_Unit]]</f>
        <v>50796191</v>
      </c>
      <c r="W970" s="7">
        <f>(Table1[[#This Row],[Units_Sold]]/$Z$1)</f>
        <v>0.71732478496272634</v>
      </c>
      <c r="X970" s="8">
        <f>((Table1[[#This Row],[Units_Sold]]*(Table1[[#This Row],[Selling_Price_per_Unit]]-Table1[[#This Row],[Manufacturing_Cost_per_Unit]]))-Table1[[#This Row],[Marketing_Spend]])/Table1[[#This Row],[Marketing_Spend]]</f>
        <v>-6.7612632793465117</v>
      </c>
    </row>
    <row r="971" spans="1:24" hidden="1" x14ac:dyDescent="0.3">
      <c r="A971" s="1" t="s">
        <v>988</v>
      </c>
      <c r="B971" s="1" t="s">
        <v>1618</v>
      </c>
      <c r="C971" s="1" t="s">
        <v>1632</v>
      </c>
      <c r="D971" s="1" t="s">
        <v>1638</v>
      </c>
      <c r="E971" s="1">
        <v>2024</v>
      </c>
      <c r="F971" s="1" t="s">
        <v>1641</v>
      </c>
      <c r="G971" s="1">
        <v>3417</v>
      </c>
      <c r="H971" s="1">
        <v>19768</v>
      </c>
      <c r="I971" s="1">
        <v>14935</v>
      </c>
      <c r="J971" s="1">
        <v>319956</v>
      </c>
      <c r="K971" s="1">
        <v>12.5</v>
      </c>
      <c r="L971" s="1">
        <v>17</v>
      </c>
      <c r="M971" s="1">
        <v>6.73</v>
      </c>
      <c r="N971" s="1">
        <v>19.82</v>
      </c>
      <c r="O971" s="1">
        <v>43.21</v>
      </c>
      <c r="P971" s="1">
        <v>1.1000000000000001</v>
      </c>
      <c r="Q971" s="1">
        <v>19496</v>
      </c>
      <c r="R971" s="1">
        <v>8484</v>
      </c>
      <c r="S971" s="1">
        <v>10</v>
      </c>
      <c r="T971" s="1">
        <f>(Table1[[#This Row],[Selling_Price_per_Unit]]-Table1[[#This Row],[Manufacturing_Cost_per_Unit]])*Table1[[#This Row],[Units_Sold]]-Table1[[#This Row],[Marketing_Spend]]-Table1[[#This Row],[Discount_%]]</f>
        <v>16194385.18</v>
      </c>
      <c r="U971" s="3">
        <f>Table1[[#This Row],[profit]]/(Table1[[#This Row],[Units_Sold]]*Table1[[#This Row],[Selling_Price_per_Unit]])*100</f>
        <v>23.974897189013866</v>
      </c>
      <c r="V971" s="6">
        <f>Table1[[#This Row],[Units_Sold]]*Table1[[#This Row],[Selling_Price_per_Unit]]</f>
        <v>67547256</v>
      </c>
      <c r="W971" s="7">
        <f>(Table1[[#This Row],[Units_Sold]]/$Z$1)</f>
        <v>0.68409120575429405</v>
      </c>
      <c r="X971" s="8">
        <f>((Table1[[#This Row],[Units_Sold]]*(Table1[[#This Row],[Selling_Price_per_Unit]]-Table1[[#This Row],[Manufacturing_Cost_per_Unit]]))-Table1[[#This Row],[Marketing_Spend]])/Table1[[#This Row],[Marketing_Spend]]</f>
        <v>50.614475115328361</v>
      </c>
    </row>
    <row r="972" spans="1:24" hidden="1" x14ac:dyDescent="0.3">
      <c r="A972" s="1" t="s">
        <v>650</v>
      </c>
      <c r="B972" s="1" t="s">
        <v>1468</v>
      </c>
      <c r="C972" s="1" t="s">
        <v>1632</v>
      </c>
      <c r="D972" s="1" t="s">
        <v>1636</v>
      </c>
      <c r="E972" s="1">
        <v>2024</v>
      </c>
      <c r="F972" s="1" t="s">
        <v>1639</v>
      </c>
      <c r="G972" s="1">
        <v>2050</v>
      </c>
      <c r="H972" s="1">
        <v>15635</v>
      </c>
      <c r="I972" s="1">
        <v>6863</v>
      </c>
      <c r="J972" s="1">
        <v>338816</v>
      </c>
      <c r="K972" s="1">
        <v>7.04</v>
      </c>
      <c r="L972" s="1">
        <v>16</v>
      </c>
      <c r="M972" s="1">
        <v>0.74</v>
      </c>
      <c r="N972" s="1">
        <v>24.47</v>
      </c>
      <c r="O972" s="1">
        <v>54.29</v>
      </c>
      <c r="P972" s="1">
        <v>1.7</v>
      </c>
      <c r="Q972" s="1">
        <v>8262</v>
      </c>
      <c r="R972" s="1">
        <v>3040</v>
      </c>
      <c r="S972" s="1">
        <v>6</v>
      </c>
      <c r="T972" s="1">
        <f>(Table1[[#This Row],[Selling_Price_per_Unit]]-Table1[[#This Row],[Manufacturing_Cost_per_Unit]])*Table1[[#This Row],[Units_Sold]]-Table1[[#This Row],[Marketing_Spend]]-Table1[[#This Row],[Discount_%]]</f>
        <v>17643759.530000001</v>
      </c>
      <c r="U972" s="3">
        <f>Table1[[#This Row],[profit]]/(Table1[[#This Row],[Units_Sold]]*Table1[[#This Row],[Selling_Price_per_Unit]])*100</f>
        <v>55.047726036799872</v>
      </c>
      <c r="V972" s="6">
        <f>Table1[[#This Row],[Units_Sold]]*Table1[[#This Row],[Selling_Price_per_Unit]]</f>
        <v>32051750</v>
      </c>
      <c r="W972" s="7">
        <f>(Table1[[#This Row],[Units_Sold]]/$Z$1)</f>
        <v>0.41041468299569883</v>
      </c>
      <c r="X972" s="8">
        <f>((Table1[[#This Row],[Units_Sold]]*(Table1[[#This Row],[Selling_Price_per_Unit]]-Table1[[#This Row],[Manufacturing_Cost_per_Unit]]))-Table1[[#This Row],[Marketing_Spend]])/Table1[[#This Row],[Marketing_Spend]]</f>
        <v>52.074825273894973</v>
      </c>
    </row>
    <row r="973" spans="1:24" x14ac:dyDescent="0.3">
      <c r="A973" s="1" t="s">
        <v>990</v>
      </c>
      <c r="B973" s="1" t="s">
        <v>1563</v>
      </c>
      <c r="C973" s="1" t="s">
        <v>1633</v>
      </c>
      <c r="D973" s="1" t="s">
        <v>1635</v>
      </c>
      <c r="E973" s="1">
        <v>2023</v>
      </c>
      <c r="F973" s="1" t="s">
        <v>1640</v>
      </c>
      <c r="G973" s="1">
        <v>3847</v>
      </c>
      <c r="H973" s="1">
        <v>6679</v>
      </c>
      <c r="I973" s="1">
        <v>7596</v>
      </c>
      <c r="J973" s="1">
        <v>251165</v>
      </c>
      <c r="K973" s="1">
        <v>9.18</v>
      </c>
      <c r="L973" s="1">
        <v>17</v>
      </c>
      <c r="M973" s="1">
        <v>9.5</v>
      </c>
      <c r="N973" s="1">
        <v>16.16</v>
      </c>
      <c r="O973" s="1">
        <v>23.97</v>
      </c>
      <c r="P973" s="1">
        <v>1.9</v>
      </c>
      <c r="Q973" s="1">
        <v>10247</v>
      </c>
      <c r="R973" s="1">
        <v>855</v>
      </c>
      <c r="S973" s="1">
        <v>13</v>
      </c>
      <c r="T973" s="1">
        <f>(Table1[[#This Row],[Selling_Price_per_Unit]]-Table1[[#This Row],[Manufacturing_Cost_per_Unit]])*Table1[[#This Row],[Units_Sold]]-Table1[[#This Row],[Marketing_Spend]]-Table1[[#This Row],[Discount_%]]</f>
        <v>-3778880.16</v>
      </c>
      <c r="U973" s="3">
        <f>Table1[[#This Row],[profit]]/(Table1[[#This Row],[Units_Sold]]*Table1[[#This Row],[Selling_Price_per_Unit]])*100</f>
        <v>-14.707182769843039</v>
      </c>
      <c r="V973" s="6">
        <f>Table1[[#This Row],[Units_Sold]]*Table1[[#This Row],[Selling_Price_per_Unit]]</f>
        <v>25694113</v>
      </c>
      <c r="W973" s="7">
        <f>(Table1[[#This Row],[Units_Sold]]/$Z$1)</f>
        <v>0.77017818804119675</v>
      </c>
      <c r="X973" s="8">
        <f>((Table1[[#This Row],[Units_Sold]]*(Table1[[#This Row],[Selling_Price_per_Unit]]-Table1[[#This Row],[Manufacturing_Cost_per_Unit]]))-Table1[[#This Row],[Marketing_Spend]])/Table1[[#This Row],[Marketing_Spend]]</f>
        <v>-15.04534469372723</v>
      </c>
    </row>
    <row r="974" spans="1:24" hidden="1" x14ac:dyDescent="0.3">
      <c r="A974" s="1" t="s">
        <v>991</v>
      </c>
      <c r="B974" s="1" t="s">
        <v>1619</v>
      </c>
      <c r="C974" s="1" t="s">
        <v>1634</v>
      </c>
      <c r="D974" s="1" t="s">
        <v>1638</v>
      </c>
      <c r="E974" s="1">
        <v>2023</v>
      </c>
      <c r="F974" s="1" t="s">
        <v>1642</v>
      </c>
      <c r="G974" s="1">
        <v>1842</v>
      </c>
      <c r="H974" s="1">
        <v>8110</v>
      </c>
      <c r="I974" s="1">
        <v>5596</v>
      </c>
      <c r="J974" s="1">
        <v>445395</v>
      </c>
      <c r="K974" s="1">
        <v>5.6</v>
      </c>
      <c r="L974" s="1">
        <v>14</v>
      </c>
      <c r="M974" s="1">
        <v>3</v>
      </c>
      <c r="N974" s="1">
        <v>21.83</v>
      </c>
      <c r="O974" s="1">
        <v>35.78</v>
      </c>
      <c r="P974" s="1">
        <v>3</v>
      </c>
      <c r="Q974" s="1">
        <v>13943</v>
      </c>
      <c r="R974" s="1">
        <v>9976</v>
      </c>
      <c r="S974" s="1">
        <v>10</v>
      </c>
      <c r="T974" s="1">
        <f>(Table1[[#This Row],[Selling_Price_per_Unit]]-Table1[[#This Row],[Manufacturing_Cost_per_Unit]])*Table1[[#This Row],[Units_Sold]]-Table1[[#This Row],[Marketing_Spend]]-Table1[[#This Row],[Discount_%]]</f>
        <v>4185371.17</v>
      </c>
      <c r="U974" s="3">
        <f>Table1[[#This Row],[profit]]/(Table1[[#This Row],[Units_Sold]]*Table1[[#This Row],[Selling_Price_per_Unit]])*100</f>
        <v>28.017120523850263</v>
      </c>
      <c r="V974" s="6">
        <f>Table1[[#This Row],[Units_Sold]]*Table1[[#This Row],[Selling_Price_per_Unit]]</f>
        <v>14938620</v>
      </c>
      <c r="W974" s="7">
        <f>(Table1[[#This Row],[Units_Sold]]/$Z$1)</f>
        <v>0.36877260784296451</v>
      </c>
      <c r="X974" s="8">
        <f>((Table1[[#This Row],[Units_Sold]]*(Table1[[#This Row],[Selling_Price_per_Unit]]-Table1[[#This Row],[Manufacturing_Cost_per_Unit]]))-Table1[[#This Row],[Marketing_Spend]])/Table1[[#This Row],[Marketing_Spend]]</f>
        <v>9.3970363385309668</v>
      </c>
    </row>
    <row r="975" spans="1:24" hidden="1" x14ac:dyDescent="0.3">
      <c r="A975" s="1" t="s">
        <v>992</v>
      </c>
      <c r="B975" s="1" t="s">
        <v>1620</v>
      </c>
      <c r="C975" s="1" t="s">
        <v>1632</v>
      </c>
      <c r="D975" s="1" t="s">
        <v>1635</v>
      </c>
      <c r="E975" s="1">
        <v>2024</v>
      </c>
      <c r="F975" s="1" t="s">
        <v>1641</v>
      </c>
      <c r="G975" s="1">
        <v>2911</v>
      </c>
      <c r="H975" s="1">
        <v>7930</v>
      </c>
      <c r="I975" s="1">
        <v>5893</v>
      </c>
      <c r="J975" s="1">
        <v>224870</v>
      </c>
      <c r="K975" s="1">
        <v>3.83</v>
      </c>
      <c r="L975" s="1">
        <v>14</v>
      </c>
      <c r="M975" s="1">
        <v>0.19</v>
      </c>
      <c r="N975" s="1">
        <v>1.04</v>
      </c>
      <c r="O975" s="1">
        <v>87.94</v>
      </c>
      <c r="P975" s="1">
        <v>3.2</v>
      </c>
      <c r="Q975" s="1">
        <v>19933</v>
      </c>
      <c r="R975" s="1">
        <v>2625</v>
      </c>
      <c r="S975" s="1">
        <v>12</v>
      </c>
      <c r="T975" s="1">
        <f>(Table1[[#This Row],[Selling_Price_per_Unit]]-Table1[[#This Row],[Manufacturing_Cost_per_Unit]])*Table1[[#This Row],[Units_Sold]]-Table1[[#This Row],[Marketing_Spend]]-Table1[[#This Row],[Discount_%]]</f>
        <v>5704835.96</v>
      </c>
      <c r="U975" s="3">
        <f>Table1[[#This Row],[profit]]/(Table1[[#This Row],[Units_Sold]]*Table1[[#This Row],[Selling_Price_per_Unit]])*100</f>
        <v>24.713130825676231</v>
      </c>
      <c r="V975" s="6">
        <f>Table1[[#This Row],[Units_Sold]]*Table1[[#This Row],[Selling_Price_per_Unit]]</f>
        <v>23084230</v>
      </c>
      <c r="W975" s="7">
        <f>(Table1[[#This Row],[Units_Sold]]/$Z$1)</f>
        <v>0.58278884985389234</v>
      </c>
      <c r="X975" s="8">
        <f>((Table1[[#This Row],[Units_Sold]]*(Table1[[#This Row],[Selling_Price_per_Unit]]-Table1[[#This Row],[Manufacturing_Cost_per_Unit]]))-Table1[[#This Row],[Marketing_Spend]])/Table1[[#This Row],[Marketing_Spend]]</f>
        <v>25.36948903811091</v>
      </c>
    </row>
    <row r="976" spans="1:24" hidden="1" x14ac:dyDescent="0.3">
      <c r="A976" s="1" t="s">
        <v>993</v>
      </c>
      <c r="B976" s="1" t="s">
        <v>1621</v>
      </c>
      <c r="C976" s="1" t="s">
        <v>1632</v>
      </c>
      <c r="D976" s="1" t="s">
        <v>1638</v>
      </c>
      <c r="E976" s="1">
        <v>2023</v>
      </c>
      <c r="F976" s="1" t="s">
        <v>1641</v>
      </c>
      <c r="G976" s="1">
        <v>3526</v>
      </c>
      <c r="H976" s="1">
        <v>8654</v>
      </c>
      <c r="I976" s="1">
        <v>11088</v>
      </c>
      <c r="J976" s="1">
        <v>124601</v>
      </c>
      <c r="K976" s="1">
        <v>1.59</v>
      </c>
      <c r="L976" s="1">
        <v>5</v>
      </c>
      <c r="M976" s="1">
        <v>4.32</v>
      </c>
      <c r="N976" s="1">
        <v>20.77</v>
      </c>
      <c r="O976" s="1">
        <v>88.91</v>
      </c>
      <c r="P976" s="1">
        <v>1.1000000000000001</v>
      </c>
      <c r="Q976" s="1">
        <v>2324</v>
      </c>
      <c r="R976" s="1">
        <v>927</v>
      </c>
      <c r="S976" s="1">
        <v>4</v>
      </c>
      <c r="T976" s="1">
        <f>(Table1[[#This Row],[Selling_Price_per_Unit]]-Table1[[#This Row],[Manufacturing_Cost_per_Unit]])*Table1[[#This Row],[Units_Sold]]-Table1[[#This Row],[Marketing_Spend]]-Table1[[#This Row],[Discount_%]]</f>
        <v>-8706905.7699999996</v>
      </c>
      <c r="U976" s="3">
        <f>Table1[[#This Row],[profit]]/(Table1[[#This Row],[Units_Sold]]*Table1[[#This Row],[Selling_Price_per_Unit]])*100</f>
        <v>-28.534130656861677</v>
      </c>
      <c r="V976" s="6">
        <f>Table1[[#This Row],[Units_Sold]]*Table1[[#This Row],[Selling_Price_per_Unit]]</f>
        <v>30514004</v>
      </c>
      <c r="W976" s="7">
        <f>(Table1[[#This Row],[Units_Sold]]/$Z$1)</f>
        <v>0.70591325475260203</v>
      </c>
      <c r="X976" s="8">
        <f>((Table1[[#This Row],[Units_Sold]]*(Table1[[#This Row],[Selling_Price_per_Unit]]-Table1[[#This Row],[Manufacturing_Cost_per_Unit]]))-Table1[[#This Row],[Marketing_Spend]])/Table1[[#This Row],[Marketing_Spend]]</f>
        <v>-69.878130994133272</v>
      </c>
    </row>
    <row r="977" spans="1:24" x14ac:dyDescent="0.3">
      <c r="A977" s="1" t="s">
        <v>248</v>
      </c>
      <c r="B977" s="1" t="s">
        <v>1222</v>
      </c>
      <c r="C977" s="1" t="s">
        <v>1633</v>
      </c>
      <c r="D977" s="1" t="s">
        <v>1636</v>
      </c>
      <c r="E977" s="1">
        <v>2023</v>
      </c>
      <c r="F977" s="1" t="s">
        <v>1639</v>
      </c>
      <c r="G977" s="1">
        <v>4773</v>
      </c>
      <c r="H977" s="1">
        <v>11496</v>
      </c>
      <c r="I977" s="1">
        <v>7803</v>
      </c>
      <c r="J977" s="1">
        <v>58556</v>
      </c>
      <c r="K977" s="1">
        <v>3.22</v>
      </c>
      <c r="L977" s="1">
        <v>16</v>
      </c>
      <c r="M977" s="1">
        <v>0.87</v>
      </c>
      <c r="N977" s="1">
        <v>10.32</v>
      </c>
      <c r="O977" s="1">
        <v>67.760000000000005</v>
      </c>
      <c r="P977" s="1">
        <v>1.4</v>
      </c>
      <c r="Q977" s="1">
        <v>11836</v>
      </c>
      <c r="R977" s="1">
        <v>7411</v>
      </c>
      <c r="S977" s="1">
        <v>11</v>
      </c>
      <c r="T977" s="1">
        <f>(Table1[[#This Row],[Selling_Price_per_Unit]]-Table1[[#This Row],[Manufacturing_Cost_per_Unit]])*Table1[[#This Row],[Units_Sold]]-Table1[[#This Row],[Marketing_Spend]]-Table1[[#This Row],[Discount_%]]</f>
        <v>17568122.68</v>
      </c>
      <c r="U977" s="3">
        <f>Table1[[#This Row],[profit]]/(Table1[[#This Row],[Units_Sold]]*Table1[[#This Row],[Selling_Price_per_Unit]])*100</f>
        <v>32.017481408193646</v>
      </c>
      <c r="V977" s="6">
        <f>Table1[[#This Row],[Units_Sold]]*Table1[[#This Row],[Selling_Price_per_Unit]]</f>
        <v>54870408</v>
      </c>
      <c r="W977" s="7">
        <f>(Table1[[#This Row],[Units_Sold]]/$Z$1)</f>
        <v>0.95556550338461976</v>
      </c>
      <c r="X977" s="8">
        <f>((Table1[[#This Row],[Units_Sold]]*(Table1[[#This Row],[Selling_Price_per_Unit]]-Table1[[#This Row],[Manufacturing_Cost_per_Unit]]))-Table1[[#This Row],[Marketing_Spend]])/Table1[[#This Row],[Marketing_Spend]]</f>
        <v>300.02276453309651</v>
      </c>
    </row>
    <row r="978" spans="1:24" hidden="1" x14ac:dyDescent="0.3">
      <c r="A978" s="1" t="s">
        <v>995</v>
      </c>
      <c r="B978" s="1" t="s">
        <v>1623</v>
      </c>
      <c r="C978" s="1" t="s">
        <v>1634</v>
      </c>
      <c r="D978" s="1" t="s">
        <v>1635</v>
      </c>
      <c r="E978" s="1">
        <v>2024</v>
      </c>
      <c r="F978" s="1" t="s">
        <v>1639</v>
      </c>
      <c r="G978" s="1">
        <v>1695</v>
      </c>
      <c r="H978" s="1">
        <v>11645</v>
      </c>
      <c r="I978" s="1">
        <v>5776</v>
      </c>
      <c r="J978" s="1">
        <v>493790</v>
      </c>
      <c r="K978" s="1">
        <v>6.2</v>
      </c>
      <c r="L978" s="1">
        <v>17</v>
      </c>
      <c r="M978" s="1">
        <v>9.5399999999999991</v>
      </c>
      <c r="N978" s="1">
        <v>15.19</v>
      </c>
      <c r="O978" s="1">
        <v>84.74</v>
      </c>
      <c r="P978" s="1">
        <v>3</v>
      </c>
      <c r="Q978" s="1">
        <v>12541</v>
      </c>
      <c r="R978" s="1">
        <v>4848</v>
      </c>
      <c r="S978" s="1">
        <v>2</v>
      </c>
      <c r="T978" s="1">
        <f>(Table1[[#This Row],[Selling_Price_per_Unit]]-Table1[[#This Row],[Manufacturing_Cost_per_Unit]])*Table1[[#This Row],[Units_Sold]]-Table1[[#This Row],[Marketing_Spend]]-Table1[[#This Row],[Discount_%]]</f>
        <v>9454149.8100000005</v>
      </c>
      <c r="U978" s="3">
        <f>Table1[[#This Row],[profit]]/(Table1[[#This Row],[Units_Sold]]*Table1[[#This Row],[Selling_Price_per_Unit]])*100</f>
        <v>47.897548341990372</v>
      </c>
      <c r="V978" s="6">
        <f>Table1[[#This Row],[Units_Sold]]*Table1[[#This Row],[Selling_Price_per_Unit]]</f>
        <v>19738275</v>
      </c>
      <c r="W978" s="7">
        <f>(Table1[[#This Row],[Units_Sold]]/$Z$1)</f>
        <v>0.33934287203790708</v>
      </c>
      <c r="X978" s="8">
        <f>((Table1[[#This Row],[Units_Sold]]*(Table1[[#This Row],[Selling_Price_per_Unit]]-Table1[[#This Row],[Manufacturing_Cost_per_Unit]]))-Table1[[#This Row],[Marketing_Spend]])/Table1[[#This Row],[Marketing_Spend]]</f>
        <v>19.146124870896536</v>
      </c>
    </row>
    <row r="979" spans="1:24" hidden="1" x14ac:dyDescent="0.3">
      <c r="A979" s="1" t="s">
        <v>996</v>
      </c>
      <c r="B979" s="1" t="s">
        <v>1150</v>
      </c>
      <c r="C979" s="1" t="s">
        <v>1633</v>
      </c>
      <c r="D979" s="1" t="s">
        <v>1638</v>
      </c>
      <c r="E979" s="1">
        <v>2024</v>
      </c>
      <c r="F979" s="1" t="s">
        <v>1639</v>
      </c>
      <c r="G979" s="1">
        <v>1255</v>
      </c>
      <c r="H979" s="1">
        <v>7988</v>
      </c>
      <c r="I979" s="1">
        <v>10205</v>
      </c>
      <c r="J979" s="1">
        <v>360001</v>
      </c>
      <c r="K979" s="1">
        <v>10.14</v>
      </c>
      <c r="L979" s="1">
        <v>3</v>
      </c>
      <c r="M979" s="1">
        <v>2.1</v>
      </c>
      <c r="N979" s="1">
        <v>13.08</v>
      </c>
      <c r="O979" s="1">
        <v>51.82</v>
      </c>
      <c r="P979" s="1">
        <v>3.4</v>
      </c>
      <c r="Q979" s="1">
        <v>20914</v>
      </c>
      <c r="R979" s="1">
        <v>2433</v>
      </c>
      <c r="S979" s="1">
        <v>12</v>
      </c>
      <c r="T979" s="1">
        <f>(Table1[[#This Row],[Selling_Price_per_Unit]]-Table1[[#This Row],[Manufacturing_Cost_per_Unit]])*Table1[[#This Row],[Units_Sold]]-Table1[[#This Row],[Marketing_Spend]]-Table1[[#This Row],[Discount_%]]</f>
        <v>-3142349.08</v>
      </c>
      <c r="U979" s="3">
        <f>Table1[[#This Row],[profit]]/(Table1[[#This Row],[Units_Sold]]*Table1[[#This Row],[Selling_Price_per_Unit]])*100</f>
        <v>-31.345315582936156</v>
      </c>
      <c r="V979" s="6">
        <f>Table1[[#This Row],[Units_Sold]]*Table1[[#This Row],[Selling_Price_per_Unit]]</f>
        <v>10024940</v>
      </c>
      <c r="W979" s="7">
        <f>(Table1[[#This Row],[Units_Sold]]/$Z$1)</f>
        <v>0.25125386690712292</v>
      </c>
      <c r="X979" s="8">
        <f>((Table1[[#This Row],[Units_Sold]]*(Table1[[#This Row],[Selling_Price_per_Unit]]-Table1[[#This Row],[Manufacturing_Cost_per_Unit]]))-Table1[[#This Row],[Marketing_Spend]])/Table1[[#This Row],[Marketing_Spend]]</f>
        <v>-8.7286868647587088</v>
      </c>
    </row>
    <row r="980" spans="1:24" hidden="1" x14ac:dyDescent="0.3">
      <c r="A980" s="1" t="s">
        <v>997</v>
      </c>
      <c r="B980" s="1" t="s">
        <v>1624</v>
      </c>
      <c r="C980" s="1" t="s">
        <v>1633</v>
      </c>
      <c r="D980" s="1" t="s">
        <v>1637</v>
      </c>
      <c r="E980" s="1">
        <v>2024</v>
      </c>
      <c r="F980" s="1" t="s">
        <v>1641</v>
      </c>
      <c r="G980" s="1">
        <v>3080</v>
      </c>
      <c r="H980" s="1">
        <v>5350</v>
      </c>
      <c r="I980" s="1">
        <v>1959</v>
      </c>
      <c r="J980" s="1">
        <v>437699</v>
      </c>
      <c r="K980" s="1">
        <v>9.8699999999999992</v>
      </c>
      <c r="L980" s="1">
        <v>7</v>
      </c>
      <c r="M980" s="1">
        <v>7.89</v>
      </c>
      <c r="N980" s="1">
        <v>21.86</v>
      </c>
      <c r="O980" s="1">
        <v>33.33</v>
      </c>
      <c r="P980" s="1">
        <v>1.6</v>
      </c>
      <c r="Q980" s="1">
        <v>2581</v>
      </c>
      <c r="R980" s="1">
        <v>5046</v>
      </c>
      <c r="S980" s="1">
        <v>6</v>
      </c>
      <c r="T980" s="1">
        <f>(Table1[[#This Row],[Selling_Price_per_Unit]]-Table1[[#This Row],[Manufacturing_Cost_per_Unit]])*Table1[[#This Row],[Units_Sold]]-Table1[[#This Row],[Marketing_Spend]]-Table1[[#This Row],[Discount_%]]</f>
        <v>10006559.140000001</v>
      </c>
      <c r="U980" s="3">
        <f>Table1[[#This Row],[profit]]/(Table1[[#This Row],[Units_Sold]]*Table1[[#This Row],[Selling_Price_per_Unit]])*100</f>
        <v>60.726782012380141</v>
      </c>
      <c r="V980" s="6">
        <f>Table1[[#This Row],[Units_Sold]]*Table1[[#This Row],[Selling_Price_per_Unit]]</f>
        <v>16478000</v>
      </c>
      <c r="W980" s="7">
        <f>(Table1[[#This Row],[Units_Sold]]/$Z$1)</f>
        <v>0.61662303591548895</v>
      </c>
      <c r="X980" s="8">
        <f>((Table1[[#This Row],[Units_Sold]]*(Table1[[#This Row],[Selling_Price_per_Unit]]-Table1[[#This Row],[Manufacturing_Cost_per_Unit]]))-Table1[[#This Row],[Marketing_Spend]])/Table1[[#This Row],[Marketing_Spend]]</f>
        <v>22.861786296061904</v>
      </c>
    </row>
    <row r="981" spans="1:24" x14ac:dyDescent="0.3">
      <c r="A981" s="1" t="s">
        <v>79</v>
      </c>
      <c r="B981" s="1" t="s">
        <v>1077</v>
      </c>
      <c r="C981" s="1" t="s">
        <v>1632</v>
      </c>
      <c r="D981" s="1" t="s">
        <v>1636</v>
      </c>
      <c r="E981" s="1">
        <v>2023</v>
      </c>
      <c r="F981" s="1" t="s">
        <v>1639</v>
      </c>
      <c r="G981" s="1">
        <v>3893</v>
      </c>
      <c r="H981" s="1">
        <v>15075</v>
      </c>
      <c r="I981" s="1">
        <v>10451</v>
      </c>
      <c r="J981" s="1">
        <v>457592</v>
      </c>
      <c r="K981" s="1">
        <v>12.41</v>
      </c>
      <c r="L981" s="1">
        <v>12</v>
      </c>
      <c r="M981" s="1">
        <v>8.08</v>
      </c>
      <c r="N981" s="1">
        <v>14.34</v>
      </c>
      <c r="O981" s="1">
        <v>15.06</v>
      </c>
      <c r="P981" s="1">
        <v>1.1000000000000001</v>
      </c>
      <c r="Q981" s="1">
        <v>8475</v>
      </c>
      <c r="R981" s="1">
        <v>8699</v>
      </c>
      <c r="S981" s="1">
        <v>8</v>
      </c>
      <c r="T981" s="1">
        <f>(Table1[[#This Row],[Selling_Price_per_Unit]]-Table1[[#This Row],[Manufacturing_Cost_per_Unit]])*Table1[[#This Row],[Units_Sold]]-Table1[[#This Row],[Marketing_Spend]]-Table1[[#This Row],[Discount_%]]</f>
        <v>17543625.66</v>
      </c>
      <c r="U981" s="3">
        <f>Table1[[#This Row],[profit]]/(Table1[[#This Row],[Units_Sold]]*Table1[[#This Row],[Selling_Price_per_Unit]])*100</f>
        <v>29.893559277846578</v>
      </c>
      <c r="V981" s="6">
        <f>Table1[[#This Row],[Units_Sold]]*Table1[[#This Row],[Selling_Price_per_Unit]]</f>
        <v>58686975</v>
      </c>
      <c r="W981" s="7">
        <f>(Table1[[#This Row],[Units_Sold]]/$Z$1)</f>
        <v>0.77938749312305144</v>
      </c>
      <c r="X981" s="8">
        <f>((Table1[[#This Row],[Units_Sold]]*(Table1[[#This Row],[Selling_Price_per_Unit]]-Table1[[#This Row],[Manufacturing_Cost_per_Unit]]))-Table1[[#This Row],[Marketing_Spend]])/Table1[[#This Row],[Marketing_Spend]]</f>
        <v>38.33904438888792</v>
      </c>
    </row>
    <row r="982" spans="1:24" hidden="1" x14ac:dyDescent="0.3">
      <c r="A982" s="1" t="s">
        <v>999</v>
      </c>
      <c r="B982" s="1" t="s">
        <v>1625</v>
      </c>
      <c r="C982" s="1" t="s">
        <v>1632</v>
      </c>
      <c r="D982" s="1" t="s">
        <v>1637</v>
      </c>
      <c r="E982" s="1">
        <v>2024</v>
      </c>
      <c r="F982" s="1" t="s">
        <v>1642</v>
      </c>
      <c r="G982" s="1">
        <v>3122</v>
      </c>
      <c r="H982" s="1">
        <v>15064</v>
      </c>
      <c r="I982" s="1">
        <v>13491</v>
      </c>
      <c r="J982" s="1">
        <v>307927</v>
      </c>
      <c r="K982" s="1">
        <v>5.93</v>
      </c>
      <c r="L982" s="1">
        <v>2</v>
      </c>
      <c r="M982" s="1">
        <v>2.1800000000000002</v>
      </c>
      <c r="N982" s="1">
        <v>6.53</v>
      </c>
      <c r="O982" s="1">
        <v>84.36</v>
      </c>
      <c r="P982" s="1">
        <v>4.5999999999999996</v>
      </c>
      <c r="Q982" s="1">
        <v>18376</v>
      </c>
      <c r="R982" s="1">
        <v>8146</v>
      </c>
      <c r="S982" s="1">
        <v>11</v>
      </c>
      <c r="T982" s="1">
        <f>(Table1[[#This Row],[Selling_Price_per_Unit]]-Table1[[#This Row],[Manufacturing_Cost_per_Unit]])*Table1[[#This Row],[Units_Sold]]-Table1[[#This Row],[Marketing_Spend]]-Table1[[#This Row],[Discount_%]]</f>
        <v>4602972.47</v>
      </c>
      <c r="U982" s="3">
        <f>Table1[[#This Row],[profit]]/(Table1[[#This Row],[Units_Sold]]*Table1[[#This Row],[Selling_Price_per_Unit]])*100</f>
        <v>9.7873511837428726</v>
      </c>
      <c r="V982" s="6">
        <f>Table1[[#This Row],[Units_Sold]]*Table1[[#This Row],[Selling_Price_per_Unit]]</f>
        <v>47029808</v>
      </c>
      <c r="W982" s="7">
        <f>(Table1[[#This Row],[Units_Sold]]/$Z$1)</f>
        <v>0.6250315318597911</v>
      </c>
      <c r="X982" s="8">
        <f>((Table1[[#This Row],[Units_Sold]]*(Table1[[#This Row],[Selling_Price_per_Unit]]-Table1[[#This Row],[Manufacturing_Cost_per_Unit]]))-Table1[[#This Row],[Marketing_Spend]])/Table1[[#This Row],[Marketing_Spend]]</f>
        <v>14.948279949468542</v>
      </c>
    </row>
    <row r="983" spans="1:24" hidden="1" x14ac:dyDescent="0.3">
      <c r="A983" s="1" t="s">
        <v>1000</v>
      </c>
      <c r="B983" s="1" t="s">
        <v>1110</v>
      </c>
      <c r="C983" s="1" t="s">
        <v>1632</v>
      </c>
      <c r="D983" s="1" t="s">
        <v>1635</v>
      </c>
      <c r="E983" s="1">
        <v>2024</v>
      </c>
      <c r="F983" s="1" t="s">
        <v>1639</v>
      </c>
      <c r="G983" s="1">
        <v>1904</v>
      </c>
      <c r="H983" s="1">
        <v>6578</v>
      </c>
      <c r="I983" s="1">
        <v>5787</v>
      </c>
      <c r="J983" s="1">
        <v>482680</v>
      </c>
      <c r="K983" s="1">
        <v>2.73</v>
      </c>
      <c r="L983" s="1">
        <v>14</v>
      </c>
      <c r="M983" s="1">
        <v>6.21</v>
      </c>
      <c r="N983" s="1">
        <v>21.89</v>
      </c>
      <c r="O983" s="1">
        <v>23.8</v>
      </c>
      <c r="P983" s="1">
        <v>5</v>
      </c>
      <c r="Q983" s="1">
        <v>6264</v>
      </c>
      <c r="R983" s="1">
        <v>9084</v>
      </c>
      <c r="S983" s="1">
        <v>3</v>
      </c>
      <c r="T983" s="1">
        <f>(Table1[[#This Row],[Selling_Price_per_Unit]]-Table1[[#This Row],[Manufacturing_Cost_per_Unit]])*Table1[[#This Row],[Units_Sold]]-Table1[[#This Row],[Marketing_Spend]]-Table1[[#This Row],[Discount_%]]</f>
        <v>1023362.11</v>
      </c>
      <c r="U983" s="3">
        <f>Table1[[#This Row],[profit]]/(Table1[[#This Row],[Units_Sold]]*Table1[[#This Row],[Selling_Price_per_Unit]])*100</f>
        <v>8.170874122680388</v>
      </c>
      <c r="V983" s="6">
        <f>Table1[[#This Row],[Units_Sold]]*Table1[[#This Row],[Selling_Price_per_Unit]]</f>
        <v>12524512</v>
      </c>
      <c r="W983" s="7">
        <f>(Table1[[#This Row],[Units_Sold]]/$Z$1)</f>
        <v>0.38118514947502957</v>
      </c>
      <c r="X983" s="8">
        <f>((Table1[[#This Row],[Units_Sold]]*(Table1[[#This Row],[Selling_Price_per_Unit]]-Table1[[#This Row],[Manufacturing_Cost_per_Unit]]))-Table1[[#This Row],[Marketing_Spend]])/Table1[[#This Row],[Marketing_Spend]]</f>
        <v>2.1202121488356673</v>
      </c>
    </row>
    <row r="984" spans="1:24" hidden="1" x14ac:dyDescent="0.3">
      <c r="A984" s="1" t="s">
        <v>305</v>
      </c>
      <c r="B984" s="1" t="s">
        <v>1270</v>
      </c>
      <c r="C984" s="1" t="s">
        <v>1633</v>
      </c>
      <c r="D984" s="1" t="s">
        <v>1635</v>
      </c>
      <c r="E984" s="1">
        <v>2023</v>
      </c>
      <c r="F984" s="1" t="s">
        <v>1642</v>
      </c>
      <c r="G984" s="1">
        <v>2377</v>
      </c>
      <c r="H984" s="1">
        <v>19680</v>
      </c>
      <c r="I984" s="1">
        <v>12129</v>
      </c>
      <c r="J984" s="1">
        <v>462811</v>
      </c>
      <c r="K984" s="1">
        <v>9.9600000000000009</v>
      </c>
      <c r="L984" s="1">
        <v>12</v>
      </c>
      <c r="M984" s="1">
        <v>8.57</v>
      </c>
      <c r="N984" s="1">
        <v>17.53</v>
      </c>
      <c r="O984" s="1">
        <v>80.19</v>
      </c>
      <c r="P984" s="1">
        <v>2.2999999999999998</v>
      </c>
      <c r="Q984" s="1">
        <v>8808</v>
      </c>
      <c r="R984" s="1">
        <v>5130</v>
      </c>
      <c r="S984" s="1">
        <v>12</v>
      </c>
      <c r="T984" s="1">
        <f>(Table1[[#This Row],[Selling_Price_per_Unit]]-Table1[[#This Row],[Manufacturing_Cost_per_Unit]])*Table1[[#This Row],[Units_Sold]]-Table1[[#This Row],[Marketing_Spend]]-Table1[[#This Row],[Discount_%]]</f>
        <v>17485898.469999999</v>
      </c>
      <c r="U984" s="3">
        <f>Table1[[#This Row],[profit]]/(Table1[[#This Row],[Units_Sold]]*Table1[[#This Row],[Selling_Price_per_Unit]])*100</f>
        <v>37.379516243916115</v>
      </c>
      <c r="V984" s="6">
        <f>Table1[[#This Row],[Units_Sold]]*Table1[[#This Row],[Selling_Price_per_Unit]]</f>
        <v>46779360</v>
      </c>
      <c r="W984" s="7">
        <f>(Table1[[#This Row],[Units_Sold]]/$Z$1)</f>
        <v>0.47588082999062248</v>
      </c>
      <c r="X984" s="8">
        <f>((Table1[[#This Row],[Units_Sold]]*(Table1[[#This Row],[Selling_Price_per_Unit]]-Table1[[#This Row],[Manufacturing_Cost_per_Unit]]))-Table1[[#This Row],[Marketing_Spend]])/Table1[[#This Row],[Marketing_Spend]]</f>
        <v>37.781980117153651</v>
      </c>
    </row>
    <row r="985" spans="1:24" x14ac:dyDescent="0.3">
      <c r="A985" s="1" t="s">
        <v>1002</v>
      </c>
      <c r="B985" s="1" t="s">
        <v>1410</v>
      </c>
      <c r="C985" s="1" t="s">
        <v>1633</v>
      </c>
      <c r="D985" s="1" t="s">
        <v>1637</v>
      </c>
      <c r="E985" s="1">
        <v>2024</v>
      </c>
      <c r="F985" s="1" t="s">
        <v>1640</v>
      </c>
      <c r="G985" s="1">
        <v>4712</v>
      </c>
      <c r="H985" s="1">
        <v>6948</v>
      </c>
      <c r="I985" s="1">
        <v>14918</v>
      </c>
      <c r="J985" s="1">
        <v>143330</v>
      </c>
      <c r="K985" s="1">
        <v>12.41</v>
      </c>
      <c r="L985" s="1">
        <v>8</v>
      </c>
      <c r="M985" s="1">
        <v>4.84</v>
      </c>
      <c r="N985" s="1">
        <v>0.44</v>
      </c>
      <c r="O985" s="1">
        <v>54.44</v>
      </c>
      <c r="P985" s="1">
        <v>4.5</v>
      </c>
      <c r="Q985" s="1">
        <v>12683</v>
      </c>
      <c r="R985" s="1">
        <v>3514</v>
      </c>
      <c r="S985" s="1">
        <v>3</v>
      </c>
      <c r="T985" s="1">
        <f>(Table1[[#This Row],[Selling_Price_per_Unit]]-Table1[[#This Row],[Manufacturing_Cost_per_Unit]])*Table1[[#This Row],[Units_Sold]]-Table1[[#This Row],[Marketing_Spend]]-Table1[[#This Row],[Discount_%]]</f>
        <v>-37697970.439999998</v>
      </c>
      <c r="U985" s="3">
        <f>Table1[[#This Row],[profit]]/(Table1[[#This Row],[Units_Sold]]*Table1[[#This Row],[Selling_Price_per_Unit]])*100</f>
        <v>-115.14706642015926</v>
      </c>
      <c r="V985" s="6">
        <f>Table1[[#This Row],[Units_Sold]]*Table1[[#This Row],[Selling_Price_per_Unit]]</f>
        <v>32738976</v>
      </c>
      <c r="W985" s="7">
        <f>(Table1[[#This Row],[Units_Sold]]/$Z$1)</f>
        <v>0.94335316403694291</v>
      </c>
      <c r="X985" s="8">
        <f>((Table1[[#This Row],[Units_Sold]]*(Table1[[#This Row],[Selling_Price_per_Unit]]-Table1[[#This Row],[Manufacturing_Cost_per_Unit]]))-Table1[[#This Row],[Marketing_Spend]])/Table1[[#This Row],[Marketing_Spend]]</f>
        <v>-263.01520965603851</v>
      </c>
    </row>
    <row r="986" spans="1:24" hidden="1" x14ac:dyDescent="0.3">
      <c r="A986" s="1" t="s">
        <v>133</v>
      </c>
      <c r="B986" s="1" t="s">
        <v>1127</v>
      </c>
      <c r="C986" s="1" t="s">
        <v>1633</v>
      </c>
      <c r="D986" s="1" t="s">
        <v>1635</v>
      </c>
      <c r="E986" s="1">
        <v>2024</v>
      </c>
      <c r="F986" s="1" t="s">
        <v>1642</v>
      </c>
      <c r="G986" s="1">
        <v>2840</v>
      </c>
      <c r="H986" s="1">
        <v>8684</v>
      </c>
      <c r="I986" s="1">
        <v>2468</v>
      </c>
      <c r="J986" s="1">
        <v>217860</v>
      </c>
      <c r="K986" s="1">
        <v>8.58</v>
      </c>
      <c r="L986" s="1">
        <v>3</v>
      </c>
      <c r="M986" s="1">
        <v>1.1599999999999999</v>
      </c>
      <c r="N986" s="1">
        <v>0.46</v>
      </c>
      <c r="O986" s="1">
        <v>74.599999999999994</v>
      </c>
      <c r="P986" s="1">
        <v>2.8</v>
      </c>
      <c r="Q986" s="1">
        <v>2915</v>
      </c>
      <c r="R986" s="1">
        <v>3430</v>
      </c>
      <c r="S986" s="1">
        <v>12</v>
      </c>
      <c r="T986" s="1">
        <f>(Table1[[#This Row],[Selling_Price_per_Unit]]-Table1[[#This Row],[Manufacturing_Cost_per_Unit]])*Table1[[#This Row],[Units_Sold]]-Table1[[#This Row],[Marketing_Spend]]-Table1[[#This Row],[Discount_%]]</f>
        <v>17435579.539999999</v>
      </c>
      <c r="U986" s="3">
        <f>Table1[[#This Row],[profit]]/(Table1[[#This Row],[Units_Sold]]*Table1[[#This Row],[Selling_Price_per_Unit]])*100</f>
        <v>70.696551939458033</v>
      </c>
      <c r="V986" s="6">
        <f>Table1[[#This Row],[Units_Sold]]*Table1[[#This Row],[Selling_Price_per_Unit]]</f>
        <v>24662560</v>
      </c>
      <c r="W986" s="7">
        <f>(Table1[[#This Row],[Units_Sold]]/$Z$1)</f>
        <v>0.56857448766233398</v>
      </c>
      <c r="X986" s="8">
        <f>((Table1[[#This Row],[Units_Sold]]*(Table1[[#This Row],[Selling_Price_per_Unit]]-Table1[[#This Row],[Manufacturing_Cost_per_Unit]]))-Table1[[#This Row],[Marketing_Spend]])/Table1[[#This Row],[Marketing_Spend]]</f>
        <v>80.031120903332422</v>
      </c>
    </row>
    <row r="987" spans="1:24" hidden="1" x14ac:dyDescent="0.3">
      <c r="A987" s="1" t="s">
        <v>380</v>
      </c>
      <c r="B987" s="1" t="s">
        <v>1321</v>
      </c>
      <c r="C987" s="1" t="s">
        <v>1633</v>
      </c>
      <c r="D987" s="1" t="s">
        <v>1636</v>
      </c>
      <c r="E987" s="1">
        <v>2024</v>
      </c>
      <c r="F987" s="1" t="s">
        <v>1641</v>
      </c>
      <c r="G987" s="1">
        <v>1743</v>
      </c>
      <c r="H987" s="1">
        <v>11382</v>
      </c>
      <c r="I987" s="1">
        <v>1341</v>
      </c>
      <c r="J987" s="1">
        <v>208175</v>
      </c>
      <c r="K987" s="1">
        <v>1.73</v>
      </c>
      <c r="L987" s="1">
        <v>1</v>
      </c>
      <c r="M987" s="1">
        <v>8.93</v>
      </c>
      <c r="N987" s="1">
        <v>14.7</v>
      </c>
      <c r="O987" s="1">
        <v>11.21</v>
      </c>
      <c r="P987" s="1">
        <v>1.5</v>
      </c>
      <c r="Q987" s="1">
        <v>7233</v>
      </c>
      <c r="R987" s="1">
        <v>9487</v>
      </c>
      <c r="S987" s="1">
        <v>7</v>
      </c>
      <c r="T987" s="1">
        <f>(Table1[[#This Row],[Selling_Price_per_Unit]]-Table1[[#This Row],[Manufacturing_Cost_per_Unit]])*Table1[[#This Row],[Units_Sold]]-Table1[[#This Row],[Marketing_Spend]]-Table1[[#This Row],[Discount_%]]</f>
        <v>17293273.300000001</v>
      </c>
      <c r="U987" s="3">
        <f>Table1[[#This Row],[profit]]/(Table1[[#This Row],[Units_Sold]]*Table1[[#This Row],[Selling_Price_per_Unit]])*100</f>
        <v>87.168833982414085</v>
      </c>
      <c r="V987" s="6">
        <f>Table1[[#This Row],[Units_Sold]]*Table1[[#This Row],[Selling_Price_per_Unit]]</f>
        <v>19838826</v>
      </c>
      <c r="W987" s="7">
        <f>(Table1[[#This Row],[Units_Sold]]/$Z$1)</f>
        <v>0.3489525816885381</v>
      </c>
      <c r="X987" s="8">
        <f>((Table1[[#This Row],[Units_Sold]]*(Table1[[#This Row],[Selling_Price_per_Unit]]-Table1[[#This Row],[Manufacturing_Cost_per_Unit]]))-Table1[[#This Row],[Marketing_Spend]])/Table1[[#This Row],[Marketing_Spend]]</f>
        <v>83.070916296385249</v>
      </c>
    </row>
    <row r="988" spans="1:24" hidden="1" x14ac:dyDescent="0.3">
      <c r="A988" s="1" t="s">
        <v>1005</v>
      </c>
      <c r="B988" s="1" t="s">
        <v>1562</v>
      </c>
      <c r="C988" s="1" t="s">
        <v>1634</v>
      </c>
      <c r="D988" s="1" t="s">
        <v>1636</v>
      </c>
      <c r="E988" s="1">
        <v>2024</v>
      </c>
      <c r="F988" s="1" t="s">
        <v>1641</v>
      </c>
      <c r="G988" s="1">
        <v>1382</v>
      </c>
      <c r="H988" s="1">
        <v>7906</v>
      </c>
      <c r="I988" s="1">
        <v>2768</v>
      </c>
      <c r="J988" s="1">
        <v>457085</v>
      </c>
      <c r="K988" s="1">
        <v>2.52</v>
      </c>
      <c r="L988" s="1">
        <v>19</v>
      </c>
      <c r="M988" s="1">
        <v>9.76</v>
      </c>
      <c r="N988" s="1">
        <v>10.02</v>
      </c>
      <c r="O988" s="1">
        <v>31.78</v>
      </c>
      <c r="P988" s="1">
        <v>2.7</v>
      </c>
      <c r="Q988" s="1">
        <v>11482</v>
      </c>
      <c r="R988" s="1">
        <v>6849</v>
      </c>
      <c r="S988" s="1">
        <v>4</v>
      </c>
      <c r="T988" s="1">
        <f>(Table1[[#This Row],[Selling_Price_per_Unit]]-Table1[[#This Row],[Manufacturing_Cost_per_Unit]])*Table1[[#This Row],[Units_Sold]]-Table1[[#This Row],[Marketing_Spend]]-Table1[[#This Row],[Discount_%]]</f>
        <v>6643620.9800000004</v>
      </c>
      <c r="U988" s="3">
        <f>Table1[[#This Row],[profit]]/(Table1[[#This Row],[Units_Sold]]*Table1[[#This Row],[Selling_Price_per_Unit]])*100</f>
        <v>60.805098291319538</v>
      </c>
      <c r="V988" s="6">
        <f>Table1[[#This Row],[Units_Sold]]*Table1[[#This Row],[Selling_Price_per_Unit]]</f>
        <v>10926092</v>
      </c>
      <c r="W988" s="7">
        <f>(Table1[[#This Row],[Units_Sold]]/$Z$1)</f>
        <v>0.27667955702441743</v>
      </c>
      <c r="X988" s="8">
        <f>((Table1[[#This Row],[Units_Sold]]*(Table1[[#This Row],[Selling_Price_per_Unit]]-Table1[[#This Row],[Manufacturing_Cost_per_Unit]]))-Table1[[#This Row],[Marketing_Spend]])/Table1[[#This Row],[Marketing_Spend]]</f>
        <v>14.534782370893817</v>
      </c>
    </row>
    <row r="989" spans="1:24" hidden="1" x14ac:dyDescent="0.3">
      <c r="A989" s="1" t="s">
        <v>1006</v>
      </c>
      <c r="B989" s="1" t="s">
        <v>1231</v>
      </c>
      <c r="C989" s="1" t="s">
        <v>1633</v>
      </c>
      <c r="D989" s="1" t="s">
        <v>1635</v>
      </c>
      <c r="E989" s="1">
        <v>2024</v>
      </c>
      <c r="F989" s="1" t="s">
        <v>1640</v>
      </c>
      <c r="G989" s="1">
        <v>251</v>
      </c>
      <c r="H989" s="1">
        <v>10300</v>
      </c>
      <c r="I989" s="1">
        <v>1503</v>
      </c>
      <c r="J989" s="1">
        <v>241387</v>
      </c>
      <c r="K989" s="1">
        <v>13.19</v>
      </c>
      <c r="L989" s="1">
        <v>16</v>
      </c>
      <c r="M989" s="1">
        <v>2.2200000000000002</v>
      </c>
      <c r="N989" s="1">
        <v>7.43</v>
      </c>
      <c r="O989" s="1">
        <v>23.55</v>
      </c>
      <c r="P989" s="1">
        <v>3.6</v>
      </c>
      <c r="Q989" s="1">
        <v>10468</v>
      </c>
      <c r="R989" s="1">
        <v>396</v>
      </c>
      <c r="S989" s="1">
        <v>6</v>
      </c>
      <c r="T989" s="1">
        <f>(Table1[[#This Row],[Selling_Price_per_Unit]]-Table1[[#This Row],[Manufacturing_Cost_per_Unit]])*Table1[[#This Row],[Units_Sold]]-Table1[[#This Row],[Marketing_Spend]]-Table1[[#This Row],[Discount_%]]</f>
        <v>1966652.57</v>
      </c>
      <c r="U989" s="3">
        <f>Table1[[#This Row],[profit]]/(Table1[[#This Row],[Units_Sold]]*Table1[[#This Row],[Selling_Price_per_Unit]])*100</f>
        <v>76.070574788225741</v>
      </c>
      <c r="V989" s="6">
        <f>Table1[[#This Row],[Units_Sold]]*Table1[[#This Row],[Selling_Price_per_Unit]]</f>
        <v>2585300</v>
      </c>
      <c r="W989" s="7">
        <f>(Table1[[#This Row],[Units_Sold]]/$Z$1)</f>
        <v>5.0250773381424585E-2</v>
      </c>
      <c r="X989" s="8">
        <f>((Table1[[#This Row],[Units_Sold]]*(Table1[[#This Row],[Selling_Price_per_Unit]]-Table1[[#This Row],[Manufacturing_Cost_per_Unit]]))-Table1[[#This Row],[Marketing_Spend]])/Table1[[#This Row],[Marketing_Spend]]</f>
        <v>8.1473318778558905</v>
      </c>
    </row>
    <row r="990" spans="1:24" hidden="1" x14ac:dyDescent="0.3">
      <c r="A990" s="1" t="s">
        <v>1007</v>
      </c>
      <c r="B990" s="1" t="s">
        <v>1493</v>
      </c>
      <c r="C990" s="1" t="s">
        <v>1632</v>
      </c>
      <c r="D990" s="1" t="s">
        <v>1636</v>
      </c>
      <c r="E990" s="1">
        <v>2023</v>
      </c>
      <c r="F990" s="1" t="s">
        <v>1642</v>
      </c>
      <c r="G990" s="1">
        <v>3557</v>
      </c>
      <c r="H990" s="1">
        <v>15583</v>
      </c>
      <c r="I990" s="1">
        <v>13405</v>
      </c>
      <c r="J990" s="1">
        <v>291133</v>
      </c>
      <c r="K990" s="1">
        <v>8.36</v>
      </c>
      <c r="L990" s="1">
        <v>12</v>
      </c>
      <c r="M990" s="1">
        <v>2.08</v>
      </c>
      <c r="N990" s="1">
        <v>17.04</v>
      </c>
      <c r="O990" s="1">
        <v>59.67</v>
      </c>
      <c r="P990" s="1">
        <v>2.2000000000000002</v>
      </c>
      <c r="Q990" s="1">
        <v>16139</v>
      </c>
      <c r="R990" s="1">
        <v>9921</v>
      </c>
      <c r="S990" s="1">
        <v>5</v>
      </c>
      <c r="T990" s="1">
        <f>(Table1[[#This Row],[Selling_Price_per_Unit]]-Table1[[#This Row],[Manufacturing_Cost_per_Unit]])*Table1[[#This Row],[Units_Sold]]-Table1[[#This Row],[Marketing_Spend]]-Table1[[#This Row],[Discount_%]]</f>
        <v>7455995.96</v>
      </c>
      <c r="U990" s="3">
        <f>Table1[[#This Row],[profit]]/(Table1[[#This Row],[Units_Sold]]*Table1[[#This Row],[Selling_Price_per_Unit]])*100</f>
        <v>13.451500378025974</v>
      </c>
      <c r="V990" s="6">
        <f>Table1[[#This Row],[Units_Sold]]*Table1[[#This Row],[Selling_Price_per_Unit]]</f>
        <v>55428731</v>
      </c>
      <c r="W990" s="7">
        <f>(Table1[[#This Row],[Units_Sold]]/$Z$1)</f>
        <v>0.71211952556863445</v>
      </c>
      <c r="X990" s="8">
        <f>((Table1[[#This Row],[Units_Sold]]*(Table1[[#This Row],[Selling_Price_per_Unit]]-Table1[[#This Row],[Manufacturing_Cost_per_Unit]]))-Table1[[#This Row],[Marketing_Spend]])/Table1[[#This Row],[Marketing_Spend]]</f>
        <v>25.610332734523396</v>
      </c>
    </row>
    <row r="991" spans="1:24" x14ac:dyDescent="0.3">
      <c r="A991" s="1" t="s">
        <v>1008</v>
      </c>
      <c r="B991" s="1" t="s">
        <v>1627</v>
      </c>
      <c r="C991" s="1" t="s">
        <v>1633</v>
      </c>
      <c r="D991" s="1" t="s">
        <v>1637</v>
      </c>
      <c r="E991" s="1">
        <v>2023</v>
      </c>
      <c r="F991" s="1" t="s">
        <v>1642</v>
      </c>
      <c r="G991" s="1">
        <v>4262</v>
      </c>
      <c r="H991" s="1">
        <v>3138</v>
      </c>
      <c r="I991" s="1">
        <v>6282</v>
      </c>
      <c r="J991" s="1">
        <v>464170</v>
      </c>
      <c r="K991" s="1">
        <v>3.47</v>
      </c>
      <c r="L991" s="1">
        <v>0</v>
      </c>
      <c r="M991" s="1">
        <v>7.54</v>
      </c>
      <c r="N991" s="1">
        <v>5.19</v>
      </c>
      <c r="O991" s="1">
        <v>67.52</v>
      </c>
      <c r="P991" s="1">
        <v>3.4</v>
      </c>
      <c r="Q991" s="1">
        <v>6174</v>
      </c>
      <c r="R991" s="1">
        <v>668</v>
      </c>
      <c r="S991" s="1">
        <v>3</v>
      </c>
      <c r="T991" s="1">
        <f>(Table1[[#This Row],[Selling_Price_per_Unit]]-Table1[[#This Row],[Manufacturing_Cost_per_Unit]])*Table1[[#This Row],[Units_Sold]]-Table1[[#This Row],[Marketing_Spend]]-Table1[[#This Row],[Discount_%]]</f>
        <v>-13863903.189999999</v>
      </c>
      <c r="U991" s="3">
        <f>Table1[[#This Row],[profit]]/(Table1[[#This Row],[Units_Sold]]*Table1[[#This Row],[Selling_Price_per_Unit]])*100</f>
        <v>-103.66189230931657</v>
      </c>
      <c r="V991" s="6">
        <f>Table1[[#This Row],[Units_Sold]]*Table1[[#This Row],[Selling_Price_per_Unit]]</f>
        <v>13374156</v>
      </c>
      <c r="W991" s="7">
        <f>(Table1[[#This Row],[Units_Sold]]/$Z$1)</f>
        <v>0.8532621360622773</v>
      </c>
      <c r="X991" s="8">
        <f>((Table1[[#This Row],[Units_Sold]]*(Table1[[#This Row],[Selling_Price_per_Unit]]-Table1[[#This Row],[Manufacturing_Cost_per_Unit]]))-Table1[[#This Row],[Marketing_Spend]])/Table1[[#This Row],[Marketing_Spend]]</f>
        <v>-29.868147445978845</v>
      </c>
    </row>
    <row r="992" spans="1:24" hidden="1" x14ac:dyDescent="0.3">
      <c r="A992" s="1" t="s">
        <v>1009</v>
      </c>
      <c r="B992" s="1" t="s">
        <v>1063</v>
      </c>
      <c r="C992" s="1" t="s">
        <v>1634</v>
      </c>
      <c r="D992" s="1" t="s">
        <v>1638</v>
      </c>
      <c r="E992" s="1">
        <v>2024</v>
      </c>
      <c r="F992" s="1" t="s">
        <v>1639</v>
      </c>
      <c r="G992" s="1">
        <v>624</v>
      </c>
      <c r="H992" s="1">
        <v>11840</v>
      </c>
      <c r="I992" s="1">
        <v>11421</v>
      </c>
      <c r="J992" s="1">
        <v>212627</v>
      </c>
      <c r="K992" s="1">
        <v>7.54</v>
      </c>
      <c r="L992" s="1">
        <v>1</v>
      </c>
      <c r="M992" s="1">
        <v>2.5299999999999998</v>
      </c>
      <c r="N992" s="1">
        <v>19.97</v>
      </c>
      <c r="O992" s="1">
        <v>55.56</v>
      </c>
      <c r="P992" s="1">
        <v>3.1</v>
      </c>
      <c r="Q992" s="1">
        <v>5816</v>
      </c>
      <c r="R992" s="1">
        <v>5383</v>
      </c>
      <c r="S992" s="1">
        <v>12</v>
      </c>
      <c r="T992" s="1">
        <f>(Table1[[#This Row],[Selling_Price_per_Unit]]-Table1[[#This Row],[Manufacturing_Cost_per_Unit]])*Table1[[#This Row],[Units_Sold]]-Table1[[#This Row],[Marketing_Spend]]-Table1[[#This Row],[Discount_%]]</f>
        <v>48809.03</v>
      </c>
      <c r="U992" s="3">
        <f>Table1[[#This Row],[profit]]/(Table1[[#This Row],[Units_Sold]]*Table1[[#This Row],[Selling_Price_per_Unit]])*100</f>
        <v>0.66063850809944558</v>
      </c>
      <c r="V992" s="6">
        <f>Table1[[#This Row],[Units_Sold]]*Table1[[#This Row],[Selling_Price_per_Unit]]</f>
        <v>7388160</v>
      </c>
      <c r="W992" s="7">
        <f>(Table1[[#This Row],[Units_Sold]]/$Z$1)</f>
        <v>0.12492622545820296</v>
      </c>
      <c r="X992" s="8">
        <f>((Table1[[#This Row],[Units_Sold]]*(Table1[[#This Row],[Selling_Price_per_Unit]]-Table1[[#This Row],[Manufacturing_Cost_per_Unit]]))-Table1[[#This Row],[Marketing_Spend]])/Table1[[#This Row],[Marketing_Spend]]</f>
        <v>0.22964628198676557</v>
      </c>
    </row>
    <row r="993" spans="1:24" hidden="1" x14ac:dyDescent="0.3">
      <c r="A993" s="1" t="s">
        <v>1010</v>
      </c>
      <c r="B993" s="1" t="s">
        <v>1628</v>
      </c>
      <c r="C993" s="1" t="s">
        <v>1633</v>
      </c>
      <c r="D993" s="1" t="s">
        <v>1636</v>
      </c>
      <c r="E993" s="1">
        <v>2024</v>
      </c>
      <c r="F993" s="1" t="s">
        <v>1642</v>
      </c>
      <c r="G993" s="1">
        <v>586</v>
      </c>
      <c r="H993" s="1">
        <v>2882</v>
      </c>
      <c r="I993" s="1">
        <v>7176</v>
      </c>
      <c r="J993" s="1">
        <v>375497</v>
      </c>
      <c r="K993" s="1">
        <v>10.97</v>
      </c>
      <c r="L993" s="1">
        <v>14</v>
      </c>
      <c r="M993" s="1">
        <v>8.9499999999999993</v>
      </c>
      <c r="N993" s="1">
        <v>20.079999999999998</v>
      </c>
      <c r="O993" s="1">
        <v>69.069999999999993</v>
      </c>
      <c r="P993" s="1">
        <v>1.1000000000000001</v>
      </c>
      <c r="Q993" s="1">
        <v>16814</v>
      </c>
      <c r="R993" s="1">
        <v>7764</v>
      </c>
      <c r="S993" s="1">
        <v>11</v>
      </c>
      <c r="T993" s="1">
        <f>(Table1[[#This Row],[Selling_Price_per_Unit]]-Table1[[#This Row],[Manufacturing_Cost_per_Unit]])*Table1[[#This Row],[Units_Sold]]-Table1[[#This Row],[Marketing_Spend]]-Table1[[#This Row],[Discount_%]]</f>
        <v>-2891801.08</v>
      </c>
      <c r="U993" s="3">
        <f>Table1[[#This Row],[profit]]/(Table1[[#This Row],[Units_Sold]]*Table1[[#This Row],[Selling_Price_per_Unit]])*100</f>
        <v>-171.22880394492827</v>
      </c>
      <c r="V993" s="6">
        <f>Table1[[#This Row],[Units_Sold]]*Table1[[#This Row],[Selling_Price_per_Unit]]</f>
        <v>1688852</v>
      </c>
      <c r="W993" s="7">
        <f>(Table1[[#This Row],[Units_Sold]]/$Z$1)</f>
        <v>0.11731853865145342</v>
      </c>
      <c r="X993" s="8">
        <f>((Table1[[#This Row],[Units_Sold]]*(Table1[[#This Row],[Selling_Price_per_Unit]]-Table1[[#This Row],[Manufacturing_Cost_per_Unit]]))-Table1[[#This Row],[Marketing_Spend]])/Table1[[#This Row],[Marketing_Spend]]</f>
        <v>-7.701209330567222</v>
      </c>
    </row>
    <row r="994" spans="1:24" hidden="1" x14ac:dyDescent="0.3">
      <c r="A994" s="1" t="s">
        <v>1011</v>
      </c>
      <c r="B994" s="1" t="s">
        <v>1576</v>
      </c>
      <c r="C994" s="1" t="s">
        <v>1633</v>
      </c>
      <c r="D994" s="1" t="s">
        <v>1635</v>
      </c>
      <c r="E994" s="1">
        <v>2024</v>
      </c>
      <c r="F994" s="1" t="s">
        <v>1641</v>
      </c>
      <c r="G994" s="1">
        <v>1675</v>
      </c>
      <c r="H994" s="1">
        <v>2903</v>
      </c>
      <c r="I994" s="1">
        <v>2600</v>
      </c>
      <c r="J994" s="1">
        <v>488242</v>
      </c>
      <c r="K994" s="1">
        <v>14.37</v>
      </c>
      <c r="L994" s="1">
        <v>11</v>
      </c>
      <c r="M994" s="1">
        <v>5.74</v>
      </c>
      <c r="N994" s="1">
        <v>10.38</v>
      </c>
      <c r="O994" s="1">
        <v>21.32</v>
      </c>
      <c r="P994" s="1">
        <v>4.2</v>
      </c>
      <c r="Q994" s="1">
        <v>11195</v>
      </c>
      <c r="R994" s="1">
        <v>7611</v>
      </c>
      <c r="S994" s="1">
        <v>3</v>
      </c>
      <c r="T994" s="1">
        <f>(Table1[[#This Row],[Selling_Price_per_Unit]]-Table1[[#This Row],[Manufacturing_Cost_per_Unit]])*Table1[[#This Row],[Units_Sold]]-Table1[[#This Row],[Marketing_Spend]]-Table1[[#This Row],[Discount_%]]</f>
        <v>19272.62</v>
      </c>
      <c r="U994" s="3">
        <f>Table1[[#This Row],[profit]]/(Table1[[#This Row],[Units_Sold]]*Table1[[#This Row],[Selling_Price_per_Unit]])*100</f>
        <v>0.396350044472779</v>
      </c>
      <c r="V994" s="6">
        <f>Table1[[#This Row],[Units_Sold]]*Table1[[#This Row],[Selling_Price_per_Unit]]</f>
        <v>4862525</v>
      </c>
      <c r="W994" s="7">
        <f>(Table1[[#This Row],[Units_Sold]]/$Z$1)</f>
        <v>0.33533882635014417</v>
      </c>
      <c r="X994" s="8">
        <f>((Table1[[#This Row],[Units_Sold]]*(Table1[[#This Row],[Selling_Price_per_Unit]]-Table1[[#This Row],[Manufacturing_Cost_per_Unit]]))-Table1[[#This Row],[Marketing_Spend]])/Table1[[#This Row],[Marketing_Spend]]</f>
        <v>3.9494758746687092E-2</v>
      </c>
    </row>
    <row r="995" spans="1:24" hidden="1" x14ac:dyDescent="0.3">
      <c r="A995" s="1" t="s">
        <v>1012</v>
      </c>
      <c r="B995" s="1" t="s">
        <v>1629</v>
      </c>
      <c r="C995" s="1" t="s">
        <v>1634</v>
      </c>
      <c r="D995" s="1" t="s">
        <v>1637</v>
      </c>
      <c r="E995" s="1">
        <v>2023</v>
      </c>
      <c r="F995" s="1" t="s">
        <v>1641</v>
      </c>
      <c r="G995" s="1">
        <v>2172</v>
      </c>
      <c r="H995" s="1">
        <v>10511</v>
      </c>
      <c r="I995" s="1">
        <v>6263</v>
      </c>
      <c r="J995" s="1">
        <v>412916</v>
      </c>
      <c r="K995" s="1">
        <v>3.31</v>
      </c>
      <c r="L995" s="1">
        <v>13</v>
      </c>
      <c r="M995" s="1">
        <v>3.51</v>
      </c>
      <c r="N995" s="1">
        <v>7.09</v>
      </c>
      <c r="O995" s="1">
        <v>80.599999999999994</v>
      </c>
      <c r="P995" s="1">
        <v>1</v>
      </c>
      <c r="Q995" s="1">
        <v>17314</v>
      </c>
      <c r="R995" s="1">
        <v>5565</v>
      </c>
      <c r="S995" s="1">
        <v>7</v>
      </c>
      <c r="T995" s="1">
        <f>(Table1[[#This Row],[Selling_Price_per_Unit]]-Table1[[#This Row],[Manufacturing_Cost_per_Unit]])*Table1[[#This Row],[Units_Sold]]-Table1[[#This Row],[Marketing_Spend]]-Table1[[#This Row],[Discount_%]]</f>
        <v>8813732.9100000001</v>
      </c>
      <c r="U995" s="3">
        <f>Table1[[#This Row],[profit]]/(Table1[[#This Row],[Units_Sold]]*Table1[[#This Row],[Selling_Price_per_Unit]])*100</f>
        <v>38.606108649134214</v>
      </c>
      <c r="V995" s="6">
        <f>Table1[[#This Row],[Units_Sold]]*Table1[[#This Row],[Selling_Price_per_Unit]]</f>
        <v>22829892</v>
      </c>
      <c r="W995" s="7">
        <f>(Table1[[#This Row],[Units_Sold]]/$Z$1)</f>
        <v>0.43483936169105264</v>
      </c>
      <c r="X995" s="8">
        <f>((Table1[[#This Row],[Units_Sold]]*(Table1[[#This Row],[Selling_Price_per_Unit]]-Table1[[#This Row],[Manufacturing_Cost_per_Unit]]))-Table1[[#This Row],[Marketing_Spend]])/Table1[[#This Row],[Marketing_Spend]]</f>
        <v>21.345116197967624</v>
      </c>
    </row>
    <row r="996" spans="1:24" hidden="1" x14ac:dyDescent="0.3">
      <c r="A996" s="1" t="s">
        <v>1013</v>
      </c>
      <c r="B996" s="1" t="s">
        <v>1533</v>
      </c>
      <c r="C996" s="1" t="s">
        <v>1632</v>
      </c>
      <c r="D996" s="1" t="s">
        <v>1638</v>
      </c>
      <c r="E996" s="1">
        <v>2024</v>
      </c>
      <c r="F996" s="1" t="s">
        <v>1642</v>
      </c>
      <c r="G996" s="1">
        <v>435</v>
      </c>
      <c r="H996" s="1">
        <v>4792</v>
      </c>
      <c r="I996" s="1">
        <v>14660</v>
      </c>
      <c r="J996" s="1">
        <v>228048</v>
      </c>
      <c r="K996" s="1">
        <v>13.29</v>
      </c>
      <c r="L996" s="1">
        <v>1</v>
      </c>
      <c r="M996" s="1">
        <v>8.33</v>
      </c>
      <c r="N996" s="1">
        <v>7.1</v>
      </c>
      <c r="O996" s="1">
        <v>56.59</v>
      </c>
      <c r="P996" s="1">
        <v>2.2000000000000002</v>
      </c>
      <c r="Q996" s="1">
        <v>9879</v>
      </c>
      <c r="R996" s="1">
        <v>8363</v>
      </c>
      <c r="S996" s="1">
        <v>8</v>
      </c>
      <c r="T996" s="1">
        <f>(Table1[[#This Row],[Selling_Price_per_Unit]]-Table1[[#This Row],[Manufacturing_Cost_per_Unit]])*Table1[[#This Row],[Units_Sold]]-Table1[[#This Row],[Marketing_Spend]]-Table1[[#This Row],[Discount_%]]</f>
        <v>-4520635.0999999996</v>
      </c>
      <c r="U996" s="3">
        <f>Table1[[#This Row],[profit]]/(Table1[[#This Row],[Units_Sold]]*Table1[[#This Row],[Selling_Price_per_Unit]])*100</f>
        <v>-216.86695738107571</v>
      </c>
      <c r="V996" s="6">
        <f>Table1[[#This Row],[Units_Sold]]*Table1[[#This Row],[Selling_Price_per_Unit]]</f>
        <v>2084520</v>
      </c>
      <c r="W996" s="7">
        <f>(Table1[[#This Row],[Units_Sold]]/$Z$1)</f>
        <v>8.7087993708843403E-2</v>
      </c>
      <c r="X996" s="8">
        <f>((Table1[[#This Row],[Units_Sold]]*(Table1[[#This Row],[Selling_Price_per_Unit]]-Table1[[#This Row],[Manufacturing_Cost_per_Unit]]))-Table1[[#This Row],[Marketing_Spend]])/Table1[[#This Row],[Marketing_Spend]]</f>
        <v>-19.823142496316564</v>
      </c>
    </row>
    <row r="997" spans="1:24" hidden="1" x14ac:dyDescent="0.3">
      <c r="A997" s="1" t="s">
        <v>1014</v>
      </c>
      <c r="B997" s="1" t="s">
        <v>1322</v>
      </c>
      <c r="C997" s="1" t="s">
        <v>1634</v>
      </c>
      <c r="D997" s="1" t="s">
        <v>1638</v>
      </c>
      <c r="E997" s="1">
        <v>2024</v>
      </c>
      <c r="F997" s="1" t="s">
        <v>1640</v>
      </c>
      <c r="G997" s="1">
        <v>3331</v>
      </c>
      <c r="H997" s="1">
        <v>10511</v>
      </c>
      <c r="I997" s="1">
        <v>5712</v>
      </c>
      <c r="J997" s="1">
        <v>403646</v>
      </c>
      <c r="K997" s="1">
        <v>14.01</v>
      </c>
      <c r="L997" s="1">
        <v>17</v>
      </c>
      <c r="M997" s="1">
        <v>4.93</v>
      </c>
      <c r="N997" s="1">
        <v>12.06</v>
      </c>
      <c r="O997" s="1">
        <v>20.149999999999999</v>
      </c>
      <c r="P997" s="1">
        <v>1</v>
      </c>
      <c r="Q997" s="1">
        <v>2714</v>
      </c>
      <c r="R997" s="1">
        <v>4482</v>
      </c>
      <c r="S997" s="1">
        <v>13</v>
      </c>
      <c r="T997" s="1">
        <f>(Table1[[#This Row],[Selling_Price_per_Unit]]-Table1[[#This Row],[Manufacturing_Cost_per_Unit]])*Table1[[#This Row],[Units_Sold]]-Table1[[#This Row],[Marketing_Spend]]-Table1[[#This Row],[Discount_%]]</f>
        <v>15581810.939999999</v>
      </c>
      <c r="U997" s="3">
        <f>Table1[[#This Row],[profit]]/(Table1[[#This Row],[Units_Sold]]*Table1[[#This Row],[Selling_Price_per_Unit]])*100</f>
        <v>44.504022019104745</v>
      </c>
      <c r="V997" s="6">
        <f>Table1[[#This Row],[Units_Sold]]*Table1[[#This Row],[Selling_Price_per_Unit]]</f>
        <v>35012141</v>
      </c>
      <c r="W997" s="7">
        <f>(Table1[[#This Row],[Units_Sold]]/$Z$1)</f>
        <v>0.66687380929691353</v>
      </c>
      <c r="X997" s="8">
        <f>((Table1[[#This Row],[Units_Sold]]*(Table1[[#This Row],[Selling_Price_per_Unit]]-Table1[[#This Row],[Manufacturing_Cost_per_Unit]]))-Table1[[#This Row],[Marketing_Spend]])/Table1[[#This Row],[Marketing_Spend]]</f>
        <v>38.60269394469411</v>
      </c>
    </row>
    <row r="998" spans="1:24" hidden="1" x14ac:dyDescent="0.3">
      <c r="A998" s="1" t="s">
        <v>1015</v>
      </c>
      <c r="B998" s="1" t="s">
        <v>1388</v>
      </c>
      <c r="C998" s="1" t="s">
        <v>1632</v>
      </c>
      <c r="D998" s="1" t="s">
        <v>1638</v>
      </c>
      <c r="E998" s="1">
        <v>2023</v>
      </c>
      <c r="F998" s="1" t="s">
        <v>1640</v>
      </c>
      <c r="G998" s="1">
        <v>524</v>
      </c>
      <c r="H998" s="1">
        <v>1919</v>
      </c>
      <c r="I998" s="1">
        <v>5448</v>
      </c>
      <c r="J998" s="1">
        <v>426087</v>
      </c>
      <c r="K998" s="1">
        <v>13.75</v>
      </c>
      <c r="L998" s="1">
        <v>6</v>
      </c>
      <c r="M998" s="1">
        <v>9.1199999999999992</v>
      </c>
      <c r="N998" s="1">
        <v>17.989999999999998</v>
      </c>
      <c r="O998" s="1">
        <v>46.95</v>
      </c>
      <c r="P998" s="1">
        <v>2.5</v>
      </c>
      <c r="Q998" s="1">
        <v>13138</v>
      </c>
      <c r="R998" s="1">
        <v>165</v>
      </c>
      <c r="S998" s="1">
        <v>11</v>
      </c>
      <c r="T998" s="1">
        <f>(Table1[[#This Row],[Selling_Price_per_Unit]]-Table1[[#This Row],[Manufacturing_Cost_per_Unit]])*Table1[[#This Row],[Units_Sold]]-Table1[[#This Row],[Marketing_Spend]]-Table1[[#This Row],[Discount_%]]</f>
        <v>-2275300.9900000002</v>
      </c>
      <c r="U998" s="3">
        <f>Table1[[#This Row],[profit]]/(Table1[[#This Row],[Units_Sold]]*Table1[[#This Row],[Selling_Price_per_Unit]])*100</f>
        <v>-226.27292661970097</v>
      </c>
      <c r="V998" s="6">
        <f>Table1[[#This Row],[Units_Sold]]*Table1[[#This Row],[Selling_Price_per_Unit]]</f>
        <v>1005556</v>
      </c>
      <c r="W998" s="7">
        <f>(Table1[[#This Row],[Units_Sold]]/$Z$1)</f>
        <v>0.10490599701938838</v>
      </c>
      <c r="X998" s="8">
        <f>((Table1[[#This Row],[Units_Sold]]*(Table1[[#This Row],[Selling_Price_per_Unit]]-Table1[[#This Row],[Manufacturing_Cost_per_Unit]]))-Table1[[#This Row],[Marketing_Spend]])/Table1[[#This Row],[Marketing_Spend]]</f>
        <v>-5.3399493530663928</v>
      </c>
    </row>
    <row r="999" spans="1:24" hidden="1" x14ac:dyDescent="0.3">
      <c r="A999" s="1" t="s">
        <v>1016</v>
      </c>
      <c r="B999" s="1" t="s">
        <v>1630</v>
      </c>
      <c r="C999" s="1" t="s">
        <v>1632</v>
      </c>
      <c r="D999" s="1" t="s">
        <v>1636</v>
      </c>
      <c r="E999" s="1">
        <v>2024</v>
      </c>
      <c r="F999" s="1" t="s">
        <v>1641</v>
      </c>
      <c r="G999" s="1">
        <v>467</v>
      </c>
      <c r="H999" s="1">
        <v>13911</v>
      </c>
      <c r="I999" s="1">
        <v>1655</v>
      </c>
      <c r="J999" s="1">
        <v>421994</v>
      </c>
      <c r="K999" s="1">
        <v>9.5299999999999994</v>
      </c>
      <c r="L999" s="1">
        <v>5</v>
      </c>
      <c r="M999" s="1">
        <v>9.2799999999999994</v>
      </c>
      <c r="N999" s="1">
        <v>8.9700000000000006</v>
      </c>
      <c r="O999" s="1">
        <v>77.58</v>
      </c>
      <c r="P999" s="1">
        <v>1.3</v>
      </c>
      <c r="Q999" s="1">
        <v>12213</v>
      </c>
      <c r="R999" s="1">
        <v>979</v>
      </c>
      <c r="S999" s="1">
        <v>7</v>
      </c>
      <c r="T999" s="1">
        <f>(Table1[[#This Row],[Selling_Price_per_Unit]]-Table1[[#This Row],[Manufacturing_Cost_per_Unit]])*Table1[[#This Row],[Units_Sold]]-Table1[[#This Row],[Marketing_Spend]]-Table1[[#This Row],[Discount_%]]</f>
        <v>5301549.03</v>
      </c>
      <c r="U999" s="3">
        <f>Table1[[#This Row],[profit]]/(Table1[[#This Row],[Units_Sold]]*Table1[[#This Row],[Selling_Price_per_Unit]])*100</f>
        <v>81.607025974391817</v>
      </c>
      <c r="V999" s="6">
        <f>Table1[[#This Row],[Units_Sold]]*Table1[[#This Row],[Selling_Price_per_Unit]]</f>
        <v>6496437</v>
      </c>
      <c r="W999" s="7">
        <f>(Table1[[#This Row],[Units_Sold]]/$Z$1)</f>
        <v>9.3494466809264071E-2</v>
      </c>
      <c r="X999" s="8">
        <f>((Table1[[#This Row],[Units_Sold]]*(Table1[[#This Row],[Selling_Price_per_Unit]]-Table1[[#This Row],[Manufacturing_Cost_per_Unit]]))-Table1[[#This Row],[Marketing_Spend]])/Table1[[#This Row],[Marketing_Spend]]</f>
        <v>12.563112271738461</v>
      </c>
    </row>
    <row r="1000" spans="1:24" hidden="1" x14ac:dyDescent="0.3">
      <c r="A1000" s="1" t="s">
        <v>1017</v>
      </c>
      <c r="B1000" s="1" t="s">
        <v>1085</v>
      </c>
      <c r="C1000" s="1" t="s">
        <v>1632</v>
      </c>
      <c r="D1000" s="1" t="s">
        <v>1635</v>
      </c>
      <c r="E1000" s="1">
        <v>2023</v>
      </c>
      <c r="F1000" s="1" t="s">
        <v>1639</v>
      </c>
      <c r="G1000" s="1">
        <v>3650</v>
      </c>
      <c r="H1000" s="1">
        <v>6017</v>
      </c>
      <c r="I1000" s="1">
        <v>10804</v>
      </c>
      <c r="J1000" s="1">
        <v>95095</v>
      </c>
      <c r="K1000" s="1">
        <v>9.4499999999999993</v>
      </c>
      <c r="L1000" s="1">
        <v>13</v>
      </c>
      <c r="M1000" s="1">
        <v>1.65</v>
      </c>
      <c r="N1000" s="1">
        <v>15.25</v>
      </c>
      <c r="O1000" s="1">
        <v>81.8</v>
      </c>
      <c r="P1000" s="1">
        <v>4.7</v>
      </c>
      <c r="Q1000" s="1">
        <v>17477</v>
      </c>
      <c r="R1000" s="1">
        <v>8359</v>
      </c>
      <c r="S1000" s="1">
        <v>8</v>
      </c>
      <c r="T1000" s="1">
        <f>(Table1[[#This Row],[Selling_Price_per_Unit]]-Table1[[#This Row],[Manufacturing_Cost_per_Unit]])*Table1[[#This Row],[Units_Sold]]-Table1[[#This Row],[Marketing_Spend]]-Table1[[#This Row],[Discount_%]]</f>
        <v>-17567660.25</v>
      </c>
      <c r="U1000" s="3">
        <f>Table1[[#This Row],[profit]]/(Table1[[#This Row],[Units_Sold]]*Table1[[#This Row],[Selling_Price_per_Unit]])*100</f>
        <v>-79.990985586500358</v>
      </c>
      <c r="V1000" s="6">
        <f>Table1[[#This Row],[Units_Sold]]*Table1[[#This Row],[Selling_Price_per_Unit]]</f>
        <v>21962050</v>
      </c>
      <c r="W1000" s="7">
        <f>(Table1[[#This Row],[Units_Sold]]/$Z$1)</f>
        <v>0.73073833801673205</v>
      </c>
      <c r="X1000" s="8">
        <f>((Table1[[#This Row],[Units_Sold]]*(Table1[[#This Row],[Selling_Price_per_Unit]]-Table1[[#This Row],[Manufacturing_Cost_per_Unit]]))-Table1[[#This Row],[Marketing_Spend]])/Table1[[#This Row],[Marketing_Spend]]</f>
        <v>-184.73784110626215</v>
      </c>
    </row>
    <row r="1001" spans="1:24" hidden="1" x14ac:dyDescent="0.3">
      <c r="A1001" s="1" t="s">
        <v>1018</v>
      </c>
      <c r="B1001" s="1" t="s">
        <v>1631</v>
      </c>
      <c r="C1001" s="1" t="s">
        <v>1634</v>
      </c>
      <c r="D1001" s="1" t="s">
        <v>1635</v>
      </c>
      <c r="E1001" s="1">
        <v>2024</v>
      </c>
      <c r="F1001" s="1" t="s">
        <v>1639</v>
      </c>
      <c r="G1001" s="1">
        <v>1004</v>
      </c>
      <c r="H1001" s="1">
        <v>16922</v>
      </c>
      <c r="I1001" s="1">
        <v>3666</v>
      </c>
      <c r="J1001" s="1">
        <v>195342</v>
      </c>
      <c r="K1001" s="1">
        <v>6.05</v>
      </c>
      <c r="L1001" s="1">
        <v>7</v>
      </c>
      <c r="M1001" s="1">
        <v>0.02</v>
      </c>
      <c r="N1001" s="1">
        <v>9.56</v>
      </c>
      <c r="O1001" s="1">
        <v>31.17</v>
      </c>
      <c r="P1001" s="1">
        <v>2.7</v>
      </c>
      <c r="Q1001" s="1">
        <v>13571</v>
      </c>
      <c r="R1001" s="1">
        <v>9508</v>
      </c>
      <c r="S1001" s="1">
        <v>2</v>
      </c>
      <c r="T1001" s="1">
        <f>(Table1[[#This Row],[Selling_Price_per_Unit]]-Table1[[#This Row],[Manufacturing_Cost_per_Unit]])*Table1[[#This Row],[Units_Sold]]-Table1[[#This Row],[Marketing_Spend]]-Table1[[#This Row],[Discount_%]]</f>
        <v>13113672.439999999</v>
      </c>
      <c r="U1001" s="3">
        <f>Table1[[#This Row],[profit]]/(Table1[[#This Row],[Units_Sold]]*Table1[[#This Row],[Selling_Price_per_Unit]])*100</f>
        <v>77.18606980893351</v>
      </c>
      <c r="V1001" s="6">
        <f>Table1[[#This Row],[Units_Sold]]*Table1[[#This Row],[Selling_Price_per_Unit]]</f>
        <v>16989688</v>
      </c>
      <c r="W1001" s="7">
        <f>(Table1[[#This Row],[Units_Sold]]/$Z$1)</f>
        <v>0.20100309352569834</v>
      </c>
      <c r="X1001" s="8">
        <f>((Table1[[#This Row],[Units_Sold]]*(Table1[[#This Row],[Selling_Price_per_Unit]]-Table1[[#This Row],[Manufacturing_Cost_per_Unit]]))-Table1[[#This Row],[Marketing_Spend]])/Table1[[#This Row],[Marketing_Spend]]</f>
        <v>67.131912235975875</v>
      </c>
    </row>
  </sheetData>
  <conditionalFormatting sqref="G2:G1001">
    <cfRule type="colorScale" priority="5">
      <colorScale>
        <cfvo type="min"/>
        <cfvo type="percentile" val="50"/>
        <cfvo type="max"/>
        <color rgb="FFF8696B"/>
        <color rgb="FFFFEB84"/>
        <color rgb="FF63BE7B"/>
      </colorScale>
    </cfRule>
  </conditionalFormatting>
  <conditionalFormatting sqref="L2:L1001">
    <cfRule type="colorScale" priority="2">
      <colorScale>
        <cfvo type="min"/>
        <cfvo type="percentile" val="50"/>
        <cfvo type="max"/>
        <color rgb="FF63BE7B"/>
        <color rgb="FFFFEB84"/>
        <color rgb="FFF8696B"/>
      </colorScale>
    </cfRule>
  </conditionalFormatting>
  <conditionalFormatting sqref="R2:R1001">
    <cfRule type="colorScale" priority="3">
      <colorScale>
        <cfvo type="min"/>
        <cfvo type="percentile" val="50"/>
        <cfvo type="max"/>
        <color rgb="FFF8696B"/>
        <color rgb="FFFCFCFF"/>
        <color rgb="FF63BE7B"/>
      </colorScale>
    </cfRule>
  </conditionalFormatting>
  <conditionalFormatting sqref="U2:U1001">
    <cfRule type="colorScale" priority="4">
      <colorScale>
        <cfvo type="min"/>
        <cfvo type="percentile" val="50"/>
        <cfvo type="max"/>
        <color rgb="FFF8696B"/>
        <color rgb="FFFCFCFF"/>
        <color rgb="FF63BE7B"/>
      </colorScale>
    </cfRule>
  </conditionalFormatting>
  <conditionalFormatting sqref="X2:X10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0226-36D6-4413-B530-4663B9C408F8}">
  <dimension ref="A3:K103"/>
  <sheetViews>
    <sheetView workbookViewId="0">
      <selection activeCell="J19" sqref="J19"/>
    </sheetView>
  </sheetViews>
  <sheetFormatPr defaultRowHeight="14.4" x14ac:dyDescent="0.3"/>
  <cols>
    <col min="1" max="1" width="12.5546875" bestFit="1" customWidth="1"/>
    <col min="2" max="2" width="16.5546875" bestFit="1" customWidth="1"/>
    <col min="3" max="3" width="12.109375" bestFit="1" customWidth="1"/>
    <col min="4" max="4" width="16.5546875" bestFit="1" customWidth="1"/>
    <col min="5" max="5" width="12.109375" bestFit="1" customWidth="1"/>
    <col min="6" max="6" width="16.5546875" bestFit="1" customWidth="1"/>
    <col min="7" max="7" width="12.109375" bestFit="1" customWidth="1"/>
    <col min="8" max="8" width="16.5546875" bestFit="1" customWidth="1"/>
    <col min="9" max="9" width="12.109375" bestFit="1" customWidth="1"/>
    <col min="10" max="10" width="21.44140625" bestFit="1" customWidth="1"/>
    <col min="11" max="11" width="16.88671875" bestFit="1" customWidth="1"/>
    <col min="12" max="12" width="12.109375" bestFit="1" customWidth="1"/>
    <col min="13" max="13" width="18.6640625" bestFit="1" customWidth="1"/>
    <col min="14" max="14" width="21.44140625" bestFit="1" customWidth="1"/>
    <col min="15" max="15" width="16.88671875" bestFit="1" customWidth="1"/>
    <col min="16" max="16" width="23.44140625" bestFit="1" customWidth="1"/>
  </cols>
  <sheetData>
    <row r="3" spans="1:11" x14ac:dyDescent="0.3">
      <c r="B3" s="4" t="s">
        <v>1649</v>
      </c>
    </row>
    <row r="4" spans="1:11" x14ac:dyDescent="0.3">
      <c r="B4" t="s">
        <v>1635</v>
      </c>
      <c r="D4" t="s">
        <v>1637</v>
      </c>
      <c r="F4" t="s">
        <v>1636</v>
      </c>
      <c r="H4" t="s">
        <v>1638</v>
      </c>
      <c r="J4" t="s">
        <v>1651</v>
      </c>
      <c r="K4" t="s">
        <v>1650</v>
      </c>
    </row>
    <row r="5" spans="1:11" x14ac:dyDescent="0.3">
      <c r="A5" s="4" t="s">
        <v>1645</v>
      </c>
      <c r="B5" t="s">
        <v>1648</v>
      </c>
      <c r="C5" t="s">
        <v>1646</v>
      </c>
      <c r="D5" t="s">
        <v>1648</v>
      </c>
      <c r="E5" t="s">
        <v>1646</v>
      </c>
      <c r="F5" t="s">
        <v>1648</v>
      </c>
      <c r="G5" t="s">
        <v>1646</v>
      </c>
      <c r="H5" t="s">
        <v>1648</v>
      </c>
      <c r="I5" t="s">
        <v>1646</v>
      </c>
    </row>
    <row r="6" spans="1:11" x14ac:dyDescent="0.3">
      <c r="A6" s="5" t="s">
        <v>1632</v>
      </c>
      <c r="B6">
        <v>218816</v>
      </c>
      <c r="C6">
        <v>333082220.55000001</v>
      </c>
      <c r="D6">
        <v>201885</v>
      </c>
      <c r="E6">
        <v>579743479.92000031</v>
      </c>
      <c r="F6">
        <v>230835</v>
      </c>
      <c r="G6">
        <v>653335987.94999957</v>
      </c>
      <c r="H6">
        <v>241262</v>
      </c>
      <c r="I6">
        <v>460157310.00999999</v>
      </c>
      <c r="J6">
        <v>892798</v>
      </c>
      <c r="K6">
        <v>2026318998.4299998</v>
      </c>
    </row>
    <row r="7" spans="1:11" x14ac:dyDescent="0.3">
      <c r="A7" s="5" t="s">
        <v>1634</v>
      </c>
      <c r="B7">
        <v>231890</v>
      </c>
      <c r="C7">
        <v>533584909.6499998</v>
      </c>
      <c r="D7">
        <v>230171</v>
      </c>
      <c r="E7">
        <v>859827161.44999993</v>
      </c>
      <c r="F7">
        <v>160020</v>
      </c>
      <c r="G7">
        <v>430571627.88</v>
      </c>
      <c r="H7">
        <v>221710</v>
      </c>
      <c r="I7">
        <v>645497488.98000014</v>
      </c>
      <c r="J7">
        <v>843791</v>
      </c>
      <c r="K7">
        <v>2469481187.9599996</v>
      </c>
    </row>
    <row r="8" spans="1:11" x14ac:dyDescent="0.3">
      <c r="A8" s="5" t="s">
        <v>1633</v>
      </c>
      <c r="B8">
        <v>244937</v>
      </c>
      <c r="C8">
        <v>711787163.28999984</v>
      </c>
      <c r="D8">
        <v>186390</v>
      </c>
      <c r="E8">
        <v>666182120.19999981</v>
      </c>
      <c r="F8">
        <v>218077</v>
      </c>
      <c r="G8">
        <v>782060447.13000023</v>
      </c>
      <c r="H8">
        <v>192257</v>
      </c>
      <c r="I8">
        <v>444188666.52000016</v>
      </c>
      <c r="J8">
        <v>841661</v>
      </c>
      <c r="K8">
        <v>2604218397.1399999</v>
      </c>
    </row>
    <row r="9" spans="1:11" x14ac:dyDescent="0.3">
      <c r="A9" s="5" t="s">
        <v>1647</v>
      </c>
      <c r="B9">
        <v>695643</v>
      </c>
      <c r="C9">
        <v>1578454293.4899998</v>
      </c>
      <c r="D9">
        <v>618446</v>
      </c>
      <c r="E9">
        <v>2105752761.5700002</v>
      </c>
      <c r="F9">
        <v>608932</v>
      </c>
      <c r="G9">
        <v>1865968062.9599996</v>
      </c>
      <c r="H9">
        <v>655229</v>
      </c>
      <c r="I9">
        <v>1549843465.5100005</v>
      </c>
      <c r="J9">
        <v>2578250</v>
      </c>
      <c r="K9">
        <v>7100018583.5299988</v>
      </c>
    </row>
    <row r="10" spans="1:11" x14ac:dyDescent="0.3">
      <c r="A10" s="13"/>
      <c r="B10" s="14"/>
      <c r="C10" s="14"/>
      <c r="D10" s="14"/>
      <c r="E10" s="14"/>
      <c r="F10" s="14"/>
      <c r="G10" s="14"/>
      <c r="H10" s="14"/>
    </row>
    <row r="11" spans="1:11" x14ac:dyDescent="0.3">
      <c r="A11" s="15"/>
      <c r="B11" s="14"/>
      <c r="C11" s="15"/>
      <c r="D11" s="14"/>
      <c r="E11" s="15"/>
      <c r="F11" s="14"/>
      <c r="G11" s="14"/>
      <c r="H11" s="14"/>
    </row>
    <row r="12" spans="1:11" x14ac:dyDescent="0.3">
      <c r="A12" s="16"/>
      <c r="B12" s="14"/>
      <c r="C12" s="16"/>
      <c r="D12" s="14"/>
      <c r="E12" s="16"/>
      <c r="F12" s="14"/>
      <c r="G12" s="14"/>
      <c r="H12" s="14"/>
    </row>
    <row r="13" spans="1:11" x14ac:dyDescent="0.3">
      <c r="A13" s="15"/>
      <c r="B13" s="14"/>
      <c r="C13" s="15"/>
      <c r="D13" s="14"/>
      <c r="E13" s="15"/>
      <c r="F13" s="14"/>
      <c r="G13" s="14"/>
      <c r="H13" s="14"/>
    </row>
    <row r="14" spans="1:11" x14ac:dyDescent="0.3">
      <c r="A14" s="16"/>
      <c r="B14" s="14"/>
      <c r="C14" s="16"/>
      <c r="D14" s="14"/>
      <c r="E14" s="16"/>
      <c r="F14" s="14"/>
      <c r="G14" s="14"/>
      <c r="H14" s="14"/>
    </row>
    <row r="15" spans="1:11" x14ac:dyDescent="0.3">
      <c r="A15" s="15"/>
      <c r="B15" s="14"/>
      <c r="C15" s="15"/>
      <c r="D15" s="14"/>
      <c r="E15" s="15"/>
      <c r="F15" s="14"/>
      <c r="G15" s="14"/>
      <c r="H15" s="14"/>
    </row>
    <row r="16" spans="1:11" x14ac:dyDescent="0.3">
      <c r="A16" s="16"/>
      <c r="B16" s="14"/>
      <c r="C16" s="16"/>
      <c r="D16" s="14"/>
      <c r="E16" s="16"/>
      <c r="F16" s="14"/>
      <c r="G16" s="14"/>
      <c r="H16" s="14"/>
    </row>
    <row r="17" spans="1:8" x14ac:dyDescent="0.3">
      <c r="A17" s="15"/>
      <c r="B17" s="14"/>
      <c r="C17" s="15"/>
      <c r="D17" s="14"/>
      <c r="E17" s="15"/>
      <c r="F17" s="14"/>
      <c r="G17" s="14"/>
      <c r="H17" s="14"/>
    </row>
    <row r="18" spans="1:8" x14ac:dyDescent="0.3">
      <c r="A18" s="16"/>
      <c r="B18" s="14"/>
      <c r="C18" s="16"/>
      <c r="D18" s="15"/>
      <c r="E18" s="16"/>
      <c r="F18" s="14"/>
      <c r="G18" s="15"/>
      <c r="H18" s="14"/>
    </row>
    <row r="19" spans="1:8" x14ac:dyDescent="0.3">
      <c r="A19" s="15"/>
      <c r="B19" s="14"/>
      <c r="C19" s="15"/>
      <c r="D19" s="16"/>
      <c r="E19" s="15"/>
      <c r="F19" s="14"/>
      <c r="G19" s="16"/>
      <c r="H19" s="14"/>
    </row>
    <row r="20" spans="1:8" x14ac:dyDescent="0.3">
      <c r="A20" s="16"/>
      <c r="B20" s="14"/>
      <c r="C20" s="16"/>
      <c r="D20" s="15"/>
      <c r="E20" s="16"/>
      <c r="F20" s="14"/>
      <c r="G20" s="15"/>
      <c r="H20" s="14"/>
    </row>
    <row r="21" spans="1:8" x14ac:dyDescent="0.3">
      <c r="A21" s="15"/>
      <c r="B21" s="14"/>
      <c r="C21" s="15"/>
      <c r="D21" s="16"/>
      <c r="E21" s="15"/>
      <c r="F21" s="14"/>
      <c r="G21" s="16"/>
      <c r="H21" s="14"/>
    </row>
    <row r="22" spans="1:8" x14ac:dyDescent="0.3">
      <c r="A22" s="16"/>
      <c r="B22" s="14"/>
      <c r="C22" s="16"/>
      <c r="D22" s="15"/>
      <c r="E22" s="16"/>
      <c r="F22" s="14"/>
      <c r="G22" s="15"/>
      <c r="H22" s="14"/>
    </row>
    <row r="23" spans="1:8" x14ac:dyDescent="0.3">
      <c r="A23" s="15"/>
      <c r="B23" s="14"/>
      <c r="C23" s="15"/>
      <c r="D23" s="16"/>
      <c r="E23" s="15"/>
      <c r="F23" s="14"/>
      <c r="G23" s="16"/>
      <c r="H23" s="14"/>
    </row>
    <row r="24" spans="1:8" x14ac:dyDescent="0.3">
      <c r="A24" s="16"/>
      <c r="B24" s="14"/>
      <c r="C24" s="16"/>
      <c r="D24" s="14"/>
      <c r="E24" s="16"/>
      <c r="F24" s="14"/>
      <c r="G24" s="15"/>
      <c r="H24" s="14"/>
    </row>
    <row r="25" spans="1:8" x14ac:dyDescent="0.3">
      <c r="A25" s="15"/>
      <c r="B25" s="14"/>
      <c r="C25" s="15"/>
      <c r="D25" s="14"/>
      <c r="E25" s="15"/>
      <c r="F25" s="14"/>
      <c r="G25" s="16"/>
      <c r="H25" s="14"/>
    </row>
    <row r="26" spans="1:8" x14ac:dyDescent="0.3">
      <c r="A26" s="16"/>
      <c r="B26" s="14"/>
      <c r="C26" s="16"/>
      <c r="D26" s="14"/>
      <c r="E26" s="16"/>
      <c r="F26" s="14"/>
      <c r="G26" s="15"/>
      <c r="H26" s="14"/>
    </row>
    <row r="27" spans="1:8" x14ac:dyDescent="0.3">
      <c r="A27" s="15"/>
      <c r="B27" s="14"/>
      <c r="C27" s="15"/>
      <c r="D27" s="14"/>
      <c r="E27" s="15"/>
      <c r="F27" s="14"/>
      <c r="G27" s="16"/>
      <c r="H27" s="14"/>
    </row>
    <row r="28" spans="1:8" x14ac:dyDescent="0.3">
      <c r="A28" s="16"/>
      <c r="B28" s="14"/>
      <c r="C28" s="16"/>
      <c r="D28" s="14"/>
      <c r="E28" s="16"/>
      <c r="F28" s="14"/>
      <c r="G28" s="15"/>
      <c r="H28" s="14"/>
    </row>
    <row r="29" spans="1:8" x14ac:dyDescent="0.3">
      <c r="A29" s="15"/>
      <c r="B29" s="14"/>
      <c r="C29" s="15"/>
      <c r="D29" s="14"/>
      <c r="E29" s="15"/>
      <c r="F29" s="14"/>
      <c r="G29" s="14"/>
      <c r="H29" s="14"/>
    </row>
    <row r="30" spans="1:8" x14ac:dyDescent="0.3">
      <c r="A30" s="16"/>
      <c r="B30" s="14"/>
      <c r="C30" s="16"/>
      <c r="D30" s="14"/>
      <c r="E30" s="16"/>
      <c r="F30" s="14"/>
      <c r="G30" s="14"/>
      <c r="H30" s="14"/>
    </row>
    <row r="31" spans="1:8" x14ac:dyDescent="0.3">
      <c r="A31" s="15"/>
      <c r="B31" s="14"/>
      <c r="C31" s="15"/>
      <c r="D31" s="14"/>
      <c r="E31" s="15"/>
      <c r="F31" s="14"/>
      <c r="G31" s="14"/>
      <c r="H31" s="14"/>
    </row>
    <row r="32" spans="1:8" x14ac:dyDescent="0.3">
      <c r="A32" s="16"/>
      <c r="B32" s="14"/>
      <c r="C32" s="16"/>
      <c r="D32" s="14"/>
      <c r="E32" s="16"/>
      <c r="F32" s="14"/>
      <c r="G32" s="14"/>
      <c r="H32" s="14"/>
    </row>
    <row r="33" spans="1:8" x14ac:dyDescent="0.3">
      <c r="A33" s="15"/>
      <c r="B33" s="14"/>
      <c r="C33" s="15"/>
      <c r="D33" s="14"/>
      <c r="E33" s="15"/>
      <c r="F33" s="14"/>
      <c r="G33" s="14"/>
      <c r="H33" s="14"/>
    </row>
    <row r="34" spans="1:8" x14ac:dyDescent="0.3">
      <c r="A34" s="16"/>
      <c r="B34" s="14"/>
      <c r="C34" s="16"/>
      <c r="D34" s="14"/>
      <c r="E34" s="16"/>
      <c r="F34" s="14"/>
      <c r="G34" s="14"/>
      <c r="H34" s="14"/>
    </row>
    <row r="35" spans="1:8" x14ac:dyDescent="0.3">
      <c r="A35" s="15"/>
      <c r="B35" s="14"/>
      <c r="C35" s="15"/>
      <c r="D35" s="14"/>
      <c r="E35" s="15"/>
      <c r="F35" s="14"/>
      <c r="G35" s="14"/>
      <c r="H35" s="14"/>
    </row>
    <row r="36" spans="1:8" x14ac:dyDescent="0.3">
      <c r="A36" s="16"/>
      <c r="B36" s="14"/>
      <c r="C36" s="16"/>
      <c r="D36" s="14"/>
      <c r="E36" s="16"/>
      <c r="F36" s="14"/>
      <c r="G36" s="14"/>
      <c r="H36" s="14"/>
    </row>
    <row r="37" spans="1:8" x14ac:dyDescent="0.3">
      <c r="A37" s="15"/>
      <c r="B37" s="14"/>
      <c r="C37" s="15"/>
      <c r="D37" s="14"/>
      <c r="E37" s="15"/>
      <c r="F37" s="14"/>
      <c r="G37" s="14"/>
      <c r="H37" s="14"/>
    </row>
    <row r="38" spans="1:8" x14ac:dyDescent="0.3">
      <c r="A38" s="16"/>
      <c r="B38" s="14"/>
      <c r="C38" s="16"/>
      <c r="D38" s="14"/>
      <c r="E38" s="16"/>
      <c r="F38" s="14"/>
      <c r="G38" s="14"/>
      <c r="H38" s="14"/>
    </row>
    <row r="39" spans="1:8" x14ac:dyDescent="0.3">
      <c r="A39" s="15"/>
      <c r="B39" s="14"/>
      <c r="C39" s="15"/>
      <c r="D39" s="14"/>
      <c r="E39" s="15"/>
      <c r="F39" s="14"/>
      <c r="G39" s="14"/>
      <c r="H39" s="14"/>
    </row>
    <row r="40" spans="1:8" x14ac:dyDescent="0.3">
      <c r="A40" s="16"/>
      <c r="B40" s="14"/>
      <c r="C40" s="16"/>
      <c r="D40" s="14"/>
      <c r="E40" s="16"/>
      <c r="F40" s="14"/>
      <c r="G40" s="14"/>
      <c r="H40" s="14"/>
    </row>
    <row r="41" spans="1:8" x14ac:dyDescent="0.3">
      <c r="A41" s="15"/>
      <c r="B41" s="14"/>
      <c r="C41" s="15"/>
      <c r="D41" s="14"/>
      <c r="E41" s="15"/>
      <c r="F41" s="14"/>
      <c r="G41" s="14"/>
      <c r="H41" s="14"/>
    </row>
    <row r="42" spans="1:8" x14ac:dyDescent="0.3">
      <c r="A42" s="16"/>
      <c r="B42" s="14"/>
      <c r="C42" s="16"/>
      <c r="D42" s="14"/>
      <c r="E42" s="16"/>
      <c r="F42" s="14"/>
      <c r="G42" s="14"/>
      <c r="H42" s="14"/>
    </row>
    <row r="43" spans="1:8" x14ac:dyDescent="0.3">
      <c r="A43" s="15"/>
      <c r="B43" s="14"/>
      <c r="C43" s="15"/>
      <c r="D43" s="14"/>
      <c r="E43" s="15"/>
      <c r="F43" s="14"/>
      <c r="G43" s="14"/>
      <c r="H43" s="14"/>
    </row>
    <row r="44" spans="1:8" x14ac:dyDescent="0.3">
      <c r="A44" s="16"/>
      <c r="B44" s="14"/>
      <c r="C44" s="16"/>
      <c r="D44" s="14"/>
      <c r="E44" s="16"/>
      <c r="F44" s="14"/>
      <c r="G44" s="14"/>
      <c r="H44" s="14"/>
    </row>
    <row r="45" spans="1:8" x14ac:dyDescent="0.3">
      <c r="A45" s="15"/>
      <c r="B45" s="14"/>
      <c r="C45" s="15"/>
      <c r="D45" s="14"/>
      <c r="E45" s="15"/>
      <c r="F45" s="14"/>
      <c r="G45" s="14"/>
      <c r="H45" s="14"/>
    </row>
    <row r="46" spans="1:8" x14ac:dyDescent="0.3">
      <c r="A46" s="16"/>
      <c r="B46" s="14"/>
      <c r="C46" s="16"/>
      <c r="D46" s="14"/>
      <c r="E46" s="16"/>
      <c r="F46" s="14"/>
      <c r="G46" s="14"/>
      <c r="H46" s="14"/>
    </row>
    <row r="47" spans="1:8" x14ac:dyDescent="0.3">
      <c r="A47" s="15"/>
      <c r="B47" s="14"/>
      <c r="C47" s="15"/>
      <c r="D47" s="14"/>
      <c r="E47" s="15"/>
      <c r="F47" s="14"/>
      <c r="G47" s="14"/>
      <c r="H47" s="14"/>
    </row>
    <row r="48" spans="1:8" x14ac:dyDescent="0.3">
      <c r="A48" s="16"/>
      <c r="B48" s="14"/>
      <c r="C48" s="16"/>
      <c r="D48" s="14"/>
      <c r="E48" s="16"/>
      <c r="F48" s="14"/>
      <c r="G48" s="14"/>
      <c r="H48" s="14"/>
    </row>
    <row r="49" spans="1:8" x14ac:dyDescent="0.3">
      <c r="A49" s="15"/>
      <c r="B49" s="14"/>
      <c r="C49" s="15"/>
      <c r="D49" s="14"/>
      <c r="E49" s="15"/>
      <c r="F49" s="14"/>
      <c r="G49" s="14"/>
      <c r="H49" s="14"/>
    </row>
    <row r="50" spans="1:8" x14ac:dyDescent="0.3">
      <c r="A50" s="16"/>
      <c r="B50" s="14"/>
      <c r="C50" s="16"/>
      <c r="D50" s="14"/>
      <c r="E50" s="16"/>
      <c r="F50" s="14"/>
      <c r="G50" s="14"/>
      <c r="H50" s="14"/>
    </row>
    <row r="51" spans="1:8" x14ac:dyDescent="0.3">
      <c r="A51" s="15"/>
      <c r="B51" s="14"/>
      <c r="C51" s="15"/>
      <c r="D51" s="14"/>
      <c r="E51" s="15"/>
      <c r="F51" s="14"/>
      <c r="G51" s="14"/>
      <c r="H51" s="14"/>
    </row>
    <row r="52" spans="1:8" x14ac:dyDescent="0.3">
      <c r="A52" s="16"/>
      <c r="B52" s="14"/>
      <c r="C52" s="16"/>
      <c r="D52" s="14"/>
      <c r="E52" s="16"/>
      <c r="F52" s="14"/>
      <c r="G52" s="14"/>
      <c r="H52" s="14"/>
    </row>
    <row r="53" spans="1:8" x14ac:dyDescent="0.3">
      <c r="A53" s="15"/>
      <c r="B53" s="14"/>
      <c r="C53" s="15"/>
      <c r="D53" s="14"/>
      <c r="E53" s="15"/>
      <c r="F53" s="14"/>
      <c r="G53" s="14"/>
      <c r="H53" s="14"/>
    </row>
    <row r="54" spans="1:8" x14ac:dyDescent="0.3">
      <c r="A54" s="16"/>
      <c r="B54" s="14"/>
      <c r="C54" s="16"/>
      <c r="D54" s="14"/>
      <c r="E54" s="16"/>
      <c r="F54" s="14"/>
      <c r="G54" s="14"/>
      <c r="H54" s="14"/>
    </row>
    <row r="55" spans="1:8" x14ac:dyDescent="0.3">
      <c r="A55" s="15"/>
      <c r="B55" s="14"/>
      <c r="C55" s="15"/>
      <c r="D55" s="14"/>
      <c r="E55" s="15"/>
      <c r="F55" s="14"/>
      <c r="G55" s="14"/>
      <c r="H55" s="14"/>
    </row>
    <row r="56" spans="1:8" x14ac:dyDescent="0.3">
      <c r="A56" s="16"/>
      <c r="B56" s="14"/>
      <c r="C56" s="16"/>
      <c r="D56" s="14"/>
      <c r="E56" s="16"/>
      <c r="F56" s="14"/>
      <c r="G56" s="14"/>
      <c r="H56" s="14"/>
    </row>
    <row r="57" spans="1:8" x14ac:dyDescent="0.3">
      <c r="A57" s="15"/>
      <c r="B57" s="14"/>
      <c r="C57" s="15"/>
      <c r="D57" s="14"/>
      <c r="E57" s="15"/>
      <c r="F57" s="14"/>
      <c r="G57" s="14"/>
      <c r="H57" s="14"/>
    </row>
    <row r="58" spans="1:8" x14ac:dyDescent="0.3">
      <c r="A58" s="16"/>
      <c r="B58" s="14"/>
      <c r="C58" s="16"/>
      <c r="D58" s="14"/>
      <c r="E58" s="16"/>
      <c r="F58" s="14"/>
      <c r="G58" s="14"/>
      <c r="H58" s="14"/>
    </row>
    <row r="59" spans="1:8" x14ac:dyDescent="0.3">
      <c r="A59" s="15"/>
      <c r="B59" s="14"/>
      <c r="C59" s="15"/>
      <c r="D59" s="14"/>
      <c r="E59" s="15"/>
      <c r="F59" s="14"/>
      <c r="G59" s="14"/>
      <c r="H59" s="14"/>
    </row>
    <row r="60" spans="1:8" x14ac:dyDescent="0.3">
      <c r="A60" s="16"/>
      <c r="B60" s="14"/>
      <c r="C60" s="16"/>
      <c r="D60" s="14"/>
      <c r="E60" s="16"/>
      <c r="F60" s="14"/>
      <c r="G60" s="14"/>
      <c r="H60" s="14"/>
    </row>
    <row r="61" spans="1:8" x14ac:dyDescent="0.3">
      <c r="A61" s="15"/>
      <c r="B61" s="14"/>
      <c r="C61" s="15"/>
      <c r="D61" s="14"/>
      <c r="E61" s="15"/>
      <c r="F61" s="14"/>
      <c r="G61" s="14"/>
      <c r="H61" s="14"/>
    </row>
    <row r="62" spans="1:8" x14ac:dyDescent="0.3">
      <c r="A62" s="16"/>
      <c r="B62" s="14"/>
      <c r="C62" s="16"/>
      <c r="D62" s="14"/>
      <c r="E62" s="16"/>
      <c r="F62" s="14"/>
      <c r="G62" s="14"/>
      <c r="H62" s="14"/>
    </row>
    <row r="63" spans="1:8" x14ac:dyDescent="0.3">
      <c r="A63" s="15"/>
      <c r="B63" s="14"/>
      <c r="C63" s="15"/>
      <c r="D63" s="14"/>
      <c r="E63" s="15"/>
      <c r="F63" s="14"/>
      <c r="G63" s="14"/>
      <c r="H63" s="14"/>
    </row>
    <row r="64" spans="1:8" x14ac:dyDescent="0.3">
      <c r="A64" s="16"/>
      <c r="B64" s="14"/>
      <c r="C64" s="16"/>
      <c r="D64" s="14"/>
      <c r="E64" s="16"/>
      <c r="F64" s="14"/>
      <c r="G64" s="14"/>
      <c r="H64" s="14"/>
    </row>
    <row r="65" spans="1:8" x14ac:dyDescent="0.3">
      <c r="A65" s="15"/>
      <c r="B65" s="14"/>
      <c r="C65" s="15"/>
      <c r="D65" s="14"/>
      <c r="E65" s="15"/>
      <c r="F65" s="14"/>
      <c r="G65" s="14"/>
      <c r="H65" s="14"/>
    </row>
    <row r="66" spans="1:8" x14ac:dyDescent="0.3">
      <c r="A66" s="16"/>
      <c r="B66" s="14"/>
      <c r="C66" s="16"/>
      <c r="D66" s="14"/>
      <c r="E66" s="16"/>
      <c r="F66" s="14"/>
      <c r="G66" s="14"/>
      <c r="H66" s="14"/>
    </row>
    <row r="67" spans="1:8" x14ac:dyDescent="0.3">
      <c r="A67" s="15"/>
      <c r="B67" s="14"/>
      <c r="C67" s="15"/>
      <c r="D67" s="14"/>
      <c r="E67" s="15"/>
      <c r="F67" s="14"/>
      <c r="G67" s="14"/>
      <c r="H67" s="14"/>
    </row>
    <row r="68" spans="1:8" x14ac:dyDescent="0.3">
      <c r="A68" s="16"/>
      <c r="B68" s="14"/>
      <c r="C68" s="16"/>
      <c r="D68" s="14"/>
      <c r="E68" s="16"/>
      <c r="F68" s="14"/>
      <c r="G68" s="14"/>
      <c r="H68" s="14"/>
    </row>
    <row r="69" spans="1:8" x14ac:dyDescent="0.3">
      <c r="A69" s="15"/>
      <c r="B69" s="14"/>
      <c r="C69" s="15"/>
      <c r="D69" s="14"/>
      <c r="E69" s="15"/>
      <c r="F69" s="14"/>
      <c r="G69" s="14"/>
      <c r="H69" s="14"/>
    </row>
    <row r="70" spans="1:8" x14ac:dyDescent="0.3">
      <c r="A70" s="16"/>
      <c r="B70" s="14"/>
      <c r="C70" s="16"/>
      <c r="D70" s="14"/>
      <c r="E70" s="16"/>
      <c r="F70" s="14"/>
      <c r="G70" s="14"/>
      <c r="H70" s="14"/>
    </row>
    <row r="71" spans="1:8" x14ac:dyDescent="0.3">
      <c r="A71" s="15"/>
      <c r="B71" s="14"/>
      <c r="C71" s="15"/>
      <c r="D71" s="14"/>
      <c r="E71" s="15"/>
      <c r="F71" s="14"/>
      <c r="G71" s="14"/>
      <c r="H71" s="14"/>
    </row>
    <row r="72" spans="1:8" x14ac:dyDescent="0.3">
      <c r="A72" s="16"/>
      <c r="B72" s="14"/>
      <c r="C72" s="16"/>
      <c r="D72" s="14"/>
      <c r="E72" s="16"/>
      <c r="F72" s="14"/>
      <c r="G72" s="14"/>
      <c r="H72" s="14"/>
    </row>
    <row r="73" spans="1:8" x14ac:dyDescent="0.3">
      <c r="A73" s="15"/>
      <c r="B73" s="14"/>
      <c r="C73" s="15"/>
      <c r="D73" s="14"/>
      <c r="E73" s="15"/>
      <c r="F73" s="14"/>
      <c r="G73" s="14"/>
      <c r="H73" s="14"/>
    </row>
    <row r="74" spans="1:8" x14ac:dyDescent="0.3">
      <c r="A74" s="16"/>
      <c r="B74" s="14"/>
      <c r="C74" s="16"/>
      <c r="D74" s="14"/>
      <c r="E74" s="16"/>
      <c r="F74" s="14"/>
      <c r="G74" s="14"/>
      <c r="H74" s="14"/>
    </row>
    <row r="75" spans="1:8" x14ac:dyDescent="0.3">
      <c r="A75" s="15"/>
      <c r="B75" s="14"/>
      <c r="C75" s="15"/>
      <c r="D75" s="14"/>
      <c r="E75" s="15"/>
      <c r="F75" s="14"/>
      <c r="G75" s="14"/>
      <c r="H75" s="14"/>
    </row>
    <row r="76" spans="1:8" x14ac:dyDescent="0.3">
      <c r="A76" s="16"/>
      <c r="B76" s="14"/>
      <c r="C76" s="16"/>
      <c r="D76" s="14"/>
      <c r="E76" s="16"/>
      <c r="F76" s="14"/>
      <c r="G76" s="14"/>
      <c r="H76" s="14"/>
    </row>
    <row r="77" spans="1:8" x14ac:dyDescent="0.3">
      <c r="A77" s="15"/>
      <c r="B77" s="14"/>
      <c r="C77" s="15"/>
      <c r="D77" s="14"/>
      <c r="E77" s="15"/>
      <c r="F77" s="14"/>
      <c r="G77" s="14"/>
      <c r="H77" s="14"/>
    </row>
    <row r="78" spans="1:8" x14ac:dyDescent="0.3">
      <c r="A78" s="16"/>
      <c r="B78" s="14"/>
      <c r="C78" s="16"/>
      <c r="D78" s="14"/>
      <c r="E78" s="16"/>
      <c r="F78" s="14"/>
      <c r="G78" s="14"/>
      <c r="H78" s="14"/>
    </row>
    <row r="79" spans="1:8" x14ac:dyDescent="0.3">
      <c r="A79" s="15"/>
      <c r="B79" s="14"/>
      <c r="C79" s="15"/>
      <c r="D79" s="14"/>
      <c r="E79" s="15"/>
      <c r="F79" s="14"/>
      <c r="G79" s="14"/>
      <c r="H79" s="14"/>
    </row>
    <row r="80" spans="1:8" x14ac:dyDescent="0.3">
      <c r="A80" s="16"/>
      <c r="B80" s="14"/>
      <c r="C80" s="16"/>
      <c r="D80" s="14"/>
      <c r="E80" s="16"/>
      <c r="F80" s="14"/>
      <c r="G80" s="14"/>
      <c r="H80" s="14"/>
    </row>
    <row r="81" spans="1:8" x14ac:dyDescent="0.3">
      <c r="A81" s="15"/>
      <c r="B81" s="14"/>
      <c r="C81" s="15"/>
      <c r="D81" s="14"/>
      <c r="E81" s="15"/>
      <c r="F81" s="14"/>
      <c r="G81" s="14"/>
      <c r="H81" s="14"/>
    </row>
    <row r="82" spans="1:8" x14ac:dyDescent="0.3">
      <c r="A82" s="16"/>
      <c r="B82" s="14"/>
      <c r="C82" s="16"/>
      <c r="D82" s="14"/>
      <c r="E82" s="16"/>
      <c r="F82" s="14"/>
      <c r="G82" s="14"/>
      <c r="H82" s="14"/>
    </row>
    <row r="83" spans="1:8" x14ac:dyDescent="0.3">
      <c r="A83" s="15"/>
      <c r="B83" s="14"/>
      <c r="C83" s="15"/>
      <c r="D83" s="14"/>
      <c r="E83" s="15"/>
      <c r="F83" s="14"/>
      <c r="G83" s="14"/>
      <c r="H83" s="14"/>
    </row>
    <row r="84" spans="1:8" x14ac:dyDescent="0.3">
      <c r="A84" s="16"/>
      <c r="B84" s="14"/>
      <c r="C84" s="16"/>
      <c r="D84" s="14"/>
      <c r="E84" s="16"/>
      <c r="F84" s="14"/>
      <c r="G84" s="14"/>
      <c r="H84" s="14"/>
    </row>
    <row r="85" spans="1:8" x14ac:dyDescent="0.3">
      <c r="A85" s="15"/>
      <c r="B85" s="14"/>
      <c r="C85" s="15"/>
      <c r="D85" s="14"/>
      <c r="E85" s="15"/>
      <c r="F85" s="14"/>
      <c r="G85" s="14"/>
      <c r="H85" s="14"/>
    </row>
    <row r="86" spans="1:8" x14ac:dyDescent="0.3">
      <c r="A86" s="16"/>
      <c r="B86" s="14"/>
      <c r="C86" s="16"/>
      <c r="D86" s="14"/>
      <c r="E86" s="16"/>
      <c r="F86" s="14"/>
      <c r="G86" s="14"/>
      <c r="H86" s="14"/>
    </row>
    <row r="87" spans="1:8" x14ac:dyDescent="0.3">
      <c r="A87" s="15"/>
      <c r="B87" s="14"/>
      <c r="C87" s="15"/>
      <c r="D87" s="14"/>
      <c r="E87" s="15"/>
      <c r="F87" s="14"/>
      <c r="G87" s="14"/>
      <c r="H87" s="14"/>
    </row>
    <row r="88" spans="1:8" x14ac:dyDescent="0.3">
      <c r="A88" s="16"/>
      <c r="B88" s="14"/>
      <c r="C88" s="16"/>
      <c r="D88" s="14"/>
      <c r="E88" s="16"/>
      <c r="F88" s="14"/>
      <c r="G88" s="14"/>
      <c r="H88" s="14"/>
    </row>
    <row r="89" spans="1:8" x14ac:dyDescent="0.3">
      <c r="A89" s="15"/>
      <c r="B89" s="14"/>
      <c r="C89" s="15"/>
      <c r="D89" s="14"/>
      <c r="E89" s="15"/>
      <c r="F89" s="14"/>
      <c r="G89" s="14"/>
      <c r="H89" s="14"/>
    </row>
    <row r="90" spans="1:8" x14ac:dyDescent="0.3">
      <c r="A90" s="16"/>
      <c r="B90" s="14"/>
      <c r="C90" s="16"/>
      <c r="D90" s="14"/>
      <c r="E90" s="16"/>
      <c r="F90" s="14"/>
      <c r="G90" s="14"/>
      <c r="H90" s="14"/>
    </row>
    <row r="91" spans="1:8" x14ac:dyDescent="0.3">
      <c r="A91" s="14"/>
      <c r="B91" s="14"/>
      <c r="C91" s="15"/>
      <c r="D91" s="14"/>
      <c r="E91" s="15"/>
      <c r="F91" s="14"/>
      <c r="G91" s="14"/>
      <c r="H91" s="14"/>
    </row>
    <row r="92" spans="1:8" x14ac:dyDescent="0.3">
      <c r="A92" s="14"/>
      <c r="B92" s="14"/>
      <c r="C92" s="16"/>
      <c r="D92" s="14"/>
      <c r="E92" s="16"/>
      <c r="F92" s="14"/>
      <c r="G92" s="14"/>
      <c r="H92" s="14"/>
    </row>
    <row r="93" spans="1:8" x14ac:dyDescent="0.3">
      <c r="A93" s="14"/>
      <c r="B93" s="14"/>
      <c r="C93" s="15"/>
      <c r="D93" s="14"/>
      <c r="E93" s="14"/>
      <c r="F93" s="14"/>
      <c r="G93" s="14"/>
      <c r="H93" s="14"/>
    </row>
    <row r="94" spans="1:8" x14ac:dyDescent="0.3">
      <c r="A94" s="14"/>
      <c r="B94" s="14"/>
      <c r="C94" s="16"/>
      <c r="D94" s="14"/>
      <c r="E94" s="14"/>
      <c r="F94" s="14"/>
      <c r="G94" s="14"/>
      <c r="H94" s="14"/>
    </row>
    <row r="95" spans="1:8" x14ac:dyDescent="0.3">
      <c r="A95" s="14"/>
      <c r="B95" s="14"/>
      <c r="C95" s="15"/>
      <c r="D95" s="14"/>
      <c r="E95" s="14"/>
      <c r="F95" s="14"/>
      <c r="G95" s="14"/>
      <c r="H95" s="14"/>
    </row>
    <row r="96" spans="1:8" x14ac:dyDescent="0.3">
      <c r="A96" s="14"/>
      <c r="B96" s="14"/>
      <c r="C96" s="16"/>
      <c r="D96" s="14"/>
      <c r="E96" s="14"/>
      <c r="F96" s="14"/>
      <c r="G96" s="14"/>
      <c r="H96" s="14"/>
    </row>
    <row r="97" spans="1:8" x14ac:dyDescent="0.3">
      <c r="A97" s="14"/>
      <c r="B97" s="14"/>
      <c r="C97" s="15"/>
      <c r="D97" s="14"/>
      <c r="E97" s="14"/>
      <c r="F97" s="14"/>
      <c r="G97" s="14"/>
      <c r="H97" s="14"/>
    </row>
    <row r="98" spans="1:8" x14ac:dyDescent="0.3">
      <c r="A98" s="14"/>
      <c r="B98" s="14"/>
      <c r="C98" s="16"/>
      <c r="D98" s="14"/>
      <c r="E98" s="14"/>
      <c r="F98" s="14"/>
      <c r="G98" s="14"/>
      <c r="H98" s="14"/>
    </row>
    <row r="99" spans="1:8" x14ac:dyDescent="0.3">
      <c r="A99" s="14"/>
      <c r="B99" s="14"/>
      <c r="C99" s="14"/>
      <c r="D99" s="14"/>
      <c r="E99" s="14"/>
      <c r="F99" s="14"/>
      <c r="G99" s="14"/>
      <c r="H99" s="14"/>
    </row>
    <row r="100" spans="1:8" x14ac:dyDescent="0.3">
      <c r="A100" s="14"/>
      <c r="B100" s="14"/>
      <c r="C100" s="14"/>
      <c r="D100" s="14"/>
      <c r="E100" s="14"/>
      <c r="F100" s="14"/>
      <c r="G100" s="14"/>
      <c r="H100" s="14"/>
    </row>
    <row r="101" spans="1:8" x14ac:dyDescent="0.3">
      <c r="A101" s="14"/>
      <c r="B101" s="14"/>
      <c r="C101" s="14"/>
      <c r="D101" s="14"/>
      <c r="E101" s="14"/>
      <c r="F101" s="14"/>
      <c r="G101" s="14"/>
      <c r="H101" s="14"/>
    </row>
    <row r="102" spans="1:8" x14ac:dyDescent="0.3">
      <c r="A102" s="14"/>
      <c r="B102" s="14"/>
      <c r="C102" s="14"/>
      <c r="D102" s="14"/>
      <c r="E102" s="14"/>
      <c r="F102" s="14"/>
      <c r="G102" s="14"/>
      <c r="H102" s="14"/>
    </row>
    <row r="103" spans="1:8" x14ac:dyDescent="0.3">
      <c r="A103" s="14"/>
      <c r="B103" s="14"/>
      <c r="C103" s="14"/>
      <c r="D103" s="14"/>
      <c r="E103" s="14"/>
      <c r="F103" s="14"/>
      <c r="G103" s="14"/>
      <c r="H103"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686E-7776-4326-96F9-872D23FB5E9B}">
  <dimension ref="A3:K60"/>
  <sheetViews>
    <sheetView workbookViewId="0">
      <selection activeCell="A35" sqref="A35:C60"/>
    </sheetView>
  </sheetViews>
  <sheetFormatPr defaultRowHeight="14.4" x14ac:dyDescent="0.3"/>
  <cols>
    <col min="1" max="1" width="12.5546875" bestFit="1" customWidth="1"/>
    <col min="2" max="2" width="23.44140625" bestFit="1" customWidth="1"/>
    <col min="3" max="3" width="24.44140625" bestFit="1" customWidth="1"/>
    <col min="4" max="4" width="23.44140625" bestFit="1" customWidth="1"/>
    <col min="5" max="5" width="24.44140625" bestFit="1" customWidth="1"/>
    <col min="6" max="6" width="23.44140625" bestFit="1" customWidth="1"/>
    <col min="7" max="7" width="24.44140625" bestFit="1" customWidth="1"/>
    <col min="8" max="8" width="23.44140625" bestFit="1" customWidth="1"/>
    <col min="9" max="9" width="24.44140625" bestFit="1" customWidth="1"/>
    <col min="10" max="10" width="28.21875" bestFit="1" customWidth="1"/>
    <col min="11" max="11" width="29.21875" bestFit="1" customWidth="1"/>
  </cols>
  <sheetData>
    <row r="3" spans="1:11" x14ac:dyDescent="0.3">
      <c r="B3" s="4" t="s">
        <v>1649</v>
      </c>
    </row>
    <row r="4" spans="1:11" x14ac:dyDescent="0.3">
      <c r="B4" t="s">
        <v>1635</v>
      </c>
      <c r="D4" t="s">
        <v>1637</v>
      </c>
      <c r="F4" t="s">
        <v>1636</v>
      </c>
      <c r="H4" t="s">
        <v>1638</v>
      </c>
      <c r="J4" t="s">
        <v>1653</v>
      </c>
      <c r="K4" t="s">
        <v>1655</v>
      </c>
    </row>
    <row r="5" spans="1:11" x14ac:dyDescent="0.3">
      <c r="A5" s="4" t="s">
        <v>1645</v>
      </c>
      <c r="B5" t="s">
        <v>1654</v>
      </c>
      <c r="C5" t="s">
        <v>1656</v>
      </c>
      <c r="D5" t="s">
        <v>1654</v>
      </c>
      <c r="E5" t="s">
        <v>1656</v>
      </c>
      <c r="F5" t="s">
        <v>1654</v>
      </c>
      <c r="G5" t="s">
        <v>1656</v>
      </c>
      <c r="H5" t="s">
        <v>1654</v>
      </c>
      <c r="I5" t="s">
        <v>1656</v>
      </c>
    </row>
    <row r="6" spans="1:11" x14ac:dyDescent="0.3">
      <c r="A6" s="5" t="s">
        <v>1632</v>
      </c>
      <c r="B6">
        <v>10.13953488372093</v>
      </c>
      <c r="C6">
        <v>5096.9302325581393</v>
      </c>
      <c r="D6">
        <v>10.513513513513514</v>
      </c>
      <c r="E6">
        <v>5323.9189189189192</v>
      </c>
      <c r="F6">
        <v>10.379310344827585</v>
      </c>
      <c r="G6">
        <v>5335.0919540229888</v>
      </c>
      <c r="H6">
        <v>10.183908045977011</v>
      </c>
      <c r="I6">
        <v>4524.2413793103451</v>
      </c>
      <c r="J6">
        <v>10.296407185628743</v>
      </c>
      <c r="K6">
        <v>5060.0838323353291</v>
      </c>
    </row>
    <row r="7" spans="1:11" x14ac:dyDescent="0.3">
      <c r="A7" s="5" t="s">
        <v>1634</v>
      </c>
      <c r="B7">
        <v>10.393258426966293</v>
      </c>
      <c r="C7">
        <v>5160.4157303370785</v>
      </c>
      <c r="D7">
        <v>9.3372093023255811</v>
      </c>
      <c r="E7">
        <v>4544.3372093023254</v>
      </c>
      <c r="F7">
        <v>8.9444444444444446</v>
      </c>
      <c r="G7">
        <v>4574.041666666667</v>
      </c>
      <c r="H7">
        <v>10.428571428571429</v>
      </c>
      <c r="I7">
        <v>5026.3406593406589</v>
      </c>
      <c r="J7">
        <v>9.8254437869822482</v>
      </c>
      <c r="K7">
        <v>4842.6568047337278</v>
      </c>
    </row>
    <row r="8" spans="1:11" x14ac:dyDescent="0.3">
      <c r="A8" s="5" t="s">
        <v>1633</v>
      </c>
      <c r="B8">
        <v>9.6428571428571423</v>
      </c>
      <c r="C8">
        <v>4770.1632653061224</v>
      </c>
      <c r="D8">
        <v>10.605633802816902</v>
      </c>
      <c r="E8">
        <v>4895.859154929577</v>
      </c>
      <c r="F8">
        <v>8.6341463414634152</v>
      </c>
      <c r="G8">
        <v>5532.9512195121952</v>
      </c>
      <c r="H8">
        <v>9.7402597402597397</v>
      </c>
      <c r="I8">
        <v>5185.4285714285716</v>
      </c>
      <c r="J8">
        <v>9.6219512195121943</v>
      </c>
      <c r="K8">
        <v>5085.5548780487807</v>
      </c>
    </row>
    <row r="9" spans="1:11" x14ac:dyDescent="0.3">
      <c r="A9" s="5" t="s">
        <v>1647</v>
      </c>
      <c r="B9">
        <v>10.043956043956044</v>
      </c>
      <c r="C9">
        <v>5000.3260073260071</v>
      </c>
      <c r="D9">
        <v>10.103896103896103</v>
      </c>
      <c r="E9">
        <v>4902.1168831168834</v>
      </c>
      <c r="F9">
        <v>9.3568464730290462</v>
      </c>
      <c r="G9">
        <v>5175.0456431535267</v>
      </c>
      <c r="H9">
        <v>10.137254901960784</v>
      </c>
      <c r="I9">
        <v>4903.0745098039215</v>
      </c>
      <c r="J9">
        <v>9.9160000000000004</v>
      </c>
      <c r="K9">
        <v>4994.9480000000003</v>
      </c>
    </row>
    <row r="13" spans="1:11" x14ac:dyDescent="0.3">
      <c r="E13" s="14"/>
      <c r="F13" s="14"/>
      <c r="G13" s="14"/>
      <c r="H13" s="14"/>
      <c r="I13" s="14"/>
    </row>
    <row r="14" spans="1:11" x14ac:dyDescent="0.3">
      <c r="E14" s="14"/>
      <c r="F14" s="14"/>
      <c r="G14" s="14"/>
      <c r="H14" s="14"/>
      <c r="I14" s="14"/>
    </row>
    <row r="15" spans="1:11" x14ac:dyDescent="0.3">
      <c r="E15" s="15"/>
      <c r="F15" s="14"/>
      <c r="G15" s="15"/>
      <c r="H15" s="14"/>
      <c r="I15" s="15"/>
    </row>
    <row r="16" spans="1:11" x14ac:dyDescent="0.3">
      <c r="E16" s="16"/>
      <c r="F16" s="14"/>
      <c r="G16" s="16"/>
      <c r="H16" s="14"/>
      <c r="I16" s="16"/>
    </row>
    <row r="17" spans="5:9" x14ac:dyDescent="0.3">
      <c r="E17" s="15"/>
      <c r="F17" s="14"/>
      <c r="G17" s="15"/>
      <c r="H17" s="14"/>
      <c r="I17" s="15"/>
    </row>
    <row r="18" spans="5:9" x14ac:dyDescent="0.3">
      <c r="E18" s="16"/>
      <c r="F18" s="14"/>
      <c r="G18" s="16"/>
      <c r="H18" s="14"/>
      <c r="I18" s="16"/>
    </row>
    <row r="19" spans="5:9" x14ac:dyDescent="0.3">
      <c r="E19" s="15"/>
      <c r="F19" s="14"/>
      <c r="G19" s="15"/>
      <c r="H19" s="14"/>
      <c r="I19" s="15"/>
    </row>
    <row r="20" spans="5:9" x14ac:dyDescent="0.3">
      <c r="E20" s="16"/>
      <c r="F20" s="14"/>
      <c r="G20" s="16"/>
      <c r="H20" s="14"/>
      <c r="I20" s="16"/>
    </row>
    <row r="21" spans="5:9" x14ac:dyDescent="0.3">
      <c r="E21" s="15"/>
      <c r="F21" s="14"/>
      <c r="G21" s="15"/>
      <c r="H21" s="14"/>
      <c r="I21" s="15"/>
    </row>
    <row r="22" spans="5:9" x14ac:dyDescent="0.3">
      <c r="E22" s="16"/>
      <c r="F22" s="14"/>
      <c r="G22" s="16"/>
      <c r="H22" s="14"/>
      <c r="I22" s="16"/>
    </row>
    <row r="23" spans="5:9" x14ac:dyDescent="0.3">
      <c r="E23" s="15"/>
      <c r="F23" s="14"/>
      <c r="G23" s="15"/>
      <c r="H23" s="14"/>
      <c r="I23" s="15"/>
    </row>
    <row r="24" spans="5:9" x14ac:dyDescent="0.3">
      <c r="E24" s="16"/>
      <c r="F24" s="14"/>
      <c r="G24" s="16"/>
      <c r="H24" s="14"/>
      <c r="I24" s="16"/>
    </row>
    <row r="25" spans="5:9" x14ac:dyDescent="0.3">
      <c r="E25" s="15"/>
      <c r="F25" s="14"/>
      <c r="G25" s="15"/>
      <c r="H25" s="14"/>
      <c r="I25" s="15"/>
    </row>
    <row r="26" spans="5:9" x14ac:dyDescent="0.3">
      <c r="E26" s="16"/>
      <c r="F26" s="14"/>
      <c r="G26" s="16"/>
      <c r="H26" s="14"/>
      <c r="I26" s="16"/>
    </row>
    <row r="27" spans="5:9" x14ac:dyDescent="0.3">
      <c r="E27" s="15"/>
      <c r="F27" s="14"/>
      <c r="G27" s="15"/>
      <c r="H27" s="14"/>
      <c r="I27" s="15"/>
    </row>
    <row r="28" spans="5:9" x14ac:dyDescent="0.3">
      <c r="E28" s="16"/>
      <c r="F28" s="14"/>
      <c r="G28" s="16"/>
      <c r="H28" s="14"/>
      <c r="I28" s="16"/>
    </row>
    <row r="29" spans="5:9" x14ac:dyDescent="0.3">
      <c r="E29" s="15"/>
      <c r="F29" s="14"/>
      <c r="G29" s="15"/>
      <c r="H29" s="14"/>
      <c r="I29" s="15"/>
    </row>
    <row r="30" spans="5:9" x14ac:dyDescent="0.3">
      <c r="E30" s="16"/>
      <c r="F30" s="14"/>
      <c r="G30" s="16"/>
      <c r="H30" s="14"/>
      <c r="I30" s="16"/>
    </row>
    <row r="31" spans="5:9" x14ac:dyDescent="0.3">
      <c r="E31" s="15"/>
      <c r="F31" s="14"/>
      <c r="G31" s="15"/>
      <c r="H31" s="14"/>
      <c r="I31" s="15"/>
    </row>
    <row r="32" spans="5:9" x14ac:dyDescent="0.3">
      <c r="E32" s="16"/>
      <c r="F32" s="14"/>
      <c r="G32" s="16"/>
      <c r="H32" s="14"/>
      <c r="I32" s="16"/>
    </row>
    <row r="33" spans="1:9" x14ac:dyDescent="0.3">
      <c r="E33" s="15"/>
      <c r="F33" s="14"/>
      <c r="G33" s="15"/>
      <c r="H33" s="14"/>
      <c r="I33" s="15"/>
    </row>
    <row r="34" spans="1:9" x14ac:dyDescent="0.3">
      <c r="E34" s="14"/>
      <c r="F34" s="14"/>
      <c r="G34" s="14"/>
      <c r="H34" s="14"/>
      <c r="I34" s="16"/>
    </row>
    <row r="35" spans="1:9" x14ac:dyDescent="0.3">
      <c r="A35" s="17"/>
      <c r="B35" s="17"/>
      <c r="C35" s="17"/>
      <c r="E35" s="14"/>
      <c r="F35" s="14"/>
      <c r="G35" s="14"/>
      <c r="H35" s="14"/>
      <c r="I35" s="15"/>
    </row>
    <row r="36" spans="1:9" x14ac:dyDescent="0.3">
      <c r="A36" s="18"/>
      <c r="B36" s="17"/>
      <c r="C36" s="18"/>
      <c r="E36" s="15"/>
      <c r="F36" s="14"/>
      <c r="G36" s="14"/>
      <c r="H36" s="14"/>
      <c r="I36" s="16"/>
    </row>
    <row r="37" spans="1:9" x14ac:dyDescent="0.3">
      <c r="A37" s="18"/>
      <c r="B37" s="17"/>
      <c r="C37" s="18"/>
      <c r="E37" s="16"/>
      <c r="F37" s="14"/>
      <c r="G37" s="14"/>
      <c r="H37" s="14"/>
      <c r="I37" s="14"/>
    </row>
    <row r="38" spans="1:9" x14ac:dyDescent="0.3">
      <c r="A38" s="18"/>
      <c r="B38" s="17"/>
      <c r="C38" s="18"/>
      <c r="E38" s="15"/>
      <c r="F38" s="14"/>
      <c r="G38" s="14"/>
      <c r="H38" s="14"/>
      <c r="I38" s="14"/>
    </row>
    <row r="39" spans="1:9" x14ac:dyDescent="0.3">
      <c r="A39" s="18"/>
      <c r="B39" s="17"/>
      <c r="C39" s="18"/>
      <c r="E39" s="16"/>
      <c r="F39" s="14"/>
      <c r="G39" s="14"/>
      <c r="H39" s="14"/>
      <c r="I39" s="14"/>
    </row>
    <row r="40" spans="1:9" x14ac:dyDescent="0.3">
      <c r="A40" s="18"/>
      <c r="B40" s="17"/>
      <c r="C40" s="18"/>
      <c r="E40" s="15"/>
      <c r="F40" s="14"/>
      <c r="G40" s="14"/>
      <c r="H40" s="14"/>
      <c r="I40" s="14"/>
    </row>
    <row r="41" spans="1:9" x14ac:dyDescent="0.3">
      <c r="A41" s="18"/>
      <c r="B41" s="17"/>
      <c r="C41" s="18"/>
      <c r="E41" s="14"/>
      <c r="F41" s="14"/>
      <c r="G41" s="14"/>
      <c r="H41" s="14"/>
      <c r="I41" s="14"/>
    </row>
    <row r="42" spans="1:9" x14ac:dyDescent="0.3">
      <c r="A42" s="18"/>
      <c r="B42" s="17"/>
      <c r="C42" s="17"/>
      <c r="E42" s="14"/>
      <c r="F42" s="14"/>
      <c r="G42" s="14"/>
      <c r="H42" s="14"/>
      <c r="I42" s="14"/>
    </row>
    <row r="43" spans="1:9" x14ac:dyDescent="0.3">
      <c r="A43" s="18"/>
      <c r="B43" s="17"/>
      <c r="C43" s="17"/>
      <c r="E43" s="14"/>
      <c r="F43" s="14"/>
      <c r="G43" s="14"/>
      <c r="H43" s="14"/>
      <c r="I43" s="14"/>
    </row>
    <row r="44" spans="1:9" x14ac:dyDescent="0.3">
      <c r="A44" s="18"/>
      <c r="B44" s="17"/>
      <c r="C44" s="17"/>
      <c r="E44" s="14"/>
      <c r="F44" s="14"/>
      <c r="G44" s="14"/>
      <c r="H44" s="14"/>
      <c r="I44" s="14"/>
    </row>
    <row r="45" spans="1:9" x14ac:dyDescent="0.3">
      <c r="A45" s="18"/>
      <c r="B45" s="17"/>
      <c r="C45" s="17"/>
      <c r="E45" s="14"/>
      <c r="F45" s="14"/>
      <c r="G45" s="14"/>
      <c r="H45" s="14"/>
      <c r="I45" s="14"/>
    </row>
    <row r="46" spans="1:9" x14ac:dyDescent="0.3">
      <c r="A46" s="18"/>
      <c r="B46" s="17"/>
      <c r="C46" s="17"/>
      <c r="E46" s="14"/>
      <c r="F46" s="14"/>
      <c r="G46" s="14"/>
      <c r="H46" s="14"/>
      <c r="I46" s="14"/>
    </row>
    <row r="47" spans="1:9" x14ac:dyDescent="0.3">
      <c r="A47" s="18"/>
      <c r="B47" s="17"/>
      <c r="C47" s="17"/>
      <c r="E47" s="14"/>
      <c r="F47" s="14"/>
      <c r="G47" s="14"/>
      <c r="H47" s="14"/>
      <c r="I47" s="14"/>
    </row>
    <row r="48" spans="1:9" x14ac:dyDescent="0.3">
      <c r="A48" s="18"/>
      <c r="B48" s="17"/>
      <c r="C48" s="17"/>
      <c r="E48" s="14"/>
      <c r="F48" s="14"/>
      <c r="G48" s="14"/>
      <c r="H48" s="14"/>
      <c r="I48" s="14"/>
    </row>
    <row r="49" spans="1:9" x14ac:dyDescent="0.3">
      <c r="A49" s="18"/>
      <c r="B49" s="17"/>
      <c r="C49" s="17"/>
      <c r="E49" s="14"/>
      <c r="F49" s="14"/>
      <c r="G49" s="14"/>
      <c r="H49" s="14"/>
      <c r="I49" s="14"/>
    </row>
    <row r="50" spans="1:9" x14ac:dyDescent="0.3">
      <c r="A50" s="18"/>
      <c r="B50" s="17"/>
      <c r="C50" s="17"/>
      <c r="E50" s="14"/>
      <c r="F50" s="14"/>
      <c r="G50" s="14"/>
      <c r="H50" s="14"/>
      <c r="I50" s="14"/>
    </row>
    <row r="51" spans="1:9" x14ac:dyDescent="0.3">
      <c r="A51" s="18"/>
      <c r="B51" s="17"/>
      <c r="C51" s="17"/>
      <c r="E51" s="14"/>
      <c r="F51" s="14"/>
      <c r="G51" s="14"/>
      <c r="H51" s="14"/>
      <c r="I51" s="14"/>
    </row>
    <row r="52" spans="1:9" x14ac:dyDescent="0.3">
      <c r="A52" s="18"/>
      <c r="B52" s="17"/>
      <c r="C52" s="17"/>
      <c r="E52" s="14"/>
      <c r="F52" s="14"/>
      <c r="G52" s="14"/>
      <c r="H52" s="14"/>
      <c r="I52" s="14"/>
    </row>
    <row r="53" spans="1:9" x14ac:dyDescent="0.3">
      <c r="A53" s="18"/>
      <c r="B53" s="17"/>
      <c r="C53" s="17"/>
      <c r="E53" s="14"/>
      <c r="F53" s="14"/>
      <c r="G53" s="14"/>
      <c r="H53" s="14"/>
      <c r="I53" s="14"/>
    </row>
    <row r="54" spans="1:9" x14ac:dyDescent="0.3">
      <c r="A54" s="18"/>
      <c r="B54" s="17"/>
      <c r="C54" s="17"/>
      <c r="E54" s="14"/>
      <c r="F54" s="14"/>
      <c r="G54" s="14"/>
      <c r="H54" s="14"/>
      <c r="I54" s="14"/>
    </row>
    <row r="55" spans="1:9" x14ac:dyDescent="0.3">
      <c r="A55" s="18"/>
      <c r="B55" s="17"/>
      <c r="C55" s="17"/>
      <c r="E55" s="14"/>
      <c r="F55" s="14"/>
      <c r="G55" s="14"/>
      <c r="H55" s="14"/>
      <c r="I55" s="14"/>
    </row>
    <row r="56" spans="1:9" x14ac:dyDescent="0.3">
      <c r="A56" s="18"/>
      <c r="B56" s="17"/>
      <c r="C56" s="17"/>
      <c r="D56" s="19"/>
    </row>
    <row r="57" spans="1:9" x14ac:dyDescent="0.3">
      <c r="A57" s="18"/>
      <c r="B57" s="17"/>
      <c r="C57" s="17"/>
    </row>
    <row r="58" spans="1:9" x14ac:dyDescent="0.3">
      <c r="A58" s="18"/>
      <c r="B58" s="17"/>
      <c r="C58" s="17"/>
    </row>
    <row r="59" spans="1:9" x14ac:dyDescent="0.3">
      <c r="A59" s="17"/>
      <c r="B59" s="17"/>
      <c r="C59" s="17"/>
    </row>
    <row r="60" spans="1:9" x14ac:dyDescent="0.3">
      <c r="A60" s="17"/>
      <c r="B60" s="17"/>
      <c r="C60" s="17"/>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4D70-A544-4621-8F90-A34707333403}">
  <dimension ref="A3:U108"/>
  <sheetViews>
    <sheetView topLeftCell="A2" zoomScale="82" zoomScaleNormal="82" workbookViewId="0">
      <selection activeCell="F33" sqref="F33"/>
    </sheetView>
  </sheetViews>
  <sheetFormatPr defaultRowHeight="14.4" x14ac:dyDescent="0.3"/>
  <cols>
    <col min="1" max="1" width="12.5546875" bestFit="1" customWidth="1"/>
    <col min="2" max="2" width="16.5546875" bestFit="1" customWidth="1"/>
    <col min="3" max="3" width="30" bestFit="1" customWidth="1"/>
    <col min="4" max="4" width="25.44140625" bestFit="1" customWidth="1"/>
    <col min="5" max="5" width="22.77734375" bestFit="1" customWidth="1"/>
    <col min="6" max="6" width="16.5546875" bestFit="1" customWidth="1"/>
    <col min="7" max="7" width="30" bestFit="1" customWidth="1"/>
    <col min="8" max="8" width="25.44140625" bestFit="1" customWidth="1"/>
    <col min="9" max="9" width="22.77734375" bestFit="1" customWidth="1"/>
    <col min="10" max="10" width="16.5546875" bestFit="1" customWidth="1"/>
    <col min="11" max="11" width="30" bestFit="1" customWidth="1"/>
    <col min="12" max="12" width="25.44140625" bestFit="1" customWidth="1"/>
    <col min="13" max="13" width="22.77734375" bestFit="1" customWidth="1"/>
    <col min="14" max="14" width="16.5546875" bestFit="1" customWidth="1"/>
    <col min="15" max="15" width="30" bestFit="1" customWidth="1"/>
    <col min="16" max="16" width="25.44140625" bestFit="1" customWidth="1"/>
    <col min="17" max="17" width="22.77734375" bestFit="1" customWidth="1"/>
    <col min="18" max="18" width="21.44140625" bestFit="1" customWidth="1"/>
    <col min="19" max="19" width="34.77734375" bestFit="1" customWidth="1"/>
    <col min="20" max="20" width="30.21875" bestFit="1" customWidth="1"/>
    <col min="21" max="21" width="27.5546875" bestFit="1" customWidth="1"/>
  </cols>
  <sheetData>
    <row r="3" spans="1:21" x14ac:dyDescent="0.3">
      <c r="B3" s="4" t="s">
        <v>1649</v>
      </c>
    </row>
    <row r="4" spans="1:21" x14ac:dyDescent="0.3">
      <c r="B4" t="s">
        <v>1635</v>
      </c>
      <c r="F4" t="s">
        <v>1637</v>
      </c>
      <c r="J4" t="s">
        <v>1636</v>
      </c>
      <c r="N4" t="s">
        <v>1638</v>
      </c>
      <c r="R4" t="s">
        <v>1651</v>
      </c>
      <c r="S4" t="s">
        <v>1658</v>
      </c>
      <c r="T4" t="s">
        <v>1660</v>
      </c>
      <c r="U4" t="s">
        <v>1662</v>
      </c>
    </row>
    <row r="5" spans="1:21" x14ac:dyDescent="0.3">
      <c r="A5" s="4" t="s">
        <v>1645</v>
      </c>
      <c r="B5" t="s">
        <v>1648</v>
      </c>
      <c r="C5" t="s">
        <v>1659</v>
      </c>
      <c r="D5" t="s">
        <v>1661</v>
      </c>
      <c r="E5" t="s">
        <v>1663</v>
      </c>
      <c r="F5" t="s">
        <v>1648</v>
      </c>
      <c r="G5" t="s">
        <v>1659</v>
      </c>
      <c r="H5" t="s">
        <v>1661</v>
      </c>
      <c r="I5" t="s">
        <v>1663</v>
      </c>
      <c r="J5" t="s">
        <v>1648</v>
      </c>
      <c r="K5" t="s">
        <v>1659</v>
      </c>
      <c r="L5" t="s">
        <v>1661</v>
      </c>
      <c r="M5" t="s">
        <v>1663</v>
      </c>
      <c r="N5" t="s">
        <v>1648</v>
      </c>
      <c r="O5" t="s">
        <v>1659</v>
      </c>
      <c r="P5" t="s">
        <v>1661</v>
      </c>
      <c r="Q5" t="s">
        <v>1663</v>
      </c>
    </row>
    <row r="6" spans="1:21" x14ac:dyDescent="0.3">
      <c r="A6" s="5" t="s">
        <v>1632</v>
      </c>
      <c r="B6">
        <v>218816</v>
      </c>
      <c r="C6">
        <v>10094.639534883721</v>
      </c>
      <c r="D6">
        <v>3.0534883720930242</v>
      </c>
      <c r="E6">
        <v>24380929</v>
      </c>
      <c r="F6">
        <v>201885</v>
      </c>
      <c r="G6">
        <v>10781.5</v>
      </c>
      <c r="H6">
        <v>3.1594594594594594</v>
      </c>
      <c r="I6">
        <v>21602736</v>
      </c>
      <c r="J6">
        <v>230835</v>
      </c>
      <c r="K6">
        <v>10817.471264367816</v>
      </c>
      <c r="L6">
        <v>2.8425287356321838</v>
      </c>
      <c r="M6">
        <v>25092900</v>
      </c>
      <c r="N6">
        <v>241262</v>
      </c>
      <c r="O6">
        <v>10840.643678160919</v>
      </c>
      <c r="P6">
        <v>3.0885057471264381</v>
      </c>
      <c r="Q6">
        <v>23108697</v>
      </c>
      <c r="R6">
        <v>892798</v>
      </c>
      <c r="S6">
        <v>10629.419161676647</v>
      </c>
      <c r="T6">
        <v>3.0311377245508999</v>
      </c>
      <c r="U6">
        <v>94185262</v>
      </c>
    </row>
    <row r="7" spans="1:21" x14ac:dyDescent="0.3">
      <c r="A7" s="5" t="s">
        <v>1634</v>
      </c>
      <c r="B7">
        <v>231890</v>
      </c>
      <c r="C7">
        <v>9685.3707865168544</v>
      </c>
      <c r="D7">
        <v>3.150561797752808</v>
      </c>
      <c r="E7">
        <v>23949952</v>
      </c>
      <c r="F7">
        <v>230171</v>
      </c>
      <c r="G7">
        <v>11097.313953488372</v>
      </c>
      <c r="H7">
        <v>2.8744186046511633</v>
      </c>
      <c r="I7">
        <v>23338248</v>
      </c>
      <c r="J7">
        <v>160020</v>
      </c>
      <c r="K7">
        <v>11125.180555555555</v>
      </c>
      <c r="L7">
        <v>2.8999999999999977</v>
      </c>
      <c r="M7">
        <v>18040630</v>
      </c>
      <c r="N7">
        <v>221710</v>
      </c>
      <c r="O7">
        <v>11083.538461538461</v>
      </c>
      <c r="P7">
        <v>3.1956043956043958</v>
      </c>
      <c r="Q7">
        <v>25120331</v>
      </c>
      <c r="R7">
        <v>843791</v>
      </c>
      <c r="S7">
        <v>10727.757396449704</v>
      </c>
      <c r="T7">
        <v>3.0390532544378721</v>
      </c>
      <c r="U7">
        <v>90449161</v>
      </c>
    </row>
    <row r="8" spans="1:21" x14ac:dyDescent="0.3">
      <c r="A8" s="5" t="s">
        <v>1633</v>
      </c>
      <c r="B8">
        <v>244937</v>
      </c>
      <c r="C8">
        <v>11054.091836734693</v>
      </c>
      <c r="D8">
        <v>3.0540816326530624</v>
      </c>
      <c r="E8">
        <v>28888796</v>
      </c>
      <c r="F8">
        <v>186390</v>
      </c>
      <c r="G8">
        <v>11428.676056338029</v>
      </c>
      <c r="H8">
        <v>2.9140845070422525</v>
      </c>
      <c r="I8">
        <v>19197968</v>
      </c>
      <c r="J8">
        <v>218077</v>
      </c>
      <c r="K8">
        <v>10933.59756097561</v>
      </c>
      <c r="L8">
        <v>2.815853658536585</v>
      </c>
      <c r="M8">
        <v>23136376</v>
      </c>
      <c r="N8">
        <v>192257</v>
      </c>
      <c r="O8">
        <v>10660.09090909091</v>
      </c>
      <c r="P8">
        <v>3.0740259740259743</v>
      </c>
      <c r="Q8">
        <v>21667420</v>
      </c>
      <c r="R8">
        <v>841661</v>
      </c>
      <c r="S8">
        <v>11012.557926829268</v>
      </c>
      <c r="T8">
        <v>2.9689024390243919</v>
      </c>
      <c r="U8">
        <v>92890560</v>
      </c>
    </row>
    <row r="9" spans="1:21" x14ac:dyDescent="0.3">
      <c r="A9" s="5" t="s">
        <v>1647</v>
      </c>
      <c r="B9">
        <v>695643</v>
      </c>
      <c r="C9">
        <v>10305.6336996337</v>
      </c>
      <c r="D9">
        <v>3.0853479853479828</v>
      </c>
      <c r="E9">
        <v>77219677</v>
      </c>
      <c r="F9">
        <v>618446</v>
      </c>
      <c r="G9">
        <v>11097.991341991343</v>
      </c>
      <c r="H9">
        <v>2.9779220779220803</v>
      </c>
      <c r="I9">
        <v>64138952</v>
      </c>
      <c r="J9">
        <v>608932</v>
      </c>
      <c r="K9">
        <v>10948.91286307054</v>
      </c>
      <c r="L9">
        <v>2.8506224066390051</v>
      </c>
      <c r="M9">
        <v>66269906</v>
      </c>
      <c r="N9">
        <v>655229</v>
      </c>
      <c r="O9">
        <v>10872.803921568628</v>
      </c>
      <c r="P9">
        <v>3.1223529411764712</v>
      </c>
      <c r="Q9">
        <v>69896448</v>
      </c>
      <c r="R9">
        <v>2578250</v>
      </c>
      <c r="S9">
        <v>10788.326999999999</v>
      </c>
      <c r="T9">
        <v>3.0134000000000021</v>
      </c>
      <c r="U9">
        <v>277524983</v>
      </c>
    </row>
    <row r="18" spans="1:12" x14ac:dyDescent="0.3">
      <c r="A18" s="20"/>
      <c r="B18" s="20"/>
      <c r="C18" s="20"/>
      <c r="D18" s="20"/>
      <c r="E18" s="20"/>
      <c r="F18" s="20"/>
      <c r="G18" s="20"/>
      <c r="H18" s="20"/>
      <c r="I18" s="20"/>
      <c r="J18" s="20"/>
      <c r="K18" s="20"/>
      <c r="L18" s="20"/>
    </row>
    <row r="19" spans="1:12" x14ac:dyDescent="0.3">
      <c r="A19" s="20"/>
      <c r="B19" s="20"/>
      <c r="C19" s="20"/>
      <c r="D19" s="20"/>
      <c r="E19" s="20"/>
      <c r="F19" s="20"/>
      <c r="G19" s="20"/>
      <c r="H19" s="20"/>
      <c r="I19" s="20"/>
      <c r="J19" s="20"/>
      <c r="K19" s="20"/>
      <c r="L19" s="20"/>
    </row>
    <row r="20" spans="1:12" x14ac:dyDescent="0.3">
      <c r="A20" s="20"/>
      <c r="B20" s="20"/>
      <c r="C20" s="20"/>
      <c r="D20" s="20"/>
      <c r="E20" s="21"/>
      <c r="F20" s="20"/>
      <c r="G20" s="21"/>
      <c r="H20" s="20"/>
      <c r="I20" s="21"/>
      <c r="J20" s="20"/>
      <c r="K20" s="20"/>
      <c r="L20" s="20"/>
    </row>
    <row r="21" spans="1:12" x14ac:dyDescent="0.3">
      <c r="A21" s="20"/>
      <c r="B21" s="20"/>
      <c r="C21" s="20"/>
      <c r="D21" s="20"/>
      <c r="E21" s="22"/>
      <c r="F21" s="20"/>
      <c r="G21" s="22"/>
      <c r="H21" s="20"/>
      <c r="I21" s="22"/>
      <c r="J21" s="20"/>
      <c r="K21" s="20"/>
      <c r="L21" s="20"/>
    </row>
    <row r="22" spans="1:12" x14ac:dyDescent="0.3">
      <c r="A22" s="20"/>
      <c r="B22" s="20"/>
      <c r="C22" s="20"/>
      <c r="D22" s="20"/>
      <c r="E22" s="21"/>
      <c r="F22" s="20"/>
      <c r="G22" s="21"/>
      <c r="H22" s="20"/>
      <c r="I22" s="21"/>
      <c r="J22" s="20"/>
      <c r="K22" s="20"/>
      <c r="L22" s="20"/>
    </row>
    <row r="23" spans="1:12" x14ac:dyDescent="0.3">
      <c r="A23" s="20"/>
      <c r="B23" s="20"/>
      <c r="C23" s="20"/>
      <c r="D23" s="20"/>
      <c r="E23" s="22"/>
      <c r="F23" s="20"/>
      <c r="G23" s="22"/>
      <c r="H23" s="20"/>
      <c r="I23" s="22"/>
      <c r="J23" s="20"/>
      <c r="K23" s="20"/>
      <c r="L23" s="20"/>
    </row>
    <row r="24" spans="1:12" x14ac:dyDescent="0.3">
      <c r="A24" s="20"/>
      <c r="B24" s="20"/>
      <c r="C24" s="20"/>
      <c r="D24" s="20"/>
      <c r="E24" s="21"/>
      <c r="F24" s="20"/>
      <c r="G24" s="21"/>
      <c r="H24" s="20"/>
      <c r="I24" s="21"/>
      <c r="J24" s="20"/>
      <c r="K24" s="20"/>
      <c r="L24" s="20"/>
    </row>
    <row r="25" spans="1:12" x14ac:dyDescent="0.3">
      <c r="A25" s="20"/>
      <c r="B25" s="20"/>
      <c r="C25" s="20"/>
      <c r="D25" s="20"/>
      <c r="E25" s="22"/>
      <c r="F25" s="20"/>
      <c r="G25" s="22"/>
      <c r="H25" s="20"/>
      <c r="I25" s="22"/>
      <c r="J25" s="20"/>
      <c r="K25" s="20"/>
      <c r="L25" s="20"/>
    </row>
    <row r="26" spans="1:12" x14ac:dyDescent="0.3">
      <c r="A26" s="20"/>
      <c r="B26" s="20"/>
      <c r="C26" s="20"/>
      <c r="D26" s="20"/>
      <c r="E26" s="21"/>
      <c r="F26" s="20"/>
      <c r="G26" s="21"/>
      <c r="H26" s="20"/>
      <c r="I26" s="21"/>
      <c r="J26" s="20"/>
      <c r="K26" s="20"/>
      <c r="L26" s="20"/>
    </row>
    <row r="27" spans="1:12" x14ac:dyDescent="0.3">
      <c r="A27" s="20"/>
      <c r="B27" s="20"/>
      <c r="C27" s="20"/>
      <c r="D27" s="20"/>
      <c r="E27" s="22"/>
      <c r="F27" s="20"/>
      <c r="G27" s="22"/>
      <c r="H27" s="20"/>
      <c r="I27" s="22"/>
      <c r="J27" s="20"/>
      <c r="K27" s="20"/>
      <c r="L27" s="20"/>
    </row>
    <row r="28" spans="1:12" x14ac:dyDescent="0.3">
      <c r="A28" s="20"/>
      <c r="B28" s="20"/>
      <c r="C28" s="20"/>
      <c r="D28" s="20"/>
      <c r="E28" s="21"/>
      <c r="F28" s="20"/>
      <c r="G28" s="21"/>
      <c r="H28" s="20"/>
      <c r="I28" s="21"/>
      <c r="J28" s="20"/>
      <c r="K28" s="20"/>
      <c r="L28" s="20"/>
    </row>
    <row r="29" spans="1:12" x14ac:dyDescent="0.3">
      <c r="A29" s="20"/>
      <c r="B29" s="20"/>
      <c r="C29" s="20"/>
      <c r="D29" s="20"/>
      <c r="E29" s="22"/>
      <c r="F29" s="20"/>
      <c r="G29" s="22"/>
      <c r="H29" s="20"/>
      <c r="I29" s="22"/>
      <c r="J29" s="20"/>
      <c r="K29" s="20"/>
      <c r="L29" s="20"/>
    </row>
    <row r="30" spans="1:12" x14ac:dyDescent="0.3">
      <c r="A30" s="20"/>
      <c r="B30" s="20"/>
      <c r="C30" s="20"/>
      <c r="D30" s="20"/>
      <c r="E30" s="21"/>
      <c r="F30" s="20"/>
      <c r="G30" s="21"/>
      <c r="H30" s="20"/>
      <c r="I30" s="20"/>
      <c r="J30" s="20"/>
      <c r="K30" s="20"/>
      <c r="L30" s="20"/>
    </row>
    <row r="31" spans="1:12" x14ac:dyDescent="0.3">
      <c r="A31" s="20"/>
      <c r="B31" s="20"/>
      <c r="C31" s="20"/>
      <c r="D31" s="20"/>
      <c r="E31" s="22"/>
      <c r="F31" s="20"/>
      <c r="G31" s="22"/>
      <c r="H31" s="20"/>
      <c r="I31" s="20"/>
      <c r="J31" s="20"/>
      <c r="K31" s="20"/>
      <c r="L31" s="20"/>
    </row>
    <row r="32" spans="1:12" x14ac:dyDescent="0.3">
      <c r="A32" s="20"/>
      <c r="B32" s="20"/>
      <c r="C32" s="20"/>
      <c r="D32" s="20"/>
      <c r="E32" s="21"/>
      <c r="F32" s="20"/>
      <c r="G32" s="21"/>
      <c r="H32" s="20"/>
      <c r="I32" s="20"/>
      <c r="J32" s="20"/>
      <c r="K32" s="20"/>
      <c r="L32" s="20"/>
    </row>
    <row r="33" spans="1:12" x14ac:dyDescent="0.3">
      <c r="A33" s="20"/>
      <c r="B33" s="20"/>
      <c r="C33" s="20"/>
      <c r="D33" s="20"/>
      <c r="E33" s="22"/>
      <c r="F33" s="20"/>
      <c r="G33" s="22"/>
      <c r="H33" s="20"/>
      <c r="I33" s="20"/>
      <c r="J33" s="20"/>
      <c r="K33" s="20"/>
      <c r="L33" s="20"/>
    </row>
    <row r="34" spans="1:12" x14ac:dyDescent="0.3">
      <c r="A34" s="20"/>
      <c r="B34" s="20"/>
      <c r="C34" s="20"/>
      <c r="D34" s="20"/>
      <c r="E34" s="21"/>
      <c r="F34" s="20"/>
      <c r="G34" s="21"/>
      <c r="H34" s="20"/>
      <c r="I34" s="20"/>
      <c r="J34" s="20"/>
      <c r="K34" s="20"/>
      <c r="L34" s="20"/>
    </row>
    <row r="35" spans="1:12" x14ac:dyDescent="0.3">
      <c r="A35" s="20"/>
      <c r="B35" s="20"/>
      <c r="C35" s="20"/>
      <c r="D35" s="20"/>
      <c r="E35" s="22"/>
      <c r="F35" s="20"/>
      <c r="G35" s="20"/>
      <c r="H35" s="20"/>
      <c r="I35" s="20"/>
      <c r="J35" s="20"/>
      <c r="K35" s="20"/>
      <c r="L35" s="20"/>
    </row>
    <row r="36" spans="1:12" x14ac:dyDescent="0.3">
      <c r="A36" s="20"/>
      <c r="B36" s="20"/>
      <c r="C36" s="20"/>
      <c r="D36" s="20"/>
      <c r="E36" s="21"/>
      <c r="F36" s="20"/>
      <c r="G36" s="20"/>
      <c r="H36" s="20"/>
      <c r="I36" s="20"/>
      <c r="J36" s="20"/>
      <c r="K36" s="20"/>
      <c r="L36" s="20"/>
    </row>
    <row r="37" spans="1:12" x14ac:dyDescent="0.3">
      <c r="A37" s="20"/>
      <c r="B37" s="20"/>
      <c r="C37" s="20"/>
      <c r="D37" s="20"/>
      <c r="E37" s="20"/>
      <c r="F37" s="20"/>
      <c r="G37" s="20"/>
      <c r="H37" s="20"/>
      <c r="I37" s="20"/>
      <c r="J37" s="20"/>
      <c r="K37" s="20"/>
      <c r="L37" s="20"/>
    </row>
    <row r="38" spans="1:12" x14ac:dyDescent="0.3">
      <c r="A38" s="20"/>
      <c r="B38" s="20"/>
      <c r="C38" s="20"/>
      <c r="D38" s="20"/>
      <c r="E38" s="20"/>
      <c r="F38" s="20"/>
      <c r="G38" s="20"/>
      <c r="H38" s="20"/>
      <c r="I38" s="20"/>
      <c r="J38" s="20"/>
      <c r="K38" s="20"/>
      <c r="L38" s="20"/>
    </row>
    <row r="39" spans="1:12" x14ac:dyDescent="0.3">
      <c r="A39" s="21"/>
      <c r="B39" s="20"/>
      <c r="C39" s="20"/>
      <c r="D39" s="21"/>
      <c r="E39" s="20"/>
      <c r="F39" s="21"/>
      <c r="G39" s="20"/>
      <c r="H39" s="20"/>
      <c r="I39" s="20"/>
      <c r="J39" s="20"/>
      <c r="K39" s="20"/>
      <c r="L39" s="20"/>
    </row>
    <row r="40" spans="1:12" x14ac:dyDescent="0.3">
      <c r="A40" s="22"/>
      <c r="B40" s="20"/>
      <c r="C40" s="20"/>
      <c r="D40" s="22"/>
      <c r="E40" s="20"/>
      <c r="F40" s="22"/>
      <c r="G40" s="20"/>
      <c r="H40" s="20"/>
      <c r="I40" s="20"/>
      <c r="J40" s="20"/>
      <c r="K40" s="20"/>
      <c r="L40" s="20"/>
    </row>
    <row r="41" spans="1:12" x14ac:dyDescent="0.3">
      <c r="A41" s="21"/>
      <c r="B41" s="20"/>
      <c r="C41" s="20"/>
      <c r="D41" s="21"/>
      <c r="E41" s="20"/>
      <c r="F41" s="21"/>
      <c r="G41" s="20"/>
      <c r="H41" s="20"/>
      <c r="I41" s="20"/>
      <c r="J41" s="20"/>
      <c r="K41" s="20"/>
      <c r="L41" s="20"/>
    </row>
    <row r="42" spans="1:12" x14ac:dyDescent="0.3">
      <c r="A42" s="22"/>
      <c r="B42" s="20"/>
      <c r="C42" s="20"/>
      <c r="D42" s="22"/>
      <c r="E42" s="20"/>
      <c r="F42" s="22"/>
      <c r="G42" s="20"/>
      <c r="H42" s="20"/>
      <c r="I42" s="20"/>
      <c r="J42" s="20"/>
      <c r="K42" s="20"/>
      <c r="L42" s="20"/>
    </row>
    <row r="43" spans="1:12" x14ac:dyDescent="0.3">
      <c r="A43" s="21"/>
      <c r="B43" s="20"/>
      <c r="C43" s="20"/>
      <c r="D43" s="21"/>
      <c r="E43" s="20"/>
      <c r="F43" s="21"/>
      <c r="G43" s="20"/>
      <c r="H43" s="20"/>
      <c r="I43" s="20"/>
      <c r="J43" s="20"/>
      <c r="K43" s="20"/>
      <c r="L43" s="20"/>
    </row>
    <row r="44" spans="1:12" x14ac:dyDescent="0.3">
      <c r="A44" s="22"/>
      <c r="B44" s="20"/>
      <c r="C44" s="20"/>
      <c r="D44" s="22"/>
      <c r="E44" s="20"/>
      <c r="F44" s="20"/>
      <c r="G44" s="20"/>
      <c r="H44" s="20"/>
      <c r="I44" s="20"/>
      <c r="J44" s="20"/>
      <c r="K44" s="20"/>
      <c r="L44" s="20"/>
    </row>
    <row r="45" spans="1:12" x14ac:dyDescent="0.3">
      <c r="A45" s="21"/>
      <c r="B45" s="20"/>
      <c r="C45" s="20"/>
      <c r="D45" s="21"/>
      <c r="E45" s="20"/>
      <c r="F45" s="20"/>
      <c r="G45" s="20"/>
      <c r="H45" s="20"/>
      <c r="I45" s="20"/>
      <c r="J45" s="20"/>
      <c r="K45" s="20"/>
      <c r="L45" s="20"/>
    </row>
    <row r="46" spans="1:12" x14ac:dyDescent="0.3">
      <c r="A46" s="20"/>
      <c r="B46" s="20"/>
      <c r="C46" s="20"/>
      <c r="D46" s="22"/>
      <c r="E46" s="20"/>
      <c r="F46" s="20"/>
      <c r="G46" s="20"/>
      <c r="H46" s="20"/>
      <c r="I46" s="20"/>
      <c r="J46" s="20"/>
      <c r="K46" s="20"/>
      <c r="L46" s="20"/>
    </row>
    <row r="47" spans="1:12" x14ac:dyDescent="0.3">
      <c r="A47" s="20"/>
      <c r="B47" s="20"/>
      <c r="C47" s="20"/>
      <c r="D47" s="20"/>
      <c r="E47" s="20"/>
      <c r="F47" s="20"/>
      <c r="G47" s="20"/>
      <c r="H47" s="20"/>
      <c r="I47" s="20"/>
      <c r="J47" s="20"/>
      <c r="K47" s="20"/>
      <c r="L47" s="20"/>
    </row>
    <row r="48" spans="1:12" x14ac:dyDescent="0.3">
      <c r="A48" s="20"/>
      <c r="B48" s="20"/>
      <c r="C48" s="20"/>
      <c r="D48" s="20"/>
      <c r="E48" s="20"/>
      <c r="F48" s="20"/>
      <c r="G48" s="20"/>
      <c r="H48" s="20"/>
      <c r="I48" s="20"/>
      <c r="J48" s="20"/>
      <c r="K48" s="20"/>
      <c r="L48" s="20"/>
    </row>
    <row r="49" spans="1:12" x14ac:dyDescent="0.3">
      <c r="A49" s="20"/>
      <c r="B49" s="20"/>
      <c r="C49" s="20"/>
      <c r="D49" s="20"/>
      <c r="E49" s="20"/>
      <c r="F49" s="20"/>
      <c r="G49" s="20"/>
      <c r="H49" s="20"/>
      <c r="I49" s="20"/>
      <c r="J49" s="20"/>
      <c r="K49" s="20"/>
      <c r="L49" s="20"/>
    </row>
    <row r="50" spans="1:12" x14ac:dyDescent="0.3">
      <c r="A50" s="20"/>
      <c r="B50" s="20"/>
      <c r="C50" s="20"/>
      <c r="D50" s="20"/>
      <c r="E50" s="20"/>
      <c r="F50" s="20"/>
      <c r="G50" s="20"/>
      <c r="H50" s="20"/>
      <c r="I50" s="20"/>
      <c r="J50" s="20"/>
      <c r="K50" s="20"/>
      <c r="L50" s="20"/>
    </row>
    <row r="51" spans="1:12" x14ac:dyDescent="0.3">
      <c r="A51" s="20"/>
      <c r="B51" s="20"/>
      <c r="C51" s="20"/>
      <c r="D51" s="20"/>
      <c r="E51" s="20"/>
      <c r="F51" s="20"/>
      <c r="G51" s="20"/>
      <c r="H51" s="20"/>
      <c r="I51" s="20"/>
      <c r="J51" s="20"/>
      <c r="K51" s="20"/>
      <c r="L51" s="20"/>
    </row>
    <row r="52" spans="1:12" x14ac:dyDescent="0.3">
      <c r="A52" s="20"/>
      <c r="B52" s="20"/>
      <c r="C52" s="20"/>
      <c r="D52" s="20"/>
      <c r="E52" s="20"/>
      <c r="F52" s="20"/>
      <c r="G52" s="20"/>
      <c r="H52" s="20"/>
      <c r="I52" s="20"/>
      <c r="J52" s="20"/>
      <c r="K52" s="20"/>
      <c r="L52" s="20"/>
    </row>
    <row r="53" spans="1:12" x14ac:dyDescent="0.3">
      <c r="A53" s="20"/>
      <c r="B53" s="20"/>
      <c r="C53" s="20"/>
      <c r="D53" s="20"/>
      <c r="E53" s="20"/>
      <c r="F53" s="20"/>
      <c r="G53" s="20"/>
      <c r="H53" s="20"/>
      <c r="I53" s="20"/>
      <c r="J53" s="20"/>
      <c r="K53" s="20"/>
      <c r="L53" s="20"/>
    </row>
    <row r="54" spans="1:12" x14ac:dyDescent="0.3">
      <c r="A54" s="20"/>
      <c r="B54" s="20"/>
      <c r="C54" s="20"/>
      <c r="D54" s="20"/>
      <c r="E54" s="20"/>
      <c r="F54" s="20"/>
      <c r="G54" s="20"/>
      <c r="H54" s="20"/>
      <c r="I54" s="20"/>
      <c r="J54" s="20"/>
      <c r="K54" s="20"/>
      <c r="L54" s="20"/>
    </row>
    <row r="55" spans="1:12" x14ac:dyDescent="0.3">
      <c r="A55" s="20"/>
      <c r="B55" s="20"/>
      <c r="C55" s="20"/>
      <c r="D55" s="20"/>
      <c r="E55" s="20"/>
      <c r="F55" s="20"/>
      <c r="G55" s="20"/>
      <c r="H55" s="20"/>
      <c r="I55" s="20"/>
      <c r="J55" s="20"/>
      <c r="K55" s="20"/>
      <c r="L55" s="20"/>
    </row>
    <row r="56" spans="1:12" x14ac:dyDescent="0.3">
      <c r="A56" s="20"/>
      <c r="B56" s="20"/>
      <c r="C56" s="20"/>
      <c r="D56" s="20"/>
      <c r="E56" s="20"/>
      <c r="F56" s="20"/>
      <c r="G56" s="20"/>
      <c r="H56" s="20"/>
      <c r="I56" s="20"/>
      <c r="J56" s="20"/>
      <c r="K56" s="20"/>
      <c r="L56" s="20"/>
    </row>
    <row r="57" spans="1:12" x14ac:dyDescent="0.3">
      <c r="A57" s="20"/>
      <c r="B57" s="20"/>
      <c r="C57" s="20"/>
      <c r="D57" s="20"/>
      <c r="E57" s="20"/>
      <c r="F57" s="20"/>
      <c r="G57" s="20"/>
      <c r="H57" s="20"/>
      <c r="I57" s="20"/>
      <c r="J57" s="20"/>
      <c r="K57" s="20"/>
      <c r="L57" s="20"/>
    </row>
    <row r="58" spans="1:12" x14ac:dyDescent="0.3">
      <c r="A58" s="20"/>
      <c r="B58" s="20"/>
      <c r="C58" s="20"/>
      <c r="D58" s="20"/>
      <c r="E58" s="20"/>
      <c r="F58" s="20"/>
      <c r="G58" s="20"/>
      <c r="H58" s="20"/>
      <c r="I58" s="20"/>
      <c r="J58" s="20"/>
      <c r="K58" s="20"/>
      <c r="L58" s="20"/>
    </row>
    <row r="59" spans="1:12" x14ac:dyDescent="0.3">
      <c r="A59" s="20"/>
      <c r="B59" s="20"/>
      <c r="C59" s="20"/>
      <c r="D59" s="20"/>
      <c r="E59" s="20"/>
      <c r="F59" s="20"/>
      <c r="G59" s="20"/>
      <c r="H59" s="20"/>
      <c r="I59" s="20"/>
      <c r="J59" s="20"/>
      <c r="K59" s="20"/>
      <c r="L59" s="20"/>
    </row>
    <row r="60" spans="1:12" x14ac:dyDescent="0.3">
      <c r="A60" s="20"/>
      <c r="B60" s="20"/>
      <c r="C60" s="20"/>
      <c r="D60" s="20"/>
      <c r="E60" s="20"/>
      <c r="F60" s="20"/>
      <c r="G60" s="20"/>
      <c r="H60" s="20"/>
      <c r="I60" s="20"/>
      <c r="J60" s="20"/>
      <c r="K60" s="20"/>
      <c r="L60" s="20"/>
    </row>
    <row r="61" spans="1:12" x14ac:dyDescent="0.3">
      <c r="A61" s="20"/>
      <c r="B61" s="20"/>
      <c r="C61" s="20"/>
      <c r="D61" s="20"/>
      <c r="E61" s="20"/>
      <c r="F61" s="20"/>
      <c r="G61" s="20"/>
      <c r="H61" s="20"/>
      <c r="I61" s="20"/>
      <c r="J61" s="20"/>
      <c r="K61" s="20"/>
      <c r="L61" s="20"/>
    </row>
    <row r="62" spans="1:12" x14ac:dyDescent="0.3">
      <c r="A62" s="20"/>
      <c r="B62" s="20"/>
      <c r="C62" s="20"/>
      <c r="D62" s="20"/>
      <c r="E62" s="20"/>
      <c r="F62" s="20"/>
      <c r="G62" s="20"/>
      <c r="H62" s="20"/>
      <c r="I62" s="20"/>
      <c r="J62" s="20"/>
      <c r="K62" s="20"/>
      <c r="L62" s="20"/>
    </row>
    <row r="63" spans="1:12" x14ac:dyDescent="0.3">
      <c r="A63" s="20"/>
      <c r="B63" s="20"/>
      <c r="C63" s="20"/>
      <c r="D63" s="20"/>
      <c r="E63" s="20"/>
      <c r="F63" s="20"/>
      <c r="G63" s="20"/>
      <c r="H63" s="20"/>
      <c r="I63" s="20"/>
      <c r="J63" s="20"/>
      <c r="K63" s="20"/>
      <c r="L63" s="20"/>
    </row>
    <row r="64" spans="1:12" x14ac:dyDescent="0.3">
      <c r="A64" s="20"/>
      <c r="B64" s="20"/>
      <c r="C64" s="20"/>
      <c r="D64" s="20"/>
      <c r="E64" s="20"/>
      <c r="F64" s="20"/>
      <c r="G64" s="20"/>
      <c r="H64" s="20"/>
      <c r="I64" s="20"/>
      <c r="J64" s="20"/>
      <c r="K64" s="20"/>
      <c r="L64" s="20"/>
    </row>
    <row r="65" spans="1:12" x14ac:dyDescent="0.3">
      <c r="A65" s="20"/>
      <c r="B65" s="20"/>
      <c r="C65" s="20"/>
      <c r="D65" s="20"/>
      <c r="E65" s="20"/>
      <c r="F65" s="20"/>
      <c r="G65" s="20"/>
      <c r="H65" s="20"/>
      <c r="I65" s="20"/>
      <c r="J65" s="20"/>
      <c r="K65" s="20"/>
      <c r="L65" s="20"/>
    </row>
    <row r="66" spans="1:12" x14ac:dyDescent="0.3">
      <c r="A66" s="20"/>
      <c r="B66" s="20"/>
      <c r="C66" s="20"/>
      <c r="D66" s="20"/>
      <c r="E66" s="20"/>
      <c r="F66" s="20"/>
      <c r="G66" s="20"/>
      <c r="H66" s="20"/>
      <c r="I66" s="20"/>
      <c r="J66" s="20"/>
      <c r="K66" s="20"/>
      <c r="L66" s="20"/>
    </row>
    <row r="67" spans="1:12" x14ac:dyDescent="0.3">
      <c r="A67" s="20"/>
      <c r="B67" s="20"/>
      <c r="C67" s="20"/>
      <c r="D67" s="20"/>
      <c r="E67" s="20"/>
      <c r="F67" s="20"/>
      <c r="G67" s="20"/>
      <c r="H67" s="20"/>
      <c r="I67" s="20"/>
      <c r="J67" s="20"/>
      <c r="K67" s="20"/>
      <c r="L67" s="20"/>
    </row>
    <row r="68" spans="1:12" x14ac:dyDescent="0.3">
      <c r="A68" s="20"/>
      <c r="B68" s="20"/>
      <c r="C68" s="20"/>
      <c r="D68" s="20"/>
      <c r="E68" s="20"/>
      <c r="F68" s="20"/>
      <c r="G68" s="20"/>
      <c r="H68" s="20"/>
      <c r="I68" s="20"/>
      <c r="J68" s="20"/>
      <c r="K68" s="20"/>
      <c r="L68" s="20"/>
    </row>
    <row r="69" spans="1:12" x14ac:dyDescent="0.3">
      <c r="A69" s="20"/>
      <c r="B69" s="20"/>
      <c r="C69" s="20"/>
      <c r="D69" s="20"/>
      <c r="E69" s="20"/>
      <c r="F69" s="20"/>
      <c r="G69" s="20"/>
      <c r="H69" s="20"/>
      <c r="I69" s="20"/>
      <c r="J69" s="20"/>
      <c r="K69" s="20"/>
      <c r="L69" s="20"/>
    </row>
    <row r="70" spans="1:12" x14ac:dyDescent="0.3">
      <c r="A70" s="20"/>
      <c r="B70" s="20"/>
      <c r="C70" s="20"/>
      <c r="D70" s="20"/>
      <c r="E70" s="20"/>
      <c r="F70" s="20"/>
      <c r="G70" s="20"/>
      <c r="H70" s="20"/>
      <c r="I70" s="20"/>
      <c r="J70" s="20"/>
      <c r="K70" s="20"/>
      <c r="L70" s="20"/>
    </row>
    <row r="71" spans="1:12" x14ac:dyDescent="0.3">
      <c r="A71" s="20"/>
      <c r="B71" s="20"/>
      <c r="C71" s="20"/>
      <c r="D71" s="20"/>
      <c r="E71" s="20"/>
      <c r="F71" s="20"/>
      <c r="G71" s="20"/>
      <c r="H71" s="20"/>
      <c r="I71" s="20"/>
      <c r="J71" s="20"/>
      <c r="K71" s="20"/>
      <c r="L71" s="20"/>
    </row>
    <row r="72" spans="1:12" x14ac:dyDescent="0.3">
      <c r="A72" s="20"/>
      <c r="B72" s="20"/>
      <c r="C72" s="20"/>
      <c r="D72" s="20"/>
      <c r="E72" s="20"/>
      <c r="F72" s="20"/>
      <c r="G72" s="20"/>
      <c r="H72" s="20"/>
      <c r="I72" s="20"/>
      <c r="J72" s="20"/>
      <c r="K72" s="20"/>
      <c r="L72" s="20"/>
    </row>
    <row r="73" spans="1:12" x14ac:dyDescent="0.3">
      <c r="A73" s="20"/>
      <c r="B73" s="20"/>
      <c r="C73" s="20"/>
      <c r="D73" s="20"/>
      <c r="E73" s="20"/>
      <c r="F73" s="20"/>
      <c r="G73" s="20"/>
      <c r="H73" s="20"/>
      <c r="I73" s="20"/>
      <c r="J73" s="20"/>
      <c r="K73" s="20"/>
      <c r="L73" s="20"/>
    </row>
    <row r="74" spans="1:12" x14ac:dyDescent="0.3">
      <c r="A74" s="20"/>
      <c r="B74" s="20"/>
      <c r="C74" s="20"/>
      <c r="D74" s="20"/>
      <c r="E74" s="20"/>
      <c r="F74" s="20"/>
      <c r="G74" s="20"/>
      <c r="H74" s="20"/>
      <c r="I74" s="20"/>
      <c r="J74" s="20"/>
      <c r="K74" s="20"/>
      <c r="L74" s="20"/>
    </row>
    <row r="75" spans="1:12" x14ac:dyDescent="0.3">
      <c r="A75" s="20"/>
      <c r="B75" s="20"/>
      <c r="C75" s="20"/>
      <c r="D75" s="20"/>
      <c r="E75" s="20"/>
      <c r="F75" s="20"/>
      <c r="G75" s="20"/>
      <c r="H75" s="20"/>
      <c r="I75" s="20"/>
      <c r="J75" s="20"/>
      <c r="K75" s="20"/>
      <c r="L75" s="20"/>
    </row>
    <row r="76" spans="1:12" x14ac:dyDescent="0.3">
      <c r="A76" s="20"/>
      <c r="B76" s="20"/>
      <c r="C76" s="20"/>
      <c r="D76" s="20"/>
      <c r="E76" s="20"/>
      <c r="F76" s="20"/>
      <c r="G76" s="20"/>
      <c r="H76" s="20"/>
      <c r="I76" s="20"/>
      <c r="J76" s="20"/>
      <c r="K76" s="20"/>
      <c r="L76" s="20"/>
    </row>
    <row r="77" spans="1:12" x14ac:dyDescent="0.3">
      <c r="A77" s="20"/>
      <c r="B77" s="20"/>
      <c r="C77" s="20"/>
      <c r="D77" s="20"/>
      <c r="E77" s="20"/>
      <c r="F77" s="20"/>
      <c r="G77" s="20"/>
      <c r="H77" s="20"/>
      <c r="I77" s="20"/>
      <c r="J77" s="20"/>
      <c r="K77" s="20"/>
      <c r="L77" s="20"/>
    </row>
    <row r="78" spans="1:12" x14ac:dyDescent="0.3">
      <c r="A78" s="20"/>
      <c r="B78" s="20"/>
      <c r="C78" s="20"/>
      <c r="D78" s="20"/>
      <c r="E78" s="20"/>
      <c r="F78" s="20"/>
      <c r="G78" s="20"/>
      <c r="H78" s="20"/>
      <c r="I78" s="20"/>
      <c r="J78" s="20"/>
      <c r="K78" s="20"/>
      <c r="L78" s="20"/>
    </row>
    <row r="79" spans="1:12" x14ac:dyDescent="0.3">
      <c r="A79" s="20"/>
      <c r="B79" s="20"/>
      <c r="C79" s="20"/>
      <c r="D79" s="20"/>
      <c r="E79" s="20"/>
      <c r="F79" s="20"/>
      <c r="G79" s="20"/>
      <c r="H79" s="20"/>
      <c r="I79" s="20"/>
      <c r="J79" s="20"/>
      <c r="K79" s="20"/>
      <c r="L79" s="20"/>
    </row>
    <row r="80" spans="1:12" x14ac:dyDescent="0.3">
      <c r="A80" s="20"/>
      <c r="B80" s="20"/>
      <c r="C80" s="20"/>
      <c r="D80" s="20"/>
      <c r="E80" s="20"/>
      <c r="F80" s="20"/>
      <c r="G80" s="20"/>
      <c r="H80" s="20"/>
      <c r="I80" s="20"/>
      <c r="J80" s="20"/>
      <c r="K80" s="20"/>
      <c r="L80" s="20"/>
    </row>
    <row r="81" spans="1:12" x14ac:dyDescent="0.3">
      <c r="A81" s="20"/>
      <c r="B81" s="20"/>
      <c r="C81" s="20"/>
      <c r="D81" s="20"/>
      <c r="E81" s="20"/>
      <c r="F81" s="20"/>
      <c r="G81" s="20"/>
      <c r="H81" s="20"/>
      <c r="I81" s="20"/>
      <c r="J81" s="20"/>
      <c r="K81" s="20"/>
      <c r="L81" s="20"/>
    </row>
    <row r="82" spans="1:12" x14ac:dyDescent="0.3">
      <c r="A82" s="20"/>
      <c r="B82" s="20"/>
      <c r="C82" s="20"/>
      <c r="D82" s="20"/>
      <c r="E82" s="20"/>
      <c r="F82" s="20"/>
      <c r="G82" s="20"/>
      <c r="H82" s="20"/>
      <c r="I82" s="20"/>
      <c r="J82" s="20"/>
      <c r="K82" s="20"/>
      <c r="L82" s="20"/>
    </row>
    <row r="83" spans="1:12" x14ac:dyDescent="0.3">
      <c r="A83" s="20"/>
      <c r="B83" s="20"/>
      <c r="C83" s="20"/>
      <c r="D83" s="20"/>
      <c r="E83" s="20"/>
      <c r="F83" s="20"/>
      <c r="G83" s="20"/>
      <c r="H83" s="20"/>
      <c r="I83" s="20"/>
      <c r="J83" s="20"/>
      <c r="K83" s="20"/>
      <c r="L83" s="20"/>
    </row>
    <row r="84" spans="1:12" x14ac:dyDescent="0.3">
      <c r="A84" s="20"/>
      <c r="B84" s="20"/>
      <c r="C84" s="20"/>
      <c r="D84" s="20"/>
      <c r="E84" s="20"/>
      <c r="F84" s="20"/>
      <c r="G84" s="20"/>
      <c r="H84" s="20"/>
      <c r="I84" s="20"/>
      <c r="J84" s="20"/>
      <c r="K84" s="20"/>
      <c r="L84" s="20"/>
    </row>
    <row r="85" spans="1:12" x14ac:dyDescent="0.3">
      <c r="A85" s="20"/>
      <c r="B85" s="20"/>
      <c r="C85" s="20"/>
      <c r="D85" s="20"/>
      <c r="E85" s="20"/>
      <c r="F85" s="20"/>
      <c r="G85" s="20"/>
      <c r="H85" s="20"/>
      <c r="I85" s="20"/>
      <c r="J85" s="20"/>
      <c r="K85" s="20"/>
      <c r="L85" s="20"/>
    </row>
    <row r="86" spans="1:12" x14ac:dyDescent="0.3">
      <c r="A86" s="20"/>
      <c r="B86" s="20"/>
      <c r="C86" s="20"/>
      <c r="D86" s="20"/>
      <c r="E86" s="20"/>
      <c r="F86" s="20"/>
      <c r="G86" s="20"/>
      <c r="H86" s="20"/>
      <c r="I86" s="20"/>
      <c r="J86" s="20"/>
      <c r="K86" s="20"/>
      <c r="L86" s="20"/>
    </row>
    <row r="87" spans="1:12" x14ac:dyDescent="0.3">
      <c r="A87" s="20"/>
      <c r="B87" s="20"/>
      <c r="C87" s="20"/>
      <c r="D87" s="20"/>
      <c r="E87" s="20"/>
      <c r="F87" s="20"/>
      <c r="G87" s="20"/>
      <c r="H87" s="20"/>
      <c r="I87" s="20"/>
      <c r="J87" s="20"/>
      <c r="K87" s="20"/>
      <c r="L87" s="20"/>
    </row>
    <row r="88" spans="1:12" x14ac:dyDescent="0.3">
      <c r="A88" s="20"/>
      <c r="B88" s="20"/>
      <c r="C88" s="20"/>
      <c r="D88" s="20"/>
      <c r="E88" s="20"/>
      <c r="F88" s="20"/>
      <c r="G88" s="20"/>
      <c r="H88" s="20"/>
      <c r="I88" s="20"/>
      <c r="J88" s="20"/>
      <c r="K88" s="20"/>
      <c r="L88" s="20"/>
    </row>
    <row r="89" spans="1:12" x14ac:dyDescent="0.3">
      <c r="A89" s="20"/>
      <c r="B89" s="20"/>
      <c r="C89" s="20"/>
      <c r="D89" s="20"/>
      <c r="E89" s="20"/>
      <c r="F89" s="20"/>
      <c r="G89" s="20"/>
      <c r="H89" s="20"/>
      <c r="I89" s="20"/>
      <c r="J89" s="20"/>
      <c r="K89" s="20"/>
      <c r="L89" s="20"/>
    </row>
    <row r="90" spans="1:12" x14ac:dyDescent="0.3">
      <c r="A90" s="20"/>
      <c r="B90" s="20"/>
      <c r="C90" s="20"/>
      <c r="D90" s="20"/>
      <c r="E90" s="20"/>
      <c r="F90" s="20"/>
      <c r="G90" s="20"/>
      <c r="H90" s="20"/>
      <c r="I90" s="20"/>
      <c r="J90" s="20"/>
      <c r="K90" s="20"/>
      <c r="L90" s="20"/>
    </row>
    <row r="91" spans="1:12" x14ac:dyDescent="0.3">
      <c r="A91" s="20"/>
      <c r="B91" s="20"/>
      <c r="C91" s="20"/>
      <c r="D91" s="20"/>
      <c r="E91" s="20"/>
      <c r="F91" s="20"/>
      <c r="G91" s="20"/>
      <c r="H91" s="20"/>
      <c r="I91" s="20"/>
      <c r="J91" s="20"/>
      <c r="K91" s="20"/>
      <c r="L91" s="20"/>
    </row>
    <row r="92" spans="1:12" x14ac:dyDescent="0.3">
      <c r="A92" s="20"/>
      <c r="B92" s="20"/>
      <c r="C92" s="20"/>
      <c r="D92" s="20"/>
      <c r="E92" s="20"/>
      <c r="F92" s="20"/>
      <c r="G92" s="20"/>
      <c r="H92" s="20"/>
      <c r="I92" s="20"/>
      <c r="J92" s="20"/>
      <c r="K92" s="20"/>
      <c r="L92" s="20"/>
    </row>
    <row r="93" spans="1:12" x14ac:dyDescent="0.3">
      <c r="A93" s="20"/>
      <c r="B93" s="20"/>
      <c r="C93" s="20"/>
      <c r="D93" s="20"/>
      <c r="E93" s="20"/>
      <c r="F93" s="20"/>
      <c r="G93" s="20"/>
      <c r="H93" s="20"/>
      <c r="I93" s="20"/>
      <c r="J93" s="20"/>
      <c r="K93" s="20"/>
      <c r="L93" s="20"/>
    </row>
    <row r="94" spans="1:12" x14ac:dyDescent="0.3">
      <c r="A94" s="20"/>
      <c r="B94" s="20"/>
      <c r="C94" s="20"/>
      <c r="D94" s="20"/>
      <c r="E94" s="20"/>
      <c r="F94" s="20"/>
      <c r="G94" s="20"/>
      <c r="H94" s="20"/>
      <c r="I94" s="20"/>
      <c r="J94" s="20"/>
      <c r="K94" s="20"/>
      <c r="L94" s="20"/>
    </row>
    <row r="95" spans="1:12" x14ac:dyDescent="0.3">
      <c r="A95" s="20"/>
      <c r="B95" s="20"/>
      <c r="C95" s="20"/>
      <c r="D95" s="20"/>
      <c r="E95" s="20"/>
      <c r="F95" s="20"/>
      <c r="G95" s="20"/>
      <c r="H95" s="20"/>
      <c r="I95" s="20"/>
      <c r="J95" s="20"/>
      <c r="K95" s="20"/>
      <c r="L95" s="20"/>
    </row>
    <row r="96" spans="1:12" x14ac:dyDescent="0.3">
      <c r="A96" s="20"/>
      <c r="B96" s="20"/>
      <c r="C96" s="20"/>
      <c r="D96" s="20"/>
      <c r="E96" s="20"/>
      <c r="F96" s="20"/>
      <c r="G96" s="20"/>
      <c r="H96" s="20"/>
      <c r="I96" s="20"/>
      <c r="J96" s="20"/>
      <c r="K96" s="20"/>
      <c r="L96" s="20"/>
    </row>
    <row r="97" spans="1:12" x14ac:dyDescent="0.3">
      <c r="A97" s="20"/>
      <c r="B97" s="20"/>
      <c r="C97" s="20"/>
      <c r="D97" s="20"/>
      <c r="E97" s="20"/>
      <c r="F97" s="20"/>
      <c r="G97" s="20"/>
      <c r="H97" s="20"/>
      <c r="I97" s="20"/>
      <c r="J97" s="20"/>
      <c r="K97" s="20"/>
      <c r="L97" s="20"/>
    </row>
    <row r="98" spans="1:12" x14ac:dyDescent="0.3">
      <c r="A98" s="20"/>
      <c r="B98" s="20"/>
      <c r="C98" s="20"/>
      <c r="D98" s="20"/>
      <c r="E98" s="20"/>
      <c r="F98" s="20"/>
      <c r="G98" s="20"/>
      <c r="H98" s="20"/>
      <c r="I98" s="20"/>
      <c r="J98" s="20"/>
      <c r="K98" s="20"/>
      <c r="L98" s="20"/>
    </row>
    <row r="99" spans="1:12" x14ac:dyDescent="0.3">
      <c r="A99" s="20"/>
      <c r="B99" s="20"/>
      <c r="C99" s="20"/>
      <c r="D99" s="20"/>
      <c r="E99" s="20"/>
      <c r="F99" s="20"/>
      <c r="G99" s="20"/>
      <c r="H99" s="20"/>
      <c r="I99" s="20"/>
      <c r="J99" s="20"/>
      <c r="K99" s="20"/>
      <c r="L99" s="20"/>
    </row>
    <row r="100" spans="1:12" x14ac:dyDescent="0.3">
      <c r="A100" s="20"/>
      <c r="B100" s="20"/>
      <c r="C100" s="20"/>
      <c r="D100" s="20"/>
      <c r="E100" s="20"/>
      <c r="F100" s="20"/>
      <c r="G100" s="20"/>
      <c r="H100" s="20"/>
      <c r="I100" s="20"/>
      <c r="J100" s="20"/>
      <c r="K100" s="20"/>
      <c r="L100" s="20"/>
    </row>
    <row r="101" spans="1:12" x14ac:dyDescent="0.3">
      <c r="A101" s="20"/>
      <c r="B101" s="20"/>
      <c r="C101" s="20"/>
      <c r="D101" s="20"/>
      <c r="E101" s="20"/>
      <c r="F101" s="20"/>
      <c r="G101" s="20"/>
      <c r="H101" s="20"/>
      <c r="I101" s="20"/>
      <c r="J101" s="20"/>
      <c r="K101" s="20"/>
      <c r="L101" s="20"/>
    </row>
    <row r="102" spans="1:12" x14ac:dyDescent="0.3">
      <c r="A102" s="20"/>
      <c r="B102" s="20"/>
      <c r="C102" s="20"/>
      <c r="D102" s="20"/>
      <c r="E102" s="20"/>
      <c r="F102" s="20"/>
      <c r="G102" s="20"/>
      <c r="H102" s="20"/>
      <c r="I102" s="20"/>
      <c r="J102" s="20"/>
      <c r="K102" s="20"/>
      <c r="L102" s="20"/>
    </row>
    <row r="103" spans="1:12" x14ac:dyDescent="0.3">
      <c r="A103" s="20"/>
      <c r="B103" s="20"/>
      <c r="C103" s="20"/>
      <c r="D103" s="20"/>
      <c r="E103" s="20"/>
      <c r="F103" s="20"/>
      <c r="G103" s="20"/>
      <c r="H103" s="20"/>
      <c r="I103" s="20"/>
      <c r="J103" s="20"/>
      <c r="K103" s="20"/>
      <c r="L103" s="20"/>
    </row>
    <row r="104" spans="1:12" x14ac:dyDescent="0.3">
      <c r="A104" s="20"/>
      <c r="B104" s="20"/>
      <c r="C104" s="20"/>
      <c r="D104" s="20"/>
      <c r="E104" s="20"/>
      <c r="F104" s="20"/>
      <c r="G104" s="20"/>
      <c r="H104" s="20"/>
      <c r="I104" s="20"/>
      <c r="J104" s="20"/>
      <c r="K104" s="20"/>
      <c r="L104" s="20"/>
    </row>
    <row r="105" spans="1:12" x14ac:dyDescent="0.3">
      <c r="A105" s="20"/>
      <c r="B105" s="20"/>
      <c r="C105" s="20"/>
      <c r="D105" s="20"/>
      <c r="E105" s="20"/>
      <c r="F105" s="20"/>
      <c r="G105" s="20"/>
      <c r="H105" s="20"/>
      <c r="I105" s="20"/>
      <c r="J105" s="20"/>
      <c r="K105" s="20"/>
      <c r="L105" s="20"/>
    </row>
    <row r="106" spans="1:12" x14ac:dyDescent="0.3">
      <c r="A106" s="20"/>
      <c r="B106" s="20"/>
      <c r="C106" s="20"/>
      <c r="D106" s="20"/>
      <c r="E106" s="20"/>
      <c r="F106" s="20"/>
      <c r="G106" s="20"/>
      <c r="H106" s="20"/>
      <c r="I106" s="20"/>
      <c r="J106" s="20"/>
      <c r="K106" s="20"/>
      <c r="L106" s="20"/>
    </row>
    <row r="107" spans="1:12" x14ac:dyDescent="0.3">
      <c r="A107" s="20"/>
      <c r="B107" s="20"/>
      <c r="C107" s="20"/>
      <c r="D107" s="20"/>
      <c r="E107" s="20"/>
      <c r="F107" s="20"/>
      <c r="G107" s="20"/>
      <c r="H107" s="20"/>
      <c r="I107" s="20"/>
      <c r="J107" s="20"/>
      <c r="K107" s="20"/>
      <c r="L107" s="20"/>
    </row>
    <row r="108" spans="1:12" x14ac:dyDescent="0.3">
      <c r="A108" s="20"/>
      <c r="B108" s="20"/>
      <c r="C108" s="20"/>
      <c r="D108" s="20"/>
      <c r="E108" s="20"/>
      <c r="F108" s="20"/>
      <c r="G108" s="20"/>
      <c r="H108" s="20"/>
      <c r="I108" s="20"/>
      <c r="J108" s="20"/>
      <c r="K108" s="20"/>
      <c r="L108" s="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6F97-6992-4B72-95E4-478DF4B77CFF}">
  <dimension ref="A3:Q20"/>
  <sheetViews>
    <sheetView tabSelected="1" workbookViewId="0">
      <selection activeCell="H26" sqref="H26"/>
    </sheetView>
  </sheetViews>
  <sheetFormatPr defaultRowHeight="14.4" x14ac:dyDescent="0.3"/>
  <cols>
    <col min="1" max="1" width="16.44140625" bestFit="1" customWidth="1"/>
    <col min="2" max="2" width="15.5546875" bestFit="1" customWidth="1"/>
    <col min="3" max="3" width="5.88671875" bestFit="1" customWidth="1"/>
    <col min="4" max="4" width="6" bestFit="1" customWidth="1"/>
    <col min="5" max="5" width="5.21875" bestFit="1" customWidth="1"/>
    <col min="6" max="6" width="10.77734375" bestFit="1" customWidth="1"/>
  </cols>
  <sheetData>
    <row r="3" spans="1:17" x14ac:dyDescent="0.3">
      <c r="A3" s="4" t="s">
        <v>1665</v>
      </c>
      <c r="B3" s="4" t="s">
        <v>1649</v>
      </c>
    </row>
    <row r="4" spans="1:17" x14ac:dyDescent="0.3">
      <c r="A4" s="4" t="s">
        <v>1645</v>
      </c>
      <c r="B4" t="s">
        <v>1635</v>
      </c>
      <c r="C4" t="s">
        <v>1637</v>
      </c>
      <c r="D4" t="s">
        <v>1636</v>
      </c>
      <c r="E4" t="s">
        <v>1638</v>
      </c>
      <c r="F4" t="s">
        <v>1647</v>
      </c>
    </row>
    <row r="5" spans="1:17" x14ac:dyDescent="0.3">
      <c r="A5" s="5" t="s">
        <v>1632</v>
      </c>
      <c r="B5" s="9">
        <v>14.651051406498862</v>
      </c>
      <c r="C5" s="9">
        <v>27.044847779341563</v>
      </c>
      <c r="D5" s="9">
        <v>37.826018728687352</v>
      </c>
      <c r="E5" s="9">
        <v>24.262545907123506</v>
      </c>
      <c r="F5" s="9">
        <v>25.937168502831522</v>
      </c>
    </row>
    <row r="6" spans="1:17" x14ac:dyDescent="0.3">
      <c r="A6" s="5" t="s">
        <v>1634</v>
      </c>
      <c r="B6" s="9">
        <v>29.40116256453199</v>
      </c>
      <c r="C6" s="9">
        <v>46.355942646743415</v>
      </c>
      <c r="D6" s="9">
        <v>37.370545462356461</v>
      </c>
      <c r="E6" s="9">
        <v>31.009342454124074</v>
      </c>
      <c r="F6" s="9">
        <v>35.845692226266948</v>
      </c>
    </row>
    <row r="7" spans="1:17" x14ac:dyDescent="0.3">
      <c r="A7" s="5" t="s">
        <v>1633</v>
      </c>
      <c r="B7" s="9">
        <v>24.093868947915702</v>
      </c>
      <c r="C7" s="9">
        <v>44.643118815308185</v>
      </c>
      <c r="D7" s="9">
        <v>55.609092827435035</v>
      </c>
      <c r="E7" s="9">
        <v>35.110147439244933</v>
      </c>
      <c r="F7" s="9">
        <v>39.006974260530946</v>
      </c>
    </row>
    <row r="8" spans="1:17" x14ac:dyDescent="0.3">
      <c r="A8" s="5" t="s">
        <v>1647</v>
      </c>
      <c r="B8" s="9">
        <v>22.849425077282021</v>
      </c>
      <c r="C8" s="9">
        <v>39.643252117654043</v>
      </c>
      <c r="D8" s="9">
        <v>43.740616242884393</v>
      </c>
      <c r="E8" s="9">
        <v>29.945776510066271</v>
      </c>
      <c r="F8" s="9">
        <v>33.573145809878099</v>
      </c>
    </row>
    <row r="9" spans="1:17" x14ac:dyDescent="0.3">
      <c r="I9" s="20"/>
      <c r="J9" s="20"/>
      <c r="K9" s="20"/>
      <c r="L9" s="20"/>
      <c r="M9" s="20"/>
      <c r="N9" s="20"/>
      <c r="O9" s="20"/>
      <c r="P9" s="20"/>
      <c r="Q9" s="20"/>
    </row>
    <row r="10" spans="1:17" x14ac:dyDescent="0.3">
      <c r="I10" s="20"/>
      <c r="J10" s="20"/>
      <c r="K10" s="20"/>
      <c r="L10" s="20"/>
      <c r="M10" s="20"/>
      <c r="N10" s="20"/>
      <c r="O10" s="20"/>
      <c r="P10" s="20"/>
      <c r="Q10" s="20"/>
    </row>
    <row r="11" spans="1:17" x14ac:dyDescent="0.3">
      <c r="I11" s="21"/>
      <c r="J11" s="20"/>
      <c r="K11" s="20"/>
      <c r="L11" s="20"/>
      <c r="M11" s="21"/>
      <c r="N11" s="20"/>
      <c r="O11" s="20"/>
      <c r="P11" s="21"/>
      <c r="Q11" s="20"/>
    </row>
    <row r="12" spans="1:17" x14ac:dyDescent="0.3">
      <c r="I12" s="22"/>
      <c r="J12" s="20"/>
      <c r="K12" s="20"/>
      <c r="L12" s="20"/>
      <c r="M12" s="22"/>
      <c r="N12" s="20"/>
      <c r="O12" s="20"/>
      <c r="P12" s="22"/>
      <c r="Q12" s="20"/>
    </row>
    <row r="13" spans="1:17" x14ac:dyDescent="0.3">
      <c r="I13" s="21"/>
      <c r="J13" s="20"/>
      <c r="K13" s="20"/>
      <c r="L13" s="20"/>
      <c r="M13" s="21"/>
      <c r="N13" s="20"/>
      <c r="O13" s="20"/>
      <c r="P13" s="21"/>
      <c r="Q13" s="20"/>
    </row>
    <row r="14" spans="1:17" x14ac:dyDescent="0.3">
      <c r="I14" s="22"/>
      <c r="J14" s="20"/>
      <c r="K14" s="20"/>
      <c r="L14" s="20"/>
      <c r="M14" s="22"/>
      <c r="N14" s="20"/>
      <c r="O14" s="20"/>
      <c r="P14" s="22"/>
      <c r="Q14" s="20"/>
    </row>
    <row r="15" spans="1:17" x14ac:dyDescent="0.3">
      <c r="I15" s="21"/>
      <c r="J15" s="20"/>
      <c r="K15" s="20"/>
      <c r="L15" s="20"/>
      <c r="M15" s="21"/>
      <c r="N15" s="20"/>
      <c r="O15" s="20"/>
      <c r="P15" s="21"/>
      <c r="Q15" s="20"/>
    </row>
    <row r="16" spans="1:17" x14ac:dyDescent="0.3">
      <c r="I16" s="22"/>
      <c r="J16" s="20"/>
      <c r="K16" s="20"/>
      <c r="L16" s="20"/>
      <c r="M16" s="20"/>
      <c r="N16" s="20"/>
      <c r="O16" s="20"/>
      <c r="P16" s="22"/>
      <c r="Q16" s="20"/>
    </row>
    <row r="17" spans="9:17" x14ac:dyDescent="0.3">
      <c r="I17" s="20"/>
      <c r="J17" s="20"/>
      <c r="K17" s="20"/>
      <c r="L17" s="20"/>
      <c r="M17" s="20"/>
      <c r="N17" s="20"/>
      <c r="O17" s="20"/>
      <c r="P17" s="21"/>
      <c r="Q17" s="20"/>
    </row>
    <row r="18" spans="9:17" x14ac:dyDescent="0.3">
      <c r="I18" s="20"/>
      <c r="J18" s="20"/>
      <c r="K18" s="20"/>
      <c r="L18" s="20"/>
      <c r="M18" s="20"/>
      <c r="N18" s="20"/>
      <c r="O18" s="20"/>
      <c r="P18" s="22"/>
      <c r="Q18" s="20"/>
    </row>
    <row r="19" spans="9:17" x14ac:dyDescent="0.3">
      <c r="I19" s="20"/>
      <c r="J19" s="20"/>
      <c r="K19" s="20"/>
      <c r="L19" s="20"/>
      <c r="M19" s="20"/>
      <c r="N19" s="20"/>
      <c r="O19" s="20"/>
      <c r="P19" s="21"/>
      <c r="Q19" s="20"/>
    </row>
    <row r="20" spans="9:17" x14ac:dyDescent="0.3">
      <c r="I20" s="20"/>
      <c r="J20" s="20"/>
      <c r="K20" s="20"/>
      <c r="L20" s="20"/>
      <c r="M20" s="20"/>
      <c r="N20" s="20"/>
      <c r="O20" s="20"/>
      <c r="P20" s="20"/>
      <c r="Q20" s="2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74AD-C5EF-4DA6-A568-D50805BE3AD9}">
  <dimension ref="A1:B6"/>
  <sheetViews>
    <sheetView topLeftCell="A4" workbookViewId="0">
      <selection activeCell="F6" sqref="F6"/>
    </sheetView>
  </sheetViews>
  <sheetFormatPr defaultRowHeight="14.4" x14ac:dyDescent="0.3"/>
  <cols>
    <col min="2" max="2" width="54.44140625" customWidth="1"/>
  </cols>
  <sheetData>
    <row r="1" spans="1:2" x14ac:dyDescent="0.3">
      <c r="A1">
        <v>1</v>
      </c>
    </row>
    <row r="2" spans="1:2" ht="72" x14ac:dyDescent="0.3">
      <c r="B2" s="10" t="s">
        <v>1666</v>
      </c>
    </row>
    <row r="3" spans="1:2" ht="201.6" x14ac:dyDescent="0.3">
      <c r="A3" s="12">
        <v>2</v>
      </c>
      <c r="B3" s="10" t="s">
        <v>1667</v>
      </c>
    </row>
    <row r="4" spans="1:2" ht="158.4" x14ac:dyDescent="0.3">
      <c r="A4" s="12">
        <v>3</v>
      </c>
      <c r="B4" s="10" t="s">
        <v>1668</v>
      </c>
    </row>
    <row r="5" spans="1:2" ht="86.4" x14ac:dyDescent="0.3">
      <c r="A5" s="12">
        <v>4</v>
      </c>
      <c r="B5" s="11" t="s">
        <v>1669</v>
      </c>
    </row>
    <row r="6" spans="1:2" ht="86.4" x14ac:dyDescent="0.3">
      <c r="A6" s="12">
        <v>5</v>
      </c>
      <c r="B6" s="10" t="s">
        <v>1670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Product_Data</vt:lpstr>
      <vt:lpstr>Product_Sales_Profit_Analysis</vt:lpstr>
      <vt:lpstr>Inventory_Stockout_Analysis</vt:lpstr>
      <vt:lpstr>Product_Performance_Comparison</vt:lpstr>
      <vt:lpstr>Advertising_ROI_Analysis</vt:lpstr>
      <vt:lpstr>Business_Insights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 yadav</dc:creator>
  <cp:lastModifiedBy>shwet yadav</cp:lastModifiedBy>
  <dcterms:created xsi:type="dcterms:W3CDTF">2025-09-08T14:09:23Z</dcterms:created>
  <dcterms:modified xsi:type="dcterms:W3CDTF">2026-08-28T11:14:38Z</dcterms:modified>
</cp:coreProperties>
</file>
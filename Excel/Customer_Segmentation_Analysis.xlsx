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cel assignment\"/>
    </mc:Choice>
  </mc:AlternateContent>
  <xr:revisionPtr revIDLastSave="0" documentId="13_ncr:1_{A3AEEEFF-71A0-4D97-8905-56EB591AB12B}" xr6:coauthVersionLast="47" xr6:coauthVersionMax="47" xr10:uidLastSave="{00000000-0000-0000-0000-000000000000}"/>
  <bookViews>
    <workbookView xWindow="1152" yWindow="1152" windowWidth="17280" windowHeight="8880" activeTab="1" xr2:uid="{00000000-000D-0000-FFFF-FFFF00000000}"/>
  </bookViews>
  <sheets>
    <sheet name="data " sheetId="1" r:id="rId1"/>
    <sheet name="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" i="1" l="1"/>
  <c r="U2" i="1"/>
  <c r="N2" i="1"/>
  <c r="N3" i="1"/>
  <c r="Q2" i="1"/>
  <c r="S2" i="1" s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P2" i="1"/>
  <c r="R2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O2" i="1"/>
  <c r="T23" i="1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L337" i="1" s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 s="1"/>
  <c r="L384" i="1" s="1"/>
  <c r="L385" i="1" s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L420" i="1" s="1"/>
  <c r="L421" i="1" s="1"/>
  <c r="L422" i="1" s="1"/>
  <c r="L423" i="1" s="1"/>
  <c r="L424" i="1" s="1"/>
  <c r="L425" i="1" s="1"/>
  <c r="L426" i="1" s="1"/>
  <c r="L427" i="1" s="1"/>
  <c r="L428" i="1" s="1"/>
  <c r="L429" i="1" s="1"/>
  <c r="L430" i="1" s="1"/>
  <c r="L431" i="1" s="1"/>
  <c r="L432" i="1" s="1"/>
  <c r="L433" i="1" s="1"/>
  <c r="L434" i="1" s="1"/>
  <c r="L435" i="1" s="1"/>
  <c r="L436" i="1" s="1"/>
  <c r="L437" i="1" s="1"/>
  <c r="L438" i="1" s="1"/>
  <c r="L439" i="1" s="1"/>
  <c r="L440" i="1" s="1"/>
  <c r="L441" i="1" s="1"/>
  <c r="L442" i="1" s="1"/>
  <c r="L443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L469" i="1" s="1"/>
  <c r="L470" i="1" s="1"/>
  <c r="L471" i="1" s="1"/>
  <c r="L472" i="1" s="1"/>
  <c r="L473" i="1" s="1"/>
  <c r="L474" i="1" s="1"/>
  <c r="L475" i="1" s="1"/>
  <c r="L476" i="1" s="1"/>
  <c r="L477" i="1" s="1"/>
  <c r="L478" i="1" s="1"/>
  <c r="L479" i="1" s="1"/>
  <c r="L480" i="1" s="1"/>
  <c r="L481" i="1" s="1"/>
  <c r="L482" i="1" s="1"/>
  <c r="L483" i="1" s="1"/>
  <c r="L484" i="1" s="1"/>
  <c r="L485" i="1" s="1"/>
  <c r="L486" i="1" s="1"/>
  <c r="L487" i="1" s="1"/>
  <c r="L488" i="1" s="1"/>
  <c r="L489" i="1" s="1"/>
  <c r="L490" i="1" s="1"/>
  <c r="L491" i="1" s="1"/>
  <c r="L492" i="1" s="1"/>
  <c r="L493" i="1" s="1"/>
  <c r="L494" i="1" s="1"/>
  <c r="L495" i="1" s="1"/>
  <c r="L496" i="1" s="1"/>
  <c r="L497" i="1" s="1"/>
  <c r="L498" i="1" s="1"/>
  <c r="L499" i="1" s="1"/>
  <c r="L500" i="1" s="1"/>
  <c r="L501" i="1" s="1"/>
  <c r="K2" i="1"/>
  <c r="M2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W2" i="1" l="1"/>
  <c r="X494" i="1"/>
  <c r="X486" i="1"/>
  <c r="X478" i="1"/>
  <c r="X470" i="1"/>
  <c r="X462" i="1"/>
  <c r="X454" i="1"/>
  <c r="X446" i="1"/>
  <c r="X438" i="1"/>
  <c r="X430" i="1"/>
  <c r="X422" i="1"/>
  <c r="X414" i="1"/>
  <c r="X406" i="1"/>
  <c r="X398" i="1"/>
  <c r="X390" i="1"/>
  <c r="X382" i="1"/>
  <c r="X374" i="1"/>
  <c r="X366" i="1"/>
  <c r="X358" i="1"/>
  <c r="X350" i="1"/>
  <c r="X342" i="1"/>
  <c r="X334" i="1"/>
  <c r="X326" i="1"/>
  <c r="X318" i="1"/>
  <c r="X310" i="1"/>
  <c r="X302" i="1"/>
  <c r="X294" i="1"/>
  <c r="X286" i="1"/>
  <c r="X278" i="1"/>
  <c r="X270" i="1"/>
  <c r="X262" i="1"/>
  <c r="X254" i="1"/>
  <c r="X246" i="1"/>
  <c r="X238" i="1"/>
  <c r="X230" i="1"/>
  <c r="X222" i="1"/>
  <c r="X214" i="1"/>
  <c r="X206" i="1"/>
  <c r="X198" i="1"/>
  <c r="X190" i="1"/>
  <c r="X182" i="1"/>
  <c r="X174" i="1"/>
  <c r="X166" i="1"/>
  <c r="X158" i="1"/>
  <c r="X150" i="1"/>
  <c r="X142" i="1"/>
  <c r="X134" i="1"/>
  <c r="X126" i="1"/>
  <c r="X118" i="1"/>
  <c r="X110" i="1"/>
  <c r="X102" i="1"/>
  <c r="X94" i="1"/>
  <c r="X86" i="1"/>
  <c r="X78" i="1"/>
  <c r="X70" i="1"/>
  <c r="X62" i="1"/>
  <c r="X54" i="1"/>
  <c r="X46" i="1"/>
  <c r="X38" i="1"/>
  <c r="X30" i="1"/>
  <c r="X22" i="1"/>
  <c r="X14" i="1"/>
  <c r="X6" i="1"/>
  <c r="X501" i="1"/>
  <c r="X493" i="1"/>
  <c r="X485" i="1"/>
  <c r="X477" i="1"/>
  <c r="X469" i="1"/>
  <c r="X461" i="1"/>
  <c r="X453" i="1"/>
  <c r="X445" i="1"/>
  <c r="X437" i="1"/>
  <c r="X429" i="1"/>
  <c r="X421" i="1"/>
  <c r="X413" i="1"/>
  <c r="X405" i="1"/>
  <c r="X397" i="1"/>
  <c r="X389" i="1"/>
  <c r="X381" i="1"/>
  <c r="X373" i="1"/>
  <c r="X365" i="1"/>
  <c r="X357" i="1"/>
  <c r="X349" i="1"/>
  <c r="X341" i="1"/>
  <c r="X333" i="1"/>
  <c r="X325" i="1"/>
  <c r="X317" i="1"/>
  <c r="X309" i="1"/>
  <c r="X301" i="1"/>
  <c r="X293" i="1"/>
  <c r="X285" i="1"/>
  <c r="X277" i="1"/>
  <c r="X269" i="1"/>
  <c r="X261" i="1"/>
  <c r="X253" i="1"/>
  <c r="X245" i="1"/>
  <c r="X237" i="1"/>
  <c r="X229" i="1"/>
  <c r="X221" i="1"/>
  <c r="X213" i="1"/>
  <c r="X205" i="1"/>
  <c r="X197" i="1"/>
  <c r="X189" i="1"/>
  <c r="X181" i="1"/>
  <c r="X173" i="1"/>
  <c r="X165" i="1"/>
  <c r="X157" i="1"/>
  <c r="X149" i="1"/>
  <c r="X141" i="1"/>
  <c r="X133" i="1"/>
  <c r="X125" i="1"/>
  <c r="X117" i="1"/>
  <c r="X109" i="1"/>
  <c r="X101" i="1"/>
  <c r="X93" i="1"/>
  <c r="X85" i="1"/>
  <c r="X77" i="1"/>
  <c r="X69" i="1"/>
  <c r="X61" i="1"/>
  <c r="X53" i="1"/>
  <c r="X45" i="1"/>
  <c r="X37" i="1"/>
  <c r="X29" i="1"/>
  <c r="X21" i="1"/>
  <c r="X13" i="1"/>
  <c r="X5" i="1"/>
  <c r="X500" i="1"/>
  <c r="X492" i="1"/>
  <c r="X484" i="1"/>
  <c r="X476" i="1"/>
  <c r="X468" i="1"/>
  <c r="X460" i="1"/>
  <c r="X452" i="1"/>
  <c r="X444" i="1"/>
  <c r="X436" i="1"/>
  <c r="X428" i="1"/>
  <c r="X420" i="1"/>
  <c r="X412" i="1"/>
  <c r="X404" i="1"/>
  <c r="X396" i="1"/>
  <c r="X388" i="1"/>
  <c r="X380" i="1"/>
  <c r="X372" i="1"/>
  <c r="X364" i="1"/>
  <c r="X356" i="1"/>
  <c r="X348" i="1"/>
  <c r="X340" i="1"/>
  <c r="X332" i="1"/>
  <c r="X324" i="1"/>
  <c r="X316" i="1"/>
  <c r="X308" i="1"/>
  <c r="X300" i="1"/>
  <c r="X292" i="1"/>
  <c r="X284" i="1"/>
  <c r="X276" i="1"/>
  <c r="X268" i="1"/>
  <c r="X260" i="1"/>
  <c r="X252" i="1"/>
  <c r="X244" i="1"/>
  <c r="X236" i="1"/>
  <c r="X228" i="1"/>
  <c r="X220" i="1"/>
  <c r="X212" i="1"/>
  <c r="X204" i="1"/>
  <c r="X196" i="1"/>
  <c r="X188" i="1"/>
  <c r="X180" i="1"/>
  <c r="X172" i="1"/>
  <c r="X164" i="1"/>
  <c r="X156" i="1"/>
  <c r="X148" i="1"/>
  <c r="X140" i="1"/>
  <c r="X132" i="1"/>
  <c r="X124" i="1"/>
  <c r="X116" i="1"/>
  <c r="X108" i="1"/>
  <c r="X100" i="1"/>
  <c r="X92" i="1"/>
  <c r="X84" i="1"/>
  <c r="X76" i="1"/>
  <c r="X68" i="1"/>
  <c r="X60" i="1"/>
  <c r="X52" i="1"/>
  <c r="X44" i="1"/>
  <c r="X36" i="1"/>
  <c r="X28" i="1"/>
  <c r="X20" i="1"/>
  <c r="X12" i="1"/>
  <c r="X4" i="1"/>
  <c r="X499" i="1"/>
  <c r="X491" i="1"/>
  <c r="X483" i="1"/>
  <c r="X475" i="1"/>
  <c r="X467" i="1"/>
  <c r="X459" i="1"/>
  <c r="X451" i="1"/>
  <c r="X443" i="1"/>
  <c r="X435" i="1"/>
  <c r="X427" i="1"/>
  <c r="X419" i="1"/>
  <c r="X411" i="1"/>
  <c r="X403" i="1"/>
  <c r="X395" i="1"/>
  <c r="X387" i="1"/>
  <c r="X379" i="1"/>
  <c r="X371" i="1"/>
  <c r="X363" i="1"/>
  <c r="X355" i="1"/>
  <c r="X347" i="1"/>
  <c r="X339" i="1"/>
  <c r="X331" i="1"/>
  <c r="X323" i="1"/>
  <c r="X315" i="1"/>
  <c r="X307" i="1"/>
  <c r="X299" i="1"/>
  <c r="X291" i="1"/>
  <c r="X283" i="1"/>
  <c r="X275" i="1"/>
  <c r="X267" i="1"/>
  <c r="X259" i="1"/>
  <c r="X251" i="1"/>
  <c r="X243" i="1"/>
  <c r="X235" i="1"/>
  <c r="X227" i="1"/>
  <c r="X219" i="1"/>
  <c r="X211" i="1"/>
  <c r="X203" i="1"/>
  <c r="X195" i="1"/>
  <c r="X187" i="1"/>
  <c r="X179" i="1"/>
  <c r="X171" i="1"/>
  <c r="X163" i="1"/>
  <c r="X155" i="1"/>
  <c r="X147" i="1"/>
  <c r="X139" i="1"/>
  <c r="X131" i="1"/>
  <c r="X123" i="1"/>
  <c r="X115" i="1"/>
  <c r="X107" i="1"/>
  <c r="X99" i="1"/>
  <c r="X91" i="1"/>
  <c r="X83" i="1"/>
  <c r="X75" i="1"/>
  <c r="X67" i="1"/>
  <c r="X59" i="1"/>
  <c r="X51" i="1"/>
  <c r="X43" i="1"/>
  <c r="X35" i="1"/>
  <c r="X27" i="1"/>
  <c r="X19" i="1"/>
  <c r="X11" i="1"/>
  <c r="X3" i="1"/>
  <c r="X498" i="1"/>
  <c r="X490" i="1"/>
  <c r="X482" i="1"/>
  <c r="X474" i="1"/>
  <c r="X466" i="1"/>
  <c r="X458" i="1"/>
  <c r="X450" i="1"/>
  <c r="X442" i="1"/>
  <c r="X434" i="1"/>
  <c r="X426" i="1"/>
  <c r="X418" i="1"/>
  <c r="X410" i="1"/>
  <c r="X402" i="1"/>
  <c r="X394" i="1"/>
  <c r="X386" i="1"/>
  <c r="X378" i="1"/>
  <c r="X370" i="1"/>
  <c r="X362" i="1"/>
  <c r="X354" i="1"/>
  <c r="X346" i="1"/>
  <c r="X338" i="1"/>
  <c r="X330" i="1"/>
  <c r="X322" i="1"/>
  <c r="X314" i="1"/>
  <c r="X306" i="1"/>
  <c r="X298" i="1"/>
  <c r="X290" i="1"/>
  <c r="X282" i="1"/>
  <c r="X274" i="1"/>
  <c r="X266" i="1"/>
  <c r="X258" i="1"/>
  <c r="X250" i="1"/>
  <c r="X242" i="1"/>
  <c r="X234" i="1"/>
  <c r="X226" i="1"/>
  <c r="X218" i="1"/>
  <c r="X210" i="1"/>
  <c r="X202" i="1"/>
  <c r="X194" i="1"/>
  <c r="X186" i="1"/>
  <c r="X178" i="1"/>
  <c r="X170" i="1"/>
  <c r="X162" i="1"/>
  <c r="X154" i="1"/>
  <c r="X146" i="1"/>
  <c r="X138" i="1"/>
  <c r="X130" i="1"/>
  <c r="X122" i="1"/>
  <c r="X114" i="1"/>
  <c r="X106" i="1"/>
  <c r="X98" i="1"/>
  <c r="X90" i="1"/>
  <c r="X82" i="1"/>
  <c r="X74" i="1"/>
  <c r="X66" i="1"/>
  <c r="X58" i="1"/>
  <c r="X50" i="1"/>
  <c r="X42" i="1"/>
  <c r="X34" i="1"/>
  <c r="X26" i="1"/>
  <c r="X18" i="1"/>
  <c r="X10" i="1"/>
  <c r="X2" i="1"/>
  <c r="X497" i="1"/>
  <c r="X489" i="1"/>
  <c r="X481" i="1"/>
  <c r="X473" i="1"/>
  <c r="X465" i="1"/>
  <c r="X457" i="1"/>
  <c r="X449" i="1"/>
  <c r="X441" i="1"/>
  <c r="X433" i="1"/>
  <c r="X425" i="1"/>
  <c r="X417" i="1"/>
  <c r="X409" i="1"/>
  <c r="X401" i="1"/>
  <c r="X393" i="1"/>
  <c r="X385" i="1"/>
  <c r="X377" i="1"/>
  <c r="X369" i="1"/>
  <c r="X361" i="1"/>
  <c r="X353" i="1"/>
  <c r="X345" i="1"/>
  <c r="X337" i="1"/>
  <c r="X329" i="1"/>
  <c r="X321" i="1"/>
  <c r="X313" i="1"/>
  <c r="X305" i="1"/>
  <c r="X297" i="1"/>
  <c r="X289" i="1"/>
  <c r="X281" i="1"/>
  <c r="X273" i="1"/>
  <c r="X265" i="1"/>
  <c r="X257" i="1"/>
  <c r="X249" i="1"/>
  <c r="X241" i="1"/>
  <c r="X233" i="1"/>
  <c r="X225" i="1"/>
  <c r="X217" i="1"/>
  <c r="X209" i="1"/>
  <c r="X201" i="1"/>
  <c r="X193" i="1"/>
  <c r="X185" i="1"/>
  <c r="X177" i="1"/>
  <c r="X169" i="1"/>
  <c r="X161" i="1"/>
  <c r="X153" i="1"/>
  <c r="X145" i="1"/>
  <c r="X137" i="1"/>
  <c r="X129" i="1"/>
  <c r="X121" i="1"/>
  <c r="X113" i="1"/>
  <c r="X105" i="1"/>
  <c r="X97" i="1"/>
  <c r="X89" i="1"/>
  <c r="X81" i="1"/>
  <c r="X73" i="1"/>
  <c r="X65" i="1"/>
  <c r="X57" i="1"/>
  <c r="X49" i="1"/>
  <c r="X41" i="1"/>
  <c r="X33" i="1"/>
  <c r="X25" i="1"/>
  <c r="X17" i="1"/>
  <c r="X9" i="1"/>
  <c r="X496" i="1"/>
  <c r="X488" i="1"/>
  <c r="X480" i="1"/>
  <c r="X472" i="1"/>
  <c r="X464" i="1"/>
  <c r="X456" i="1"/>
  <c r="X448" i="1"/>
  <c r="X440" i="1"/>
  <c r="X432" i="1"/>
  <c r="X424" i="1"/>
  <c r="X416" i="1"/>
  <c r="X408" i="1"/>
  <c r="X400" i="1"/>
  <c r="X392" i="1"/>
  <c r="X384" i="1"/>
  <c r="X376" i="1"/>
  <c r="X368" i="1"/>
  <c r="X360" i="1"/>
  <c r="X352" i="1"/>
  <c r="X344" i="1"/>
  <c r="X336" i="1"/>
  <c r="X328" i="1"/>
  <c r="X320" i="1"/>
  <c r="X312" i="1"/>
  <c r="X304" i="1"/>
  <c r="X296" i="1"/>
  <c r="X288" i="1"/>
  <c r="X280" i="1"/>
  <c r="X272" i="1"/>
  <c r="X264" i="1"/>
  <c r="X256" i="1"/>
  <c r="X248" i="1"/>
  <c r="X240" i="1"/>
  <c r="X232" i="1"/>
  <c r="X224" i="1"/>
  <c r="X216" i="1"/>
  <c r="X208" i="1"/>
  <c r="X200" i="1"/>
  <c r="X192" i="1"/>
  <c r="X184" i="1"/>
  <c r="X176" i="1"/>
  <c r="X168" i="1"/>
  <c r="X160" i="1"/>
  <c r="X152" i="1"/>
  <c r="X144" i="1"/>
  <c r="X136" i="1"/>
  <c r="X128" i="1"/>
  <c r="X120" i="1"/>
  <c r="X112" i="1"/>
  <c r="X104" i="1"/>
  <c r="X96" i="1"/>
  <c r="X88" i="1"/>
  <c r="X80" i="1"/>
  <c r="X72" i="1"/>
  <c r="X64" i="1"/>
  <c r="X56" i="1"/>
  <c r="X48" i="1"/>
  <c r="X40" i="1"/>
  <c r="X32" i="1"/>
  <c r="X24" i="1"/>
  <c r="X16" i="1"/>
  <c r="X8" i="1"/>
  <c r="X495" i="1"/>
  <c r="X487" i="1"/>
  <c r="X479" i="1"/>
  <c r="X471" i="1"/>
  <c r="X463" i="1"/>
  <c r="X455" i="1"/>
  <c r="X447" i="1"/>
  <c r="X439" i="1"/>
  <c r="X431" i="1"/>
  <c r="X423" i="1"/>
  <c r="X415" i="1"/>
  <c r="X407" i="1"/>
  <c r="X399" i="1"/>
  <c r="X391" i="1"/>
  <c r="X383" i="1"/>
  <c r="X375" i="1"/>
  <c r="X367" i="1"/>
  <c r="X359" i="1"/>
  <c r="X351" i="1"/>
  <c r="X343" i="1"/>
  <c r="X335" i="1"/>
  <c r="X327" i="1"/>
  <c r="X319" i="1"/>
  <c r="X311" i="1"/>
  <c r="X303" i="1"/>
  <c r="X295" i="1"/>
  <c r="X287" i="1"/>
  <c r="X279" i="1"/>
  <c r="X271" i="1"/>
  <c r="X263" i="1"/>
  <c r="X255" i="1"/>
  <c r="X247" i="1"/>
  <c r="X239" i="1"/>
  <c r="X231" i="1"/>
  <c r="X223" i="1"/>
  <c r="X215" i="1"/>
  <c r="X207" i="1"/>
  <c r="X199" i="1"/>
  <c r="X191" i="1"/>
  <c r="X183" i="1"/>
  <c r="X175" i="1"/>
  <c r="X167" i="1"/>
  <c r="X159" i="1"/>
  <c r="X151" i="1"/>
  <c r="X143" i="1"/>
  <c r="X135" i="1"/>
  <c r="X127" i="1"/>
  <c r="X119" i="1"/>
  <c r="X111" i="1"/>
  <c r="X103" i="1"/>
  <c r="X95" i="1"/>
  <c r="X87" i="1"/>
  <c r="X79" i="1"/>
  <c r="X71" i="1"/>
  <c r="X63" i="1"/>
  <c r="X55" i="1"/>
  <c r="X47" i="1"/>
  <c r="X39" i="1"/>
  <c r="X31" i="1"/>
  <c r="X23" i="1"/>
  <c r="X15" i="1"/>
  <c r="X7" i="1"/>
  <c r="W497" i="1"/>
  <c r="W489" i="1"/>
  <c r="W481" i="1"/>
  <c r="W473" i="1"/>
  <c r="W465" i="1"/>
  <c r="W457" i="1"/>
  <c r="W449" i="1"/>
  <c r="W441" i="1"/>
  <c r="W433" i="1"/>
  <c r="W425" i="1"/>
  <c r="W417" i="1"/>
  <c r="W409" i="1"/>
  <c r="W401" i="1"/>
  <c r="W393" i="1"/>
  <c r="W385" i="1"/>
  <c r="W377" i="1"/>
  <c r="W369" i="1"/>
  <c r="W361" i="1"/>
  <c r="W353" i="1"/>
  <c r="W345" i="1"/>
  <c r="W337" i="1"/>
  <c r="W329" i="1"/>
  <c r="W321" i="1"/>
  <c r="W313" i="1"/>
  <c r="W305" i="1"/>
  <c r="W297" i="1"/>
  <c r="W289" i="1"/>
  <c r="W281" i="1"/>
  <c r="W273" i="1"/>
  <c r="W265" i="1"/>
  <c r="W257" i="1"/>
  <c r="W249" i="1"/>
  <c r="W241" i="1"/>
  <c r="W233" i="1"/>
  <c r="W225" i="1"/>
  <c r="W217" i="1"/>
  <c r="W209" i="1"/>
  <c r="W201" i="1"/>
  <c r="W193" i="1"/>
  <c r="W185" i="1"/>
  <c r="W177" i="1"/>
  <c r="W169" i="1"/>
  <c r="W161" i="1"/>
  <c r="W153" i="1"/>
  <c r="W145" i="1"/>
  <c r="W137" i="1"/>
  <c r="W129" i="1"/>
  <c r="W121" i="1"/>
  <c r="W113" i="1"/>
  <c r="W105" i="1"/>
  <c r="W97" i="1"/>
  <c r="W89" i="1"/>
  <c r="W81" i="1"/>
  <c r="W73" i="1"/>
  <c r="W65" i="1"/>
  <c r="W57" i="1"/>
  <c r="W49" i="1"/>
  <c r="W41" i="1"/>
  <c r="W33" i="1"/>
  <c r="W25" i="1"/>
  <c r="W17" i="1"/>
  <c r="W9" i="1"/>
  <c r="W496" i="1"/>
  <c r="W488" i="1"/>
  <c r="W480" i="1"/>
  <c r="W472" i="1"/>
  <c r="W464" i="1"/>
  <c r="W456" i="1"/>
  <c r="W448" i="1"/>
  <c r="W440" i="1"/>
  <c r="W432" i="1"/>
  <c r="W424" i="1"/>
  <c r="W416" i="1"/>
  <c r="W408" i="1"/>
  <c r="W400" i="1"/>
  <c r="W392" i="1"/>
  <c r="W384" i="1"/>
  <c r="W376" i="1"/>
  <c r="W368" i="1"/>
  <c r="W360" i="1"/>
  <c r="W352" i="1"/>
  <c r="W344" i="1"/>
  <c r="W336" i="1"/>
  <c r="W328" i="1"/>
  <c r="W320" i="1"/>
  <c r="W312" i="1"/>
  <c r="W304" i="1"/>
  <c r="W296" i="1"/>
  <c r="W288" i="1"/>
  <c r="W280" i="1"/>
  <c r="W272" i="1"/>
  <c r="W264" i="1"/>
  <c r="W256" i="1"/>
  <c r="W248" i="1"/>
  <c r="W240" i="1"/>
  <c r="W232" i="1"/>
  <c r="W224" i="1"/>
  <c r="W216" i="1"/>
  <c r="W208" i="1"/>
  <c r="W200" i="1"/>
  <c r="W192" i="1"/>
  <c r="W184" i="1"/>
  <c r="W176" i="1"/>
  <c r="W168" i="1"/>
  <c r="W160" i="1"/>
  <c r="W152" i="1"/>
  <c r="W144" i="1"/>
  <c r="W136" i="1"/>
  <c r="W128" i="1"/>
  <c r="W120" i="1"/>
  <c r="W112" i="1"/>
  <c r="W104" i="1"/>
  <c r="W96" i="1"/>
  <c r="W88" i="1"/>
  <c r="W80" i="1"/>
  <c r="W72" i="1"/>
  <c r="W64" i="1"/>
  <c r="W56" i="1"/>
  <c r="W48" i="1"/>
  <c r="W40" i="1"/>
  <c r="W32" i="1"/>
  <c r="W24" i="1"/>
  <c r="W16" i="1"/>
  <c r="W8" i="1"/>
  <c r="W495" i="1"/>
  <c r="W487" i="1"/>
  <c r="W479" i="1"/>
  <c r="W471" i="1"/>
  <c r="W463" i="1"/>
  <c r="W455" i="1"/>
  <c r="W447" i="1"/>
  <c r="W439" i="1"/>
  <c r="W431" i="1"/>
  <c r="W423" i="1"/>
  <c r="W415" i="1"/>
  <c r="W407" i="1"/>
  <c r="W399" i="1"/>
  <c r="W391" i="1"/>
  <c r="W383" i="1"/>
  <c r="W375" i="1"/>
  <c r="W367" i="1"/>
  <c r="W359" i="1"/>
  <c r="W351" i="1"/>
  <c r="W343" i="1"/>
  <c r="W335" i="1"/>
  <c r="W327" i="1"/>
  <c r="W319" i="1"/>
  <c r="W311" i="1"/>
  <c r="W303" i="1"/>
  <c r="W295" i="1"/>
  <c r="W287" i="1"/>
  <c r="W279" i="1"/>
  <c r="W271" i="1"/>
  <c r="W263" i="1"/>
  <c r="W255" i="1"/>
  <c r="W247" i="1"/>
  <c r="W239" i="1"/>
  <c r="W231" i="1"/>
  <c r="W223" i="1"/>
  <c r="W215" i="1"/>
  <c r="W207" i="1"/>
  <c r="W199" i="1"/>
  <c r="W191" i="1"/>
  <c r="W183" i="1"/>
  <c r="W175" i="1"/>
  <c r="W167" i="1"/>
  <c r="W159" i="1"/>
  <c r="W151" i="1"/>
  <c r="W143" i="1"/>
  <c r="W135" i="1"/>
  <c r="W127" i="1"/>
  <c r="W119" i="1"/>
  <c r="W111" i="1"/>
  <c r="W103" i="1"/>
  <c r="W95" i="1"/>
  <c r="W87" i="1"/>
  <c r="W79" i="1"/>
  <c r="W71" i="1"/>
  <c r="W63" i="1"/>
  <c r="W55" i="1"/>
  <c r="W47" i="1"/>
  <c r="W39" i="1"/>
  <c r="W31" i="1"/>
  <c r="W23" i="1"/>
  <c r="W15" i="1"/>
  <c r="W7" i="1"/>
  <c r="W494" i="1"/>
  <c r="W486" i="1"/>
  <c r="W478" i="1"/>
  <c r="W470" i="1"/>
  <c r="W462" i="1"/>
  <c r="W454" i="1"/>
  <c r="W446" i="1"/>
  <c r="W438" i="1"/>
  <c r="W430" i="1"/>
  <c r="W422" i="1"/>
  <c r="W414" i="1"/>
  <c r="W406" i="1"/>
  <c r="W398" i="1"/>
  <c r="W390" i="1"/>
  <c r="W382" i="1"/>
  <c r="W374" i="1"/>
  <c r="W366" i="1"/>
  <c r="W358" i="1"/>
  <c r="W350" i="1"/>
  <c r="W342" i="1"/>
  <c r="W334" i="1"/>
  <c r="W326" i="1"/>
  <c r="W318" i="1"/>
  <c r="W310" i="1"/>
  <c r="W302" i="1"/>
  <c r="W294" i="1"/>
  <c r="W286" i="1"/>
  <c r="W278" i="1"/>
  <c r="W270" i="1"/>
  <c r="W262" i="1"/>
  <c r="W254" i="1"/>
  <c r="W246" i="1"/>
  <c r="W238" i="1"/>
  <c r="W230" i="1"/>
  <c r="W222" i="1"/>
  <c r="W214" i="1"/>
  <c r="W206" i="1"/>
  <c r="W198" i="1"/>
  <c r="W190" i="1"/>
  <c r="W182" i="1"/>
  <c r="W174" i="1"/>
  <c r="W166" i="1"/>
  <c r="W158" i="1"/>
  <c r="W150" i="1"/>
  <c r="W142" i="1"/>
  <c r="W134" i="1"/>
  <c r="W126" i="1"/>
  <c r="W118" i="1"/>
  <c r="W110" i="1"/>
  <c r="W102" i="1"/>
  <c r="W94" i="1"/>
  <c r="W86" i="1"/>
  <c r="W78" i="1"/>
  <c r="W70" i="1"/>
  <c r="W62" i="1"/>
  <c r="W54" i="1"/>
  <c r="W46" i="1"/>
  <c r="W38" i="1"/>
  <c r="W30" i="1"/>
  <c r="W22" i="1"/>
  <c r="W14" i="1"/>
  <c r="W6" i="1"/>
  <c r="W501" i="1"/>
  <c r="W493" i="1"/>
  <c r="W485" i="1"/>
  <c r="W477" i="1"/>
  <c r="W469" i="1"/>
  <c r="W461" i="1"/>
  <c r="W453" i="1"/>
  <c r="W445" i="1"/>
  <c r="W437" i="1"/>
  <c r="W429" i="1"/>
  <c r="W421" i="1"/>
  <c r="W413" i="1"/>
  <c r="W405" i="1"/>
  <c r="W397" i="1"/>
  <c r="W389" i="1"/>
  <c r="W381" i="1"/>
  <c r="W373" i="1"/>
  <c r="W365" i="1"/>
  <c r="W357" i="1"/>
  <c r="W349" i="1"/>
  <c r="W341" i="1"/>
  <c r="W333" i="1"/>
  <c r="W325" i="1"/>
  <c r="W317" i="1"/>
  <c r="W309" i="1"/>
  <c r="W301" i="1"/>
  <c r="W293" i="1"/>
  <c r="W285" i="1"/>
  <c r="W277" i="1"/>
  <c r="W269" i="1"/>
  <c r="W261" i="1"/>
  <c r="W253" i="1"/>
  <c r="W245" i="1"/>
  <c r="W237" i="1"/>
  <c r="W229" i="1"/>
  <c r="W221" i="1"/>
  <c r="W213" i="1"/>
  <c r="W205" i="1"/>
  <c r="W197" i="1"/>
  <c r="W189" i="1"/>
  <c r="W181" i="1"/>
  <c r="W173" i="1"/>
  <c r="W165" i="1"/>
  <c r="W157" i="1"/>
  <c r="W149" i="1"/>
  <c r="W141" i="1"/>
  <c r="W133" i="1"/>
  <c r="W125" i="1"/>
  <c r="W117" i="1"/>
  <c r="W109" i="1"/>
  <c r="W101" i="1"/>
  <c r="W93" i="1"/>
  <c r="W85" i="1"/>
  <c r="W77" i="1"/>
  <c r="W69" i="1"/>
  <c r="W61" i="1"/>
  <c r="W53" i="1"/>
  <c r="W45" i="1"/>
  <c r="W37" i="1"/>
  <c r="W29" i="1"/>
  <c r="W21" i="1"/>
  <c r="W13" i="1"/>
  <c r="W5" i="1"/>
  <c r="W500" i="1"/>
  <c r="W492" i="1"/>
  <c r="W484" i="1"/>
  <c r="W476" i="1"/>
  <c r="W468" i="1"/>
  <c r="W460" i="1"/>
  <c r="W452" i="1"/>
  <c r="W444" i="1"/>
  <c r="W436" i="1"/>
  <c r="W428" i="1"/>
  <c r="W420" i="1"/>
  <c r="W412" i="1"/>
  <c r="W404" i="1"/>
  <c r="W396" i="1"/>
  <c r="W388" i="1"/>
  <c r="W380" i="1"/>
  <c r="W372" i="1"/>
  <c r="W364" i="1"/>
  <c r="W356" i="1"/>
  <c r="W348" i="1"/>
  <c r="W340" i="1"/>
  <c r="W332" i="1"/>
  <c r="W324" i="1"/>
  <c r="W316" i="1"/>
  <c r="W308" i="1"/>
  <c r="W300" i="1"/>
  <c r="W292" i="1"/>
  <c r="W284" i="1"/>
  <c r="W276" i="1"/>
  <c r="W268" i="1"/>
  <c r="W260" i="1"/>
  <c r="W252" i="1"/>
  <c r="W244" i="1"/>
  <c r="W236" i="1"/>
  <c r="W228" i="1"/>
  <c r="W220" i="1"/>
  <c r="W212" i="1"/>
  <c r="W204" i="1"/>
  <c r="W196" i="1"/>
  <c r="W188" i="1"/>
  <c r="W180" i="1"/>
  <c r="W172" i="1"/>
  <c r="W164" i="1"/>
  <c r="W156" i="1"/>
  <c r="W148" i="1"/>
  <c r="W140" i="1"/>
  <c r="W132" i="1"/>
  <c r="W124" i="1"/>
  <c r="W116" i="1"/>
  <c r="W108" i="1"/>
  <c r="W100" i="1"/>
  <c r="W92" i="1"/>
  <c r="W84" i="1"/>
  <c r="W76" i="1"/>
  <c r="W68" i="1"/>
  <c r="W60" i="1"/>
  <c r="W52" i="1"/>
  <c r="W44" i="1"/>
  <c r="W36" i="1"/>
  <c r="W28" i="1"/>
  <c r="W20" i="1"/>
  <c r="W12" i="1"/>
  <c r="W4" i="1"/>
  <c r="W499" i="1"/>
  <c r="W491" i="1"/>
  <c r="W483" i="1"/>
  <c r="W475" i="1"/>
  <c r="W467" i="1"/>
  <c r="W459" i="1"/>
  <c r="W451" i="1"/>
  <c r="W443" i="1"/>
  <c r="W435" i="1"/>
  <c r="W427" i="1"/>
  <c r="W419" i="1"/>
  <c r="W411" i="1"/>
  <c r="W403" i="1"/>
  <c r="W395" i="1"/>
  <c r="W387" i="1"/>
  <c r="W379" i="1"/>
  <c r="W371" i="1"/>
  <c r="W363" i="1"/>
  <c r="W355" i="1"/>
  <c r="W347" i="1"/>
  <c r="W339" i="1"/>
  <c r="W331" i="1"/>
  <c r="W323" i="1"/>
  <c r="W315" i="1"/>
  <c r="W307" i="1"/>
  <c r="W299" i="1"/>
  <c r="W291" i="1"/>
  <c r="W283" i="1"/>
  <c r="W275" i="1"/>
  <c r="W267" i="1"/>
  <c r="W259" i="1"/>
  <c r="W251" i="1"/>
  <c r="W243" i="1"/>
  <c r="W235" i="1"/>
  <c r="W227" i="1"/>
  <c r="W219" i="1"/>
  <c r="W211" i="1"/>
  <c r="W203" i="1"/>
  <c r="W195" i="1"/>
  <c r="W187" i="1"/>
  <c r="W179" i="1"/>
  <c r="W171" i="1"/>
  <c r="W163" i="1"/>
  <c r="W155" i="1"/>
  <c r="W147" i="1"/>
  <c r="W139" i="1"/>
  <c r="W131" i="1"/>
  <c r="W123" i="1"/>
  <c r="W115" i="1"/>
  <c r="W107" i="1"/>
  <c r="W99" i="1"/>
  <c r="W91" i="1"/>
  <c r="W83" i="1"/>
  <c r="W75" i="1"/>
  <c r="W67" i="1"/>
  <c r="W59" i="1"/>
  <c r="W51" i="1"/>
  <c r="W43" i="1"/>
  <c r="W35" i="1"/>
  <c r="W27" i="1"/>
  <c r="W19" i="1"/>
  <c r="W11" i="1"/>
  <c r="W3" i="1"/>
  <c r="W498" i="1"/>
  <c r="W490" i="1"/>
  <c r="W482" i="1"/>
  <c r="W474" i="1"/>
  <c r="W466" i="1"/>
  <c r="W458" i="1"/>
  <c r="W450" i="1"/>
  <c r="W442" i="1"/>
  <c r="W434" i="1"/>
  <c r="W426" i="1"/>
  <c r="W418" i="1"/>
  <c r="W410" i="1"/>
  <c r="W402" i="1"/>
  <c r="W394" i="1"/>
  <c r="W386" i="1"/>
  <c r="W378" i="1"/>
  <c r="W370" i="1"/>
  <c r="W362" i="1"/>
  <c r="W354" i="1"/>
  <c r="W346" i="1"/>
  <c r="W338" i="1"/>
  <c r="W330" i="1"/>
  <c r="W322" i="1"/>
  <c r="W314" i="1"/>
  <c r="W306" i="1"/>
  <c r="W298" i="1"/>
  <c r="W290" i="1"/>
  <c r="W282" i="1"/>
  <c r="W274" i="1"/>
  <c r="W266" i="1"/>
  <c r="W258" i="1"/>
  <c r="W250" i="1"/>
  <c r="W242" i="1"/>
  <c r="W234" i="1"/>
  <c r="W226" i="1"/>
  <c r="W218" i="1"/>
  <c r="W210" i="1"/>
  <c r="W202" i="1"/>
  <c r="W194" i="1"/>
  <c r="W186" i="1"/>
  <c r="W178" i="1"/>
  <c r="W170" i="1"/>
  <c r="W162" i="1"/>
  <c r="W154" i="1"/>
  <c r="W146" i="1"/>
  <c r="W138" i="1"/>
  <c r="W130" i="1"/>
  <c r="W122" i="1"/>
  <c r="W114" i="1"/>
  <c r="W106" i="1"/>
  <c r="W98" i="1"/>
  <c r="W90" i="1"/>
  <c r="W82" i="1"/>
  <c r="W74" i="1"/>
  <c r="W66" i="1"/>
  <c r="W58" i="1"/>
  <c r="W50" i="1"/>
  <c r="W42" i="1"/>
  <c r="W34" i="1"/>
  <c r="W26" i="1"/>
  <c r="W18" i="1"/>
  <c r="W10" i="1"/>
  <c r="V497" i="1"/>
  <c r="V489" i="1"/>
  <c r="V481" i="1"/>
  <c r="V473" i="1"/>
  <c r="V465" i="1"/>
  <c r="V457" i="1"/>
  <c r="V449" i="1"/>
  <c r="V441" i="1"/>
  <c r="V433" i="1"/>
  <c r="V425" i="1"/>
  <c r="V417" i="1"/>
  <c r="V409" i="1"/>
  <c r="V401" i="1"/>
  <c r="V393" i="1"/>
  <c r="V385" i="1"/>
  <c r="V377" i="1"/>
  <c r="V369" i="1"/>
  <c r="V361" i="1"/>
  <c r="V353" i="1"/>
  <c r="V345" i="1"/>
  <c r="V337" i="1"/>
  <c r="V329" i="1"/>
  <c r="V321" i="1"/>
  <c r="V313" i="1"/>
  <c r="V305" i="1"/>
  <c r="V297" i="1"/>
  <c r="V289" i="1"/>
  <c r="V281" i="1"/>
  <c r="V273" i="1"/>
  <c r="V265" i="1"/>
  <c r="V257" i="1"/>
  <c r="V249" i="1"/>
  <c r="V241" i="1"/>
  <c r="V233" i="1"/>
  <c r="V225" i="1"/>
  <c r="V217" i="1"/>
  <c r="V209" i="1"/>
  <c r="V201" i="1"/>
  <c r="V193" i="1"/>
  <c r="V185" i="1"/>
  <c r="V177" i="1"/>
  <c r="V169" i="1"/>
  <c r="V161" i="1"/>
  <c r="V153" i="1"/>
  <c r="V145" i="1"/>
  <c r="V137" i="1"/>
  <c r="V129" i="1"/>
  <c r="V121" i="1"/>
  <c r="V113" i="1"/>
  <c r="V105" i="1"/>
  <c r="V97" i="1"/>
  <c r="V89" i="1"/>
  <c r="V81" i="1"/>
  <c r="V73" i="1"/>
  <c r="V65" i="1"/>
  <c r="V57" i="1"/>
  <c r="V49" i="1"/>
  <c r="V41" i="1"/>
  <c r="V33" i="1"/>
  <c r="V25" i="1"/>
  <c r="V17" i="1"/>
  <c r="V9" i="1"/>
  <c r="V496" i="1"/>
  <c r="V488" i="1"/>
  <c r="V480" i="1"/>
  <c r="V472" i="1"/>
  <c r="V464" i="1"/>
  <c r="V456" i="1"/>
  <c r="V448" i="1"/>
  <c r="V440" i="1"/>
  <c r="V432" i="1"/>
  <c r="V424" i="1"/>
  <c r="V416" i="1"/>
  <c r="V408" i="1"/>
  <c r="V400" i="1"/>
  <c r="V392" i="1"/>
  <c r="V384" i="1"/>
  <c r="V376" i="1"/>
  <c r="V368" i="1"/>
  <c r="V360" i="1"/>
  <c r="V352" i="1"/>
  <c r="V344" i="1"/>
  <c r="V336" i="1"/>
  <c r="V328" i="1"/>
  <c r="V320" i="1"/>
  <c r="V312" i="1"/>
  <c r="V304" i="1"/>
  <c r="V296" i="1"/>
  <c r="V288" i="1"/>
  <c r="V280" i="1"/>
  <c r="V272" i="1"/>
  <c r="V264" i="1"/>
  <c r="V256" i="1"/>
  <c r="V248" i="1"/>
  <c r="V240" i="1"/>
  <c r="V232" i="1"/>
  <c r="V224" i="1"/>
  <c r="V216" i="1"/>
  <c r="V208" i="1"/>
  <c r="V200" i="1"/>
  <c r="V192" i="1"/>
  <c r="V184" i="1"/>
  <c r="V176" i="1"/>
  <c r="V168" i="1"/>
  <c r="V160" i="1"/>
  <c r="V152" i="1"/>
  <c r="V144" i="1"/>
  <c r="V136" i="1"/>
  <c r="V128" i="1"/>
  <c r="V120" i="1"/>
  <c r="V112" i="1"/>
  <c r="V104" i="1"/>
  <c r="V96" i="1"/>
  <c r="V88" i="1"/>
  <c r="V80" i="1"/>
  <c r="V72" i="1"/>
  <c r="V64" i="1"/>
  <c r="V56" i="1"/>
  <c r="V48" i="1"/>
  <c r="V40" i="1"/>
  <c r="V32" i="1"/>
  <c r="V24" i="1"/>
  <c r="V16" i="1"/>
  <c r="V8" i="1"/>
  <c r="V495" i="1"/>
  <c r="V487" i="1"/>
  <c r="V479" i="1"/>
  <c r="V471" i="1"/>
  <c r="V463" i="1"/>
  <c r="V455" i="1"/>
  <c r="V447" i="1"/>
  <c r="V439" i="1"/>
  <c r="V431" i="1"/>
  <c r="V423" i="1"/>
  <c r="V415" i="1"/>
  <c r="V407" i="1"/>
  <c r="V399" i="1"/>
  <c r="V391" i="1"/>
  <c r="V383" i="1"/>
  <c r="V375" i="1"/>
  <c r="V367" i="1"/>
  <c r="V359" i="1"/>
  <c r="V351" i="1"/>
  <c r="V343" i="1"/>
  <c r="V335" i="1"/>
  <c r="V327" i="1"/>
  <c r="V319" i="1"/>
  <c r="V311" i="1"/>
  <c r="V303" i="1"/>
  <c r="V295" i="1"/>
  <c r="V287" i="1"/>
  <c r="V279" i="1"/>
  <c r="V271" i="1"/>
  <c r="V263" i="1"/>
  <c r="V255" i="1"/>
  <c r="V247" i="1"/>
  <c r="V239" i="1"/>
  <c r="V231" i="1"/>
  <c r="V223" i="1"/>
  <c r="V215" i="1"/>
  <c r="V207" i="1"/>
  <c r="V199" i="1"/>
  <c r="V191" i="1"/>
  <c r="V183" i="1"/>
  <c r="V175" i="1"/>
  <c r="V167" i="1"/>
  <c r="V159" i="1"/>
  <c r="V151" i="1"/>
  <c r="V143" i="1"/>
  <c r="V135" i="1"/>
  <c r="V127" i="1"/>
  <c r="V119" i="1"/>
  <c r="V111" i="1"/>
  <c r="V103" i="1"/>
  <c r="V95" i="1"/>
  <c r="V87" i="1"/>
  <c r="V79" i="1"/>
  <c r="V71" i="1"/>
  <c r="V63" i="1"/>
  <c r="V55" i="1"/>
  <c r="V47" i="1"/>
  <c r="V39" i="1"/>
  <c r="V31" i="1"/>
  <c r="V23" i="1"/>
  <c r="V15" i="1"/>
  <c r="V7" i="1"/>
  <c r="V494" i="1"/>
  <c r="V486" i="1"/>
  <c r="V478" i="1"/>
  <c r="V470" i="1"/>
  <c r="V462" i="1"/>
  <c r="V454" i="1"/>
  <c r="V446" i="1"/>
  <c r="V438" i="1"/>
  <c r="V430" i="1"/>
  <c r="V422" i="1"/>
  <c r="V414" i="1"/>
  <c r="V406" i="1"/>
  <c r="V398" i="1"/>
  <c r="V390" i="1"/>
  <c r="V382" i="1"/>
  <c r="V374" i="1"/>
  <c r="V366" i="1"/>
  <c r="V358" i="1"/>
  <c r="V350" i="1"/>
  <c r="V342" i="1"/>
  <c r="V334" i="1"/>
  <c r="V326" i="1"/>
  <c r="V318" i="1"/>
  <c r="V310" i="1"/>
  <c r="V302" i="1"/>
  <c r="V294" i="1"/>
  <c r="V286" i="1"/>
  <c r="V278" i="1"/>
  <c r="V270" i="1"/>
  <c r="V262" i="1"/>
  <c r="V254" i="1"/>
  <c r="V246" i="1"/>
  <c r="V238" i="1"/>
  <c r="V230" i="1"/>
  <c r="V222" i="1"/>
  <c r="V214" i="1"/>
  <c r="V206" i="1"/>
  <c r="V198" i="1"/>
  <c r="V190" i="1"/>
  <c r="V182" i="1"/>
  <c r="V174" i="1"/>
  <c r="V166" i="1"/>
  <c r="V158" i="1"/>
  <c r="V150" i="1"/>
  <c r="V142" i="1"/>
  <c r="V134" i="1"/>
  <c r="V126" i="1"/>
  <c r="V118" i="1"/>
  <c r="V110" i="1"/>
  <c r="V102" i="1"/>
  <c r="V94" i="1"/>
  <c r="V86" i="1"/>
  <c r="V78" i="1"/>
  <c r="V70" i="1"/>
  <c r="V62" i="1"/>
  <c r="V54" i="1"/>
  <c r="V46" i="1"/>
  <c r="V38" i="1"/>
  <c r="V30" i="1"/>
  <c r="V22" i="1"/>
  <c r="V14" i="1"/>
  <c r="V6" i="1"/>
  <c r="V501" i="1"/>
  <c r="V493" i="1"/>
  <c r="V485" i="1"/>
  <c r="V477" i="1"/>
  <c r="V469" i="1"/>
  <c r="V461" i="1"/>
  <c r="V453" i="1"/>
  <c r="V445" i="1"/>
  <c r="V437" i="1"/>
  <c r="V429" i="1"/>
  <c r="V421" i="1"/>
  <c r="V413" i="1"/>
  <c r="V405" i="1"/>
  <c r="V397" i="1"/>
  <c r="V389" i="1"/>
  <c r="V381" i="1"/>
  <c r="V373" i="1"/>
  <c r="V365" i="1"/>
  <c r="V357" i="1"/>
  <c r="V349" i="1"/>
  <c r="V341" i="1"/>
  <c r="V333" i="1"/>
  <c r="V325" i="1"/>
  <c r="V317" i="1"/>
  <c r="V309" i="1"/>
  <c r="V301" i="1"/>
  <c r="V293" i="1"/>
  <c r="V285" i="1"/>
  <c r="V277" i="1"/>
  <c r="V269" i="1"/>
  <c r="V261" i="1"/>
  <c r="V253" i="1"/>
  <c r="V245" i="1"/>
  <c r="V237" i="1"/>
  <c r="V229" i="1"/>
  <c r="V221" i="1"/>
  <c r="V213" i="1"/>
  <c r="V205" i="1"/>
  <c r="V197" i="1"/>
  <c r="V189" i="1"/>
  <c r="V181" i="1"/>
  <c r="V173" i="1"/>
  <c r="V165" i="1"/>
  <c r="V157" i="1"/>
  <c r="V149" i="1"/>
  <c r="V141" i="1"/>
  <c r="V133" i="1"/>
  <c r="V125" i="1"/>
  <c r="V117" i="1"/>
  <c r="V109" i="1"/>
  <c r="V101" i="1"/>
  <c r="V93" i="1"/>
  <c r="V85" i="1"/>
  <c r="V77" i="1"/>
  <c r="V69" i="1"/>
  <c r="V61" i="1"/>
  <c r="V53" i="1"/>
  <c r="V45" i="1"/>
  <c r="V37" i="1"/>
  <c r="V29" i="1"/>
  <c r="V21" i="1"/>
  <c r="V13" i="1"/>
  <c r="V5" i="1"/>
  <c r="V500" i="1"/>
  <c r="V492" i="1"/>
  <c r="V484" i="1"/>
  <c r="V476" i="1"/>
  <c r="V468" i="1"/>
  <c r="V460" i="1"/>
  <c r="V452" i="1"/>
  <c r="V444" i="1"/>
  <c r="V436" i="1"/>
  <c r="V428" i="1"/>
  <c r="V420" i="1"/>
  <c r="V412" i="1"/>
  <c r="V404" i="1"/>
  <c r="V396" i="1"/>
  <c r="V388" i="1"/>
  <c r="V380" i="1"/>
  <c r="V372" i="1"/>
  <c r="V364" i="1"/>
  <c r="V356" i="1"/>
  <c r="V348" i="1"/>
  <c r="V340" i="1"/>
  <c r="V332" i="1"/>
  <c r="V324" i="1"/>
  <c r="V316" i="1"/>
  <c r="V308" i="1"/>
  <c r="V300" i="1"/>
  <c r="V292" i="1"/>
  <c r="V284" i="1"/>
  <c r="V276" i="1"/>
  <c r="V268" i="1"/>
  <c r="V260" i="1"/>
  <c r="V252" i="1"/>
  <c r="V244" i="1"/>
  <c r="V236" i="1"/>
  <c r="V228" i="1"/>
  <c r="V220" i="1"/>
  <c r="V212" i="1"/>
  <c r="V204" i="1"/>
  <c r="V196" i="1"/>
  <c r="V188" i="1"/>
  <c r="V180" i="1"/>
  <c r="V172" i="1"/>
  <c r="V164" i="1"/>
  <c r="V156" i="1"/>
  <c r="V148" i="1"/>
  <c r="V140" i="1"/>
  <c r="V132" i="1"/>
  <c r="V124" i="1"/>
  <c r="V116" i="1"/>
  <c r="V108" i="1"/>
  <c r="V100" i="1"/>
  <c r="V92" i="1"/>
  <c r="V84" i="1"/>
  <c r="V76" i="1"/>
  <c r="V68" i="1"/>
  <c r="V60" i="1"/>
  <c r="V52" i="1"/>
  <c r="V44" i="1"/>
  <c r="V36" i="1"/>
  <c r="V28" i="1"/>
  <c r="V20" i="1"/>
  <c r="V12" i="1"/>
  <c r="V4" i="1"/>
  <c r="V499" i="1"/>
  <c r="V491" i="1"/>
  <c r="V483" i="1"/>
  <c r="V475" i="1"/>
  <c r="V467" i="1"/>
  <c r="V459" i="1"/>
  <c r="V451" i="1"/>
  <c r="V443" i="1"/>
  <c r="V435" i="1"/>
  <c r="V427" i="1"/>
  <c r="V419" i="1"/>
  <c r="V411" i="1"/>
  <c r="V403" i="1"/>
  <c r="V395" i="1"/>
  <c r="V387" i="1"/>
  <c r="V379" i="1"/>
  <c r="V371" i="1"/>
  <c r="V363" i="1"/>
  <c r="V355" i="1"/>
  <c r="V347" i="1"/>
  <c r="V339" i="1"/>
  <c r="V331" i="1"/>
  <c r="V323" i="1"/>
  <c r="V315" i="1"/>
  <c r="V307" i="1"/>
  <c r="V299" i="1"/>
  <c r="V291" i="1"/>
  <c r="V283" i="1"/>
  <c r="V275" i="1"/>
  <c r="V267" i="1"/>
  <c r="V259" i="1"/>
  <c r="V251" i="1"/>
  <c r="V243" i="1"/>
  <c r="V235" i="1"/>
  <c r="V227" i="1"/>
  <c r="V219" i="1"/>
  <c r="V211" i="1"/>
  <c r="V203" i="1"/>
  <c r="V195" i="1"/>
  <c r="V187" i="1"/>
  <c r="V179" i="1"/>
  <c r="V171" i="1"/>
  <c r="V163" i="1"/>
  <c r="V155" i="1"/>
  <c r="V147" i="1"/>
  <c r="V139" i="1"/>
  <c r="V131" i="1"/>
  <c r="V123" i="1"/>
  <c r="V115" i="1"/>
  <c r="V107" i="1"/>
  <c r="V99" i="1"/>
  <c r="V91" i="1"/>
  <c r="V83" i="1"/>
  <c r="V75" i="1"/>
  <c r="V67" i="1"/>
  <c r="V59" i="1"/>
  <c r="V51" i="1"/>
  <c r="V43" i="1"/>
  <c r="V35" i="1"/>
  <c r="V27" i="1"/>
  <c r="V19" i="1"/>
  <c r="V11" i="1"/>
  <c r="V3" i="1"/>
  <c r="V498" i="1"/>
  <c r="V490" i="1"/>
  <c r="V482" i="1"/>
  <c r="V474" i="1"/>
  <c r="V466" i="1"/>
  <c r="V458" i="1"/>
  <c r="V450" i="1"/>
  <c r="V442" i="1"/>
  <c r="V434" i="1"/>
  <c r="V426" i="1"/>
  <c r="V418" i="1"/>
  <c r="V410" i="1"/>
  <c r="V402" i="1"/>
  <c r="V394" i="1"/>
  <c r="V386" i="1"/>
  <c r="V378" i="1"/>
  <c r="V370" i="1"/>
  <c r="V362" i="1"/>
  <c r="V354" i="1"/>
  <c r="V346" i="1"/>
  <c r="V338" i="1"/>
  <c r="V330" i="1"/>
  <c r="V322" i="1"/>
  <c r="V314" i="1"/>
  <c r="V306" i="1"/>
  <c r="V298" i="1"/>
  <c r="V290" i="1"/>
  <c r="V282" i="1"/>
  <c r="V274" i="1"/>
  <c r="V266" i="1"/>
  <c r="V258" i="1"/>
  <c r="V250" i="1"/>
  <c r="V242" i="1"/>
  <c r="V234" i="1"/>
  <c r="V226" i="1"/>
  <c r="V218" i="1"/>
  <c r="V210" i="1"/>
  <c r="V202" i="1"/>
  <c r="V194" i="1"/>
  <c r="V186" i="1"/>
  <c r="V178" i="1"/>
  <c r="V170" i="1"/>
  <c r="V162" i="1"/>
  <c r="V154" i="1"/>
  <c r="V146" i="1"/>
  <c r="V138" i="1"/>
  <c r="V130" i="1"/>
  <c r="V122" i="1"/>
  <c r="V114" i="1"/>
  <c r="V106" i="1"/>
  <c r="V98" i="1"/>
  <c r="V90" i="1"/>
  <c r="V82" i="1"/>
  <c r="V74" i="1"/>
  <c r="V66" i="1"/>
  <c r="V58" i="1"/>
  <c r="V50" i="1"/>
  <c r="V42" i="1"/>
  <c r="V34" i="1"/>
  <c r="V26" i="1"/>
  <c r="V18" i="1"/>
  <c r="V10" i="1"/>
  <c r="V2" i="1"/>
  <c r="U497" i="1"/>
  <c r="U489" i="1"/>
  <c r="U481" i="1"/>
  <c r="U473" i="1"/>
  <c r="U465" i="1"/>
  <c r="U457" i="1"/>
  <c r="U449" i="1"/>
  <c r="U441" i="1"/>
  <c r="U433" i="1"/>
  <c r="U425" i="1"/>
  <c r="U417" i="1"/>
  <c r="U409" i="1"/>
  <c r="U401" i="1"/>
  <c r="U393" i="1"/>
  <c r="U385" i="1"/>
  <c r="U377" i="1"/>
  <c r="U369" i="1"/>
  <c r="U361" i="1"/>
  <c r="U353" i="1"/>
  <c r="U345" i="1"/>
  <c r="U337" i="1"/>
  <c r="U329" i="1"/>
  <c r="U321" i="1"/>
  <c r="U313" i="1"/>
  <c r="U305" i="1"/>
  <c r="U297" i="1"/>
  <c r="U289" i="1"/>
  <c r="U281" i="1"/>
  <c r="U273" i="1"/>
  <c r="U265" i="1"/>
  <c r="U257" i="1"/>
  <c r="U249" i="1"/>
  <c r="U241" i="1"/>
  <c r="U233" i="1"/>
  <c r="U225" i="1"/>
  <c r="U217" i="1"/>
  <c r="U209" i="1"/>
  <c r="U201" i="1"/>
  <c r="U193" i="1"/>
  <c r="U185" i="1"/>
  <c r="U177" i="1"/>
  <c r="U169" i="1"/>
  <c r="U161" i="1"/>
  <c r="U153" i="1"/>
  <c r="U145" i="1"/>
  <c r="U137" i="1"/>
  <c r="U129" i="1"/>
  <c r="U121" i="1"/>
  <c r="U113" i="1"/>
  <c r="U105" i="1"/>
  <c r="U97" i="1"/>
  <c r="U89" i="1"/>
  <c r="U81" i="1"/>
  <c r="U73" i="1"/>
  <c r="U65" i="1"/>
  <c r="U57" i="1"/>
  <c r="U49" i="1"/>
  <c r="U41" i="1"/>
  <c r="U33" i="1"/>
  <c r="U25" i="1"/>
  <c r="U17" i="1"/>
  <c r="U9" i="1"/>
  <c r="U496" i="1"/>
  <c r="U488" i="1"/>
  <c r="U480" i="1"/>
  <c r="U472" i="1"/>
  <c r="U464" i="1"/>
  <c r="U456" i="1"/>
  <c r="U448" i="1"/>
  <c r="U440" i="1"/>
  <c r="U432" i="1"/>
  <c r="U424" i="1"/>
  <c r="U416" i="1"/>
  <c r="U408" i="1"/>
  <c r="U400" i="1"/>
  <c r="U392" i="1"/>
  <c r="U384" i="1"/>
  <c r="U376" i="1"/>
  <c r="U368" i="1"/>
  <c r="U360" i="1"/>
  <c r="U352" i="1"/>
  <c r="U344" i="1"/>
  <c r="U336" i="1"/>
  <c r="U328" i="1"/>
  <c r="U320" i="1"/>
  <c r="U312" i="1"/>
  <c r="U304" i="1"/>
  <c r="U296" i="1"/>
  <c r="U288" i="1"/>
  <c r="U280" i="1"/>
  <c r="U272" i="1"/>
  <c r="U264" i="1"/>
  <c r="U256" i="1"/>
  <c r="U248" i="1"/>
  <c r="U240" i="1"/>
  <c r="U232" i="1"/>
  <c r="U224" i="1"/>
  <c r="U216" i="1"/>
  <c r="U208" i="1"/>
  <c r="U200" i="1"/>
  <c r="U192" i="1"/>
  <c r="U184" i="1"/>
  <c r="U176" i="1"/>
  <c r="U168" i="1"/>
  <c r="U160" i="1"/>
  <c r="U152" i="1"/>
  <c r="U144" i="1"/>
  <c r="U136" i="1"/>
  <c r="U128" i="1"/>
  <c r="U120" i="1"/>
  <c r="U112" i="1"/>
  <c r="U104" i="1"/>
  <c r="U96" i="1"/>
  <c r="U88" i="1"/>
  <c r="U80" i="1"/>
  <c r="U72" i="1"/>
  <c r="U64" i="1"/>
  <c r="U56" i="1"/>
  <c r="U48" i="1"/>
  <c r="U40" i="1"/>
  <c r="U32" i="1"/>
  <c r="U24" i="1"/>
  <c r="U16" i="1"/>
  <c r="U8" i="1"/>
  <c r="U495" i="1"/>
  <c r="U487" i="1"/>
  <c r="U479" i="1"/>
  <c r="U471" i="1"/>
  <c r="U463" i="1"/>
  <c r="U455" i="1"/>
  <c r="U447" i="1"/>
  <c r="U439" i="1"/>
  <c r="U431" i="1"/>
  <c r="U423" i="1"/>
  <c r="U415" i="1"/>
  <c r="U407" i="1"/>
  <c r="U399" i="1"/>
  <c r="U391" i="1"/>
  <c r="U383" i="1"/>
  <c r="U375" i="1"/>
  <c r="U367" i="1"/>
  <c r="U359" i="1"/>
  <c r="U351" i="1"/>
  <c r="U343" i="1"/>
  <c r="U335" i="1"/>
  <c r="U327" i="1"/>
  <c r="U319" i="1"/>
  <c r="U311" i="1"/>
  <c r="U303" i="1"/>
  <c r="U295" i="1"/>
  <c r="U287" i="1"/>
  <c r="U279" i="1"/>
  <c r="U271" i="1"/>
  <c r="U263" i="1"/>
  <c r="U255" i="1"/>
  <c r="U247" i="1"/>
  <c r="U239" i="1"/>
  <c r="U231" i="1"/>
  <c r="U223" i="1"/>
  <c r="U215" i="1"/>
  <c r="U207" i="1"/>
  <c r="U199" i="1"/>
  <c r="U191" i="1"/>
  <c r="U183" i="1"/>
  <c r="U175" i="1"/>
  <c r="U167" i="1"/>
  <c r="U159" i="1"/>
  <c r="U151" i="1"/>
  <c r="U143" i="1"/>
  <c r="U135" i="1"/>
  <c r="U127" i="1"/>
  <c r="U119" i="1"/>
  <c r="U111" i="1"/>
  <c r="U103" i="1"/>
  <c r="U95" i="1"/>
  <c r="U87" i="1"/>
  <c r="U79" i="1"/>
  <c r="U71" i="1"/>
  <c r="U63" i="1"/>
  <c r="U55" i="1"/>
  <c r="U47" i="1"/>
  <c r="U39" i="1"/>
  <c r="U31" i="1"/>
  <c r="U23" i="1"/>
  <c r="U15" i="1"/>
  <c r="U7" i="1"/>
  <c r="U494" i="1"/>
  <c r="U486" i="1"/>
  <c r="U478" i="1"/>
  <c r="U470" i="1"/>
  <c r="U462" i="1"/>
  <c r="U454" i="1"/>
  <c r="U446" i="1"/>
  <c r="U438" i="1"/>
  <c r="U430" i="1"/>
  <c r="U422" i="1"/>
  <c r="U414" i="1"/>
  <c r="U406" i="1"/>
  <c r="U398" i="1"/>
  <c r="U390" i="1"/>
  <c r="U382" i="1"/>
  <c r="U374" i="1"/>
  <c r="U366" i="1"/>
  <c r="U358" i="1"/>
  <c r="U350" i="1"/>
  <c r="U342" i="1"/>
  <c r="U334" i="1"/>
  <c r="U326" i="1"/>
  <c r="U318" i="1"/>
  <c r="U310" i="1"/>
  <c r="U302" i="1"/>
  <c r="U294" i="1"/>
  <c r="U286" i="1"/>
  <c r="U278" i="1"/>
  <c r="U270" i="1"/>
  <c r="U262" i="1"/>
  <c r="U254" i="1"/>
  <c r="U246" i="1"/>
  <c r="U238" i="1"/>
  <c r="U230" i="1"/>
  <c r="U222" i="1"/>
  <c r="U214" i="1"/>
  <c r="U206" i="1"/>
  <c r="U198" i="1"/>
  <c r="U190" i="1"/>
  <c r="U182" i="1"/>
  <c r="U174" i="1"/>
  <c r="U166" i="1"/>
  <c r="U158" i="1"/>
  <c r="U150" i="1"/>
  <c r="U142" i="1"/>
  <c r="U134" i="1"/>
  <c r="U126" i="1"/>
  <c r="U118" i="1"/>
  <c r="U110" i="1"/>
  <c r="U102" i="1"/>
  <c r="U94" i="1"/>
  <c r="U86" i="1"/>
  <c r="U78" i="1"/>
  <c r="U70" i="1"/>
  <c r="U62" i="1"/>
  <c r="U54" i="1"/>
  <c r="U46" i="1"/>
  <c r="U38" i="1"/>
  <c r="U30" i="1"/>
  <c r="U22" i="1"/>
  <c r="U14" i="1"/>
  <c r="U6" i="1"/>
  <c r="U501" i="1"/>
  <c r="U493" i="1"/>
  <c r="U485" i="1"/>
  <c r="U477" i="1"/>
  <c r="U469" i="1"/>
  <c r="U461" i="1"/>
  <c r="U453" i="1"/>
  <c r="U445" i="1"/>
  <c r="U437" i="1"/>
  <c r="U429" i="1"/>
  <c r="U421" i="1"/>
  <c r="U413" i="1"/>
  <c r="U405" i="1"/>
  <c r="U397" i="1"/>
  <c r="U389" i="1"/>
  <c r="U381" i="1"/>
  <c r="U373" i="1"/>
  <c r="U365" i="1"/>
  <c r="U357" i="1"/>
  <c r="U349" i="1"/>
  <c r="U341" i="1"/>
  <c r="U333" i="1"/>
  <c r="U325" i="1"/>
  <c r="U317" i="1"/>
  <c r="U309" i="1"/>
  <c r="U301" i="1"/>
  <c r="U293" i="1"/>
  <c r="U285" i="1"/>
  <c r="U277" i="1"/>
  <c r="U269" i="1"/>
  <c r="U261" i="1"/>
  <c r="U253" i="1"/>
  <c r="U245" i="1"/>
  <c r="U237" i="1"/>
  <c r="U229" i="1"/>
  <c r="U221" i="1"/>
  <c r="U213" i="1"/>
  <c r="U205" i="1"/>
  <c r="U197" i="1"/>
  <c r="U189" i="1"/>
  <c r="U181" i="1"/>
  <c r="U173" i="1"/>
  <c r="U165" i="1"/>
  <c r="U157" i="1"/>
  <c r="U149" i="1"/>
  <c r="U141" i="1"/>
  <c r="U133" i="1"/>
  <c r="U125" i="1"/>
  <c r="U117" i="1"/>
  <c r="U109" i="1"/>
  <c r="U101" i="1"/>
  <c r="U93" i="1"/>
  <c r="U85" i="1"/>
  <c r="U77" i="1"/>
  <c r="U69" i="1"/>
  <c r="U61" i="1"/>
  <c r="U53" i="1"/>
  <c r="U45" i="1"/>
  <c r="U37" i="1"/>
  <c r="U29" i="1"/>
  <c r="U21" i="1"/>
  <c r="U13" i="1"/>
  <c r="U5" i="1"/>
  <c r="U500" i="1"/>
  <c r="U492" i="1"/>
  <c r="U484" i="1"/>
  <c r="U476" i="1"/>
  <c r="U468" i="1"/>
  <c r="U460" i="1"/>
  <c r="U452" i="1"/>
  <c r="U444" i="1"/>
  <c r="U436" i="1"/>
  <c r="U428" i="1"/>
  <c r="U420" i="1"/>
  <c r="U412" i="1"/>
  <c r="U404" i="1"/>
  <c r="U396" i="1"/>
  <c r="U388" i="1"/>
  <c r="U380" i="1"/>
  <c r="U372" i="1"/>
  <c r="U364" i="1"/>
  <c r="U356" i="1"/>
  <c r="U348" i="1"/>
  <c r="U340" i="1"/>
  <c r="U332" i="1"/>
  <c r="U324" i="1"/>
  <c r="U316" i="1"/>
  <c r="U308" i="1"/>
  <c r="U300" i="1"/>
  <c r="U292" i="1"/>
  <c r="U284" i="1"/>
  <c r="U276" i="1"/>
  <c r="U268" i="1"/>
  <c r="U260" i="1"/>
  <c r="U252" i="1"/>
  <c r="U244" i="1"/>
  <c r="U236" i="1"/>
  <c r="U228" i="1"/>
  <c r="U220" i="1"/>
  <c r="U212" i="1"/>
  <c r="U204" i="1"/>
  <c r="U196" i="1"/>
  <c r="U188" i="1"/>
  <c r="U180" i="1"/>
  <c r="U172" i="1"/>
  <c r="U164" i="1"/>
  <c r="U156" i="1"/>
  <c r="U148" i="1"/>
  <c r="U140" i="1"/>
  <c r="U132" i="1"/>
  <c r="U124" i="1"/>
  <c r="U116" i="1"/>
  <c r="U108" i="1"/>
  <c r="U100" i="1"/>
  <c r="U92" i="1"/>
  <c r="U84" i="1"/>
  <c r="U76" i="1"/>
  <c r="U68" i="1"/>
  <c r="U60" i="1"/>
  <c r="U52" i="1"/>
  <c r="U44" i="1"/>
  <c r="U36" i="1"/>
  <c r="U28" i="1"/>
  <c r="U20" i="1"/>
  <c r="U12" i="1"/>
  <c r="U4" i="1"/>
  <c r="U499" i="1"/>
  <c r="U491" i="1"/>
  <c r="U483" i="1"/>
  <c r="U475" i="1"/>
  <c r="U467" i="1"/>
  <c r="U459" i="1"/>
  <c r="U451" i="1"/>
  <c r="U443" i="1"/>
  <c r="U435" i="1"/>
  <c r="U427" i="1"/>
  <c r="U419" i="1"/>
  <c r="U411" i="1"/>
  <c r="U403" i="1"/>
  <c r="U395" i="1"/>
  <c r="U387" i="1"/>
  <c r="U379" i="1"/>
  <c r="U371" i="1"/>
  <c r="U363" i="1"/>
  <c r="U355" i="1"/>
  <c r="U347" i="1"/>
  <c r="U339" i="1"/>
  <c r="U331" i="1"/>
  <c r="U323" i="1"/>
  <c r="U315" i="1"/>
  <c r="U307" i="1"/>
  <c r="U299" i="1"/>
  <c r="U291" i="1"/>
  <c r="U283" i="1"/>
  <c r="U275" i="1"/>
  <c r="U267" i="1"/>
  <c r="U259" i="1"/>
  <c r="U251" i="1"/>
  <c r="U243" i="1"/>
  <c r="U235" i="1"/>
  <c r="U227" i="1"/>
  <c r="U219" i="1"/>
  <c r="U211" i="1"/>
  <c r="U203" i="1"/>
  <c r="U195" i="1"/>
  <c r="U187" i="1"/>
  <c r="U179" i="1"/>
  <c r="U171" i="1"/>
  <c r="U163" i="1"/>
  <c r="U155" i="1"/>
  <c r="U147" i="1"/>
  <c r="U139" i="1"/>
  <c r="U131" i="1"/>
  <c r="U123" i="1"/>
  <c r="U115" i="1"/>
  <c r="U107" i="1"/>
  <c r="U99" i="1"/>
  <c r="U91" i="1"/>
  <c r="U83" i="1"/>
  <c r="U75" i="1"/>
  <c r="U67" i="1"/>
  <c r="U59" i="1"/>
  <c r="U51" i="1"/>
  <c r="U43" i="1"/>
  <c r="U35" i="1"/>
  <c r="U27" i="1"/>
  <c r="U19" i="1"/>
  <c r="U11" i="1"/>
  <c r="U3" i="1"/>
  <c r="U498" i="1"/>
  <c r="U490" i="1"/>
  <c r="U482" i="1"/>
  <c r="U474" i="1"/>
  <c r="U466" i="1"/>
  <c r="U458" i="1"/>
  <c r="U450" i="1"/>
  <c r="U442" i="1"/>
  <c r="U434" i="1"/>
  <c r="U426" i="1"/>
  <c r="U418" i="1"/>
  <c r="U410" i="1"/>
  <c r="U402" i="1"/>
  <c r="U394" i="1"/>
  <c r="U386" i="1"/>
  <c r="U378" i="1"/>
  <c r="U370" i="1"/>
  <c r="U362" i="1"/>
  <c r="U354" i="1"/>
  <c r="U346" i="1"/>
  <c r="U338" i="1"/>
  <c r="U330" i="1"/>
  <c r="U322" i="1"/>
  <c r="U314" i="1"/>
  <c r="U306" i="1"/>
  <c r="U298" i="1"/>
  <c r="U290" i="1"/>
  <c r="U282" i="1"/>
  <c r="U274" i="1"/>
  <c r="U266" i="1"/>
  <c r="U258" i="1"/>
  <c r="U250" i="1"/>
  <c r="U242" i="1"/>
  <c r="U234" i="1"/>
  <c r="U226" i="1"/>
  <c r="U218" i="1"/>
  <c r="U210" i="1"/>
  <c r="U202" i="1"/>
  <c r="U194" i="1"/>
  <c r="U186" i="1"/>
  <c r="U178" i="1"/>
  <c r="U170" i="1"/>
  <c r="U162" i="1"/>
  <c r="U154" i="1"/>
  <c r="U146" i="1"/>
  <c r="U138" i="1"/>
  <c r="U130" i="1"/>
  <c r="U122" i="1"/>
  <c r="U114" i="1"/>
  <c r="U106" i="1"/>
  <c r="U98" i="1"/>
  <c r="U90" i="1"/>
  <c r="U82" i="1"/>
  <c r="U74" i="1"/>
  <c r="U66" i="1"/>
  <c r="U58" i="1"/>
  <c r="U50" i="1"/>
  <c r="U42" i="1"/>
  <c r="U34" i="1"/>
  <c r="U26" i="1"/>
  <c r="U18" i="1"/>
  <c r="U10" i="1"/>
  <c r="T499" i="1"/>
  <c r="T490" i="1"/>
  <c r="T481" i="1"/>
  <c r="T472" i="1"/>
  <c r="T463" i="1"/>
  <c r="T454" i="1"/>
  <c r="T444" i="1"/>
  <c r="T435" i="1"/>
  <c r="T426" i="1"/>
  <c r="T417" i="1"/>
  <c r="T408" i="1"/>
  <c r="T399" i="1"/>
  <c r="T390" i="1"/>
  <c r="T380" i="1"/>
  <c r="T371" i="1"/>
  <c r="T362" i="1"/>
  <c r="T351" i="1"/>
  <c r="T340" i="1"/>
  <c r="T330" i="1"/>
  <c r="T319" i="1"/>
  <c r="T308" i="1"/>
  <c r="T298" i="1"/>
  <c r="T287" i="1"/>
  <c r="T276" i="1"/>
  <c r="T266" i="1"/>
  <c r="T255" i="1"/>
  <c r="T244" i="1"/>
  <c r="T234" i="1"/>
  <c r="T223" i="1"/>
  <c r="T212" i="1"/>
  <c r="T202" i="1"/>
  <c r="T191" i="1"/>
  <c r="T180" i="1"/>
  <c r="T170" i="1"/>
  <c r="T159" i="1"/>
  <c r="T148" i="1"/>
  <c r="T138" i="1"/>
  <c r="T127" i="1"/>
  <c r="T116" i="1"/>
  <c r="T106" i="1"/>
  <c r="T95" i="1"/>
  <c r="T84" i="1"/>
  <c r="T74" i="1"/>
  <c r="T63" i="1"/>
  <c r="T52" i="1"/>
  <c r="T42" i="1"/>
  <c r="T31" i="1"/>
  <c r="T15" i="1"/>
  <c r="T498" i="1"/>
  <c r="T489" i="1"/>
  <c r="T480" i="1"/>
  <c r="T471" i="1"/>
  <c r="T462" i="1"/>
  <c r="T452" i="1"/>
  <c r="T443" i="1"/>
  <c r="T434" i="1"/>
  <c r="T425" i="1"/>
  <c r="T416" i="1"/>
  <c r="T407" i="1"/>
  <c r="T398" i="1"/>
  <c r="T388" i="1"/>
  <c r="T379" i="1"/>
  <c r="T370" i="1"/>
  <c r="T360" i="1"/>
  <c r="T350" i="1"/>
  <c r="T339" i="1"/>
  <c r="T328" i="1"/>
  <c r="T318" i="1"/>
  <c r="T307" i="1"/>
  <c r="T296" i="1"/>
  <c r="T286" i="1"/>
  <c r="T275" i="1"/>
  <c r="T264" i="1"/>
  <c r="T254" i="1"/>
  <c r="T243" i="1"/>
  <c r="T232" i="1"/>
  <c r="T222" i="1"/>
  <c r="T211" i="1"/>
  <c r="T200" i="1"/>
  <c r="T190" i="1"/>
  <c r="T179" i="1"/>
  <c r="T168" i="1"/>
  <c r="T158" i="1"/>
  <c r="T147" i="1"/>
  <c r="T136" i="1"/>
  <c r="T126" i="1"/>
  <c r="T115" i="1"/>
  <c r="T104" i="1"/>
  <c r="T94" i="1"/>
  <c r="T83" i="1"/>
  <c r="T72" i="1"/>
  <c r="T62" i="1"/>
  <c r="T51" i="1"/>
  <c r="T40" i="1"/>
  <c r="T30" i="1"/>
  <c r="T12" i="1"/>
  <c r="T497" i="1"/>
  <c r="T488" i="1"/>
  <c r="T479" i="1"/>
  <c r="T470" i="1"/>
  <c r="T460" i="1"/>
  <c r="T451" i="1"/>
  <c r="T442" i="1"/>
  <c r="T433" i="1"/>
  <c r="T424" i="1"/>
  <c r="T415" i="1"/>
  <c r="T406" i="1"/>
  <c r="T396" i="1"/>
  <c r="T387" i="1"/>
  <c r="T378" i="1"/>
  <c r="T369" i="1"/>
  <c r="T359" i="1"/>
  <c r="T348" i="1"/>
  <c r="T338" i="1"/>
  <c r="T327" i="1"/>
  <c r="T316" i="1"/>
  <c r="T306" i="1"/>
  <c r="T295" i="1"/>
  <c r="T284" i="1"/>
  <c r="T274" i="1"/>
  <c r="T263" i="1"/>
  <c r="T252" i="1"/>
  <c r="T242" i="1"/>
  <c r="T231" i="1"/>
  <c r="T220" i="1"/>
  <c r="T210" i="1"/>
  <c r="T199" i="1"/>
  <c r="T188" i="1"/>
  <c r="T178" i="1"/>
  <c r="T167" i="1"/>
  <c r="T156" i="1"/>
  <c r="T146" i="1"/>
  <c r="T135" i="1"/>
  <c r="T124" i="1"/>
  <c r="T114" i="1"/>
  <c r="T103" i="1"/>
  <c r="T92" i="1"/>
  <c r="T82" i="1"/>
  <c r="T71" i="1"/>
  <c r="T60" i="1"/>
  <c r="T50" i="1"/>
  <c r="T39" i="1"/>
  <c r="T28" i="1"/>
  <c r="T8" i="1"/>
  <c r="T496" i="1"/>
  <c r="T487" i="1"/>
  <c r="T478" i="1"/>
  <c r="T468" i="1"/>
  <c r="T459" i="1"/>
  <c r="T450" i="1"/>
  <c r="T441" i="1"/>
  <c r="T432" i="1"/>
  <c r="T423" i="1"/>
  <c r="T414" i="1"/>
  <c r="T404" i="1"/>
  <c r="T395" i="1"/>
  <c r="T386" i="1"/>
  <c r="T377" i="1"/>
  <c r="T368" i="1"/>
  <c r="T358" i="1"/>
  <c r="T347" i="1"/>
  <c r="T336" i="1"/>
  <c r="T326" i="1"/>
  <c r="T315" i="1"/>
  <c r="T304" i="1"/>
  <c r="T294" i="1"/>
  <c r="T283" i="1"/>
  <c r="T272" i="1"/>
  <c r="T262" i="1"/>
  <c r="T251" i="1"/>
  <c r="T240" i="1"/>
  <c r="T230" i="1"/>
  <c r="T219" i="1"/>
  <c r="T208" i="1"/>
  <c r="T198" i="1"/>
  <c r="T187" i="1"/>
  <c r="T176" i="1"/>
  <c r="T166" i="1"/>
  <c r="T155" i="1"/>
  <c r="T144" i="1"/>
  <c r="T134" i="1"/>
  <c r="T123" i="1"/>
  <c r="T112" i="1"/>
  <c r="T102" i="1"/>
  <c r="T91" i="1"/>
  <c r="T80" i="1"/>
  <c r="T70" i="1"/>
  <c r="T59" i="1"/>
  <c r="T48" i="1"/>
  <c r="T38" i="1"/>
  <c r="T26" i="1"/>
  <c r="T7" i="1"/>
  <c r="T495" i="1"/>
  <c r="T486" i="1"/>
  <c r="T476" i="1"/>
  <c r="T467" i="1"/>
  <c r="T458" i="1"/>
  <c r="T449" i="1"/>
  <c r="T440" i="1"/>
  <c r="T431" i="1"/>
  <c r="T422" i="1"/>
  <c r="T412" i="1"/>
  <c r="T403" i="1"/>
  <c r="T394" i="1"/>
  <c r="T385" i="1"/>
  <c r="T376" i="1"/>
  <c r="T367" i="1"/>
  <c r="T356" i="1"/>
  <c r="T346" i="1"/>
  <c r="T335" i="1"/>
  <c r="T324" i="1"/>
  <c r="T314" i="1"/>
  <c r="T303" i="1"/>
  <c r="T292" i="1"/>
  <c r="T282" i="1"/>
  <c r="T271" i="1"/>
  <c r="T260" i="1"/>
  <c r="T250" i="1"/>
  <c r="T239" i="1"/>
  <c r="T228" i="1"/>
  <c r="T218" i="1"/>
  <c r="T207" i="1"/>
  <c r="T196" i="1"/>
  <c r="T186" i="1"/>
  <c r="T175" i="1"/>
  <c r="T164" i="1"/>
  <c r="T154" i="1"/>
  <c r="T143" i="1"/>
  <c r="T132" i="1"/>
  <c r="T122" i="1"/>
  <c r="T111" i="1"/>
  <c r="T100" i="1"/>
  <c r="T90" i="1"/>
  <c r="T79" i="1"/>
  <c r="T68" i="1"/>
  <c r="T58" i="1"/>
  <c r="T47" i="1"/>
  <c r="T36" i="1"/>
  <c r="T24" i="1"/>
  <c r="T4" i="1"/>
  <c r="T494" i="1"/>
  <c r="T484" i="1"/>
  <c r="T475" i="1"/>
  <c r="T466" i="1"/>
  <c r="T457" i="1"/>
  <c r="T448" i="1"/>
  <c r="T439" i="1"/>
  <c r="T430" i="1"/>
  <c r="T420" i="1"/>
  <c r="T411" i="1"/>
  <c r="T402" i="1"/>
  <c r="T393" i="1"/>
  <c r="T384" i="1"/>
  <c r="T375" i="1"/>
  <c r="T366" i="1"/>
  <c r="T355" i="1"/>
  <c r="T344" i="1"/>
  <c r="T334" i="1"/>
  <c r="T323" i="1"/>
  <c r="T312" i="1"/>
  <c r="T302" i="1"/>
  <c r="T291" i="1"/>
  <c r="T280" i="1"/>
  <c r="T270" i="1"/>
  <c r="T259" i="1"/>
  <c r="T248" i="1"/>
  <c r="T238" i="1"/>
  <c r="T227" i="1"/>
  <c r="T216" i="1"/>
  <c r="T206" i="1"/>
  <c r="T195" i="1"/>
  <c r="T184" i="1"/>
  <c r="T174" i="1"/>
  <c r="T163" i="1"/>
  <c r="T152" i="1"/>
  <c r="T142" i="1"/>
  <c r="T131" i="1"/>
  <c r="T120" i="1"/>
  <c r="T110" i="1"/>
  <c r="T99" i="1"/>
  <c r="T88" i="1"/>
  <c r="T78" i="1"/>
  <c r="T67" i="1"/>
  <c r="T56" i="1"/>
  <c r="T46" i="1"/>
  <c r="T35" i="1"/>
  <c r="T3" i="1"/>
  <c r="T10" i="1"/>
  <c r="T18" i="1"/>
  <c r="T11" i="1"/>
  <c r="T19" i="1"/>
  <c r="T27" i="1"/>
  <c r="T5" i="1"/>
  <c r="T13" i="1"/>
  <c r="T21" i="1"/>
  <c r="T29" i="1"/>
  <c r="T37" i="1"/>
  <c r="T45" i="1"/>
  <c r="T53" i="1"/>
  <c r="T61" i="1"/>
  <c r="T69" i="1"/>
  <c r="T77" i="1"/>
  <c r="T85" i="1"/>
  <c r="T93" i="1"/>
  <c r="T101" i="1"/>
  <c r="T109" i="1"/>
  <c r="T117" i="1"/>
  <c r="T125" i="1"/>
  <c r="T133" i="1"/>
  <c r="T141" i="1"/>
  <c r="T149" i="1"/>
  <c r="T157" i="1"/>
  <c r="T165" i="1"/>
  <c r="T173" i="1"/>
  <c r="T181" i="1"/>
  <c r="T189" i="1"/>
  <c r="T197" i="1"/>
  <c r="T205" i="1"/>
  <c r="T213" i="1"/>
  <c r="T221" i="1"/>
  <c r="T229" i="1"/>
  <c r="T237" i="1"/>
  <c r="T245" i="1"/>
  <c r="T253" i="1"/>
  <c r="T261" i="1"/>
  <c r="T269" i="1"/>
  <c r="T277" i="1"/>
  <c r="T285" i="1"/>
  <c r="T293" i="1"/>
  <c r="T301" i="1"/>
  <c r="T309" i="1"/>
  <c r="T317" i="1"/>
  <c r="T325" i="1"/>
  <c r="T333" i="1"/>
  <c r="T341" i="1"/>
  <c r="T349" i="1"/>
  <c r="T357" i="1"/>
  <c r="T365" i="1"/>
  <c r="T373" i="1"/>
  <c r="T381" i="1"/>
  <c r="T389" i="1"/>
  <c r="T397" i="1"/>
  <c r="T405" i="1"/>
  <c r="T413" i="1"/>
  <c r="T421" i="1"/>
  <c r="T429" i="1"/>
  <c r="T437" i="1"/>
  <c r="T445" i="1"/>
  <c r="T453" i="1"/>
  <c r="T461" i="1"/>
  <c r="T469" i="1"/>
  <c r="T477" i="1"/>
  <c r="T485" i="1"/>
  <c r="T493" i="1"/>
  <c r="T501" i="1"/>
  <c r="T6" i="1"/>
  <c r="T14" i="1"/>
  <c r="T22" i="1"/>
  <c r="T9" i="1"/>
  <c r="T17" i="1"/>
  <c r="T25" i="1"/>
  <c r="T33" i="1"/>
  <c r="T41" i="1"/>
  <c r="T49" i="1"/>
  <c r="T57" i="1"/>
  <c r="T65" i="1"/>
  <c r="T73" i="1"/>
  <c r="T81" i="1"/>
  <c r="T89" i="1"/>
  <c r="T97" i="1"/>
  <c r="T105" i="1"/>
  <c r="T113" i="1"/>
  <c r="T121" i="1"/>
  <c r="T129" i="1"/>
  <c r="T137" i="1"/>
  <c r="T145" i="1"/>
  <c r="T153" i="1"/>
  <c r="T161" i="1"/>
  <c r="T169" i="1"/>
  <c r="T177" i="1"/>
  <c r="T185" i="1"/>
  <c r="T193" i="1"/>
  <c r="T201" i="1"/>
  <c r="T209" i="1"/>
  <c r="T217" i="1"/>
  <c r="T225" i="1"/>
  <c r="T233" i="1"/>
  <c r="T241" i="1"/>
  <c r="T249" i="1"/>
  <c r="T257" i="1"/>
  <c r="T265" i="1"/>
  <c r="T273" i="1"/>
  <c r="T281" i="1"/>
  <c r="T289" i="1"/>
  <c r="T297" i="1"/>
  <c r="T305" i="1"/>
  <c r="T313" i="1"/>
  <c r="T321" i="1"/>
  <c r="T329" i="1"/>
  <c r="T337" i="1"/>
  <c r="T345" i="1"/>
  <c r="T353" i="1"/>
  <c r="T361" i="1"/>
  <c r="T492" i="1"/>
  <c r="T483" i="1"/>
  <c r="T474" i="1"/>
  <c r="T465" i="1"/>
  <c r="T456" i="1"/>
  <c r="T447" i="1"/>
  <c r="T438" i="1"/>
  <c r="T428" i="1"/>
  <c r="T419" i="1"/>
  <c r="T410" i="1"/>
  <c r="T401" i="1"/>
  <c r="T392" i="1"/>
  <c r="T383" i="1"/>
  <c r="T374" i="1"/>
  <c r="T364" i="1"/>
  <c r="T354" i="1"/>
  <c r="T343" i="1"/>
  <c r="T332" i="1"/>
  <c r="T322" i="1"/>
  <c r="T311" i="1"/>
  <c r="T300" i="1"/>
  <c r="T290" i="1"/>
  <c r="T279" i="1"/>
  <c r="T268" i="1"/>
  <c r="T258" i="1"/>
  <c r="T247" i="1"/>
  <c r="T236" i="1"/>
  <c r="T226" i="1"/>
  <c r="T215" i="1"/>
  <c r="T204" i="1"/>
  <c r="T194" i="1"/>
  <c r="T183" i="1"/>
  <c r="T172" i="1"/>
  <c r="T162" i="1"/>
  <c r="T151" i="1"/>
  <c r="T140" i="1"/>
  <c r="T130" i="1"/>
  <c r="T119" i="1"/>
  <c r="T108" i="1"/>
  <c r="T98" i="1"/>
  <c r="T87" i="1"/>
  <c r="T76" i="1"/>
  <c r="T66" i="1"/>
  <c r="T55" i="1"/>
  <c r="T44" i="1"/>
  <c r="T34" i="1"/>
  <c r="T20" i="1"/>
  <c r="T500" i="1"/>
  <c r="T491" i="1"/>
  <c r="T482" i="1"/>
  <c r="T473" i="1"/>
  <c r="T464" i="1"/>
  <c r="T455" i="1"/>
  <c r="T446" i="1"/>
  <c r="T436" i="1"/>
  <c r="T427" i="1"/>
  <c r="T418" i="1"/>
  <c r="T409" i="1"/>
  <c r="T400" i="1"/>
  <c r="T391" i="1"/>
  <c r="T382" i="1"/>
  <c r="T372" i="1"/>
  <c r="T363" i="1"/>
  <c r="T352" i="1"/>
  <c r="T342" i="1"/>
  <c r="T331" i="1"/>
  <c r="T320" i="1"/>
  <c r="T310" i="1"/>
  <c r="T299" i="1"/>
  <c r="T288" i="1"/>
  <c r="T278" i="1"/>
  <c r="T267" i="1"/>
  <c r="T256" i="1"/>
  <c r="T246" i="1"/>
  <c r="T235" i="1"/>
  <c r="T224" i="1"/>
  <c r="T214" i="1"/>
  <c r="T203" i="1"/>
  <c r="T192" i="1"/>
  <c r="T182" i="1"/>
  <c r="T171" i="1"/>
  <c r="T160" i="1"/>
  <c r="T150" i="1"/>
  <c r="T139" i="1"/>
  <c r="T128" i="1"/>
  <c r="T118" i="1"/>
  <c r="T107" i="1"/>
  <c r="T96" i="1"/>
  <c r="T86" i="1"/>
  <c r="T75" i="1"/>
  <c r="T64" i="1"/>
  <c r="T54" i="1"/>
  <c r="T43" i="1"/>
  <c r="T32" i="1"/>
  <c r="T16" i="1"/>
  <c r="R481" i="1"/>
  <c r="R417" i="1"/>
  <c r="R353" i="1"/>
  <c r="R289" i="1"/>
  <c r="R225" i="1"/>
  <c r="R161" i="1"/>
  <c r="R97" i="1"/>
  <c r="R33" i="1"/>
  <c r="S497" i="1"/>
  <c r="S489" i="1"/>
  <c r="S481" i="1"/>
  <c r="S473" i="1"/>
  <c r="S465" i="1"/>
  <c r="S457" i="1"/>
  <c r="S449" i="1"/>
  <c r="S441" i="1"/>
  <c r="S433" i="1"/>
  <c r="S425" i="1"/>
  <c r="S417" i="1"/>
  <c r="S409" i="1"/>
  <c r="S401" i="1"/>
  <c r="S393" i="1"/>
  <c r="S385" i="1"/>
  <c r="S377" i="1"/>
  <c r="S369" i="1"/>
  <c r="S361" i="1"/>
  <c r="S353" i="1"/>
  <c r="S345" i="1"/>
  <c r="S337" i="1"/>
  <c r="S329" i="1"/>
  <c r="S321" i="1"/>
  <c r="S313" i="1"/>
  <c r="S305" i="1"/>
  <c r="S297" i="1"/>
  <c r="S289" i="1"/>
  <c r="S281" i="1"/>
  <c r="S273" i="1"/>
  <c r="S265" i="1"/>
  <c r="S257" i="1"/>
  <c r="S249" i="1"/>
  <c r="S241" i="1"/>
  <c r="S233" i="1"/>
  <c r="S225" i="1"/>
  <c r="S217" i="1"/>
  <c r="S209" i="1"/>
  <c r="S201" i="1"/>
  <c r="S193" i="1"/>
  <c r="S185" i="1"/>
  <c r="S177" i="1"/>
  <c r="S169" i="1"/>
  <c r="S161" i="1"/>
  <c r="S153" i="1"/>
  <c r="S145" i="1"/>
  <c r="S137" i="1"/>
  <c r="S129" i="1"/>
  <c r="S121" i="1"/>
  <c r="S113" i="1"/>
  <c r="S105" i="1"/>
  <c r="S97" i="1"/>
  <c r="S89" i="1"/>
  <c r="S81" i="1"/>
  <c r="S73" i="1"/>
  <c r="S65" i="1"/>
  <c r="S57" i="1"/>
  <c r="S49" i="1"/>
  <c r="S41" i="1"/>
  <c r="S33" i="1"/>
  <c r="S25" i="1"/>
  <c r="S17" i="1"/>
  <c r="S9" i="1"/>
  <c r="R473" i="1"/>
  <c r="R409" i="1"/>
  <c r="R345" i="1"/>
  <c r="R281" i="1"/>
  <c r="R217" i="1"/>
  <c r="R153" i="1"/>
  <c r="R89" i="1"/>
  <c r="R25" i="1"/>
  <c r="S496" i="1"/>
  <c r="S488" i="1"/>
  <c r="S480" i="1"/>
  <c r="S472" i="1"/>
  <c r="S464" i="1"/>
  <c r="S456" i="1"/>
  <c r="S448" i="1"/>
  <c r="S440" i="1"/>
  <c r="S432" i="1"/>
  <c r="S424" i="1"/>
  <c r="S416" i="1"/>
  <c r="S408" i="1"/>
  <c r="S400" i="1"/>
  <c r="S392" i="1"/>
  <c r="S384" i="1"/>
  <c r="S376" i="1"/>
  <c r="S368" i="1"/>
  <c r="S360" i="1"/>
  <c r="S352" i="1"/>
  <c r="S344" i="1"/>
  <c r="S336" i="1"/>
  <c r="S328" i="1"/>
  <c r="S320" i="1"/>
  <c r="S312" i="1"/>
  <c r="S304" i="1"/>
  <c r="S296" i="1"/>
  <c r="S288" i="1"/>
  <c r="S280" i="1"/>
  <c r="S272" i="1"/>
  <c r="S264" i="1"/>
  <c r="S256" i="1"/>
  <c r="S248" i="1"/>
  <c r="S240" i="1"/>
  <c r="S232" i="1"/>
  <c r="S224" i="1"/>
  <c r="S216" i="1"/>
  <c r="S208" i="1"/>
  <c r="S200" i="1"/>
  <c r="S192" i="1"/>
  <c r="S184" i="1"/>
  <c r="S176" i="1"/>
  <c r="S168" i="1"/>
  <c r="S160" i="1"/>
  <c r="S152" i="1"/>
  <c r="S144" i="1"/>
  <c r="S136" i="1"/>
  <c r="S128" i="1"/>
  <c r="S120" i="1"/>
  <c r="S112" i="1"/>
  <c r="S104" i="1"/>
  <c r="S96" i="1"/>
  <c r="S88" i="1"/>
  <c r="S80" i="1"/>
  <c r="S72" i="1"/>
  <c r="S64" i="1"/>
  <c r="S56" i="1"/>
  <c r="S48" i="1"/>
  <c r="S40" i="1"/>
  <c r="S32" i="1"/>
  <c r="S24" i="1"/>
  <c r="S16" i="1"/>
  <c r="S8" i="1"/>
  <c r="R465" i="1"/>
  <c r="R401" i="1"/>
  <c r="R337" i="1"/>
  <c r="R273" i="1"/>
  <c r="R209" i="1"/>
  <c r="R145" i="1"/>
  <c r="R81" i="1"/>
  <c r="R17" i="1"/>
  <c r="S495" i="1"/>
  <c r="S487" i="1"/>
  <c r="S479" i="1"/>
  <c r="S471" i="1"/>
  <c r="S463" i="1"/>
  <c r="S455" i="1"/>
  <c r="S447" i="1"/>
  <c r="S439" i="1"/>
  <c r="S431" i="1"/>
  <c r="S423" i="1"/>
  <c r="S415" i="1"/>
  <c r="S407" i="1"/>
  <c r="S399" i="1"/>
  <c r="S391" i="1"/>
  <c r="S383" i="1"/>
  <c r="S375" i="1"/>
  <c r="S367" i="1"/>
  <c r="S359" i="1"/>
  <c r="S351" i="1"/>
  <c r="S343" i="1"/>
  <c r="S335" i="1"/>
  <c r="S327" i="1"/>
  <c r="S319" i="1"/>
  <c r="S311" i="1"/>
  <c r="S303" i="1"/>
  <c r="S295" i="1"/>
  <c r="S287" i="1"/>
  <c r="S279" i="1"/>
  <c r="S271" i="1"/>
  <c r="S263" i="1"/>
  <c r="S255" i="1"/>
  <c r="S247" i="1"/>
  <c r="S239" i="1"/>
  <c r="S231" i="1"/>
  <c r="S223" i="1"/>
  <c r="S215" i="1"/>
  <c r="S207" i="1"/>
  <c r="S199" i="1"/>
  <c r="S191" i="1"/>
  <c r="S183" i="1"/>
  <c r="S175" i="1"/>
  <c r="S167" i="1"/>
  <c r="S159" i="1"/>
  <c r="S151" i="1"/>
  <c r="S143" i="1"/>
  <c r="S135" i="1"/>
  <c r="S127" i="1"/>
  <c r="S119" i="1"/>
  <c r="S111" i="1"/>
  <c r="S103" i="1"/>
  <c r="S95" i="1"/>
  <c r="S87" i="1"/>
  <c r="S79" i="1"/>
  <c r="S71" i="1"/>
  <c r="S63" i="1"/>
  <c r="S55" i="1"/>
  <c r="S47" i="1"/>
  <c r="S39" i="1"/>
  <c r="S31" i="1"/>
  <c r="S23" i="1"/>
  <c r="S15" i="1"/>
  <c r="S7" i="1"/>
  <c r="R457" i="1"/>
  <c r="R393" i="1"/>
  <c r="R329" i="1"/>
  <c r="R265" i="1"/>
  <c r="R201" i="1"/>
  <c r="R137" i="1"/>
  <c r="R73" i="1"/>
  <c r="R9" i="1"/>
  <c r="S494" i="1"/>
  <c r="S486" i="1"/>
  <c r="S478" i="1"/>
  <c r="S470" i="1"/>
  <c r="S462" i="1"/>
  <c r="S454" i="1"/>
  <c r="S446" i="1"/>
  <c r="S438" i="1"/>
  <c r="S430" i="1"/>
  <c r="S422" i="1"/>
  <c r="S414" i="1"/>
  <c r="S406" i="1"/>
  <c r="S398" i="1"/>
  <c r="S390" i="1"/>
  <c r="S382" i="1"/>
  <c r="S374" i="1"/>
  <c r="S366" i="1"/>
  <c r="S358" i="1"/>
  <c r="S350" i="1"/>
  <c r="S342" i="1"/>
  <c r="S334" i="1"/>
  <c r="S326" i="1"/>
  <c r="S318" i="1"/>
  <c r="S310" i="1"/>
  <c r="S302" i="1"/>
  <c r="S294" i="1"/>
  <c r="S286" i="1"/>
  <c r="S278" i="1"/>
  <c r="S270" i="1"/>
  <c r="S262" i="1"/>
  <c r="S254" i="1"/>
  <c r="S246" i="1"/>
  <c r="S238" i="1"/>
  <c r="S230" i="1"/>
  <c r="S222" i="1"/>
  <c r="S214" i="1"/>
  <c r="S206" i="1"/>
  <c r="S198" i="1"/>
  <c r="S190" i="1"/>
  <c r="S182" i="1"/>
  <c r="S174" i="1"/>
  <c r="S166" i="1"/>
  <c r="S158" i="1"/>
  <c r="S150" i="1"/>
  <c r="S142" i="1"/>
  <c r="S134" i="1"/>
  <c r="S126" i="1"/>
  <c r="S118" i="1"/>
  <c r="S110" i="1"/>
  <c r="S102" i="1"/>
  <c r="S94" i="1"/>
  <c r="S86" i="1"/>
  <c r="S78" i="1"/>
  <c r="S70" i="1"/>
  <c r="S62" i="1"/>
  <c r="S54" i="1"/>
  <c r="S46" i="1"/>
  <c r="S38" i="1"/>
  <c r="S30" i="1"/>
  <c r="S22" i="1"/>
  <c r="S14" i="1"/>
  <c r="S6" i="1"/>
  <c r="R449" i="1"/>
  <c r="R385" i="1"/>
  <c r="R321" i="1"/>
  <c r="R257" i="1"/>
  <c r="R193" i="1"/>
  <c r="R129" i="1"/>
  <c r="R65" i="1"/>
  <c r="S501" i="1"/>
  <c r="S493" i="1"/>
  <c r="S485" i="1"/>
  <c r="S477" i="1"/>
  <c r="S469" i="1"/>
  <c r="S461" i="1"/>
  <c r="S453" i="1"/>
  <c r="S445" i="1"/>
  <c r="S437" i="1"/>
  <c r="S429" i="1"/>
  <c r="S421" i="1"/>
  <c r="S413" i="1"/>
  <c r="S405" i="1"/>
  <c r="S397" i="1"/>
  <c r="S389" i="1"/>
  <c r="S381" i="1"/>
  <c r="S373" i="1"/>
  <c r="S365" i="1"/>
  <c r="S357" i="1"/>
  <c r="S349" i="1"/>
  <c r="S341" i="1"/>
  <c r="S333" i="1"/>
  <c r="S325" i="1"/>
  <c r="S317" i="1"/>
  <c r="S309" i="1"/>
  <c r="S301" i="1"/>
  <c r="S293" i="1"/>
  <c r="S285" i="1"/>
  <c r="S277" i="1"/>
  <c r="S269" i="1"/>
  <c r="S261" i="1"/>
  <c r="S253" i="1"/>
  <c r="S245" i="1"/>
  <c r="S237" i="1"/>
  <c r="S229" i="1"/>
  <c r="S221" i="1"/>
  <c r="S213" i="1"/>
  <c r="S205" i="1"/>
  <c r="S197" i="1"/>
  <c r="S189" i="1"/>
  <c r="S181" i="1"/>
  <c r="S173" i="1"/>
  <c r="S165" i="1"/>
  <c r="S157" i="1"/>
  <c r="S149" i="1"/>
  <c r="S141" i="1"/>
  <c r="S133" i="1"/>
  <c r="S125" i="1"/>
  <c r="S117" i="1"/>
  <c r="S109" i="1"/>
  <c r="S101" i="1"/>
  <c r="S93" i="1"/>
  <c r="S85" i="1"/>
  <c r="S77" i="1"/>
  <c r="S69" i="1"/>
  <c r="S61" i="1"/>
  <c r="S53" i="1"/>
  <c r="S45" i="1"/>
  <c r="S37" i="1"/>
  <c r="S29" i="1"/>
  <c r="S21" i="1"/>
  <c r="S13" i="1"/>
  <c r="S5" i="1"/>
  <c r="R441" i="1"/>
  <c r="R377" i="1"/>
  <c r="R313" i="1"/>
  <c r="R249" i="1"/>
  <c r="R185" i="1"/>
  <c r="R121" i="1"/>
  <c r="R57" i="1"/>
  <c r="S500" i="1"/>
  <c r="S492" i="1"/>
  <c r="S484" i="1"/>
  <c r="S476" i="1"/>
  <c r="S468" i="1"/>
  <c r="S460" i="1"/>
  <c r="S452" i="1"/>
  <c r="S444" i="1"/>
  <c r="S436" i="1"/>
  <c r="S428" i="1"/>
  <c r="S420" i="1"/>
  <c r="S412" i="1"/>
  <c r="S404" i="1"/>
  <c r="S396" i="1"/>
  <c r="S388" i="1"/>
  <c r="S380" i="1"/>
  <c r="S372" i="1"/>
  <c r="S364" i="1"/>
  <c r="S356" i="1"/>
  <c r="S348" i="1"/>
  <c r="S340" i="1"/>
  <c r="S332" i="1"/>
  <c r="S324" i="1"/>
  <c r="S316" i="1"/>
  <c r="S308" i="1"/>
  <c r="S300" i="1"/>
  <c r="S292" i="1"/>
  <c r="S284" i="1"/>
  <c r="S276" i="1"/>
  <c r="S268" i="1"/>
  <c r="S260" i="1"/>
  <c r="S252" i="1"/>
  <c r="S244" i="1"/>
  <c r="S236" i="1"/>
  <c r="S228" i="1"/>
  <c r="S220" i="1"/>
  <c r="S212" i="1"/>
  <c r="S204" i="1"/>
  <c r="S196" i="1"/>
  <c r="S188" i="1"/>
  <c r="S180" i="1"/>
  <c r="S172" i="1"/>
  <c r="S164" i="1"/>
  <c r="S156" i="1"/>
  <c r="S148" i="1"/>
  <c r="S140" i="1"/>
  <c r="S132" i="1"/>
  <c r="S124" i="1"/>
  <c r="S116" i="1"/>
  <c r="S108" i="1"/>
  <c r="S100" i="1"/>
  <c r="S92" i="1"/>
  <c r="S84" i="1"/>
  <c r="S76" i="1"/>
  <c r="S68" i="1"/>
  <c r="S60" i="1"/>
  <c r="S52" i="1"/>
  <c r="S44" i="1"/>
  <c r="S36" i="1"/>
  <c r="S28" i="1"/>
  <c r="S20" i="1"/>
  <c r="S12" i="1"/>
  <c r="S4" i="1"/>
  <c r="R497" i="1"/>
  <c r="R433" i="1"/>
  <c r="R369" i="1"/>
  <c r="R305" i="1"/>
  <c r="R241" i="1"/>
  <c r="R177" i="1"/>
  <c r="R113" i="1"/>
  <c r="R49" i="1"/>
  <c r="S499" i="1"/>
  <c r="S491" i="1"/>
  <c r="S483" i="1"/>
  <c r="S475" i="1"/>
  <c r="S467" i="1"/>
  <c r="S459" i="1"/>
  <c r="S451" i="1"/>
  <c r="S443" i="1"/>
  <c r="S435" i="1"/>
  <c r="S427" i="1"/>
  <c r="S419" i="1"/>
  <c r="S411" i="1"/>
  <c r="S403" i="1"/>
  <c r="S395" i="1"/>
  <c r="S387" i="1"/>
  <c r="S379" i="1"/>
  <c r="S371" i="1"/>
  <c r="S363" i="1"/>
  <c r="S355" i="1"/>
  <c r="S347" i="1"/>
  <c r="S339" i="1"/>
  <c r="S331" i="1"/>
  <c r="S323" i="1"/>
  <c r="S315" i="1"/>
  <c r="S307" i="1"/>
  <c r="S299" i="1"/>
  <c r="S291" i="1"/>
  <c r="S283" i="1"/>
  <c r="S275" i="1"/>
  <c r="S267" i="1"/>
  <c r="S259" i="1"/>
  <c r="S251" i="1"/>
  <c r="S243" i="1"/>
  <c r="S235" i="1"/>
  <c r="S227" i="1"/>
  <c r="S219" i="1"/>
  <c r="S211" i="1"/>
  <c r="S203" i="1"/>
  <c r="S195" i="1"/>
  <c r="S187" i="1"/>
  <c r="S179" i="1"/>
  <c r="S171" i="1"/>
  <c r="S163" i="1"/>
  <c r="S155" i="1"/>
  <c r="S147" i="1"/>
  <c r="S139" i="1"/>
  <c r="S131" i="1"/>
  <c r="S123" i="1"/>
  <c r="S115" i="1"/>
  <c r="S107" i="1"/>
  <c r="S99" i="1"/>
  <c r="S91" i="1"/>
  <c r="S83" i="1"/>
  <c r="S75" i="1"/>
  <c r="S67" i="1"/>
  <c r="S59" i="1"/>
  <c r="S51" i="1"/>
  <c r="S43" i="1"/>
  <c r="S35" i="1"/>
  <c r="S27" i="1"/>
  <c r="S19" i="1"/>
  <c r="S11" i="1"/>
  <c r="S3" i="1"/>
  <c r="R489" i="1"/>
  <c r="R425" i="1"/>
  <c r="R361" i="1"/>
  <c r="R297" i="1"/>
  <c r="R233" i="1"/>
  <c r="R169" i="1"/>
  <c r="R105" i="1"/>
  <c r="R41" i="1"/>
  <c r="S498" i="1"/>
  <c r="S490" i="1"/>
  <c r="S482" i="1"/>
  <c r="S474" i="1"/>
  <c r="S466" i="1"/>
  <c r="S458" i="1"/>
  <c r="S450" i="1"/>
  <c r="S442" i="1"/>
  <c r="S434" i="1"/>
  <c r="S426" i="1"/>
  <c r="S418" i="1"/>
  <c r="S410" i="1"/>
  <c r="S402" i="1"/>
  <c r="S394" i="1"/>
  <c r="S386" i="1"/>
  <c r="S378" i="1"/>
  <c r="S370" i="1"/>
  <c r="S362" i="1"/>
  <c r="S354" i="1"/>
  <c r="S346" i="1"/>
  <c r="S338" i="1"/>
  <c r="S330" i="1"/>
  <c r="S322" i="1"/>
  <c r="S314" i="1"/>
  <c r="S306" i="1"/>
  <c r="S298" i="1"/>
  <c r="S290" i="1"/>
  <c r="S282" i="1"/>
  <c r="S274" i="1"/>
  <c r="S266" i="1"/>
  <c r="S258" i="1"/>
  <c r="S250" i="1"/>
  <c r="S242" i="1"/>
  <c r="S234" i="1"/>
  <c r="S226" i="1"/>
  <c r="S218" i="1"/>
  <c r="S210" i="1"/>
  <c r="S202" i="1"/>
  <c r="S194" i="1"/>
  <c r="S186" i="1"/>
  <c r="S178" i="1"/>
  <c r="S170" i="1"/>
  <c r="S162" i="1"/>
  <c r="S154" i="1"/>
  <c r="S146" i="1"/>
  <c r="S138" i="1"/>
  <c r="S130" i="1"/>
  <c r="S122" i="1"/>
  <c r="S114" i="1"/>
  <c r="S106" i="1"/>
  <c r="S98" i="1"/>
  <c r="S90" i="1"/>
  <c r="S82" i="1"/>
  <c r="S74" i="1"/>
  <c r="S66" i="1"/>
  <c r="S58" i="1"/>
  <c r="S50" i="1"/>
  <c r="S42" i="1"/>
  <c r="S34" i="1"/>
  <c r="S26" i="1"/>
  <c r="S18" i="1"/>
  <c r="S10" i="1"/>
  <c r="R496" i="1"/>
  <c r="R488" i="1"/>
  <c r="R480" i="1"/>
  <c r="R472" i="1"/>
  <c r="R464" i="1"/>
  <c r="R456" i="1"/>
  <c r="R448" i="1"/>
  <c r="R440" i="1"/>
  <c r="R432" i="1"/>
  <c r="R424" i="1"/>
  <c r="R416" i="1"/>
  <c r="R408" i="1"/>
  <c r="R400" i="1"/>
  <c r="R392" i="1"/>
  <c r="R384" i="1"/>
  <c r="R376" i="1"/>
  <c r="R368" i="1"/>
  <c r="R360" i="1"/>
  <c r="R352" i="1"/>
  <c r="R344" i="1"/>
  <c r="R336" i="1"/>
  <c r="R328" i="1"/>
  <c r="R320" i="1"/>
  <c r="R312" i="1"/>
  <c r="R304" i="1"/>
  <c r="R296" i="1"/>
  <c r="R288" i="1"/>
  <c r="R280" i="1"/>
  <c r="R272" i="1"/>
  <c r="R264" i="1"/>
  <c r="R256" i="1"/>
  <c r="R248" i="1"/>
  <c r="R240" i="1"/>
  <c r="R232" i="1"/>
  <c r="R224" i="1"/>
  <c r="R216" i="1"/>
  <c r="R208" i="1"/>
  <c r="R200" i="1"/>
  <c r="R192" i="1"/>
  <c r="R184" i="1"/>
  <c r="R176" i="1"/>
  <c r="R168" i="1"/>
  <c r="R160" i="1"/>
  <c r="R152" i="1"/>
  <c r="R144" i="1"/>
  <c r="R136" i="1"/>
  <c r="R128" i="1"/>
  <c r="R120" i="1"/>
  <c r="R112" i="1"/>
  <c r="R104" i="1"/>
  <c r="R96" i="1"/>
  <c r="R88" i="1"/>
  <c r="R80" i="1"/>
  <c r="R72" i="1"/>
  <c r="R64" i="1"/>
  <c r="R56" i="1"/>
  <c r="R48" i="1"/>
  <c r="R40" i="1"/>
  <c r="R32" i="1"/>
  <c r="R24" i="1"/>
  <c r="R16" i="1"/>
  <c r="R8" i="1"/>
  <c r="R495" i="1"/>
  <c r="R487" i="1"/>
  <c r="R479" i="1"/>
  <c r="R471" i="1"/>
  <c r="R463" i="1"/>
  <c r="R455" i="1"/>
  <c r="R447" i="1"/>
  <c r="R439" i="1"/>
  <c r="R431" i="1"/>
  <c r="R423" i="1"/>
  <c r="R415" i="1"/>
  <c r="R407" i="1"/>
  <c r="R399" i="1"/>
  <c r="R391" i="1"/>
  <c r="R383" i="1"/>
  <c r="R375" i="1"/>
  <c r="R367" i="1"/>
  <c r="R359" i="1"/>
  <c r="R351" i="1"/>
  <c r="R343" i="1"/>
  <c r="R335" i="1"/>
  <c r="R327" i="1"/>
  <c r="R319" i="1"/>
  <c r="R311" i="1"/>
  <c r="R303" i="1"/>
  <c r="R295" i="1"/>
  <c r="R287" i="1"/>
  <c r="R279" i="1"/>
  <c r="R271" i="1"/>
  <c r="R263" i="1"/>
  <c r="R255" i="1"/>
  <c r="R247" i="1"/>
  <c r="R239" i="1"/>
  <c r="R231" i="1"/>
  <c r="R223" i="1"/>
  <c r="R215" i="1"/>
  <c r="R207" i="1"/>
  <c r="R199" i="1"/>
  <c r="R191" i="1"/>
  <c r="R183" i="1"/>
  <c r="R175" i="1"/>
  <c r="R167" i="1"/>
  <c r="R159" i="1"/>
  <c r="R151" i="1"/>
  <c r="R143" i="1"/>
  <c r="R135" i="1"/>
  <c r="R127" i="1"/>
  <c r="R119" i="1"/>
  <c r="R111" i="1"/>
  <c r="R103" i="1"/>
  <c r="R95" i="1"/>
  <c r="R87" i="1"/>
  <c r="R79" i="1"/>
  <c r="R71" i="1"/>
  <c r="R63" i="1"/>
  <c r="R55" i="1"/>
  <c r="R47" i="1"/>
  <c r="R39" i="1"/>
  <c r="R31" i="1"/>
  <c r="R23" i="1"/>
  <c r="R15" i="1"/>
  <c r="R7" i="1"/>
  <c r="R494" i="1"/>
  <c r="R486" i="1"/>
  <c r="R478" i="1"/>
  <c r="R470" i="1"/>
  <c r="R462" i="1"/>
  <c r="R454" i="1"/>
  <c r="R446" i="1"/>
  <c r="R438" i="1"/>
  <c r="R430" i="1"/>
  <c r="R422" i="1"/>
  <c r="R414" i="1"/>
  <c r="R406" i="1"/>
  <c r="R398" i="1"/>
  <c r="R390" i="1"/>
  <c r="R382" i="1"/>
  <c r="R374" i="1"/>
  <c r="R366" i="1"/>
  <c r="R358" i="1"/>
  <c r="R350" i="1"/>
  <c r="R342" i="1"/>
  <c r="R334" i="1"/>
  <c r="R326" i="1"/>
  <c r="R318" i="1"/>
  <c r="R310" i="1"/>
  <c r="R302" i="1"/>
  <c r="R294" i="1"/>
  <c r="R286" i="1"/>
  <c r="R278" i="1"/>
  <c r="R270" i="1"/>
  <c r="R262" i="1"/>
  <c r="R254" i="1"/>
  <c r="R246" i="1"/>
  <c r="R238" i="1"/>
  <c r="R230" i="1"/>
  <c r="R222" i="1"/>
  <c r="R214" i="1"/>
  <c r="R206" i="1"/>
  <c r="R198" i="1"/>
  <c r="R190" i="1"/>
  <c r="R182" i="1"/>
  <c r="R174" i="1"/>
  <c r="R166" i="1"/>
  <c r="R158" i="1"/>
  <c r="R150" i="1"/>
  <c r="R142" i="1"/>
  <c r="R134" i="1"/>
  <c r="R126" i="1"/>
  <c r="R118" i="1"/>
  <c r="R110" i="1"/>
  <c r="R102" i="1"/>
  <c r="R94" i="1"/>
  <c r="R86" i="1"/>
  <c r="R78" i="1"/>
  <c r="R70" i="1"/>
  <c r="R62" i="1"/>
  <c r="R54" i="1"/>
  <c r="R46" i="1"/>
  <c r="R38" i="1"/>
  <c r="R30" i="1"/>
  <c r="R22" i="1"/>
  <c r="R14" i="1"/>
  <c r="R6" i="1"/>
  <c r="R501" i="1"/>
  <c r="R493" i="1"/>
  <c r="R485" i="1"/>
  <c r="R477" i="1"/>
  <c r="R469" i="1"/>
  <c r="R461" i="1"/>
  <c r="R453" i="1"/>
  <c r="R445" i="1"/>
  <c r="R437" i="1"/>
  <c r="R429" i="1"/>
  <c r="R421" i="1"/>
  <c r="R413" i="1"/>
  <c r="R405" i="1"/>
  <c r="R397" i="1"/>
  <c r="R389" i="1"/>
  <c r="R381" i="1"/>
  <c r="R373" i="1"/>
  <c r="R365" i="1"/>
  <c r="R357" i="1"/>
  <c r="R349" i="1"/>
  <c r="R341" i="1"/>
  <c r="R333" i="1"/>
  <c r="R325" i="1"/>
  <c r="R317" i="1"/>
  <c r="R309" i="1"/>
  <c r="R301" i="1"/>
  <c r="R293" i="1"/>
  <c r="R285" i="1"/>
  <c r="R277" i="1"/>
  <c r="R269" i="1"/>
  <c r="R261" i="1"/>
  <c r="R253" i="1"/>
  <c r="R245" i="1"/>
  <c r="R237" i="1"/>
  <c r="R229" i="1"/>
  <c r="R221" i="1"/>
  <c r="R213" i="1"/>
  <c r="R205" i="1"/>
  <c r="R197" i="1"/>
  <c r="R189" i="1"/>
  <c r="R181" i="1"/>
  <c r="R173" i="1"/>
  <c r="R165" i="1"/>
  <c r="R157" i="1"/>
  <c r="R149" i="1"/>
  <c r="R141" i="1"/>
  <c r="R133" i="1"/>
  <c r="R125" i="1"/>
  <c r="R117" i="1"/>
  <c r="R109" i="1"/>
  <c r="R101" i="1"/>
  <c r="R93" i="1"/>
  <c r="R85" i="1"/>
  <c r="R77" i="1"/>
  <c r="R69" i="1"/>
  <c r="R61" i="1"/>
  <c r="R53" i="1"/>
  <c r="R45" i="1"/>
  <c r="R37" i="1"/>
  <c r="R29" i="1"/>
  <c r="R21" i="1"/>
  <c r="R13" i="1"/>
  <c r="R5" i="1"/>
  <c r="R500" i="1"/>
  <c r="R492" i="1"/>
  <c r="R484" i="1"/>
  <c r="R476" i="1"/>
  <c r="R468" i="1"/>
  <c r="R460" i="1"/>
  <c r="R452" i="1"/>
  <c r="R444" i="1"/>
  <c r="R436" i="1"/>
  <c r="R428" i="1"/>
  <c r="R420" i="1"/>
  <c r="R412" i="1"/>
  <c r="R404" i="1"/>
  <c r="R396" i="1"/>
  <c r="R388" i="1"/>
  <c r="R380" i="1"/>
  <c r="R372" i="1"/>
  <c r="R364" i="1"/>
  <c r="R356" i="1"/>
  <c r="R348" i="1"/>
  <c r="R340" i="1"/>
  <c r="R332" i="1"/>
  <c r="R324" i="1"/>
  <c r="R316" i="1"/>
  <c r="R308" i="1"/>
  <c r="R300" i="1"/>
  <c r="R292" i="1"/>
  <c r="R284" i="1"/>
  <c r="R276" i="1"/>
  <c r="R268" i="1"/>
  <c r="R260" i="1"/>
  <c r="R252" i="1"/>
  <c r="R244" i="1"/>
  <c r="R236" i="1"/>
  <c r="R228" i="1"/>
  <c r="R220" i="1"/>
  <c r="R212" i="1"/>
  <c r="R204" i="1"/>
  <c r="R196" i="1"/>
  <c r="R188" i="1"/>
  <c r="R180" i="1"/>
  <c r="R172" i="1"/>
  <c r="R164" i="1"/>
  <c r="R156" i="1"/>
  <c r="R148" i="1"/>
  <c r="R140" i="1"/>
  <c r="R132" i="1"/>
  <c r="R124" i="1"/>
  <c r="R116" i="1"/>
  <c r="R108" i="1"/>
  <c r="R100" i="1"/>
  <c r="R92" i="1"/>
  <c r="R84" i="1"/>
  <c r="R76" i="1"/>
  <c r="R68" i="1"/>
  <c r="R60" i="1"/>
  <c r="R52" i="1"/>
  <c r="R44" i="1"/>
  <c r="R36" i="1"/>
  <c r="R28" i="1"/>
  <c r="R20" i="1"/>
  <c r="R12" i="1"/>
  <c r="R4" i="1"/>
  <c r="R499" i="1"/>
  <c r="R491" i="1"/>
  <c r="R483" i="1"/>
  <c r="R475" i="1"/>
  <c r="R467" i="1"/>
  <c r="R459" i="1"/>
  <c r="R451" i="1"/>
  <c r="R443" i="1"/>
  <c r="R435" i="1"/>
  <c r="R427" i="1"/>
  <c r="R419" i="1"/>
  <c r="R411" i="1"/>
  <c r="R403" i="1"/>
  <c r="R395" i="1"/>
  <c r="R387" i="1"/>
  <c r="R379" i="1"/>
  <c r="R371" i="1"/>
  <c r="R363" i="1"/>
  <c r="R355" i="1"/>
  <c r="R347" i="1"/>
  <c r="R339" i="1"/>
  <c r="R331" i="1"/>
  <c r="R323" i="1"/>
  <c r="R315" i="1"/>
  <c r="R307" i="1"/>
  <c r="R299" i="1"/>
  <c r="R291" i="1"/>
  <c r="R283" i="1"/>
  <c r="R275" i="1"/>
  <c r="R267" i="1"/>
  <c r="R259" i="1"/>
  <c r="R251" i="1"/>
  <c r="R243" i="1"/>
  <c r="R235" i="1"/>
  <c r="R227" i="1"/>
  <c r="R219" i="1"/>
  <c r="R211" i="1"/>
  <c r="R203" i="1"/>
  <c r="R195" i="1"/>
  <c r="R187" i="1"/>
  <c r="R179" i="1"/>
  <c r="R171" i="1"/>
  <c r="R163" i="1"/>
  <c r="R155" i="1"/>
  <c r="R147" i="1"/>
  <c r="R139" i="1"/>
  <c r="R131" i="1"/>
  <c r="R123" i="1"/>
  <c r="R115" i="1"/>
  <c r="R107" i="1"/>
  <c r="R99" i="1"/>
  <c r="R91" i="1"/>
  <c r="R83" i="1"/>
  <c r="R75" i="1"/>
  <c r="R67" i="1"/>
  <c r="R59" i="1"/>
  <c r="R51" i="1"/>
  <c r="R43" i="1"/>
  <c r="R35" i="1"/>
  <c r="R27" i="1"/>
  <c r="R19" i="1"/>
  <c r="R11" i="1"/>
  <c r="R3" i="1"/>
  <c r="R498" i="1"/>
  <c r="R490" i="1"/>
  <c r="R482" i="1"/>
  <c r="R474" i="1"/>
  <c r="R466" i="1"/>
  <c r="R458" i="1"/>
  <c r="R450" i="1"/>
  <c r="R442" i="1"/>
  <c r="R434" i="1"/>
  <c r="R426" i="1"/>
  <c r="R418" i="1"/>
  <c r="R410" i="1"/>
  <c r="R402" i="1"/>
  <c r="R394" i="1"/>
  <c r="R386" i="1"/>
  <c r="R378" i="1"/>
  <c r="R370" i="1"/>
  <c r="R362" i="1"/>
  <c r="R354" i="1"/>
  <c r="R346" i="1"/>
  <c r="R338" i="1"/>
  <c r="R330" i="1"/>
  <c r="R322" i="1"/>
  <c r="R314" i="1"/>
  <c r="R306" i="1"/>
  <c r="R298" i="1"/>
  <c r="R290" i="1"/>
  <c r="R282" i="1"/>
  <c r="R274" i="1"/>
  <c r="R266" i="1"/>
  <c r="R258" i="1"/>
  <c r="R250" i="1"/>
  <c r="R242" i="1"/>
  <c r="R234" i="1"/>
  <c r="R226" i="1"/>
  <c r="R218" i="1"/>
  <c r="R210" i="1"/>
  <c r="R202" i="1"/>
  <c r="R194" i="1"/>
  <c r="R186" i="1"/>
  <c r="R178" i="1"/>
  <c r="R170" i="1"/>
  <c r="R162" i="1"/>
  <c r="R154" i="1"/>
  <c r="R146" i="1"/>
  <c r="R138" i="1"/>
  <c r="R130" i="1"/>
  <c r="R122" i="1"/>
  <c r="R114" i="1"/>
  <c r="R106" i="1"/>
  <c r="R98" i="1"/>
  <c r="R90" i="1"/>
  <c r="R82" i="1"/>
  <c r="R74" i="1"/>
  <c r="R66" i="1"/>
  <c r="R58" i="1"/>
  <c r="R50" i="1"/>
  <c r="R42" i="1"/>
  <c r="R34" i="1"/>
  <c r="R26" i="1"/>
  <c r="R18" i="1"/>
  <c r="R10" i="1"/>
  <c r="M68" i="1"/>
  <c r="N68" i="1" s="1"/>
  <c r="M476" i="1"/>
  <c r="N476" i="1" s="1"/>
  <c r="M412" i="1"/>
  <c r="N412" i="1" s="1"/>
  <c r="M348" i="1"/>
  <c r="N348" i="1" s="1"/>
  <c r="M284" i="1"/>
  <c r="N284" i="1" s="1"/>
  <c r="M220" i="1"/>
  <c r="N220" i="1" s="1"/>
  <c r="M156" i="1"/>
  <c r="N156" i="1" s="1"/>
  <c r="M92" i="1"/>
  <c r="N92" i="1" s="1"/>
  <c r="M28" i="1"/>
  <c r="N28" i="1" s="1"/>
  <c r="M468" i="1"/>
  <c r="N468" i="1" s="1"/>
  <c r="M404" i="1"/>
  <c r="N404" i="1" s="1"/>
  <c r="M340" i="1"/>
  <c r="N340" i="1" s="1"/>
  <c r="M276" i="1"/>
  <c r="N276" i="1" s="1"/>
  <c r="M212" i="1"/>
  <c r="N212" i="1" s="1"/>
  <c r="M148" i="1"/>
  <c r="N148" i="1" s="1"/>
  <c r="M84" i="1"/>
  <c r="N84" i="1" s="1"/>
  <c r="M20" i="1"/>
  <c r="N20" i="1" s="1"/>
  <c r="M132" i="1"/>
  <c r="N132" i="1" s="1"/>
  <c r="M460" i="1"/>
  <c r="N460" i="1" s="1"/>
  <c r="M396" i="1"/>
  <c r="N396" i="1" s="1"/>
  <c r="M332" i="1"/>
  <c r="N332" i="1" s="1"/>
  <c r="M268" i="1"/>
  <c r="N268" i="1" s="1"/>
  <c r="M204" i="1"/>
  <c r="N204" i="1" s="1"/>
  <c r="M140" i="1"/>
  <c r="N140" i="1" s="1"/>
  <c r="M76" i="1"/>
  <c r="N76" i="1" s="1"/>
  <c r="M12" i="1"/>
  <c r="N12" i="1" s="1"/>
  <c r="M501" i="1"/>
  <c r="N501" i="1" s="1"/>
  <c r="M444" i="1"/>
  <c r="N444" i="1" s="1"/>
  <c r="M380" i="1"/>
  <c r="N380" i="1" s="1"/>
  <c r="M316" i="1"/>
  <c r="N316" i="1" s="1"/>
  <c r="M252" i="1"/>
  <c r="N252" i="1" s="1"/>
  <c r="M188" i="1"/>
  <c r="N188" i="1" s="1"/>
  <c r="M124" i="1"/>
  <c r="N124" i="1" s="1"/>
  <c r="M60" i="1"/>
  <c r="N60" i="1" s="1"/>
  <c r="M452" i="1"/>
  <c r="N452" i="1" s="1"/>
  <c r="M324" i="1"/>
  <c r="N324" i="1" s="1"/>
  <c r="M4" i="1"/>
  <c r="N4" i="1" s="1"/>
  <c r="M500" i="1"/>
  <c r="N500" i="1" s="1"/>
  <c r="M436" i="1"/>
  <c r="N436" i="1" s="1"/>
  <c r="M372" i="1"/>
  <c r="N372" i="1" s="1"/>
  <c r="M308" i="1"/>
  <c r="N308" i="1" s="1"/>
  <c r="M244" i="1"/>
  <c r="N244" i="1" s="1"/>
  <c r="M180" i="1"/>
  <c r="N180" i="1" s="1"/>
  <c r="M116" i="1"/>
  <c r="N116" i="1" s="1"/>
  <c r="M52" i="1"/>
  <c r="N52" i="1" s="1"/>
  <c r="M260" i="1"/>
  <c r="N260" i="1" s="1"/>
  <c r="M492" i="1"/>
  <c r="N492" i="1" s="1"/>
  <c r="M428" i="1"/>
  <c r="N428" i="1" s="1"/>
  <c r="M364" i="1"/>
  <c r="N364" i="1" s="1"/>
  <c r="M300" i="1"/>
  <c r="N300" i="1" s="1"/>
  <c r="M236" i="1"/>
  <c r="N236" i="1" s="1"/>
  <c r="M172" i="1"/>
  <c r="N172" i="1" s="1"/>
  <c r="M108" i="1"/>
  <c r="N108" i="1" s="1"/>
  <c r="M44" i="1"/>
  <c r="N44" i="1" s="1"/>
  <c r="M388" i="1"/>
  <c r="N388" i="1" s="1"/>
  <c r="M196" i="1"/>
  <c r="N196" i="1" s="1"/>
  <c r="M484" i="1"/>
  <c r="N484" i="1" s="1"/>
  <c r="M420" i="1"/>
  <c r="N420" i="1" s="1"/>
  <c r="M356" i="1"/>
  <c r="N356" i="1" s="1"/>
  <c r="M292" i="1"/>
  <c r="N292" i="1" s="1"/>
  <c r="M228" i="1"/>
  <c r="N228" i="1" s="1"/>
  <c r="M164" i="1"/>
  <c r="N164" i="1" s="1"/>
  <c r="M100" i="1"/>
  <c r="N100" i="1" s="1"/>
  <c r="M36" i="1"/>
  <c r="N36" i="1" s="1"/>
  <c r="M493" i="1"/>
  <c r="N493" i="1" s="1"/>
  <c r="M485" i="1"/>
  <c r="N485" i="1" s="1"/>
  <c r="M477" i="1"/>
  <c r="N477" i="1" s="1"/>
  <c r="M469" i="1"/>
  <c r="N469" i="1" s="1"/>
  <c r="M461" i="1"/>
  <c r="N461" i="1" s="1"/>
  <c r="M453" i="1"/>
  <c r="N453" i="1" s="1"/>
  <c r="M445" i="1"/>
  <c r="N445" i="1" s="1"/>
  <c r="M437" i="1"/>
  <c r="N437" i="1" s="1"/>
  <c r="M429" i="1"/>
  <c r="N429" i="1" s="1"/>
  <c r="M421" i="1"/>
  <c r="N421" i="1" s="1"/>
  <c r="M413" i="1"/>
  <c r="N413" i="1" s="1"/>
  <c r="M405" i="1"/>
  <c r="N405" i="1" s="1"/>
  <c r="M397" i="1"/>
  <c r="N397" i="1" s="1"/>
  <c r="M389" i="1"/>
  <c r="N389" i="1" s="1"/>
  <c r="M381" i="1"/>
  <c r="N381" i="1" s="1"/>
  <c r="M373" i="1"/>
  <c r="N373" i="1" s="1"/>
  <c r="M365" i="1"/>
  <c r="N365" i="1" s="1"/>
  <c r="M357" i="1"/>
  <c r="N357" i="1" s="1"/>
  <c r="M349" i="1"/>
  <c r="N349" i="1" s="1"/>
  <c r="M341" i="1"/>
  <c r="N341" i="1" s="1"/>
  <c r="M333" i="1"/>
  <c r="N333" i="1" s="1"/>
  <c r="M325" i="1"/>
  <c r="N325" i="1" s="1"/>
  <c r="M317" i="1"/>
  <c r="N317" i="1" s="1"/>
  <c r="M309" i="1"/>
  <c r="N309" i="1" s="1"/>
  <c r="M301" i="1"/>
  <c r="N301" i="1" s="1"/>
  <c r="M293" i="1"/>
  <c r="N293" i="1" s="1"/>
  <c r="M285" i="1"/>
  <c r="N285" i="1" s="1"/>
  <c r="M277" i="1"/>
  <c r="N277" i="1" s="1"/>
  <c r="M269" i="1"/>
  <c r="N269" i="1" s="1"/>
  <c r="M261" i="1"/>
  <c r="N261" i="1" s="1"/>
  <c r="M253" i="1"/>
  <c r="N253" i="1" s="1"/>
  <c r="M245" i="1"/>
  <c r="N245" i="1" s="1"/>
  <c r="M237" i="1"/>
  <c r="N237" i="1" s="1"/>
  <c r="M229" i="1"/>
  <c r="N229" i="1" s="1"/>
  <c r="M221" i="1"/>
  <c r="N221" i="1" s="1"/>
  <c r="M213" i="1"/>
  <c r="N213" i="1" s="1"/>
  <c r="M205" i="1"/>
  <c r="N205" i="1" s="1"/>
  <c r="M197" i="1"/>
  <c r="N197" i="1" s="1"/>
  <c r="M189" i="1"/>
  <c r="N189" i="1" s="1"/>
  <c r="M181" i="1"/>
  <c r="N181" i="1" s="1"/>
  <c r="M173" i="1"/>
  <c r="N173" i="1" s="1"/>
  <c r="M165" i="1"/>
  <c r="N165" i="1" s="1"/>
  <c r="M157" i="1"/>
  <c r="N157" i="1" s="1"/>
  <c r="M149" i="1"/>
  <c r="N149" i="1" s="1"/>
  <c r="M141" i="1"/>
  <c r="N141" i="1" s="1"/>
  <c r="M133" i="1"/>
  <c r="N133" i="1" s="1"/>
  <c r="M125" i="1"/>
  <c r="N125" i="1" s="1"/>
  <c r="M117" i="1"/>
  <c r="N117" i="1" s="1"/>
  <c r="M109" i="1"/>
  <c r="N109" i="1" s="1"/>
  <c r="M101" i="1"/>
  <c r="N101" i="1" s="1"/>
  <c r="M93" i="1"/>
  <c r="N93" i="1" s="1"/>
  <c r="M85" i="1"/>
  <c r="N85" i="1" s="1"/>
  <c r="M77" i="1"/>
  <c r="N77" i="1" s="1"/>
  <c r="M69" i="1"/>
  <c r="N69" i="1" s="1"/>
  <c r="M61" i="1"/>
  <c r="N61" i="1" s="1"/>
  <c r="M53" i="1"/>
  <c r="N53" i="1" s="1"/>
  <c r="M45" i="1"/>
  <c r="N45" i="1" s="1"/>
  <c r="M37" i="1"/>
  <c r="N37" i="1" s="1"/>
  <c r="M29" i="1"/>
  <c r="N29" i="1" s="1"/>
  <c r="M21" i="1"/>
  <c r="N21" i="1" s="1"/>
  <c r="M13" i="1"/>
  <c r="N13" i="1" s="1"/>
  <c r="M5" i="1"/>
  <c r="N5" i="1" s="1"/>
  <c r="M499" i="1"/>
  <c r="N499" i="1" s="1"/>
  <c r="M491" i="1"/>
  <c r="N491" i="1" s="1"/>
  <c r="M483" i="1"/>
  <c r="N483" i="1" s="1"/>
  <c r="M475" i="1"/>
  <c r="N475" i="1" s="1"/>
  <c r="M467" i="1"/>
  <c r="N467" i="1" s="1"/>
  <c r="M459" i="1"/>
  <c r="N459" i="1" s="1"/>
  <c r="M451" i="1"/>
  <c r="N451" i="1" s="1"/>
  <c r="M443" i="1"/>
  <c r="N443" i="1" s="1"/>
  <c r="M435" i="1"/>
  <c r="N435" i="1" s="1"/>
  <c r="M427" i="1"/>
  <c r="N427" i="1" s="1"/>
  <c r="M419" i="1"/>
  <c r="N419" i="1" s="1"/>
  <c r="M411" i="1"/>
  <c r="N411" i="1" s="1"/>
  <c r="M403" i="1"/>
  <c r="N403" i="1" s="1"/>
  <c r="M395" i="1"/>
  <c r="N395" i="1" s="1"/>
  <c r="M387" i="1"/>
  <c r="N387" i="1" s="1"/>
  <c r="M379" i="1"/>
  <c r="N379" i="1" s="1"/>
  <c r="M371" i="1"/>
  <c r="N371" i="1" s="1"/>
  <c r="M363" i="1"/>
  <c r="N363" i="1" s="1"/>
  <c r="M355" i="1"/>
  <c r="N355" i="1" s="1"/>
  <c r="M347" i="1"/>
  <c r="N347" i="1" s="1"/>
  <c r="M339" i="1"/>
  <c r="N339" i="1" s="1"/>
  <c r="M331" i="1"/>
  <c r="N331" i="1" s="1"/>
  <c r="M323" i="1"/>
  <c r="N323" i="1" s="1"/>
  <c r="M315" i="1"/>
  <c r="N315" i="1" s="1"/>
  <c r="M307" i="1"/>
  <c r="N307" i="1" s="1"/>
  <c r="M299" i="1"/>
  <c r="N299" i="1" s="1"/>
  <c r="M291" i="1"/>
  <c r="N291" i="1" s="1"/>
  <c r="M283" i="1"/>
  <c r="N283" i="1" s="1"/>
  <c r="M275" i="1"/>
  <c r="N275" i="1" s="1"/>
  <c r="M267" i="1"/>
  <c r="N267" i="1" s="1"/>
  <c r="M259" i="1"/>
  <c r="N259" i="1" s="1"/>
  <c r="M251" i="1"/>
  <c r="N251" i="1" s="1"/>
  <c r="M243" i="1"/>
  <c r="N243" i="1" s="1"/>
  <c r="M235" i="1"/>
  <c r="N235" i="1" s="1"/>
  <c r="M227" i="1"/>
  <c r="N227" i="1" s="1"/>
  <c r="M219" i="1"/>
  <c r="N219" i="1" s="1"/>
  <c r="M211" i="1"/>
  <c r="N211" i="1" s="1"/>
  <c r="M203" i="1"/>
  <c r="N203" i="1" s="1"/>
  <c r="M195" i="1"/>
  <c r="N195" i="1" s="1"/>
  <c r="M187" i="1"/>
  <c r="N187" i="1" s="1"/>
  <c r="M179" i="1"/>
  <c r="N179" i="1" s="1"/>
  <c r="M171" i="1"/>
  <c r="N171" i="1" s="1"/>
  <c r="M163" i="1"/>
  <c r="N163" i="1" s="1"/>
  <c r="M155" i="1"/>
  <c r="N155" i="1" s="1"/>
  <c r="M147" i="1"/>
  <c r="N147" i="1" s="1"/>
  <c r="M139" i="1"/>
  <c r="N139" i="1" s="1"/>
  <c r="M131" i="1"/>
  <c r="N131" i="1" s="1"/>
  <c r="M123" i="1"/>
  <c r="N123" i="1" s="1"/>
  <c r="M115" i="1"/>
  <c r="N115" i="1" s="1"/>
  <c r="M107" i="1"/>
  <c r="N107" i="1" s="1"/>
  <c r="M99" i="1"/>
  <c r="N99" i="1" s="1"/>
  <c r="M91" i="1"/>
  <c r="N91" i="1" s="1"/>
  <c r="M83" i="1"/>
  <c r="N83" i="1" s="1"/>
  <c r="M75" i="1"/>
  <c r="N75" i="1" s="1"/>
  <c r="M67" i="1"/>
  <c r="N67" i="1" s="1"/>
  <c r="M59" i="1"/>
  <c r="N59" i="1" s="1"/>
  <c r="M51" i="1"/>
  <c r="N51" i="1" s="1"/>
  <c r="M43" i="1"/>
  <c r="N43" i="1" s="1"/>
  <c r="M35" i="1"/>
  <c r="N35" i="1" s="1"/>
  <c r="M27" i="1"/>
  <c r="N27" i="1" s="1"/>
  <c r="M19" i="1"/>
  <c r="N19" i="1" s="1"/>
  <c r="M11" i="1"/>
  <c r="N11" i="1" s="1"/>
  <c r="M3" i="1"/>
  <c r="M498" i="1"/>
  <c r="N498" i="1" s="1"/>
  <c r="M490" i="1"/>
  <c r="N490" i="1" s="1"/>
  <c r="M482" i="1"/>
  <c r="N482" i="1" s="1"/>
  <c r="M474" i="1"/>
  <c r="N474" i="1" s="1"/>
  <c r="M466" i="1"/>
  <c r="N466" i="1" s="1"/>
  <c r="M458" i="1"/>
  <c r="N458" i="1" s="1"/>
  <c r="M450" i="1"/>
  <c r="N450" i="1" s="1"/>
  <c r="M442" i="1"/>
  <c r="N442" i="1" s="1"/>
  <c r="M434" i="1"/>
  <c r="N434" i="1" s="1"/>
  <c r="M426" i="1"/>
  <c r="N426" i="1" s="1"/>
  <c r="M418" i="1"/>
  <c r="N418" i="1" s="1"/>
  <c r="M410" i="1"/>
  <c r="N410" i="1" s="1"/>
  <c r="M402" i="1"/>
  <c r="N402" i="1" s="1"/>
  <c r="M394" i="1"/>
  <c r="N394" i="1" s="1"/>
  <c r="M386" i="1"/>
  <c r="N386" i="1" s="1"/>
  <c r="M378" i="1"/>
  <c r="N378" i="1" s="1"/>
  <c r="M370" i="1"/>
  <c r="N370" i="1" s="1"/>
  <c r="M362" i="1"/>
  <c r="N362" i="1" s="1"/>
  <c r="M354" i="1"/>
  <c r="N354" i="1" s="1"/>
  <c r="M346" i="1"/>
  <c r="N346" i="1" s="1"/>
  <c r="M338" i="1"/>
  <c r="N338" i="1" s="1"/>
  <c r="M330" i="1"/>
  <c r="N330" i="1" s="1"/>
  <c r="M322" i="1"/>
  <c r="N322" i="1" s="1"/>
  <c r="M314" i="1"/>
  <c r="N314" i="1" s="1"/>
  <c r="M306" i="1"/>
  <c r="N306" i="1" s="1"/>
  <c r="M298" i="1"/>
  <c r="N298" i="1" s="1"/>
  <c r="M290" i="1"/>
  <c r="N290" i="1" s="1"/>
  <c r="M282" i="1"/>
  <c r="N282" i="1" s="1"/>
  <c r="M274" i="1"/>
  <c r="N274" i="1" s="1"/>
  <c r="M266" i="1"/>
  <c r="N266" i="1" s="1"/>
  <c r="M258" i="1"/>
  <c r="N258" i="1" s="1"/>
  <c r="M250" i="1"/>
  <c r="N250" i="1" s="1"/>
  <c r="M242" i="1"/>
  <c r="N242" i="1" s="1"/>
  <c r="M234" i="1"/>
  <c r="N234" i="1" s="1"/>
  <c r="M226" i="1"/>
  <c r="N226" i="1" s="1"/>
  <c r="M218" i="1"/>
  <c r="N218" i="1" s="1"/>
  <c r="M210" i="1"/>
  <c r="N210" i="1" s="1"/>
  <c r="M202" i="1"/>
  <c r="N202" i="1" s="1"/>
  <c r="M194" i="1"/>
  <c r="N194" i="1" s="1"/>
  <c r="M186" i="1"/>
  <c r="N186" i="1" s="1"/>
  <c r="M178" i="1"/>
  <c r="N178" i="1" s="1"/>
  <c r="M170" i="1"/>
  <c r="N170" i="1" s="1"/>
  <c r="M162" i="1"/>
  <c r="N162" i="1" s="1"/>
  <c r="M154" i="1"/>
  <c r="N154" i="1" s="1"/>
  <c r="M146" i="1"/>
  <c r="N146" i="1" s="1"/>
  <c r="M138" i="1"/>
  <c r="N138" i="1" s="1"/>
  <c r="M130" i="1"/>
  <c r="N130" i="1" s="1"/>
  <c r="M122" i="1"/>
  <c r="N122" i="1" s="1"/>
  <c r="M114" i="1"/>
  <c r="N114" i="1" s="1"/>
  <c r="M106" i="1"/>
  <c r="N106" i="1" s="1"/>
  <c r="M98" i="1"/>
  <c r="N98" i="1" s="1"/>
  <c r="M90" i="1"/>
  <c r="N90" i="1" s="1"/>
  <c r="M82" i="1"/>
  <c r="N82" i="1" s="1"/>
  <c r="M74" i="1"/>
  <c r="N74" i="1" s="1"/>
  <c r="M66" i="1"/>
  <c r="N66" i="1" s="1"/>
  <c r="M58" i="1"/>
  <c r="N58" i="1" s="1"/>
  <c r="M50" i="1"/>
  <c r="N50" i="1" s="1"/>
  <c r="M42" i="1"/>
  <c r="N42" i="1" s="1"/>
  <c r="M34" i="1"/>
  <c r="N34" i="1" s="1"/>
  <c r="M26" i="1"/>
  <c r="N26" i="1" s="1"/>
  <c r="M18" i="1"/>
  <c r="N18" i="1" s="1"/>
  <c r="M10" i="1"/>
  <c r="N10" i="1" s="1"/>
  <c r="M497" i="1"/>
  <c r="N497" i="1" s="1"/>
  <c r="M489" i="1"/>
  <c r="N489" i="1" s="1"/>
  <c r="M481" i="1"/>
  <c r="N481" i="1" s="1"/>
  <c r="M473" i="1"/>
  <c r="N473" i="1" s="1"/>
  <c r="M465" i="1"/>
  <c r="N465" i="1" s="1"/>
  <c r="M457" i="1"/>
  <c r="N457" i="1" s="1"/>
  <c r="M449" i="1"/>
  <c r="N449" i="1" s="1"/>
  <c r="M441" i="1"/>
  <c r="N441" i="1" s="1"/>
  <c r="M433" i="1"/>
  <c r="N433" i="1" s="1"/>
  <c r="M425" i="1"/>
  <c r="N425" i="1" s="1"/>
  <c r="M417" i="1"/>
  <c r="N417" i="1" s="1"/>
  <c r="M409" i="1"/>
  <c r="N409" i="1" s="1"/>
  <c r="M401" i="1"/>
  <c r="N401" i="1" s="1"/>
  <c r="M393" i="1"/>
  <c r="N393" i="1" s="1"/>
  <c r="M385" i="1"/>
  <c r="N385" i="1" s="1"/>
  <c r="M377" i="1"/>
  <c r="N377" i="1" s="1"/>
  <c r="M369" i="1"/>
  <c r="N369" i="1" s="1"/>
  <c r="M361" i="1"/>
  <c r="N361" i="1" s="1"/>
  <c r="M353" i="1"/>
  <c r="N353" i="1" s="1"/>
  <c r="M345" i="1"/>
  <c r="N345" i="1" s="1"/>
  <c r="M337" i="1"/>
  <c r="N337" i="1" s="1"/>
  <c r="M329" i="1"/>
  <c r="N329" i="1" s="1"/>
  <c r="M321" i="1"/>
  <c r="N321" i="1" s="1"/>
  <c r="M313" i="1"/>
  <c r="N313" i="1" s="1"/>
  <c r="M305" i="1"/>
  <c r="N305" i="1" s="1"/>
  <c r="M297" i="1"/>
  <c r="N297" i="1" s="1"/>
  <c r="M289" i="1"/>
  <c r="N289" i="1" s="1"/>
  <c r="M281" i="1"/>
  <c r="N281" i="1" s="1"/>
  <c r="M273" i="1"/>
  <c r="N273" i="1" s="1"/>
  <c r="M265" i="1"/>
  <c r="N265" i="1" s="1"/>
  <c r="M257" i="1"/>
  <c r="N257" i="1" s="1"/>
  <c r="M249" i="1"/>
  <c r="N249" i="1" s="1"/>
  <c r="M241" i="1"/>
  <c r="N241" i="1" s="1"/>
  <c r="M233" i="1"/>
  <c r="N233" i="1" s="1"/>
  <c r="M225" i="1"/>
  <c r="N225" i="1" s="1"/>
  <c r="M217" i="1"/>
  <c r="N217" i="1" s="1"/>
  <c r="M209" i="1"/>
  <c r="N209" i="1" s="1"/>
  <c r="M201" i="1"/>
  <c r="N201" i="1" s="1"/>
  <c r="M193" i="1"/>
  <c r="N193" i="1" s="1"/>
  <c r="M185" i="1"/>
  <c r="N185" i="1" s="1"/>
  <c r="M177" i="1"/>
  <c r="N177" i="1" s="1"/>
  <c r="M169" i="1"/>
  <c r="N169" i="1" s="1"/>
  <c r="M161" i="1"/>
  <c r="N161" i="1" s="1"/>
  <c r="M153" i="1"/>
  <c r="N153" i="1" s="1"/>
  <c r="M145" i="1"/>
  <c r="N145" i="1" s="1"/>
  <c r="M137" i="1"/>
  <c r="N137" i="1" s="1"/>
  <c r="M129" i="1"/>
  <c r="N129" i="1" s="1"/>
  <c r="M121" i="1"/>
  <c r="N121" i="1" s="1"/>
  <c r="M113" i="1"/>
  <c r="N113" i="1" s="1"/>
  <c r="M105" i="1"/>
  <c r="N105" i="1" s="1"/>
  <c r="M97" i="1"/>
  <c r="N97" i="1" s="1"/>
  <c r="M89" i="1"/>
  <c r="N89" i="1" s="1"/>
  <c r="M81" i="1"/>
  <c r="N81" i="1" s="1"/>
  <c r="M73" i="1"/>
  <c r="N73" i="1" s="1"/>
  <c r="M65" i="1"/>
  <c r="N65" i="1" s="1"/>
  <c r="M57" i="1"/>
  <c r="N57" i="1" s="1"/>
  <c r="M49" i="1"/>
  <c r="N49" i="1" s="1"/>
  <c r="M41" i="1"/>
  <c r="N41" i="1" s="1"/>
  <c r="M33" i="1"/>
  <c r="N33" i="1" s="1"/>
  <c r="M25" i="1"/>
  <c r="N25" i="1" s="1"/>
  <c r="M17" i="1"/>
  <c r="N17" i="1" s="1"/>
  <c r="M9" i="1"/>
  <c r="N9" i="1" s="1"/>
  <c r="M496" i="1"/>
  <c r="N496" i="1" s="1"/>
  <c r="M488" i="1"/>
  <c r="N488" i="1" s="1"/>
  <c r="M480" i="1"/>
  <c r="N480" i="1" s="1"/>
  <c r="M472" i="1"/>
  <c r="N472" i="1" s="1"/>
  <c r="M464" i="1"/>
  <c r="N464" i="1" s="1"/>
  <c r="M456" i="1"/>
  <c r="N456" i="1" s="1"/>
  <c r="M448" i="1"/>
  <c r="N448" i="1" s="1"/>
  <c r="M440" i="1"/>
  <c r="N440" i="1" s="1"/>
  <c r="M432" i="1"/>
  <c r="N432" i="1" s="1"/>
  <c r="M424" i="1"/>
  <c r="N424" i="1" s="1"/>
  <c r="M416" i="1"/>
  <c r="N416" i="1" s="1"/>
  <c r="M408" i="1"/>
  <c r="N408" i="1" s="1"/>
  <c r="M400" i="1"/>
  <c r="N400" i="1" s="1"/>
  <c r="M392" i="1"/>
  <c r="N392" i="1" s="1"/>
  <c r="M384" i="1"/>
  <c r="N384" i="1" s="1"/>
  <c r="M376" i="1"/>
  <c r="N376" i="1" s="1"/>
  <c r="M368" i="1"/>
  <c r="N368" i="1" s="1"/>
  <c r="M360" i="1"/>
  <c r="N360" i="1" s="1"/>
  <c r="M352" i="1"/>
  <c r="N352" i="1" s="1"/>
  <c r="M344" i="1"/>
  <c r="N344" i="1" s="1"/>
  <c r="M336" i="1"/>
  <c r="N336" i="1" s="1"/>
  <c r="M328" i="1"/>
  <c r="N328" i="1" s="1"/>
  <c r="M320" i="1"/>
  <c r="N320" i="1" s="1"/>
  <c r="M312" i="1"/>
  <c r="N312" i="1" s="1"/>
  <c r="M304" i="1"/>
  <c r="N304" i="1" s="1"/>
  <c r="M296" i="1"/>
  <c r="N296" i="1" s="1"/>
  <c r="M288" i="1"/>
  <c r="N288" i="1" s="1"/>
  <c r="M280" i="1"/>
  <c r="N280" i="1" s="1"/>
  <c r="M272" i="1"/>
  <c r="N272" i="1" s="1"/>
  <c r="M264" i="1"/>
  <c r="N264" i="1" s="1"/>
  <c r="M256" i="1"/>
  <c r="N256" i="1" s="1"/>
  <c r="M248" i="1"/>
  <c r="N248" i="1" s="1"/>
  <c r="M240" i="1"/>
  <c r="N240" i="1" s="1"/>
  <c r="M232" i="1"/>
  <c r="N232" i="1" s="1"/>
  <c r="M224" i="1"/>
  <c r="N224" i="1" s="1"/>
  <c r="M216" i="1"/>
  <c r="N216" i="1" s="1"/>
  <c r="M208" i="1"/>
  <c r="N208" i="1" s="1"/>
  <c r="M200" i="1"/>
  <c r="N200" i="1" s="1"/>
  <c r="M192" i="1"/>
  <c r="N192" i="1" s="1"/>
  <c r="M184" i="1"/>
  <c r="N184" i="1" s="1"/>
  <c r="M176" i="1"/>
  <c r="N176" i="1" s="1"/>
  <c r="M168" i="1"/>
  <c r="N168" i="1" s="1"/>
  <c r="M160" i="1"/>
  <c r="N160" i="1" s="1"/>
  <c r="M152" i="1"/>
  <c r="N152" i="1" s="1"/>
  <c r="M144" i="1"/>
  <c r="N144" i="1" s="1"/>
  <c r="M136" i="1"/>
  <c r="N136" i="1" s="1"/>
  <c r="M128" i="1"/>
  <c r="N128" i="1" s="1"/>
  <c r="M120" i="1"/>
  <c r="N120" i="1" s="1"/>
  <c r="M112" i="1"/>
  <c r="N112" i="1" s="1"/>
  <c r="M104" i="1"/>
  <c r="N104" i="1" s="1"/>
  <c r="M96" i="1"/>
  <c r="N96" i="1" s="1"/>
  <c r="M88" i="1"/>
  <c r="N88" i="1" s="1"/>
  <c r="M80" i="1"/>
  <c r="N80" i="1" s="1"/>
  <c r="M72" i="1"/>
  <c r="N72" i="1" s="1"/>
  <c r="M64" i="1"/>
  <c r="N64" i="1" s="1"/>
  <c r="M56" i="1"/>
  <c r="N56" i="1" s="1"/>
  <c r="M48" i="1"/>
  <c r="N48" i="1" s="1"/>
  <c r="M40" i="1"/>
  <c r="N40" i="1" s="1"/>
  <c r="M32" i="1"/>
  <c r="N32" i="1" s="1"/>
  <c r="M24" i="1"/>
  <c r="N24" i="1" s="1"/>
  <c r="M16" i="1"/>
  <c r="N16" i="1" s="1"/>
  <c r="M8" i="1"/>
  <c r="N8" i="1" s="1"/>
  <c r="M495" i="1"/>
  <c r="N495" i="1" s="1"/>
  <c r="M487" i="1"/>
  <c r="N487" i="1" s="1"/>
  <c r="M479" i="1"/>
  <c r="N479" i="1" s="1"/>
  <c r="M471" i="1"/>
  <c r="N471" i="1" s="1"/>
  <c r="M463" i="1"/>
  <c r="N463" i="1" s="1"/>
  <c r="M455" i="1"/>
  <c r="N455" i="1" s="1"/>
  <c r="M447" i="1"/>
  <c r="N447" i="1" s="1"/>
  <c r="M439" i="1"/>
  <c r="N439" i="1" s="1"/>
  <c r="M431" i="1"/>
  <c r="N431" i="1" s="1"/>
  <c r="M423" i="1"/>
  <c r="N423" i="1" s="1"/>
  <c r="M415" i="1"/>
  <c r="N415" i="1" s="1"/>
  <c r="M407" i="1"/>
  <c r="N407" i="1" s="1"/>
  <c r="M399" i="1"/>
  <c r="N399" i="1" s="1"/>
  <c r="M391" i="1"/>
  <c r="N391" i="1" s="1"/>
  <c r="M383" i="1"/>
  <c r="N383" i="1" s="1"/>
  <c r="M375" i="1"/>
  <c r="N375" i="1" s="1"/>
  <c r="M367" i="1"/>
  <c r="N367" i="1" s="1"/>
  <c r="M359" i="1"/>
  <c r="N359" i="1" s="1"/>
  <c r="M351" i="1"/>
  <c r="N351" i="1" s="1"/>
  <c r="M343" i="1"/>
  <c r="N343" i="1" s="1"/>
  <c r="M335" i="1"/>
  <c r="N335" i="1" s="1"/>
  <c r="M327" i="1"/>
  <c r="N327" i="1" s="1"/>
  <c r="M319" i="1"/>
  <c r="N319" i="1" s="1"/>
  <c r="M311" i="1"/>
  <c r="N311" i="1" s="1"/>
  <c r="M303" i="1"/>
  <c r="N303" i="1" s="1"/>
  <c r="M295" i="1"/>
  <c r="N295" i="1" s="1"/>
  <c r="M287" i="1"/>
  <c r="N287" i="1" s="1"/>
  <c r="M279" i="1"/>
  <c r="N279" i="1" s="1"/>
  <c r="M271" i="1"/>
  <c r="N271" i="1" s="1"/>
  <c r="M263" i="1"/>
  <c r="N263" i="1" s="1"/>
  <c r="M255" i="1"/>
  <c r="N255" i="1" s="1"/>
  <c r="M247" i="1"/>
  <c r="N247" i="1" s="1"/>
  <c r="M239" i="1"/>
  <c r="N239" i="1" s="1"/>
  <c r="M231" i="1"/>
  <c r="N231" i="1" s="1"/>
  <c r="M223" i="1"/>
  <c r="N223" i="1" s="1"/>
  <c r="M215" i="1"/>
  <c r="N215" i="1" s="1"/>
  <c r="M207" i="1"/>
  <c r="N207" i="1" s="1"/>
  <c r="M199" i="1"/>
  <c r="N199" i="1" s="1"/>
  <c r="M191" i="1"/>
  <c r="N191" i="1" s="1"/>
  <c r="M183" i="1"/>
  <c r="N183" i="1" s="1"/>
  <c r="M175" i="1"/>
  <c r="N175" i="1" s="1"/>
  <c r="M167" i="1"/>
  <c r="N167" i="1" s="1"/>
  <c r="M159" i="1"/>
  <c r="N159" i="1" s="1"/>
  <c r="M151" i="1"/>
  <c r="N151" i="1" s="1"/>
  <c r="M143" i="1"/>
  <c r="N143" i="1" s="1"/>
  <c r="M135" i="1"/>
  <c r="N135" i="1" s="1"/>
  <c r="M127" i="1"/>
  <c r="N127" i="1" s="1"/>
  <c r="M119" i="1"/>
  <c r="N119" i="1" s="1"/>
  <c r="M111" i="1"/>
  <c r="N111" i="1" s="1"/>
  <c r="M103" i="1"/>
  <c r="N103" i="1" s="1"/>
  <c r="M95" i="1"/>
  <c r="N95" i="1" s="1"/>
  <c r="M87" i="1"/>
  <c r="N87" i="1" s="1"/>
  <c r="M79" i="1"/>
  <c r="N79" i="1" s="1"/>
  <c r="M71" i="1"/>
  <c r="N71" i="1" s="1"/>
  <c r="M63" i="1"/>
  <c r="N63" i="1" s="1"/>
  <c r="M55" i="1"/>
  <c r="N55" i="1" s="1"/>
  <c r="M47" i="1"/>
  <c r="N47" i="1" s="1"/>
  <c r="M39" i="1"/>
  <c r="N39" i="1" s="1"/>
  <c r="M31" i="1"/>
  <c r="N31" i="1" s="1"/>
  <c r="M23" i="1"/>
  <c r="N23" i="1" s="1"/>
  <c r="M15" i="1"/>
  <c r="N15" i="1" s="1"/>
  <c r="M7" i="1"/>
  <c r="N7" i="1" s="1"/>
  <c r="M494" i="1"/>
  <c r="N494" i="1" s="1"/>
  <c r="M486" i="1"/>
  <c r="N486" i="1" s="1"/>
  <c r="M478" i="1"/>
  <c r="N478" i="1" s="1"/>
  <c r="M470" i="1"/>
  <c r="N470" i="1" s="1"/>
  <c r="M462" i="1"/>
  <c r="N462" i="1" s="1"/>
  <c r="M454" i="1"/>
  <c r="N454" i="1" s="1"/>
  <c r="M446" i="1"/>
  <c r="N446" i="1" s="1"/>
  <c r="M438" i="1"/>
  <c r="N438" i="1" s="1"/>
  <c r="M430" i="1"/>
  <c r="N430" i="1" s="1"/>
  <c r="M422" i="1"/>
  <c r="N422" i="1" s="1"/>
  <c r="M414" i="1"/>
  <c r="N414" i="1" s="1"/>
  <c r="M406" i="1"/>
  <c r="N406" i="1" s="1"/>
  <c r="M398" i="1"/>
  <c r="N398" i="1" s="1"/>
  <c r="M390" i="1"/>
  <c r="N390" i="1" s="1"/>
  <c r="M382" i="1"/>
  <c r="N382" i="1" s="1"/>
  <c r="M374" i="1"/>
  <c r="N374" i="1" s="1"/>
  <c r="M366" i="1"/>
  <c r="N366" i="1" s="1"/>
  <c r="M358" i="1"/>
  <c r="N358" i="1" s="1"/>
  <c r="M350" i="1"/>
  <c r="N350" i="1" s="1"/>
  <c r="M342" i="1"/>
  <c r="N342" i="1" s="1"/>
  <c r="M334" i="1"/>
  <c r="N334" i="1" s="1"/>
  <c r="M326" i="1"/>
  <c r="N326" i="1" s="1"/>
  <c r="M318" i="1"/>
  <c r="N318" i="1" s="1"/>
  <c r="M310" i="1"/>
  <c r="N310" i="1" s="1"/>
  <c r="M302" i="1"/>
  <c r="N302" i="1" s="1"/>
  <c r="M294" i="1"/>
  <c r="N294" i="1" s="1"/>
  <c r="M286" i="1"/>
  <c r="N286" i="1" s="1"/>
  <c r="M278" i="1"/>
  <c r="N278" i="1" s="1"/>
  <c r="M270" i="1"/>
  <c r="N270" i="1" s="1"/>
  <c r="M262" i="1"/>
  <c r="N262" i="1" s="1"/>
  <c r="M254" i="1"/>
  <c r="N254" i="1" s="1"/>
  <c r="M246" i="1"/>
  <c r="N246" i="1" s="1"/>
  <c r="M238" i="1"/>
  <c r="N238" i="1" s="1"/>
  <c r="M230" i="1"/>
  <c r="N230" i="1" s="1"/>
  <c r="M222" i="1"/>
  <c r="N222" i="1" s="1"/>
  <c r="M214" i="1"/>
  <c r="N214" i="1" s="1"/>
  <c r="M206" i="1"/>
  <c r="N206" i="1" s="1"/>
  <c r="M198" i="1"/>
  <c r="N198" i="1" s="1"/>
  <c r="M190" i="1"/>
  <c r="N190" i="1" s="1"/>
  <c r="M182" i="1"/>
  <c r="N182" i="1" s="1"/>
  <c r="M174" i="1"/>
  <c r="N174" i="1" s="1"/>
  <c r="M166" i="1"/>
  <c r="N166" i="1" s="1"/>
  <c r="M158" i="1"/>
  <c r="N158" i="1" s="1"/>
  <c r="M150" i="1"/>
  <c r="N150" i="1" s="1"/>
  <c r="M142" i="1"/>
  <c r="N142" i="1" s="1"/>
  <c r="M134" i="1"/>
  <c r="N134" i="1" s="1"/>
  <c r="M126" i="1"/>
  <c r="N126" i="1" s="1"/>
  <c r="M118" i="1"/>
  <c r="N118" i="1" s="1"/>
  <c r="M110" i="1"/>
  <c r="N110" i="1" s="1"/>
  <c r="M102" i="1"/>
  <c r="N102" i="1" s="1"/>
  <c r="M94" i="1"/>
  <c r="N94" i="1" s="1"/>
  <c r="M86" i="1"/>
  <c r="N86" i="1" s="1"/>
  <c r="M78" i="1"/>
  <c r="N78" i="1" s="1"/>
  <c r="M70" i="1"/>
  <c r="N70" i="1" s="1"/>
  <c r="M62" i="1"/>
  <c r="N62" i="1" s="1"/>
  <c r="M54" i="1"/>
  <c r="N54" i="1" s="1"/>
  <c r="M46" i="1"/>
  <c r="N46" i="1" s="1"/>
  <c r="M38" i="1"/>
  <c r="N38" i="1" s="1"/>
  <c r="M30" i="1"/>
  <c r="N30" i="1" s="1"/>
  <c r="M22" i="1"/>
  <c r="N22" i="1" s="1"/>
  <c r="M14" i="1"/>
  <c r="N14" i="1" s="1"/>
  <c r="M6" i="1"/>
  <c r="N6" i="1" s="1"/>
</calcChain>
</file>

<file path=xl/sharedStrings.xml><?xml version="1.0" encoding="utf-8"?>
<sst xmlns="http://schemas.openxmlformats.org/spreadsheetml/2006/main" count="3123" uniqueCount="545">
  <si>
    <t>Customer_ID</t>
  </si>
  <si>
    <t>Age</t>
  </si>
  <si>
    <t>Gender</t>
  </si>
  <si>
    <t>Income</t>
  </si>
  <si>
    <t>Location</t>
  </si>
  <si>
    <t>Frequency</t>
  </si>
  <si>
    <t>Avg_Basket_Size</t>
  </si>
  <si>
    <t>Recency_Days</t>
  </si>
  <si>
    <t>Loyalty_Score</t>
  </si>
  <si>
    <t>Total_Revenue</t>
  </si>
  <si>
    <t>CUST1000</t>
  </si>
  <si>
    <t>CUST1001</t>
  </si>
  <si>
    <t>CUST1002</t>
  </si>
  <si>
    <t>CUST1003</t>
  </si>
  <si>
    <t>CUST1004</t>
  </si>
  <si>
    <t>CUST1005</t>
  </si>
  <si>
    <t>CUST1006</t>
  </si>
  <si>
    <t>CUST1007</t>
  </si>
  <si>
    <t>CUST1008</t>
  </si>
  <si>
    <t>CUST1009</t>
  </si>
  <si>
    <t>CUST1010</t>
  </si>
  <si>
    <t>CUST1011</t>
  </si>
  <si>
    <t>CUST1012</t>
  </si>
  <si>
    <t>CUST1013</t>
  </si>
  <si>
    <t>CUST1014</t>
  </si>
  <si>
    <t>CUST1015</t>
  </si>
  <si>
    <t>CUST1016</t>
  </si>
  <si>
    <t>CUST1017</t>
  </si>
  <si>
    <t>CUST1018</t>
  </si>
  <si>
    <t>CUST1019</t>
  </si>
  <si>
    <t>CUST1020</t>
  </si>
  <si>
    <t>CUST1021</t>
  </si>
  <si>
    <t>CUST1022</t>
  </si>
  <si>
    <t>CUST1023</t>
  </si>
  <si>
    <t>CUST1024</t>
  </si>
  <si>
    <t>CUST1025</t>
  </si>
  <si>
    <t>CUST1026</t>
  </si>
  <si>
    <t>CUST1027</t>
  </si>
  <si>
    <t>CUST1028</t>
  </si>
  <si>
    <t>CUST1029</t>
  </si>
  <si>
    <t>CUST1030</t>
  </si>
  <si>
    <t>CUST1031</t>
  </si>
  <si>
    <t>CUST1032</t>
  </si>
  <si>
    <t>CUST1033</t>
  </si>
  <si>
    <t>CUST1034</t>
  </si>
  <si>
    <t>CUST1035</t>
  </si>
  <si>
    <t>CUST1036</t>
  </si>
  <si>
    <t>CUST1037</t>
  </si>
  <si>
    <t>CUST1038</t>
  </si>
  <si>
    <t>CUST1039</t>
  </si>
  <si>
    <t>CUST1040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</si>
  <si>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</si>
  <si>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</si>
  <si>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</si>
  <si>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</si>
  <si>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</si>
  <si>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</si>
  <si>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</si>
  <si>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</si>
  <si>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</si>
  <si>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</si>
  <si>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</si>
  <si>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</si>
  <si>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</si>
  <si>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</si>
  <si>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</si>
  <si>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</si>
  <si>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CUST1057</t>
  </si>
  <si>
    <t>CUST1058</t>
  </si>
  <si>
    <t>CUST1059</t>
  </si>
  <si>
    <t>CUST1060</t>
  </si>
  <si>
    <t>CUST1061</t>
  </si>
  <si>
    <t>CUST1062</t>
  </si>
  <si>
    <t>CUST1063</t>
  </si>
  <si>
    <t>CUST1064</t>
  </si>
  <si>
    <t>CUST1065</t>
  </si>
  <si>
    <t>CUST1066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</si>
  <si>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</si>
  <si>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</si>
  <si>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</si>
  <si>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</si>
  <si>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</si>
  <si>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</si>
  <si>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</si>
  <si>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</si>
  <si>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</si>
  <si>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</si>
  <si>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</si>
  <si>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</si>
  <si>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</si>
  <si>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</si>
  <si>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</si>
  <si>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</si>
  <si>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</si>
  <si>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</si>
  <si>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</si>
  <si>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</si>
  <si>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</si>
  <si>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</si>
  <si>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</si>
  <si>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</si>
  <si>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</si>
  <si>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</si>
  <si>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</si>
  <si>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</si>
  <si>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</si>
  <si>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</si>
  <si>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</si>
  <si>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</si>
  <si>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</si>
  <si>
    <t>CUST1100</t>
  </si>
  <si>
    <t>CUST1101</t>
  </si>
  <si>
    <t>CUST1102</t>
  </si>
  <si>
    <t>CUST1103</t>
  </si>
  <si>
    <t>CUST1104</t>
  </si>
  <si>
    <t>CUST1105</t>
  </si>
  <si>
    <t>CUST1106</t>
  </si>
  <si>
    <t>CUST1107</t>
  </si>
  <si>
    <t>CUST1108</t>
  </si>
  <si>
    <t>CUST1109</t>
  </si>
  <si>
    <t>CUST1110</t>
  </si>
  <si>
    <t>CUST1111</t>
  </si>
  <si>
    <t>CUST1112</t>
  </si>
  <si>
    <t>CUST1113</t>
  </si>
  <si>
    <t>CUST1114</t>
  </si>
  <si>
    <t>CUST1115</t>
  </si>
  <si>
    <t>CUST1116</t>
  </si>
  <si>
    <t>CUST1117</t>
  </si>
  <si>
    <t>CUST1118</t>
  </si>
  <si>
    <t>CUST1119</t>
  </si>
  <si>
    <t>CUST1120</t>
  </si>
  <si>
    <t>CUST1121</t>
  </si>
  <si>
    <t>CUST1122</t>
  </si>
  <si>
    <t>CUST1123</t>
  </si>
  <si>
    <t>CUST1124</t>
  </si>
  <si>
    <t>CUST1125</t>
  </si>
  <si>
    <t>CUST1126</t>
  </si>
  <si>
    <t>CUST1127</t>
  </si>
  <si>
    <t>CUST1128</t>
  </si>
  <si>
    <t>CUST1129</t>
  </si>
  <si>
    <t>CUST1130</t>
  </si>
  <si>
    <t>CUST1131</t>
  </si>
  <si>
    <t>CUST1132</t>
  </si>
  <si>
    <t>CUST1133</t>
  </si>
  <si>
    <t>CUST1134</t>
  </si>
  <si>
    <t>CUST1135</t>
  </si>
  <si>
    <t>CUST1136</t>
  </si>
  <si>
    <t>CUST1137</t>
  </si>
  <si>
    <t>CUST1138</t>
  </si>
  <si>
    <t>CUST1139</t>
  </si>
  <si>
    <t>CUST1140</t>
  </si>
  <si>
    <t>CUST1141</t>
  </si>
  <si>
    <t>CUST1142</t>
  </si>
  <si>
    <t>CUST1143</t>
  </si>
  <si>
    <t>CUST1144</t>
  </si>
  <si>
    <t>CUST1145</t>
  </si>
  <si>
    <t>CUST1146</t>
  </si>
  <si>
    <t>CUST1147</t>
  </si>
  <si>
    <t>CUST1148</t>
  </si>
  <si>
    <t>CUST1149</t>
  </si>
  <si>
    <t>CUST1150</t>
  </si>
  <si>
    <t>CUST1151</t>
  </si>
  <si>
    <t>CUST1152</t>
  </si>
  <si>
    <t>CUST1153</t>
  </si>
  <si>
    <t>CUST1154</t>
  </si>
  <si>
    <t>CUST1155</t>
  </si>
  <si>
    <t>CUST1156</t>
  </si>
  <si>
    <t>CUST1157</t>
  </si>
  <si>
    <t>CUST1158</t>
  </si>
  <si>
    <t>CUST1159</t>
  </si>
  <si>
    <t>CUST1160</t>
  </si>
  <si>
    <t>CUST1161</t>
  </si>
  <si>
    <t>CUST1162</t>
  </si>
  <si>
    <t>CUST1163</t>
  </si>
  <si>
    <t>CUST1164</t>
  </si>
  <si>
    <t>CUST1165</t>
  </si>
  <si>
    <t>CUST1166</t>
  </si>
  <si>
    <t>CUST1167</t>
  </si>
  <si>
    <t>CUST1168</t>
  </si>
  <si>
    <t>CUST1169</t>
  </si>
  <si>
    <t>CUST1170</t>
  </si>
  <si>
    <t>CUST1171</t>
  </si>
  <si>
    <t>CUST1172</t>
  </si>
  <si>
    <t>CUST1173</t>
  </si>
  <si>
    <t>CUST1174</t>
  </si>
  <si>
    <t>CUST1175</t>
  </si>
  <si>
    <t>CUST1176</t>
  </si>
  <si>
    <t>CUST1177</t>
  </si>
  <si>
    <t>CUST1178</t>
  </si>
  <si>
    <t>CUST1179</t>
  </si>
  <si>
    <t>CUST1180</t>
  </si>
  <si>
    <t>CUST1181</t>
  </si>
  <si>
    <t>CUST1182</t>
  </si>
  <si>
    <t>CUST1183</t>
  </si>
  <si>
    <t>CUST1184</t>
  </si>
  <si>
    <t>CUST1185</t>
  </si>
  <si>
    <t>CUST1186</t>
  </si>
  <si>
    <t>CUST1187</t>
  </si>
  <si>
    <t>CUST1188</t>
  </si>
  <si>
    <t>CUST1189</t>
  </si>
  <si>
    <t>CUST1190</t>
  </si>
  <si>
    <t>CUST1191</t>
  </si>
  <si>
    <t>CUST1192</t>
  </si>
  <si>
    <t>CUST1193</t>
  </si>
  <si>
    <t>CUST1194</t>
  </si>
  <si>
    <t>CUST1195</t>
  </si>
  <si>
    <t>CUST1196</t>
  </si>
  <si>
    <t>CUST1197</t>
  </si>
  <si>
    <t>CUST1198</t>
  </si>
  <si>
    <t>CUST1199</t>
  </si>
  <si>
    <t>CUST1200</t>
  </si>
  <si>
    <t>CUST1201</t>
  </si>
  <si>
    <t>CUST1202</t>
  </si>
  <si>
    <t>CUST1203</t>
  </si>
  <si>
    <t>CUST1204</t>
  </si>
  <si>
    <t>CUST1205</t>
  </si>
  <si>
    <t>CUST1206</t>
  </si>
  <si>
    <t>CUST1207</t>
  </si>
  <si>
    <t>CUST1208</t>
  </si>
  <si>
    <t>CUST1209</t>
  </si>
  <si>
    <t>CUST1210</t>
  </si>
  <si>
    <t>CUST1211</t>
  </si>
  <si>
    <t>CUST1212</t>
  </si>
  <si>
    <t>CUST1213</t>
  </si>
  <si>
    <t>CUST1214</t>
  </si>
  <si>
    <t>CUST1215</t>
  </si>
  <si>
    <t>CUST1216</t>
  </si>
  <si>
    <t>CUST1217</t>
  </si>
  <si>
    <t>CUST1218</t>
  </si>
  <si>
    <t>CUST1219</t>
  </si>
  <si>
    <t>CUST1220</t>
  </si>
  <si>
    <t>CUST1221</t>
  </si>
  <si>
    <t>CUST1222</t>
  </si>
  <si>
    <t>CUST1223</t>
  </si>
  <si>
    <t>CUST1224</t>
  </si>
  <si>
    <t>CUST1225</t>
  </si>
  <si>
    <t>CUST1226</t>
  </si>
  <si>
    <t>CUST1227</t>
  </si>
  <si>
    <t>CUST1228</t>
  </si>
  <si>
    <t>CUST1229</t>
  </si>
  <si>
    <t>CUST1230</t>
  </si>
  <si>
    <t>CUST1231</t>
  </si>
  <si>
    <t>CUST1232</t>
  </si>
  <si>
    <t>CUST1233</t>
  </si>
  <si>
    <t>CUST1234</t>
  </si>
  <si>
    <t>CUST1235</t>
  </si>
  <si>
    <t>CUST1236</t>
  </si>
  <si>
    <t>CUST1237</t>
  </si>
  <si>
    <t>CUST1238</t>
  </si>
  <si>
    <t>CUST1239</t>
  </si>
  <si>
    <t>CUST1240</t>
  </si>
  <si>
    <t>CUST1241</t>
  </si>
  <si>
    <t>CUST1242</t>
  </si>
  <si>
    <t>CUST1243</t>
  </si>
  <si>
    <t>CUST1244</t>
  </si>
  <si>
    <t>CUST1245</t>
  </si>
  <si>
    <t>CUST1246</t>
  </si>
  <si>
    <t>CUST1247</t>
  </si>
  <si>
    <t>CUST1248</t>
  </si>
  <si>
    <t>CUST1249</t>
  </si>
  <si>
    <t>CUST1250</t>
  </si>
  <si>
    <t>CUST1251</t>
  </si>
  <si>
    <t>CUST1252</t>
  </si>
  <si>
    <t>CUST1253</t>
  </si>
  <si>
    <t>CUST1254</t>
  </si>
  <si>
    <t>CUST1255</t>
  </si>
  <si>
    <t>CUST1256</t>
  </si>
  <si>
    <t>CUST1257</t>
  </si>
  <si>
    <t>CUST1258</t>
  </si>
  <si>
    <t>CUST1259</t>
  </si>
  <si>
    <t>CUST1260</t>
  </si>
  <si>
    <t>CUST1261</t>
  </si>
  <si>
    <t>CUST1262</t>
  </si>
  <si>
    <t>CUST1263</t>
  </si>
  <si>
    <t>CUST1264</t>
  </si>
  <si>
    <t>CUST1265</t>
  </si>
  <si>
    <t>CUST1266</t>
  </si>
  <si>
    <t>CUST1267</t>
  </si>
  <si>
    <t>CUST1268</t>
  </si>
  <si>
    <t>CUST1269</t>
  </si>
  <si>
    <t>CUST1270</t>
  </si>
  <si>
    <t>CUST1271</t>
  </si>
  <si>
    <t>CUST1272</t>
  </si>
  <si>
    <t>CUST1273</t>
  </si>
  <si>
    <t>CUST1274</t>
  </si>
  <si>
    <t>CUST1275</t>
  </si>
  <si>
    <t>CUST1276</t>
  </si>
  <si>
    <t>CUST1277</t>
  </si>
  <si>
    <t>CUST1278</t>
  </si>
  <si>
    <t>CUST1279</t>
  </si>
  <si>
    <t>CUST1280</t>
  </si>
  <si>
    <t>CUST1281</t>
  </si>
  <si>
    <t>CUST1282</t>
  </si>
  <si>
    <t>CUST1283</t>
  </si>
  <si>
    <t>CUST1284</t>
  </si>
  <si>
    <t>CUST1285</t>
  </si>
  <si>
    <t>CUST1286</t>
  </si>
  <si>
    <t>CUST1287</t>
  </si>
  <si>
    <t>CUST1288</t>
  </si>
  <si>
    <t>CUST1289</t>
  </si>
  <si>
    <t>CUST1290</t>
  </si>
  <si>
    <t>CUST1291</t>
  </si>
  <si>
    <t>CUST1292</t>
  </si>
  <si>
    <t>CUST1293</t>
  </si>
  <si>
    <t>CUST1294</t>
  </si>
  <si>
    <t>CUST1295</t>
  </si>
  <si>
    <t>CUST1296</t>
  </si>
  <si>
    <t>CUST1297</t>
  </si>
  <si>
    <t>CUST1298</t>
  </si>
  <si>
    <t>CUST1299</t>
  </si>
  <si>
    <t>CUST1300</t>
  </si>
  <si>
    <t>CUST1301</t>
  </si>
  <si>
    <t>CUST1302</t>
  </si>
  <si>
    <t>CUST1303</t>
  </si>
  <si>
    <t>CUST1304</t>
  </si>
  <si>
    <t>CUST1305</t>
  </si>
  <si>
    <t>CUST1306</t>
  </si>
  <si>
    <t>CUST1307</t>
  </si>
  <si>
    <t>CUST1308</t>
  </si>
  <si>
    <t>CUST1309</t>
  </si>
  <si>
    <t>CUST1310</t>
  </si>
  <si>
    <t>CUST1311</t>
  </si>
  <si>
    <t>CUST1312</t>
  </si>
  <si>
    <t>CUST1313</t>
  </si>
  <si>
    <t>CUST1314</t>
  </si>
  <si>
    <t>CUST1315</t>
  </si>
  <si>
    <t>CUST1316</t>
  </si>
  <si>
    <t>CUST1317</t>
  </si>
  <si>
    <t>CUST1318</t>
  </si>
  <si>
    <t>CUST1319</t>
  </si>
  <si>
    <t>CUST1320</t>
  </si>
  <si>
    <t>CUST1321</t>
  </si>
  <si>
    <t>CUST1322</t>
  </si>
  <si>
    <t>CUST1323</t>
  </si>
  <si>
    <t>CUST1324</t>
  </si>
  <si>
    <t>CUST1325</t>
  </si>
  <si>
    <t>CUST1326</t>
  </si>
  <si>
    <t>CUST1327</t>
  </si>
  <si>
    <t>CUST1328</t>
  </si>
  <si>
    <t>CUST1329</t>
  </si>
  <si>
    <t>CUST1330</t>
  </si>
  <si>
    <t>CUST1331</t>
  </si>
  <si>
    <t>CUST1332</t>
  </si>
  <si>
    <t>CUST1333</t>
  </si>
  <si>
    <t>CUST1334</t>
  </si>
  <si>
    <t>CUST1335</t>
  </si>
  <si>
    <t>CUST1336</t>
  </si>
  <si>
    <t>CUST1337</t>
  </si>
  <si>
    <t>CUST1338</t>
  </si>
  <si>
    <t>CUST1339</t>
  </si>
  <si>
    <t>CUST1340</t>
  </si>
  <si>
    <t>CUST1341</t>
  </si>
  <si>
    <t>CUST1342</t>
  </si>
  <si>
    <t>CUST1343</t>
  </si>
  <si>
    <t>CUST1344</t>
  </si>
  <si>
    <t>CUST1345</t>
  </si>
  <si>
    <t>CUST1346</t>
  </si>
  <si>
    <t>CUST1347</t>
  </si>
  <si>
    <t>CUST1348</t>
  </si>
  <si>
    <t>CUST1349</t>
  </si>
  <si>
    <t>CUST1350</t>
  </si>
  <si>
    <t>CUST1351</t>
  </si>
  <si>
    <t>CUST1352</t>
  </si>
  <si>
    <t>CUST1353</t>
  </si>
  <si>
    <t>CUST1354</t>
  </si>
  <si>
    <t>CUST1355</t>
  </si>
  <si>
    <t>CUST1356</t>
  </si>
  <si>
    <t>CUST1357</t>
  </si>
  <si>
    <t>CUST1358</t>
  </si>
  <si>
    <t>CUST1359</t>
  </si>
  <si>
    <t>CUST1360</t>
  </si>
  <si>
    <t>CUST1361</t>
  </si>
  <si>
    <t>CUST1362</t>
  </si>
  <si>
    <t>CUST1363</t>
  </si>
  <si>
    <t>CUST1364</t>
  </si>
  <si>
    <t>CUST1365</t>
  </si>
  <si>
    <t>CUST1366</t>
  </si>
  <si>
    <t>CUST1367</t>
  </si>
  <si>
    <t>CUST1368</t>
  </si>
  <si>
    <t>CUST1369</t>
  </si>
  <si>
    <t>CUST1370</t>
  </si>
  <si>
    <t>CUST1371</t>
  </si>
  <si>
    <t>CUST1372</t>
  </si>
  <si>
    <t>CUST1373</t>
  </si>
  <si>
    <t>CUST1374</t>
  </si>
  <si>
    <t>CUST1375</t>
  </si>
  <si>
    <t>CUST1376</t>
  </si>
  <si>
    <t>CUST1377</t>
  </si>
  <si>
    <t>CUST1378</t>
  </si>
  <si>
    <t>CUST1379</t>
  </si>
  <si>
    <t>CUST1380</t>
  </si>
  <si>
    <t>CUST1381</t>
  </si>
  <si>
    <t>CUST1382</t>
  </si>
  <si>
    <t>CUST1383</t>
  </si>
  <si>
    <t>CUST1384</t>
  </si>
  <si>
    <t>CUST1385</t>
  </si>
  <si>
    <t>CUST1386</t>
  </si>
  <si>
    <t>CUST1387</t>
  </si>
  <si>
    <t>CUST1388</t>
  </si>
  <si>
    <t>CUST1389</t>
  </si>
  <si>
    <t>CUST1390</t>
  </si>
  <si>
    <t>CUST1391</t>
  </si>
  <si>
    <t>CUST1392</t>
  </si>
  <si>
    <t>CUST1393</t>
  </si>
  <si>
    <t>CUST1394</t>
  </si>
  <si>
    <t>CUST1395</t>
  </si>
  <si>
    <t>CUST1396</t>
  </si>
  <si>
    <t>CUST1397</t>
  </si>
  <si>
    <t>CUST1398</t>
  </si>
  <si>
    <t>CUST1399</t>
  </si>
  <si>
    <t>CUST1400</t>
  </si>
  <si>
    <t>CUST1401</t>
  </si>
  <si>
    <t>CUST1402</t>
  </si>
  <si>
    <t>CUST1403</t>
  </si>
  <si>
    <t>CUST1404</t>
  </si>
  <si>
    <t>CUST1405</t>
  </si>
  <si>
    <t>CUST1406</t>
  </si>
  <si>
    <t>CUST1407</t>
  </si>
  <si>
    <t>CUST1408</t>
  </si>
  <si>
    <t>CUST1409</t>
  </si>
  <si>
    <t>CUST1410</t>
  </si>
  <si>
    <t>CUST1411</t>
  </si>
  <si>
    <t>CUST1412</t>
  </si>
  <si>
    <t>CUST1413</t>
  </si>
  <si>
    <t>CUST1414</t>
  </si>
  <si>
    <t>CUST1415</t>
  </si>
  <si>
    <t>CUST1416</t>
  </si>
  <si>
    <t>CUST1417</t>
  </si>
  <si>
    <t>CUST1418</t>
  </si>
  <si>
    <t>CUST1419</t>
  </si>
  <si>
    <t>CUST1420</t>
  </si>
  <si>
    <t>CUST1421</t>
  </si>
  <si>
    <t>CUST1422</t>
  </si>
  <si>
    <t>CUST1423</t>
  </si>
  <si>
    <t>CUST1424</t>
  </si>
  <si>
    <t>CUST1425</t>
  </si>
  <si>
    <t>CUST1426</t>
  </si>
  <si>
    <t>CUST1427</t>
  </si>
  <si>
    <t>CUST1428</t>
  </si>
  <si>
    <t>CUST1429</t>
  </si>
  <si>
    <t>CUST1430</t>
  </si>
  <si>
    <t>CUST1431</t>
  </si>
  <si>
    <t>CUST1432</t>
  </si>
  <si>
    <t>CUST1433</t>
  </si>
  <si>
    <t>CUST1434</t>
  </si>
  <si>
    <t>CUST1435</t>
  </si>
  <si>
    <t>CUST1436</t>
  </si>
  <si>
    <t>CUST1437</t>
  </si>
  <si>
    <t>CUST1438</t>
  </si>
  <si>
    <t>CUST1439</t>
  </si>
  <si>
    <t>CUST1440</t>
  </si>
  <si>
    <t>CUST1441</t>
  </si>
  <si>
    <t>CUST1442</t>
  </si>
  <si>
    <t>CUST1443</t>
  </si>
  <si>
    <t>CUST1444</t>
  </si>
  <si>
    <t>CUST1445</t>
  </si>
  <si>
    <t>CUST1446</t>
  </si>
  <si>
    <t>CUST1447</t>
  </si>
  <si>
    <t>CUST1448</t>
  </si>
  <si>
    <t>CUST1449</t>
  </si>
  <si>
    <t>CUST1450</t>
  </si>
  <si>
    <t>CUST1451</t>
  </si>
  <si>
    <t>CUST1452</t>
  </si>
  <si>
    <t>CUST1453</t>
  </si>
  <si>
    <t>CUST1454</t>
  </si>
  <si>
    <t>CUST1455</t>
  </si>
  <si>
    <t>CUST1456</t>
  </si>
  <si>
    <t>CUST1457</t>
  </si>
  <si>
    <t>CUST1458</t>
  </si>
  <si>
    <t>CUST1459</t>
  </si>
  <si>
    <t>CUST1460</t>
  </si>
  <si>
    <t>CUST1461</t>
  </si>
  <si>
    <t>CUST1462</t>
  </si>
  <si>
    <t>CUST1463</t>
  </si>
  <si>
    <t>CUST1464</t>
  </si>
  <si>
    <t>CUST1465</t>
  </si>
  <si>
    <t>CUST1466</t>
  </si>
  <si>
    <t>CUST1467</t>
  </si>
  <si>
    <t>CUST1468</t>
  </si>
  <si>
    <t>CUST1469</t>
  </si>
  <si>
    <t>CUST1470</t>
  </si>
  <si>
    <t>CUST1471</t>
  </si>
  <si>
    <t>CUST1472</t>
  </si>
  <si>
    <t>CUST1473</t>
  </si>
  <si>
    <t>CUST1474</t>
  </si>
  <si>
    <t>CUST1475</t>
  </si>
  <si>
    <t>CUST1476</t>
  </si>
  <si>
    <t>CUST1477</t>
  </si>
  <si>
    <t>CUST1478</t>
  </si>
  <si>
    <t>CUST1479</t>
  </si>
  <si>
    <t>CUST1480</t>
  </si>
  <si>
    <t>CUST1481</t>
  </si>
  <si>
    <t>CUST1482</t>
  </si>
  <si>
    <t>CUST1483</t>
  </si>
  <si>
    <t>CUST1484</t>
  </si>
  <si>
    <t>CUST1485</t>
  </si>
  <si>
    <t>CUST1486</t>
  </si>
  <si>
    <t>CUST1487</t>
  </si>
  <si>
    <t>CUST1488</t>
  </si>
  <si>
    <t>CUST1489</t>
  </si>
  <si>
    <t>CUST1490</t>
  </si>
  <si>
    <t>CUST1491</t>
  </si>
  <si>
    <t>CUST1492</t>
  </si>
  <si>
    <t>CUST1493</t>
  </si>
  <si>
    <t>CUST1494</t>
  </si>
  <si>
    <t>CUST1495</t>
  </si>
  <si>
    <t>CUST1496</t>
  </si>
  <si>
    <t>CUST1497</t>
  </si>
  <si>
    <t>CUST1498</t>
  </si>
  <si>
    <t>CUST1499</t>
  </si>
  <si>
    <t>Female</t>
  </si>
  <si>
    <t>Male</t>
  </si>
  <si>
    <t>East</t>
  </si>
  <si>
    <t>South</t>
  </si>
  <si>
    <t>North</t>
  </si>
  <si>
    <t>West</t>
  </si>
  <si>
    <t>revanue</t>
  </si>
  <si>
    <t>cumm relative</t>
  </si>
  <si>
    <t>cumm</t>
  </si>
  <si>
    <t>top 75%</t>
  </si>
  <si>
    <t>average revanue</t>
  </si>
  <si>
    <t>average loyalty</t>
  </si>
  <si>
    <t>average recency</t>
  </si>
  <si>
    <t>loyalty score</t>
  </si>
  <si>
    <t>recency score</t>
  </si>
  <si>
    <t>revanue score</t>
  </si>
  <si>
    <t>high revanue low loyality</t>
  </si>
  <si>
    <t>low revanue high loyalty</t>
  </si>
  <si>
    <t>both high</t>
  </si>
  <si>
    <t>both low</t>
  </si>
  <si>
    <t>Column1</t>
  </si>
  <si>
    <t>customer give 75%revanue og total</t>
  </si>
  <si>
    <t xml:space="preserve">customer have high revanue then average </t>
  </si>
  <si>
    <t>customer those have high loyality score</t>
  </si>
  <si>
    <t>customer those have high recency score</t>
  </si>
  <si>
    <t>high revanue and and low loilaty</t>
  </si>
  <si>
    <t>low revanue high loyality</t>
  </si>
  <si>
    <t>customer of j cell give 75%revanue of total revanue</t>
  </si>
  <si>
    <t>customer of k cell have high revanue then the average of total revanue</t>
  </si>
  <si>
    <t>customer of l cell have high loyailty socre the the average of loyailty score</t>
  </si>
  <si>
    <t xml:space="preserve"> customer of m cell we have high receany time then the average so we need to avoid that customer or need to make deffirant strategy</t>
  </si>
  <si>
    <t xml:space="preserve"> customer of n cell we have high revanue and low loyality score  </t>
  </si>
  <si>
    <t>customer of o cell have low revanue but high loyality score</t>
  </si>
  <si>
    <t>customer of p cell have both thing high loyality or revanue</t>
  </si>
  <si>
    <t>customer of q cell have both things low loyality or revanue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</si>
</sst>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2" xfId="0" applyFill="1" applyBorder="1"/>
    <xf numFmtId="0" fontId="0" fillId="2" borderId="2" xfId="0" applyFill="1" applyBorder="1"/>
    <xf numFmtId="0" fontId="0" fillId="3" borderId="3" xfId="0" applyFill="1" applyBorder="1"/>
    <xf numFmtId="0" fontId="0" fillId="2" borderId="3" xfId="0" applyFill="1" applyBorder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7A3763-16A9-42B0-965A-173C068D8A91}" name="Table3" displayName="Table3" ref="A1:Y501" totalsRowShown="0" headerRowDxfId="17" headerRowBorderDxfId="16" tableBorderDxfId="15">
  <autoFilter ref="A1:Y501" xr:uid="{647A3763-16A9-42B0-965A-173C068D8A91}"/>
  <sortState xmlns:xlrd2="http://schemas.microsoft.com/office/spreadsheetml/2017/richdata2" ref="A2:J501">
    <sortCondition descending="1" ref="J1:J501"/>
  </sortState>
  <tableColumns count="25">
    <tableColumn id="1" xr3:uid="{0D43FDBD-0DB0-435B-B8DB-76A14239F587}" name="Customer_ID"/>
    <tableColumn id="2" xr3:uid="{8C933761-8EA4-4360-BFCA-EB4B389F9D17}" name="Age"/>
    <tableColumn id="3" xr3:uid="{4ACB272B-907C-4759-96CB-CEACA757AFA3}" name="Gender"/>
    <tableColumn id="4" xr3:uid="{FFDE02AF-FD30-4834-B55F-9BC3972C5E77}" name="Income"/>
    <tableColumn id="5" xr3:uid="{0928C5BE-F341-4EDF-B3E0-667359CCFAB8}" name="Location"/>
    <tableColumn id="6" xr3:uid="{E78BC8DD-CD4E-4F44-BBF4-F1D32E92F175}" name="Frequency"/>
    <tableColumn id="7" xr3:uid="{C4735338-6012-42D7-B4F1-452B9FA6E780}" name="Avg_Basket_Size"/>
    <tableColumn id="8" xr3:uid="{73B0351B-0912-4305-BAA7-D94007F07D67}" name="Recency_Days"/>
    <tableColumn id="9" xr3:uid="{C58D6F50-1BC0-4F76-A5E2-A70D9B9ED278}" name="Loyalty_Score"/>
    <tableColumn id="10" xr3:uid="{A3A867EF-F24D-4D8A-B6BE-2DBBA05EDC8D}" name="Total_Revenue"/>
    <tableColumn id="11" xr3:uid="{DC5E0E83-E5C1-4F6A-8DEF-D6C9502A704A}" name="revanue" dataDxfId="14">
      <calculatedColumnFormula>SUM(Table3[Total_Revenue])</calculatedColumnFormula>
    </tableColumn>
    <tableColumn id="12" xr3:uid="{C85E6C65-411F-4504-9168-B7F67EC2179F}" name="cumm relative" dataDxfId="13">
      <calculatedColumnFormula>L1+J2</calculatedColumnFormula>
    </tableColumn>
    <tableColumn id="13" xr3:uid="{91C38B76-73CD-404D-B792-69BA432A8A36}" name="cumm" dataDxfId="12">
      <calculatedColumnFormula>L2/$K$2</calculatedColumnFormula>
    </tableColumn>
    <tableColumn id="14" xr3:uid="{DEE132D3-97E9-4E0C-81FA-80A733BB86F7}" name="top 75%" dataDxfId="11">
      <calculatedColumnFormula>IF(M2&lt;=0.75,"Yes","No")</calculatedColumnFormula>
    </tableColumn>
    <tableColumn id="15" xr3:uid="{97DCC057-F4E3-4243-AEDB-963A37D1191E}" name="average revanue" dataDxfId="10">
      <calculatedColumnFormula>MEDIAN($J$2:$J$501)</calculatedColumnFormula>
    </tableColumn>
    <tableColumn id="16" xr3:uid="{ABD579D9-9B64-4B5A-8D48-7672392EC931}" name="average loyalty" dataDxfId="9">
      <calculatedColumnFormula>MEDIAN($I$2:$I$501)</calculatedColumnFormula>
    </tableColumn>
    <tableColumn id="17" xr3:uid="{8817D30C-F982-45BD-9F21-311BC6660C53}" name="average recency" dataDxfId="8">
      <calculatedColumnFormula>MEDIAN($H$2:$H$501)</calculatedColumnFormula>
    </tableColumn>
    <tableColumn id="18" xr3:uid="{C36DFE57-46EB-49B1-A1D6-582E336DBCF7}" name="loyalty score" dataDxfId="7">
      <calculatedColumnFormula>IF(I2&gt;$P$2,"High",IF(I2&lt;$P$2,"Low","Medium"))</calculatedColumnFormula>
    </tableColumn>
    <tableColumn id="19" xr3:uid="{021E02FC-89A1-41B6-9083-663D42EBBF44}" name="recency score" dataDxfId="6">
      <calculatedColumnFormula>IF(H2&gt;$Q$2,"High",IF(H2&lt;$Q$2,"Low","Medium"))</calculatedColumnFormula>
    </tableColumn>
    <tableColumn id="20" xr3:uid="{E102EC58-3B06-4DBC-8B5E-C60BFC9E41B4}" name="revanue score" dataDxfId="5">
      <calculatedColumnFormula>IF(J2&gt;$O$2,"High",IF(J2&lt;$O$2,"Low","Medium"))</calculatedColumnFormula>
    </tableColumn>
    <tableColumn id="21" xr3:uid="{C21397A2-CB93-4A01-8EA4-B229913C32A4}" name="low revanue high loyalty" dataDxfId="4">
      <calculatedColumnFormula>IF(AND(J2&lt;$O$1, I2&gt;=$P$2),"Yes","No")</calculatedColumnFormula>
    </tableColumn>
    <tableColumn id="22" xr3:uid="{C4FBE6B6-9D73-40B6-B269-19F27E55F0E9}" name="high revanue low loyality" dataDxfId="3">
      <calculatedColumnFormula>IF(AND(J2&gt;=$O$2, I2&lt;$P$2),"Yes","No")</calculatedColumnFormula>
    </tableColumn>
    <tableColumn id="23" xr3:uid="{94D40A0C-4A31-4750-928B-0300CB90FD54}" name="both high" dataDxfId="2">
      <calculatedColumnFormula>IF(AND(J2&gt;=$O$2, I2&gt;=$P$2),"Yes","No")</calculatedColumnFormula>
    </tableColumn>
    <tableColumn id="24" xr3:uid="{48348D0A-A56A-4093-AAA6-4A9FCC8C4771}" name="both low" dataDxfId="1">
      <calculatedColumnFormula>IF(AND(J2&lt;$O$2, I2&lt;$P$2),"Yes","No")</calculatedColumnFormula>
    </tableColumn>
    <tableColumn id="25" xr3:uid="{9DD1B542-8C4A-46D0-8C48-6D98315D5E7F}" name="Column1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B2F07E7-C263-4194-B1F6-6A3D7938B2DE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1"/>
  <sheetViews>
    <sheetView topLeftCell="J1" workbookViewId="0">
      <selection activeCell="T3" sqref="T3"/>
    </sheetView>
  </sheetViews>
  <sheetFormatPr defaultRowHeight="14.4" x14ac:dyDescent="0.3"/>
  <cols>
    <col min="1" max="1" width="13.77734375" customWidth="1"/>
    <col min="3" max="3" width="9" customWidth="1"/>
    <col min="4" max="4" width="9.21875" customWidth="1"/>
    <col min="5" max="5" width="10.109375" customWidth="1"/>
    <col min="6" max="6" width="11.6640625" customWidth="1"/>
    <col min="7" max="7" width="16.88671875" customWidth="1"/>
    <col min="8" max="8" width="14.88671875" customWidth="1"/>
    <col min="9" max="9" width="14.6640625" customWidth="1"/>
    <col min="10" max="10" width="15.44140625" customWidth="1"/>
    <col min="11" max="11" width="11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516</v>
      </c>
      <c r="L1" s="1" t="s">
        <v>517</v>
      </c>
      <c r="M1" s="1" t="s">
        <v>518</v>
      </c>
      <c r="N1" s="1" t="s">
        <v>519</v>
      </c>
      <c r="O1" s="1" t="s">
        <v>520</v>
      </c>
      <c r="P1" s="1" t="s">
        <v>521</v>
      </c>
      <c r="Q1" s="1" t="s">
        <v>522</v>
      </c>
      <c r="R1" s="1" t="s">
        <v>523</v>
      </c>
      <c r="S1" s="1" t="s">
        <v>524</v>
      </c>
      <c r="T1" s="1" t="s">
        <v>525</v>
      </c>
      <c r="U1" s="1" t="s">
        <v>527</v>
      </c>
      <c r="V1" s="1" t="s">
        <v>526</v>
      </c>
      <c r="W1" s="1" t="s">
        <v>528</v>
      </c>
      <c r="X1" s="1" t="s">
        <v>529</v>
      </c>
      <c r="Y1" s="1" t="s">
        <v>530</v>
      </c>
    </row>
    <row r="2" spans="1:25" x14ac:dyDescent="0.3">
      <c r="A2" t="s">
        <v>239</v>
      </c>
      <c r="B2">
        <v>19</v>
      </c>
      <c r="C2" t="s">
        <v>510</v>
      </c>
      <c r="D2">
        <v>50105</v>
      </c>
      <c r="E2" t="s">
        <v>514</v>
      </c>
      <c r="F2">
        <v>47</v>
      </c>
      <c r="G2">
        <v>4908.0600000000004</v>
      </c>
      <c r="H2">
        <v>138</v>
      </c>
      <c r="I2">
        <v>1</v>
      </c>
      <c r="J2">
        <v>230678.82</v>
      </c>
      <c r="K2">
        <f>SUM(Table3[Total_Revenue])</f>
        <v>30761529.489999965</v>
      </c>
      <c r="L2">
        <v>230678.82</v>
      </c>
      <c r="M2">
        <f t="shared" ref="M2:M65" si="0">L2/$K$2</f>
        <v>7.4989385711458087E-3</v>
      </c>
      <c r="N2" t="str">
        <f>IF(M2&lt;=0.75,"Yes","No")</f>
        <v>Yes</v>
      </c>
      <c r="O2">
        <f t="shared" ref="O2:O65" si="1">MEDIAN($J$2:$J$501)</f>
        <v>47894.68</v>
      </c>
      <c r="P2">
        <f t="shared" ref="P2:P65" si="2">MEDIAN($I$2:$I$501)</f>
        <v>5</v>
      </c>
      <c r="Q2">
        <f t="shared" ref="Q2:Q65" si="3">MEDIAN($H$2:$H$501)</f>
        <v>172.5</v>
      </c>
      <c r="R2" t="str">
        <f t="shared" ref="R2:R65" si="4">IF(I2&gt;$P$2,"High",IF(I2&lt;$P$2,"Low","Medium"))</f>
        <v>Low</v>
      </c>
      <c r="S2" t="str">
        <f t="shared" ref="S2:S65" si="5">IF(H2&gt;$Q$2,"High",IF(H2&lt;$Q$2,"Low","Medium"))</f>
        <v>Low</v>
      </c>
      <c r="T2" t="str">
        <f>IF(J2&gt;$O$2,"High",IF(J2&lt;$O$2,"Low","Medium"))</f>
        <v>High</v>
      </c>
      <c r="U2" t="str">
        <f>IF(AND(J2&lt;$O$1, I2&gt;=$P$2),"Yes","No")</f>
        <v>No</v>
      </c>
      <c r="V2" t="str">
        <f t="shared" ref="V2:V65" si="6">IF(AND(J2&gt;=$O$2, I2&lt;$P$2),"Yes","No")</f>
        <v>Yes</v>
      </c>
      <c r="W2" t="str">
        <f>IF(AND(J2&gt;=$O$2, I2&gt;=$P$2),"Yes","No")</f>
        <v>No</v>
      </c>
      <c r="X2" t="str">
        <f t="shared" ref="X2:X65" si="7">IF(AND(J2&lt;$O$2, I2&lt;$P$2),"Yes","No")</f>
        <v>No</v>
      </c>
    </row>
    <row r="3" spans="1:25" x14ac:dyDescent="0.3">
      <c r="A3" t="s">
        <v>289</v>
      </c>
      <c r="B3">
        <v>28</v>
      </c>
      <c r="C3" t="s">
        <v>510</v>
      </c>
      <c r="D3">
        <v>126288</v>
      </c>
      <c r="E3" t="s">
        <v>514</v>
      </c>
      <c r="F3">
        <v>48</v>
      </c>
      <c r="G3">
        <v>4670.38</v>
      </c>
      <c r="H3">
        <v>210</v>
      </c>
      <c r="I3">
        <v>6</v>
      </c>
      <c r="J3">
        <v>224178.24</v>
      </c>
      <c r="K3">
        <f>SUM(Table3[Total_Revenue])</f>
        <v>30761529.489999965</v>
      </c>
      <c r="L3">
        <f t="shared" ref="L3:L65" si="8">L2+J3</f>
        <v>454857.06</v>
      </c>
      <c r="M3">
        <f t="shared" si="0"/>
        <v>1.4786555400239968E-2</v>
      </c>
      <c r="N3" t="str">
        <f t="shared" ref="N3:N65" si="9">IF(M3&lt;=0.75,"Yes","No")</f>
        <v>Yes</v>
      </c>
      <c r="O3">
        <f t="shared" si="1"/>
        <v>47894.68</v>
      </c>
      <c r="P3">
        <f t="shared" si="2"/>
        <v>5</v>
      </c>
      <c r="Q3">
        <f t="shared" si="3"/>
        <v>172.5</v>
      </c>
      <c r="R3" t="str">
        <f t="shared" si="4"/>
        <v>High</v>
      </c>
      <c r="S3" t="str">
        <f t="shared" si="5"/>
        <v>High</v>
      </c>
      <c r="T3" t="str">
        <f>IF(J3&gt;$O$2,"High",IF(J3&lt;$O$2,"Low","Medium"))</f>
        <v>High</v>
      </c>
      <c r="U3" t="str">
        <f t="shared" ref="U3:U65" si="10">IF(AND(J3&lt;$O$1, I3&gt;=$P$2),"Yes","No")</f>
        <v>Yes</v>
      </c>
      <c r="V3" t="str">
        <f t="shared" si="6"/>
        <v>No</v>
      </c>
      <c r="W3" t="str">
        <f t="shared" ref="W3:W65" si="11">IF(AND(J3&gt;=$O$2, I3&gt;=$P$2),"Yes","No")</f>
        <v>Yes</v>
      </c>
      <c r="X3" t="str">
        <f t="shared" si="7"/>
        <v>No</v>
      </c>
    </row>
    <row r="4" spans="1:25" x14ac:dyDescent="0.3">
      <c r="A4" t="s">
        <v>452</v>
      </c>
      <c r="B4">
        <v>45</v>
      </c>
      <c r="C4" t="s">
        <v>510</v>
      </c>
      <c r="D4">
        <v>100879</v>
      </c>
      <c r="E4" t="s">
        <v>512</v>
      </c>
      <c r="F4">
        <v>48</v>
      </c>
      <c r="G4">
        <v>4648.76</v>
      </c>
      <c r="H4">
        <v>161</v>
      </c>
      <c r="I4">
        <v>4</v>
      </c>
      <c r="J4">
        <v>223140.48000000001</v>
      </c>
      <c r="K4">
        <f>SUM(Table3[Total_Revenue])</f>
        <v>30761529.489999965</v>
      </c>
      <c r="L4">
        <f t="shared" si="8"/>
        <v>677997.54</v>
      </c>
      <c r="M4">
        <f t="shared" si="0"/>
        <v>2.2040436585586722E-2</v>
      </c>
      <c r="N4" t="str">
        <f t="shared" si="9"/>
        <v>Yes</v>
      </c>
      <c r="O4">
        <f t="shared" si="1"/>
        <v>47894.68</v>
      </c>
      <c r="P4">
        <f t="shared" si="2"/>
        <v>5</v>
      </c>
      <c r="Q4">
        <f t="shared" si="3"/>
        <v>172.5</v>
      </c>
      <c r="R4" t="str">
        <f t="shared" si="4"/>
        <v>Low</v>
      </c>
      <c r="S4" t="str">
        <f t="shared" si="5"/>
        <v>Low</v>
      </c>
      <c r="T4" t="str">
        <f t="shared" ref="T4:T65" si="12">IF(J4&gt;$O$2,"High",IF(J4&lt;$O$2,"Low","Medium"))</f>
        <v>High</v>
      </c>
      <c r="U4" t="str">
        <f t="shared" si="10"/>
        <v>No</v>
      </c>
      <c r="V4" t="str">
        <f t="shared" si="6"/>
        <v>Yes</v>
      </c>
      <c r="W4" t="str">
        <f t="shared" si="11"/>
        <v>No</v>
      </c>
      <c r="X4" t="str">
        <f t="shared" si="7"/>
        <v>No</v>
      </c>
    </row>
    <row r="5" spans="1:25" x14ac:dyDescent="0.3">
      <c r="A5" t="s">
        <v>456</v>
      </c>
      <c r="B5">
        <v>40</v>
      </c>
      <c r="C5" t="s">
        <v>510</v>
      </c>
      <c r="D5">
        <v>73028</v>
      </c>
      <c r="E5" t="s">
        <v>512</v>
      </c>
      <c r="F5">
        <v>44</v>
      </c>
      <c r="G5">
        <v>4962.84</v>
      </c>
      <c r="H5">
        <v>203</v>
      </c>
      <c r="I5">
        <v>3</v>
      </c>
      <c r="J5">
        <v>218364.96</v>
      </c>
      <c r="K5">
        <f>SUM(Table3[Total_Revenue])</f>
        <v>30761529.489999965</v>
      </c>
      <c r="L5">
        <f t="shared" si="8"/>
        <v>896362.5</v>
      </c>
      <c r="M5">
        <f t="shared" si="0"/>
        <v>2.91390745148544E-2</v>
      </c>
      <c r="N5" t="str">
        <f t="shared" si="9"/>
        <v>Yes</v>
      </c>
      <c r="O5">
        <f t="shared" si="1"/>
        <v>47894.68</v>
      </c>
      <c r="P5">
        <f t="shared" si="2"/>
        <v>5</v>
      </c>
      <c r="Q5">
        <f t="shared" si="3"/>
        <v>172.5</v>
      </c>
      <c r="R5" t="str">
        <f t="shared" si="4"/>
        <v>Low</v>
      </c>
      <c r="S5" t="str">
        <f t="shared" si="5"/>
        <v>High</v>
      </c>
      <c r="T5" t="str">
        <f t="shared" si="12"/>
        <v>High</v>
      </c>
      <c r="U5" t="str">
        <f t="shared" si="10"/>
        <v>No</v>
      </c>
      <c r="V5" t="str">
        <f t="shared" si="6"/>
        <v>Yes</v>
      </c>
      <c r="W5" t="str">
        <f t="shared" si="11"/>
        <v>No</v>
      </c>
      <c r="X5" t="str">
        <f t="shared" si="7"/>
        <v>No</v>
      </c>
    </row>
    <row r="6" spans="1:25" x14ac:dyDescent="0.3">
      <c r="A6" t="s">
        <v>252</v>
      </c>
      <c r="B6">
        <v>49</v>
      </c>
      <c r="C6" t="s">
        <v>511</v>
      </c>
      <c r="D6">
        <v>130911</v>
      </c>
      <c r="E6" t="s">
        <v>512</v>
      </c>
      <c r="F6">
        <v>49</v>
      </c>
      <c r="G6">
        <v>4336.96</v>
      </c>
      <c r="H6">
        <v>232</v>
      </c>
      <c r="I6">
        <v>3</v>
      </c>
      <c r="J6">
        <v>212511.04</v>
      </c>
      <c r="K6">
        <f>SUM(Table3[Total_Revenue])</f>
        <v>30761529.489999965</v>
      </c>
      <c r="L6">
        <f t="shared" si="8"/>
        <v>1108873.54</v>
      </c>
      <c r="M6">
        <f t="shared" si="0"/>
        <v>3.6047412413627723E-2</v>
      </c>
      <c r="N6" t="str">
        <f t="shared" si="9"/>
        <v>Yes</v>
      </c>
      <c r="O6">
        <f t="shared" si="1"/>
        <v>47894.68</v>
      </c>
      <c r="P6">
        <f t="shared" si="2"/>
        <v>5</v>
      </c>
      <c r="Q6">
        <f t="shared" si="3"/>
        <v>172.5</v>
      </c>
      <c r="R6" t="str">
        <f t="shared" si="4"/>
        <v>Low</v>
      </c>
      <c r="S6" t="str">
        <f t="shared" si="5"/>
        <v>High</v>
      </c>
      <c r="T6" t="str">
        <f t="shared" si="12"/>
        <v>High</v>
      </c>
      <c r="U6" t="str">
        <f t="shared" si="10"/>
        <v>No</v>
      </c>
      <c r="V6" t="str">
        <f t="shared" si="6"/>
        <v>Yes</v>
      </c>
      <c r="W6" t="str">
        <f t="shared" si="11"/>
        <v>No</v>
      </c>
      <c r="X6" t="str">
        <f t="shared" si="7"/>
        <v>No</v>
      </c>
    </row>
    <row r="7" spans="1:25" x14ac:dyDescent="0.3">
      <c r="A7" t="s">
        <v>122</v>
      </c>
      <c r="B7">
        <v>34</v>
      </c>
      <c r="C7" t="s">
        <v>510</v>
      </c>
      <c r="D7">
        <v>25122</v>
      </c>
      <c r="E7" t="s">
        <v>515</v>
      </c>
      <c r="F7">
        <v>45</v>
      </c>
      <c r="G7">
        <v>4493.8999999999996</v>
      </c>
      <c r="H7">
        <v>74</v>
      </c>
      <c r="I7">
        <v>7</v>
      </c>
      <c r="J7">
        <v>202225.5</v>
      </c>
      <c r="K7">
        <f>SUM(Table3[Total_Revenue])</f>
        <v>30761529.489999965</v>
      </c>
      <c r="L7">
        <f t="shared" si="8"/>
        <v>1311099.04</v>
      </c>
      <c r="M7">
        <f t="shared" si="0"/>
        <v>4.2621386573974331E-2</v>
      </c>
      <c r="N7" t="str">
        <f t="shared" si="9"/>
        <v>Yes</v>
      </c>
      <c r="O7">
        <f t="shared" si="1"/>
        <v>47894.68</v>
      </c>
      <c r="P7">
        <f t="shared" si="2"/>
        <v>5</v>
      </c>
      <c r="Q7">
        <f t="shared" si="3"/>
        <v>172.5</v>
      </c>
      <c r="R7" t="str">
        <f t="shared" si="4"/>
        <v>High</v>
      </c>
      <c r="S7" t="str">
        <f t="shared" si="5"/>
        <v>Low</v>
      </c>
      <c r="T7" t="str">
        <f t="shared" si="12"/>
        <v>High</v>
      </c>
      <c r="U7" t="str">
        <f t="shared" si="10"/>
        <v>Yes</v>
      </c>
      <c r="V7" t="str">
        <f t="shared" si="6"/>
        <v>No</v>
      </c>
      <c r="W7" t="str">
        <f t="shared" si="11"/>
        <v>Yes</v>
      </c>
      <c r="X7" t="str">
        <f t="shared" si="7"/>
        <v>No</v>
      </c>
    </row>
    <row r="8" spans="1:25" x14ac:dyDescent="0.3">
      <c r="A8" t="s">
        <v>124</v>
      </c>
      <c r="B8">
        <v>52</v>
      </c>
      <c r="C8" t="s">
        <v>511</v>
      </c>
      <c r="D8">
        <v>102838</v>
      </c>
      <c r="E8" t="s">
        <v>514</v>
      </c>
      <c r="F8">
        <v>42</v>
      </c>
      <c r="G8">
        <v>4777.83</v>
      </c>
      <c r="H8">
        <v>261</v>
      </c>
      <c r="I8">
        <v>4</v>
      </c>
      <c r="J8">
        <v>200668.86</v>
      </c>
      <c r="K8">
        <f>SUM(Table3[Total_Revenue])</f>
        <v>30761529.489999965</v>
      </c>
      <c r="L8">
        <f t="shared" si="8"/>
        <v>1511767.9</v>
      </c>
      <c r="M8">
        <f t="shared" si="0"/>
        <v>4.914475726869983E-2</v>
      </c>
      <c r="N8" t="str">
        <f t="shared" si="9"/>
        <v>Yes</v>
      </c>
      <c r="O8">
        <f t="shared" si="1"/>
        <v>47894.68</v>
      </c>
      <c r="P8">
        <f t="shared" si="2"/>
        <v>5</v>
      </c>
      <c r="Q8">
        <f t="shared" si="3"/>
        <v>172.5</v>
      </c>
      <c r="R8" t="str">
        <f t="shared" si="4"/>
        <v>Low</v>
      </c>
      <c r="S8" t="str">
        <f t="shared" si="5"/>
        <v>High</v>
      </c>
      <c r="T8" t="str">
        <f t="shared" si="12"/>
        <v>High</v>
      </c>
      <c r="U8" t="str">
        <f t="shared" si="10"/>
        <v>No</v>
      </c>
      <c r="V8" t="str">
        <f t="shared" si="6"/>
        <v>Yes</v>
      </c>
      <c r="W8" t="str">
        <f t="shared" si="11"/>
        <v>No</v>
      </c>
      <c r="X8" t="str">
        <f t="shared" si="7"/>
        <v>No</v>
      </c>
    </row>
    <row r="9" spans="1:25" x14ac:dyDescent="0.3">
      <c r="A9" t="s">
        <v>464</v>
      </c>
      <c r="B9">
        <v>59</v>
      </c>
      <c r="C9" t="s">
        <v>510</v>
      </c>
      <c r="D9">
        <v>75176</v>
      </c>
      <c r="E9" t="s">
        <v>512</v>
      </c>
      <c r="F9">
        <v>41</v>
      </c>
      <c r="G9">
        <v>4894.1499999999996</v>
      </c>
      <c r="H9">
        <v>264</v>
      </c>
      <c r="I9">
        <v>7</v>
      </c>
      <c r="J9">
        <v>200660.15</v>
      </c>
      <c r="K9">
        <f>SUM(Table3[Total_Revenue])</f>
        <v>30761529.489999965</v>
      </c>
      <c r="L9">
        <f t="shared" si="8"/>
        <v>1712428.0499999998</v>
      </c>
      <c r="M9">
        <f t="shared" si="0"/>
        <v>5.5667844817556301E-2</v>
      </c>
      <c r="N9" t="str">
        <f t="shared" si="9"/>
        <v>Yes</v>
      </c>
      <c r="O9">
        <f t="shared" si="1"/>
        <v>47894.68</v>
      </c>
      <c r="P9">
        <f t="shared" si="2"/>
        <v>5</v>
      </c>
      <c r="Q9">
        <f t="shared" si="3"/>
        <v>172.5</v>
      </c>
      <c r="R9" t="str">
        <f t="shared" si="4"/>
        <v>High</v>
      </c>
      <c r="S9" t="str">
        <f t="shared" si="5"/>
        <v>High</v>
      </c>
      <c r="T9" t="str">
        <f t="shared" si="12"/>
        <v>High</v>
      </c>
      <c r="U9" t="str">
        <f t="shared" si="10"/>
        <v>Yes</v>
      </c>
      <c r="V9" t="str">
        <f t="shared" si="6"/>
        <v>No</v>
      </c>
      <c r="W9" t="str">
        <f t="shared" si="11"/>
        <v>Yes</v>
      </c>
      <c r="X9" t="str">
        <f t="shared" si="7"/>
        <v>No</v>
      </c>
    </row>
    <row r="10" spans="1:25" x14ac:dyDescent="0.3">
      <c r="A10" t="s">
        <v>35</v>
      </c>
      <c r="B10">
        <v>50</v>
      </c>
      <c r="C10" t="s">
        <v>510</v>
      </c>
      <c r="D10">
        <v>26254</v>
      </c>
      <c r="E10" t="s">
        <v>513</v>
      </c>
      <c r="F10">
        <v>41</v>
      </c>
      <c r="G10">
        <v>4868.18</v>
      </c>
      <c r="H10">
        <v>38</v>
      </c>
      <c r="I10">
        <v>6</v>
      </c>
      <c r="J10">
        <v>199595.38</v>
      </c>
      <c r="K10">
        <f>SUM(Table3[Total_Revenue])</f>
        <v>30761529.489999965</v>
      </c>
      <c r="L10">
        <f t="shared" si="8"/>
        <v>1912023.4299999997</v>
      </c>
      <c r="M10">
        <f t="shared" si="0"/>
        <v>6.2156318677898156E-2</v>
      </c>
      <c r="N10" t="str">
        <f t="shared" si="9"/>
        <v>Yes</v>
      </c>
      <c r="O10">
        <f t="shared" si="1"/>
        <v>47894.68</v>
      </c>
      <c r="P10">
        <f t="shared" si="2"/>
        <v>5</v>
      </c>
      <c r="Q10">
        <f t="shared" si="3"/>
        <v>172.5</v>
      </c>
      <c r="R10" t="str">
        <f t="shared" si="4"/>
        <v>High</v>
      </c>
      <c r="S10" t="str">
        <f t="shared" si="5"/>
        <v>Low</v>
      </c>
      <c r="T10" t="str">
        <f t="shared" si="12"/>
        <v>High</v>
      </c>
      <c r="U10" t="str">
        <f t="shared" si="10"/>
        <v>Yes</v>
      </c>
      <c r="V10" t="str">
        <f t="shared" si="6"/>
        <v>No</v>
      </c>
      <c r="W10" t="str">
        <f t="shared" si="11"/>
        <v>Yes</v>
      </c>
      <c r="X10" t="str">
        <f t="shared" si="7"/>
        <v>No</v>
      </c>
    </row>
    <row r="11" spans="1:25" x14ac:dyDescent="0.3">
      <c r="A11" t="s">
        <v>58</v>
      </c>
      <c r="B11">
        <v>21</v>
      </c>
      <c r="C11" t="s">
        <v>511</v>
      </c>
      <c r="D11">
        <v>141465</v>
      </c>
      <c r="E11" t="s">
        <v>513</v>
      </c>
      <c r="F11">
        <v>47</v>
      </c>
      <c r="G11">
        <v>4171.3</v>
      </c>
      <c r="H11">
        <v>188</v>
      </c>
      <c r="I11">
        <v>5</v>
      </c>
      <c r="J11">
        <v>196051.1</v>
      </c>
      <c r="K11">
        <f>SUM(Table3[Total_Revenue])</f>
        <v>30761529.489999965</v>
      </c>
      <c r="L11">
        <f t="shared" si="8"/>
        <v>2108074.5299999998</v>
      </c>
      <c r="M11">
        <f t="shared" si="0"/>
        <v>6.852957460016082E-2</v>
      </c>
      <c r="N11" t="str">
        <f t="shared" si="9"/>
        <v>Yes</v>
      </c>
      <c r="O11">
        <f t="shared" si="1"/>
        <v>47894.68</v>
      </c>
      <c r="P11">
        <f t="shared" si="2"/>
        <v>5</v>
      </c>
      <c r="Q11">
        <f t="shared" si="3"/>
        <v>172.5</v>
      </c>
      <c r="R11" t="str">
        <f t="shared" si="4"/>
        <v>Medium</v>
      </c>
      <c r="S11" t="str">
        <f t="shared" si="5"/>
        <v>High</v>
      </c>
      <c r="T11" t="str">
        <f t="shared" si="12"/>
        <v>High</v>
      </c>
      <c r="U11" t="str">
        <f t="shared" si="10"/>
        <v>Yes</v>
      </c>
      <c r="V11" t="str">
        <f t="shared" si="6"/>
        <v>No</v>
      </c>
      <c r="W11" t="str">
        <f t="shared" si="11"/>
        <v>Yes</v>
      </c>
      <c r="X11" t="str">
        <f t="shared" si="7"/>
        <v>No</v>
      </c>
    </row>
    <row r="12" spans="1:25" x14ac:dyDescent="0.3">
      <c r="A12" t="s">
        <v>134</v>
      </c>
      <c r="B12">
        <v>25</v>
      </c>
      <c r="C12" t="s">
        <v>511</v>
      </c>
      <c r="D12">
        <v>54674</v>
      </c>
      <c r="E12" t="s">
        <v>512</v>
      </c>
      <c r="F12">
        <v>42</v>
      </c>
      <c r="G12">
        <v>4655.07</v>
      </c>
      <c r="H12">
        <v>313</v>
      </c>
      <c r="I12">
        <v>3</v>
      </c>
      <c r="J12">
        <v>195512.94</v>
      </c>
      <c r="K12">
        <f>SUM(Table3[Total_Revenue])</f>
        <v>30761529.489999965</v>
      </c>
      <c r="L12">
        <f t="shared" si="8"/>
        <v>2303587.4699999997</v>
      </c>
      <c r="M12">
        <f t="shared" si="0"/>
        <v>7.4885335943677828E-2</v>
      </c>
      <c r="N12" t="str">
        <f t="shared" si="9"/>
        <v>Yes</v>
      </c>
      <c r="O12">
        <f t="shared" si="1"/>
        <v>47894.68</v>
      </c>
      <c r="P12">
        <f t="shared" si="2"/>
        <v>5</v>
      </c>
      <c r="Q12">
        <f t="shared" si="3"/>
        <v>172.5</v>
      </c>
      <c r="R12" t="str">
        <f t="shared" si="4"/>
        <v>Low</v>
      </c>
      <c r="S12" t="str">
        <f t="shared" si="5"/>
        <v>High</v>
      </c>
      <c r="T12" t="str">
        <f t="shared" si="12"/>
        <v>High</v>
      </c>
      <c r="U12" t="str">
        <f t="shared" si="10"/>
        <v>No</v>
      </c>
      <c r="V12" t="str">
        <f t="shared" si="6"/>
        <v>Yes</v>
      </c>
      <c r="W12" t="str">
        <f t="shared" si="11"/>
        <v>No</v>
      </c>
      <c r="X12" t="str">
        <f t="shared" si="7"/>
        <v>No</v>
      </c>
    </row>
    <row r="13" spans="1:25" x14ac:dyDescent="0.3">
      <c r="A13" t="s">
        <v>439</v>
      </c>
      <c r="B13">
        <v>24</v>
      </c>
      <c r="C13" t="s">
        <v>511</v>
      </c>
      <c r="D13">
        <v>95916</v>
      </c>
      <c r="E13" t="s">
        <v>514</v>
      </c>
      <c r="F13">
        <v>42</v>
      </c>
      <c r="G13">
        <v>4609.46</v>
      </c>
      <c r="H13">
        <v>206</v>
      </c>
      <c r="I13">
        <v>7</v>
      </c>
      <c r="J13">
        <v>193597.32</v>
      </c>
      <c r="K13">
        <f>SUM(Table3[Total_Revenue])</f>
        <v>30761529.489999965</v>
      </c>
      <c r="L13">
        <f t="shared" si="8"/>
        <v>2497184.7899999996</v>
      </c>
      <c r="M13">
        <f t="shared" si="0"/>
        <v>8.117882405072839E-2</v>
      </c>
      <c r="N13" t="str">
        <f t="shared" si="9"/>
        <v>Yes</v>
      </c>
      <c r="O13">
        <f t="shared" si="1"/>
        <v>47894.68</v>
      </c>
      <c r="P13">
        <f t="shared" si="2"/>
        <v>5</v>
      </c>
      <c r="Q13">
        <f t="shared" si="3"/>
        <v>172.5</v>
      </c>
      <c r="R13" t="str">
        <f t="shared" si="4"/>
        <v>High</v>
      </c>
      <c r="S13" t="str">
        <f t="shared" si="5"/>
        <v>High</v>
      </c>
      <c r="T13" t="str">
        <f t="shared" si="12"/>
        <v>High</v>
      </c>
      <c r="U13" t="str">
        <f t="shared" si="10"/>
        <v>Yes</v>
      </c>
      <c r="V13" t="str">
        <f t="shared" si="6"/>
        <v>No</v>
      </c>
      <c r="W13" t="str">
        <f t="shared" si="11"/>
        <v>Yes</v>
      </c>
      <c r="X13" t="str">
        <f t="shared" si="7"/>
        <v>No</v>
      </c>
    </row>
    <row r="14" spans="1:25" x14ac:dyDescent="0.3">
      <c r="A14" t="s">
        <v>212</v>
      </c>
      <c r="B14">
        <v>44</v>
      </c>
      <c r="C14" t="s">
        <v>511</v>
      </c>
      <c r="D14">
        <v>58110</v>
      </c>
      <c r="E14" t="s">
        <v>513</v>
      </c>
      <c r="F14">
        <v>46</v>
      </c>
      <c r="G14">
        <v>4176.13</v>
      </c>
      <c r="H14">
        <v>43</v>
      </c>
      <c r="I14">
        <v>10</v>
      </c>
      <c r="J14">
        <v>192101.98</v>
      </c>
      <c r="K14">
        <f>SUM(Table3[Total_Revenue])</f>
        <v>30761529.489999965</v>
      </c>
      <c r="L14">
        <f t="shared" si="8"/>
        <v>2689286.7699999996</v>
      </c>
      <c r="M14">
        <f t="shared" si="0"/>
        <v>8.7423701440926066E-2</v>
      </c>
      <c r="N14" t="str">
        <f t="shared" si="9"/>
        <v>Yes</v>
      </c>
      <c r="O14">
        <f t="shared" si="1"/>
        <v>47894.68</v>
      </c>
      <c r="P14">
        <f t="shared" si="2"/>
        <v>5</v>
      </c>
      <c r="Q14">
        <f t="shared" si="3"/>
        <v>172.5</v>
      </c>
      <c r="R14" t="str">
        <f t="shared" si="4"/>
        <v>High</v>
      </c>
      <c r="S14" t="str">
        <f t="shared" si="5"/>
        <v>Low</v>
      </c>
      <c r="T14" t="str">
        <f t="shared" si="12"/>
        <v>High</v>
      </c>
      <c r="U14" t="str">
        <f t="shared" si="10"/>
        <v>Yes</v>
      </c>
      <c r="V14" t="str">
        <f t="shared" si="6"/>
        <v>No</v>
      </c>
      <c r="W14" t="str">
        <f t="shared" si="11"/>
        <v>Yes</v>
      </c>
      <c r="X14" t="str">
        <f t="shared" si="7"/>
        <v>No</v>
      </c>
    </row>
    <row r="15" spans="1:25" x14ac:dyDescent="0.3">
      <c r="A15" t="s">
        <v>106</v>
      </c>
      <c r="B15">
        <v>62</v>
      </c>
      <c r="C15" t="s">
        <v>511</v>
      </c>
      <c r="D15">
        <v>20055</v>
      </c>
      <c r="E15" t="s">
        <v>512</v>
      </c>
      <c r="F15">
        <v>40</v>
      </c>
      <c r="G15">
        <v>4762.24</v>
      </c>
      <c r="H15">
        <v>259</v>
      </c>
      <c r="I15">
        <v>1</v>
      </c>
      <c r="J15">
        <v>190489.60000000001</v>
      </c>
      <c r="K15">
        <f>SUM(Table3[Total_Revenue])</f>
        <v>30761529.489999965</v>
      </c>
      <c r="L15">
        <f t="shared" si="8"/>
        <v>2879776.3699999996</v>
      </c>
      <c r="M15">
        <f t="shared" si="0"/>
        <v>9.3616163361973426E-2</v>
      </c>
      <c r="N15" t="str">
        <f t="shared" si="9"/>
        <v>Yes</v>
      </c>
      <c r="O15">
        <f t="shared" si="1"/>
        <v>47894.68</v>
      </c>
      <c r="P15">
        <f t="shared" si="2"/>
        <v>5</v>
      </c>
      <c r="Q15">
        <f t="shared" si="3"/>
        <v>172.5</v>
      </c>
      <c r="R15" t="str">
        <f t="shared" si="4"/>
        <v>Low</v>
      </c>
      <c r="S15" t="str">
        <f t="shared" si="5"/>
        <v>High</v>
      </c>
      <c r="T15" t="str">
        <f t="shared" si="12"/>
        <v>High</v>
      </c>
      <c r="U15" t="str">
        <f t="shared" si="10"/>
        <v>No</v>
      </c>
      <c r="V15" t="str">
        <f t="shared" si="6"/>
        <v>Yes</v>
      </c>
      <c r="W15" t="str">
        <f t="shared" si="11"/>
        <v>No</v>
      </c>
      <c r="X15" t="str">
        <f t="shared" si="7"/>
        <v>No</v>
      </c>
    </row>
    <row r="16" spans="1:25" x14ac:dyDescent="0.3">
      <c r="A16" t="s">
        <v>389</v>
      </c>
      <c r="B16">
        <v>23</v>
      </c>
      <c r="C16" t="s">
        <v>511</v>
      </c>
      <c r="D16">
        <v>39029</v>
      </c>
      <c r="E16" t="s">
        <v>512</v>
      </c>
      <c r="F16">
        <v>45</v>
      </c>
      <c r="G16">
        <v>4143.1499999999996</v>
      </c>
      <c r="H16">
        <v>67</v>
      </c>
      <c r="I16">
        <v>6</v>
      </c>
      <c r="J16">
        <v>186441.75</v>
      </c>
      <c r="K16">
        <f>SUM(Table3[Total_Revenue])</f>
        <v>30761529.489999965</v>
      </c>
      <c r="L16">
        <f t="shared" si="8"/>
        <v>3066218.1199999996</v>
      </c>
      <c r="M16">
        <f t="shared" si="0"/>
        <v>9.967703722263789E-2</v>
      </c>
      <c r="N16" t="str">
        <f t="shared" si="9"/>
        <v>Yes</v>
      </c>
      <c r="O16">
        <f t="shared" si="1"/>
        <v>47894.68</v>
      </c>
      <c r="P16">
        <f t="shared" si="2"/>
        <v>5</v>
      </c>
      <c r="Q16">
        <f t="shared" si="3"/>
        <v>172.5</v>
      </c>
      <c r="R16" t="str">
        <f t="shared" si="4"/>
        <v>High</v>
      </c>
      <c r="S16" t="str">
        <f t="shared" si="5"/>
        <v>Low</v>
      </c>
      <c r="T16" t="str">
        <f t="shared" si="12"/>
        <v>High</v>
      </c>
      <c r="U16" t="str">
        <f t="shared" si="10"/>
        <v>Yes</v>
      </c>
      <c r="V16" t="str">
        <f t="shared" si="6"/>
        <v>No</v>
      </c>
      <c r="W16" t="str">
        <f t="shared" si="11"/>
        <v>Yes</v>
      </c>
      <c r="X16" t="str">
        <f t="shared" si="7"/>
        <v>No</v>
      </c>
    </row>
    <row r="17" spans="1:24" x14ac:dyDescent="0.3">
      <c r="A17" t="s">
        <v>15</v>
      </c>
      <c r="B17">
        <v>25</v>
      </c>
      <c r="C17" t="s">
        <v>511</v>
      </c>
      <c r="D17">
        <v>134825</v>
      </c>
      <c r="E17" t="s">
        <v>514</v>
      </c>
      <c r="F17">
        <v>43</v>
      </c>
      <c r="G17">
        <v>4334.66</v>
      </c>
      <c r="H17">
        <v>75</v>
      </c>
      <c r="I17">
        <v>7</v>
      </c>
      <c r="J17">
        <v>186390.38</v>
      </c>
      <c r="K17">
        <f>SUM(Table3[Total_Revenue])</f>
        <v>30761529.489999965</v>
      </c>
      <c r="L17">
        <f t="shared" si="8"/>
        <v>3252608.4999999995</v>
      </c>
      <c r="M17">
        <f t="shared" si="0"/>
        <v>0.1057362411403297</v>
      </c>
      <c r="N17" t="str">
        <f t="shared" si="9"/>
        <v>Yes</v>
      </c>
      <c r="O17">
        <f t="shared" si="1"/>
        <v>47894.68</v>
      </c>
      <c r="P17">
        <f t="shared" si="2"/>
        <v>5</v>
      </c>
      <c r="Q17">
        <f t="shared" si="3"/>
        <v>172.5</v>
      </c>
      <c r="R17" t="str">
        <f t="shared" si="4"/>
        <v>High</v>
      </c>
      <c r="S17" t="str">
        <f t="shared" si="5"/>
        <v>Low</v>
      </c>
      <c r="T17" t="str">
        <f t="shared" si="12"/>
        <v>High</v>
      </c>
      <c r="U17" t="str">
        <f t="shared" si="10"/>
        <v>Yes</v>
      </c>
      <c r="V17" t="str">
        <f t="shared" si="6"/>
        <v>No</v>
      </c>
      <c r="W17" t="str">
        <f t="shared" si="11"/>
        <v>Yes</v>
      </c>
      <c r="X17" t="str">
        <f t="shared" si="7"/>
        <v>No</v>
      </c>
    </row>
    <row r="18" spans="1:24" x14ac:dyDescent="0.3">
      <c r="A18" t="s">
        <v>109</v>
      </c>
      <c r="B18">
        <v>32</v>
      </c>
      <c r="C18" t="s">
        <v>511</v>
      </c>
      <c r="D18">
        <v>147449</v>
      </c>
      <c r="E18" t="s">
        <v>513</v>
      </c>
      <c r="F18">
        <v>45</v>
      </c>
      <c r="G18">
        <v>4087.45</v>
      </c>
      <c r="H18">
        <v>350</v>
      </c>
      <c r="I18">
        <v>9</v>
      </c>
      <c r="J18">
        <v>183935.25</v>
      </c>
      <c r="K18">
        <f>SUM(Table3[Total_Revenue])</f>
        <v>30761529.489999965</v>
      </c>
      <c r="L18">
        <f t="shared" si="8"/>
        <v>3436543.7499999995</v>
      </c>
      <c r="M18">
        <f t="shared" si="0"/>
        <v>0.11171563335682512</v>
      </c>
      <c r="N18" t="str">
        <f t="shared" si="9"/>
        <v>Yes</v>
      </c>
      <c r="O18">
        <f t="shared" si="1"/>
        <v>47894.68</v>
      </c>
      <c r="P18">
        <f t="shared" si="2"/>
        <v>5</v>
      </c>
      <c r="Q18">
        <f t="shared" si="3"/>
        <v>172.5</v>
      </c>
      <c r="R18" t="str">
        <f t="shared" si="4"/>
        <v>High</v>
      </c>
      <c r="S18" t="str">
        <f t="shared" si="5"/>
        <v>High</v>
      </c>
      <c r="T18" t="str">
        <f t="shared" si="12"/>
        <v>High</v>
      </c>
      <c r="U18" t="str">
        <f t="shared" si="10"/>
        <v>Yes</v>
      </c>
      <c r="V18" t="str">
        <f t="shared" si="6"/>
        <v>No</v>
      </c>
      <c r="W18" t="str">
        <f t="shared" si="11"/>
        <v>Yes</v>
      </c>
      <c r="X18" t="str">
        <f t="shared" si="7"/>
        <v>No</v>
      </c>
    </row>
    <row r="19" spans="1:24" x14ac:dyDescent="0.3">
      <c r="A19" t="s">
        <v>508</v>
      </c>
      <c r="B19">
        <v>62</v>
      </c>
      <c r="C19" t="s">
        <v>511</v>
      </c>
      <c r="D19">
        <v>93509</v>
      </c>
      <c r="E19" t="s">
        <v>512</v>
      </c>
      <c r="F19">
        <v>43</v>
      </c>
      <c r="G19">
        <v>4255.43</v>
      </c>
      <c r="H19">
        <v>21</v>
      </c>
      <c r="I19">
        <v>1</v>
      </c>
      <c r="J19">
        <v>182983.49</v>
      </c>
      <c r="K19">
        <f>SUM(Table3[Total_Revenue])</f>
        <v>30761529.489999965</v>
      </c>
      <c r="L19">
        <f t="shared" si="8"/>
        <v>3619527.2399999993</v>
      </c>
      <c r="M19">
        <f t="shared" si="0"/>
        <v>0.1176640856293132</v>
      </c>
      <c r="N19" t="str">
        <f t="shared" si="9"/>
        <v>Yes</v>
      </c>
      <c r="O19">
        <f t="shared" si="1"/>
        <v>47894.68</v>
      </c>
      <c r="P19">
        <f t="shared" si="2"/>
        <v>5</v>
      </c>
      <c r="Q19">
        <f t="shared" si="3"/>
        <v>172.5</v>
      </c>
      <c r="R19" t="str">
        <f t="shared" si="4"/>
        <v>Low</v>
      </c>
      <c r="S19" t="str">
        <f t="shared" si="5"/>
        <v>Low</v>
      </c>
      <c r="T19" t="str">
        <f t="shared" si="12"/>
        <v>High</v>
      </c>
      <c r="U19" t="str">
        <f t="shared" si="10"/>
        <v>No</v>
      </c>
      <c r="V19" t="str">
        <f t="shared" si="6"/>
        <v>Yes</v>
      </c>
      <c r="W19" t="str">
        <f t="shared" si="11"/>
        <v>No</v>
      </c>
      <c r="X19" t="str">
        <f t="shared" si="7"/>
        <v>No</v>
      </c>
    </row>
    <row r="20" spans="1:24" x14ac:dyDescent="0.3">
      <c r="A20" t="s">
        <v>269</v>
      </c>
      <c r="B20">
        <v>33</v>
      </c>
      <c r="C20" t="s">
        <v>511</v>
      </c>
      <c r="D20">
        <v>22219</v>
      </c>
      <c r="E20" t="s">
        <v>513</v>
      </c>
      <c r="F20">
        <v>46</v>
      </c>
      <c r="G20">
        <v>3952.75</v>
      </c>
      <c r="H20">
        <v>227</v>
      </c>
      <c r="I20">
        <v>3</v>
      </c>
      <c r="J20">
        <v>181826.5</v>
      </c>
      <c r="K20">
        <f>SUM(Table3[Total_Revenue])</f>
        <v>30761529.489999965</v>
      </c>
      <c r="L20">
        <f t="shared" si="8"/>
        <v>3801353.7399999993</v>
      </c>
      <c r="M20">
        <f t="shared" si="0"/>
        <v>0.1235749263129375</v>
      </c>
      <c r="N20" t="str">
        <f t="shared" si="9"/>
        <v>Yes</v>
      </c>
      <c r="O20">
        <f t="shared" si="1"/>
        <v>47894.68</v>
      </c>
      <c r="P20">
        <f t="shared" si="2"/>
        <v>5</v>
      </c>
      <c r="Q20">
        <f t="shared" si="3"/>
        <v>172.5</v>
      </c>
      <c r="R20" t="str">
        <f t="shared" si="4"/>
        <v>Low</v>
      </c>
      <c r="S20" t="str">
        <f t="shared" si="5"/>
        <v>High</v>
      </c>
      <c r="T20" t="str">
        <f t="shared" si="12"/>
        <v>High</v>
      </c>
      <c r="U20" t="str">
        <f t="shared" si="10"/>
        <v>No</v>
      </c>
      <c r="V20" t="str">
        <f t="shared" si="6"/>
        <v>Yes</v>
      </c>
      <c r="W20" t="str">
        <f t="shared" si="11"/>
        <v>No</v>
      </c>
      <c r="X20" t="str">
        <f t="shared" si="7"/>
        <v>No</v>
      </c>
    </row>
    <row r="21" spans="1:24" x14ac:dyDescent="0.3">
      <c r="A21" t="s">
        <v>498</v>
      </c>
      <c r="B21">
        <v>26</v>
      </c>
      <c r="C21" t="s">
        <v>511</v>
      </c>
      <c r="D21">
        <v>59224</v>
      </c>
      <c r="E21" t="s">
        <v>513</v>
      </c>
      <c r="F21">
        <v>41</v>
      </c>
      <c r="G21">
        <v>4411.1000000000004</v>
      </c>
      <c r="H21">
        <v>76</v>
      </c>
      <c r="I21">
        <v>2</v>
      </c>
      <c r="J21">
        <v>180855.1</v>
      </c>
      <c r="K21">
        <f>SUM(Table3[Total_Revenue])</f>
        <v>30761529.489999965</v>
      </c>
      <c r="L21">
        <f t="shared" si="8"/>
        <v>3982208.8399999994</v>
      </c>
      <c r="M21">
        <f t="shared" si="0"/>
        <v>0.12945418859275334</v>
      </c>
      <c r="N21" t="str">
        <f t="shared" si="9"/>
        <v>Yes</v>
      </c>
      <c r="O21">
        <f t="shared" si="1"/>
        <v>47894.68</v>
      </c>
      <c r="P21">
        <f t="shared" si="2"/>
        <v>5</v>
      </c>
      <c r="Q21">
        <f t="shared" si="3"/>
        <v>172.5</v>
      </c>
      <c r="R21" t="str">
        <f t="shared" si="4"/>
        <v>Low</v>
      </c>
      <c r="S21" t="str">
        <f t="shared" si="5"/>
        <v>Low</v>
      </c>
      <c r="T21" t="str">
        <f t="shared" si="12"/>
        <v>High</v>
      </c>
      <c r="U21" t="str">
        <f t="shared" si="10"/>
        <v>No</v>
      </c>
      <c r="V21" t="str">
        <f t="shared" si="6"/>
        <v>Yes</v>
      </c>
      <c r="W21" t="str">
        <f t="shared" si="11"/>
        <v>No</v>
      </c>
      <c r="X21" t="str">
        <f t="shared" si="7"/>
        <v>No</v>
      </c>
    </row>
    <row r="22" spans="1:24" x14ac:dyDescent="0.3">
      <c r="A22" t="s">
        <v>161</v>
      </c>
      <c r="B22">
        <v>32</v>
      </c>
      <c r="C22" t="s">
        <v>511</v>
      </c>
      <c r="D22">
        <v>46734</v>
      </c>
      <c r="E22" t="s">
        <v>514</v>
      </c>
      <c r="F22">
        <v>45</v>
      </c>
      <c r="G22">
        <v>3989.34</v>
      </c>
      <c r="H22">
        <v>205</v>
      </c>
      <c r="I22">
        <v>8</v>
      </c>
      <c r="J22">
        <v>179520.3</v>
      </c>
      <c r="K22">
        <f>SUM(Table3[Total_Revenue])</f>
        <v>30761529.489999965</v>
      </c>
      <c r="L22">
        <f t="shared" si="8"/>
        <v>4161729.1399999992</v>
      </c>
      <c r="M22">
        <f t="shared" si="0"/>
        <v>0.13529005901195207</v>
      </c>
      <c r="N22" t="str">
        <f t="shared" si="9"/>
        <v>Yes</v>
      </c>
      <c r="O22">
        <f t="shared" si="1"/>
        <v>47894.68</v>
      </c>
      <c r="P22">
        <f t="shared" si="2"/>
        <v>5</v>
      </c>
      <c r="Q22">
        <f t="shared" si="3"/>
        <v>172.5</v>
      </c>
      <c r="R22" t="str">
        <f t="shared" si="4"/>
        <v>High</v>
      </c>
      <c r="S22" t="str">
        <f t="shared" si="5"/>
        <v>High</v>
      </c>
      <c r="T22" t="str">
        <f t="shared" si="12"/>
        <v>High</v>
      </c>
      <c r="U22" t="str">
        <f t="shared" si="10"/>
        <v>Yes</v>
      </c>
      <c r="V22" t="str">
        <f t="shared" si="6"/>
        <v>No</v>
      </c>
      <c r="W22" t="str">
        <f t="shared" si="11"/>
        <v>Yes</v>
      </c>
      <c r="X22" t="str">
        <f t="shared" si="7"/>
        <v>No</v>
      </c>
    </row>
    <row r="23" spans="1:24" x14ac:dyDescent="0.3">
      <c r="A23" t="s">
        <v>465</v>
      </c>
      <c r="B23">
        <v>23</v>
      </c>
      <c r="C23" t="s">
        <v>511</v>
      </c>
      <c r="D23">
        <v>139797</v>
      </c>
      <c r="E23" t="s">
        <v>512</v>
      </c>
      <c r="F23">
        <v>47</v>
      </c>
      <c r="G23">
        <v>3766.14</v>
      </c>
      <c r="H23">
        <v>2</v>
      </c>
      <c r="I23">
        <v>10</v>
      </c>
      <c r="J23">
        <v>177008.58</v>
      </c>
      <c r="K23">
        <f>SUM(Table3[Total_Revenue])</f>
        <v>30761529.489999965</v>
      </c>
      <c r="L23">
        <f t="shared" si="8"/>
        <v>4338737.7199999988</v>
      </c>
      <c r="M23">
        <f t="shared" si="0"/>
        <v>0.14104427809450915</v>
      </c>
      <c r="N23" t="str">
        <f t="shared" si="9"/>
        <v>Yes</v>
      </c>
      <c r="O23">
        <f t="shared" si="1"/>
        <v>47894.68</v>
      </c>
      <c r="P23">
        <f t="shared" si="2"/>
        <v>5</v>
      </c>
      <c r="Q23">
        <f t="shared" si="3"/>
        <v>172.5</v>
      </c>
      <c r="R23" t="str">
        <f t="shared" si="4"/>
        <v>High</v>
      </c>
      <c r="S23" t="str">
        <f t="shared" si="5"/>
        <v>Low</v>
      </c>
      <c r="T23" t="str">
        <f t="shared" si="12"/>
        <v>High</v>
      </c>
      <c r="U23" t="str">
        <f t="shared" si="10"/>
        <v>Yes</v>
      </c>
      <c r="V23" t="str">
        <f t="shared" si="6"/>
        <v>No</v>
      </c>
      <c r="W23" t="str">
        <f t="shared" si="11"/>
        <v>Yes</v>
      </c>
      <c r="X23" t="str">
        <f t="shared" si="7"/>
        <v>No</v>
      </c>
    </row>
    <row r="24" spans="1:24" x14ac:dyDescent="0.3">
      <c r="A24" t="s">
        <v>312</v>
      </c>
      <c r="B24">
        <v>58</v>
      </c>
      <c r="C24" t="s">
        <v>511</v>
      </c>
      <c r="D24">
        <v>146730</v>
      </c>
      <c r="E24" t="s">
        <v>514</v>
      </c>
      <c r="F24">
        <v>41</v>
      </c>
      <c r="G24">
        <v>4272.1000000000004</v>
      </c>
      <c r="H24">
        <v>12</v>
      </c>
      <c r="I24">
        <v>1</v>
      </c>
      <c r="J24">
        <v>175156.1</v>
      </c>
      <c r="K24">
        <f>SUM(Table3[Total_Revenue])</f>
        <v>30761529.489999965</v>
      </c>
      <c r="L24">
        <f t="shared" si="8"/>
        <v>4513893.8199999984</v>
      </c>
      <c r="M24">
        <f t="shared" si="0"/>
        <v>0.14673827650433918</v>
      </c>
      <c r="N24" t="str">
        <f t="shared" si="9"/>
        <v>Yes</v>
      </c>
      <c r="O24">
        <f t="shared" si="1"/>
        <v>47894.68</v>
      </c>
      <c r="P24">
        <f t="shared" si="2"/>
        <v>5</v>
      </c>
      <c r="Q24">
        <f t="shared" si="3"/>
        <v>172.5</v>
      </c>
      <c r="R24" t="str">
        <f t="shared" si="4"/>
        <v>Low</v>
      </c>
      <c r="S24" t="str">
        <f t="shared" si="5"/>
        <v>Low</v>
      </c>
      <c r="T24" t="str">
        <f t="shared" si="12"/>
        <v>High</v>
      </c>
      <c r="U24" t="str">
        <f t="shared" si="10"/>
        <v>No</v>
      </c>
      <c r="V24" t="str">
        <f t="shared" si="6"/>
        <v>Yes</v>
      </c>
      <c r="W24" t="str">
        <f t="shared" si="11"/>
        <v>No</v>
      </c>
      <c r="X24" t="str">
        <f t="shared" si="7"/>
        <v>No</v>
      </c>
    </row>
    <row r="25" spans="1:24" x14ac:dyDescent="0.3">
      <c r="A25" t="s">
        <v>118</v>
      </c>
      <c r="B25">
        <v>25</v>
      </c>
      <c r="C25" t="s">
        <v>510</v>
      </c>
      <c r="D25">
        <v>35034</v>
      </c>
      <c r="E25" t="s">
        <v>512</v>
      </c>
      <c r="F25">
        <v>48</v>
      </c>
      <c r="G25">
        <v>3605.91</v>
      </c>
      <c r="H25">
        <v>69</v>
      </c>
      <c r="I25">
        <v>3</v>
      </c>
      <c r="J25">
        <v>173083.68</v>
      </c>
      <c r="K25">
        <f>SUM(Table3[Total_Revenue])</f>
        <v>30761529.489999965</v>
      </c>
      <c r="L25">
        <f t="shared" si="8"/>
        <v>4686977.4999999981</v>
      </c>
      <c r="M25">
        <f t="shared" si="0"/>
        <v>0.15236490440189759</v>
      </c>
      <c r="N25" t="str">
        <f t="shared" si="9"/>
        <v>Yes</v>
      </c>
      <c r="O25">
        <f t="shared" si="1"/>
        <v>47894.68</v>
      </c>
      <c r="P25">
        <f t="shared" si="2"/>
        <v>5</v>
      </c>
      <c r="Q25">
        <f t="shared" si="3"/>
        <v>172.5</v>
      </c>
      <c r="R25" t="str">
        <f t="shared" si="4"/>
        <v>Low</v>
      </c>
      <c r="S25" t="str">
        <f t="shared" si="5"/>
        <v>Low</v>
      </c>
      <c r="T25" t="str">
        <f t="shared" si="12"/>
        <v>High</v>
      </c>
      <c r="U25" t="str">
        <f t="shared" si="10"/>
        <v>No</v>
      </c>
      <c r="V25" t="str">
        <f t="shared" si="6"/>
        <v>Yes</v>
      </c>
      <c r="W25" t="str">
        <f t="shared" si="11"/>
        <v>No</v>
      </c>
      <c r="X25" t="str">
        <f t="shared" si="7"/>
        <v>No</v>
      </c>
    </row>
    <row r="26" spans="1:24" x14ac:dyDescent="0.3">
      <c r="A26" t="s">
        <v>63</v>
      </c>
      <c r="B26">
        <v>43</v>
      </c>
      <c r="C26" t="s">
        <v>510</v>
      </c>
      <c r="D26">
        <v>107505</v>
      </c>
      <c r="E26" t="s">
        <v>512</v>
      </c>
      <c r="F26">
        <v>37</v>
      </c>
      <c r="G26">
        <v>4601.5200000000004</v>
      </c>
      <c r="H26">
        <v>152</v>
      </c>
      <c r="I26">
        <v>9</v>
      </c>
      <c r="J26">
        <v>170256.24</v>
      </c>
      <c r="K26">
        <f>SUM(Table3[Total_Revenue])</f>
        <v>30761529.489999965</v>
      </c>
      <c r="L26">
        <f t="shared" si="8"/>
        <v>4857233.7399999984</v>
      </c>
      <c r="M26">
        <f t="shared" si="0"/>
        <v>0.15789961749395459</v>
      </c>
      <c r="N26" t="str">
        <f t="shared" si="9"/>
        <v>Yes</v>
      </c>
      <c r="O26">
        <f t="shared" si="1"/>
        <v>47894.68</v>
      </c>
      <c r="P26">
        <f t="shared" si="2"/>
        <v>5</v>
      </c>
      <c r="Q26">
        <f t="shared" si="3"/>
        <v>172.5</v>
      </c>
      <c r="R26" t="str">
        <f t="shared" si="4"/>
        <v>High</v>
      </c>
      <c r="S26" t="str">
        <f t="shared" si="5"/>
        <v>Low</v>
      </c>
      <c r="T26" t="str">
        <f t="shared" si="12"/>
        <v>High</v>
      </c>
      <c r="U26" t="str">
        <f t="shared" si="10"/>
        <v>Yes</v>
      </c>
      <c r="V26" t="str">
        <f t="shared" si="6"/>
        <v>No</v>
      </c>
      <c r="W26" t="str">
        <f t="shared" si="11"/>
        <v>Yes</v>
      </c>
      <c r="X26" t="str">
        <f t="shared" si="7"/>
        <v>No</v>
      </c>
    </row>
    <row r="27" spans="1:24" x14ac:dyDescent="0.3">
      <c r="A27" t="s">
        <v>66</v>
      </c>
      <c r="B27">
        <v>45</v>
      </c>
      <c r="C27" t="s">
        <v>511</v>
      </c>
      <c r="D27">
        <v>56668</v>
      </c>
      <c r="E27" t="s">
        <v>513</v>
      </c>
      <c r="F27">
        <v>41</v>
      </c>
      <c r="G27">
        <v>4151.51</v>
      </c>
      <c r="H27">
        <v>30</v>
      </c>
      <c r="I27">
        <v>1</v>
      </c>
      <c r="J27">
        <v>170211.91</v>
      </c>
      <c r="K27">
        <f>SUM(Table3[Total_Revenue])</f>
        <v>30761529.489999965</v>
      </c>
      <c r="L27">
        <f t="shared" si="8"/>
        <v>5027445.6499999985</v>
      </c>
      <c r="M27">
        <f t="shared" si="0"/>
        <v>0.16343288950031998</v>
      </c>
      <c r="N27" t="str">
        <f t="shared" si="9"/>
        <v>Yes</v>
      </c>
      <c r="O27">
        <f t="shared" si="1"/>
        <v>47894.68</v>
      </c>
      <c r="P27">
        <f t="shared" si="2"/>
        <v>5</v>
      </c>
      <c r="Q27">
        <f t="shared" si="3"/>
        <v>172.5</v>
      </c>
      <c r="R27" t="str">
        <f t="shared" si="4"/>
        <v>Low</v>
      </c>
      <c r="S27" t="str">
        <f t="shared" si="5"/>
        <v>Low</v>
      </c>
      <c r="T27" t="str">
        <f t="shared" si="12"/>
        <v>High</v>
      </c>
      <c r="U27" t="str">
        <f t="shared" si="10"/>
        <v>No</v>
      </c>
      <c r="V27" t="str">
        <f t="shared" si="6"/>
        <v>Yes</v>
      </c>
      <c r="W27" t="str">
        <f t="shared" si="11"/>
        <v>No</v>
      </c>
      <c r="X27" t="str">
        <f t="shared" si="7"/>
        <v>No</v>
      </c>
    </row>
    <row r="28" spans="1:24" x14ac:dyDescent="0.3">
      <c r="A28" t="s">
        <v>477</v>
      </c>
      <c r="B28">
        <v>62</v>
      </c>
      <c r="C28" t="s">
        <v>511</v>
      </c>
      <c r="D28">
        <v>56244</v>
      </c>
      <c r="E28" t="s">
        <v>515</v>
      </c>
      <c r="F28">
        <v>35</v>
      </c>
      <c r="G28">
        <v>4829.1400000000003</v>
      </c>
      <c r="H28">
        <v>268</v>
      </c>
      <c r="I28">
        <v>1</v>
      </c>
      <c r="J28">
        <v>169019.9</v>
      </c>
      <c r="K28">
        <f>SUM(Table3[Total_Revenue])</f>
        <v>30761529.489999965</v>
      </c>
      <c r="L28">
        <f t="shared" si="8"/>
        <v>5196465.5499999989</v>
      </c>
      <c r="M28">
        <f t="shared" si="0"/>
        <v>0.16892741148288087</v>
      </c>
      <c r="N28" t="str">
        <f t="shared" si="9"/>
        <v>Yes</v>
      </c>
      <c r="O28">
        <f t="shared" si="1"/>
        <v>47894.68</v>
      </c>
      <c r="P28">
        <f t="shared" si="2"/>
        <v>5</v>
      </c>
      <c r="Q28">
        <f t="shared" si="3"/>
        <v>172.5</v>
      </c>
      <c r="R28" t="str">
        <f t="shared" si="4"/>
        <v>Low</v>
      </c>
      <c r="S28" t="str">
        <f t="shared" si="5"/>
        <v>High</v>
      </c>
      <c r="T28" t="str">
        <f t="shared" si="12"/>
        <v>High</v>
      </c>
      <c r="U28" t="str">
        <f t="shared" si="10"/>
        <v>No</v>
      </c>
      <c r="V28" t="str">
        <f t="shared" si="6"/>
        <v>Yes</v>
      </c>
      <c r="W28" t="str">
        <f t="shared" si="11"/>
        <v>No</v>
      </c>
      <c r="X28" t="str">
        <f t="shared" si="7"/>
        <v>No</v>
      </c>
    </row>
    <row r="29" spans="1:24" x14ac:dyDescent="0.3">
      <c r="A29" t="s">
        <v>349</v>
      </c>
      <c r="B29">
        <v>65</v>
      </c>
      <c r="C29" t="s">
        <v>510</v>
      </c>
      <c r="D29">
        <v>54016</v>
      </c>
      <c r="E29" t="s">
        <v>512</v>
      </c>
      <c r="F29">
        <v>34</v>
      </c>
      <c r="G29">
        <v>4822.7299999999996</v>
      </c>
      <c r="H29">
        <v>76</v>
      </c>
      <c r="I29">
        <v>1</v>
      </c>
      <c r="J29">
        <v>163972.82</v>
      </c>
      <c r="K29">
        <f>SUM(Table3[Total_Revenue])</f>
        <v>30761529.489999965</v>
      </c>
      <c r="L29">
        <f t="shared" si="8"/>
        <v>5360438.3699999992</v>
      </c>
      <c r="M29">
        <f t="shared" si="0"/>
        <v>0.17425786229981133</v>
      </c>
      <c r="N29" t="str">
        <f t="shared" si="9"/>
        <v>Yes</v>
      </c>
      <c r="O29">
        <f t="shared" si="1"/>
        <v>47894.68</v>
      </c>
      <c r="P29">
        <f t="shared" si="2"/>
        <v>5</v>
      </c>
      <c r="Q29">
        <f t="shared" si="3"/>
        <v>172.5</v>
      </c>
      <c r="R29" t="str">
        <f t="shared" si="4"/>
        <v>Low</v>
      </c>
      <c r="S29" t="str">
        <f t="shared" si="5"/>
        <v>Low</v>
      </c>
      <c r="T29" t="str">
        <f t="shared" si="12"/>
        <v>High</v>
      </c>
      <c r="U29" t="str">
        <f t="shared" si="10"/>
        <v>No</v>
      </c>
      <c r="V29" t="str">
        <f t="shared" si="6"/>
        <v>Yes</v>
      </c>
      <c r="W29" t="str">
        <f t="shared" si="11"/>
        <v>No</v>
      </c>
      <c r="X29" t="str">
        <f t="shared" si="7"/>
        <v>No</v>
      </c>
    </row>
    <row r="30" spans="1:24" x14ac:dyDescent="0.3">
      <c r="A30" t="s">
        <v>431</v>
      </c>
      <c r="B30">
        <v>46</v>
      </c>
      <c r="C30" t="s">
        <v>511</v>
      </c>
      <c r="D30">
        <v>32999</v>
      </c>
      <c r="E30" t="s">
        <v>512</v>
      </c>
      <c r="F30">
        <v>34</v>
      </c>
      <c r="G30">
        <v>4803.1499999999996</v>
      </c>
      <c r="H30">
        <v>150</v>
      </c>
      <c r="I30">
        <v>9</v>
      </c>
      <c r="J30">
        <v>163307.1</v>
      </c>
      <c r="K30">
        <f>SUM(Table3[Total_Revenue])</f>
        <v>30761529.489999965</v>
      </c>
      <c r="L30">
        <f t="shared" si="8"/>
        <v>5523745.4699999988</v>
      </c>
      <c r="M30">
        <f t="shared" si="0"/>
        <v>0.17956667180010252</v>
      </c>
      <c r="N30" t="str">
        <f t="shared" si="9"/>
        <v>Yes</v>
      </c>
      <c r="O30">
        <f t="shared" si="1"/>
        <v>47894.68</v>
      </c>
      <c r="P30">
        <f t="shared" si="2"/>
        <v>5</v>
      </c>
      <c r="Q30">
        <f t="shared" si="3"/>
        <v>172.5</v>
      </c>
      <c r="R30" t="str">
        <f t="shared" si="4"/>
        <v>High</v>
      </c>
      <c r="S30" t="str">
        <f t="shared" si="5"/>
        <v>Low</v>
      </c>
      <c r="T30" t="str">
        <f t="shared" si="12"/>
        <v>High</v>
      </c>
      <c r="U30" t="str">
        <f t="shared" si="10"/>
        <v>Yes</v>
      </c>
      <c r="V30" t="str">
        <f t="shared" si="6"/>
        <v>No</v>
      </c>
      <c r="W30" t="str">
        <f t="shared" si="11"/>
        <v>Yes</v>
      </c>
      <c r="X30" t="str">
        <f t="shared" si="7"/>
        <v>No</v>
      </c>
    </row>
    <row r="31" spans="1:24" x14ac:dyDescent="0.3">
      <c r="A31" t="s">
        <v>225</v>
      </c>
      <c r="B31">
        <v>69</v>
      </c>
      <c r="C31" t="s">
        <v>510</v>
      </c>
      <c r="D31">
        <v>132613</v>
      </c>
      <c r="E31" t="s">
        <v>514</v>
      </c>
      <c r="F31">
        <v>32</v>
      </c>
      <c r="G31">
        <v>4977.8500000000004</v>
      </c>
      <c r="H31">
        <v>22</v>
      </c>
      <c r="I31">
        <v>5</v>
      </c>
      <c r="J31">
        <v>159291.20000000001</v>
      </c>
      <c r="K31">
        <f>SUM(Table3[Total_Revenue])</f>
        <v>30761529.489999965</v>
      </c>
      <c r="L31">
        <f t="shared" si="8"/>
        <v>5683036.669999999</v>
      </c>
      <c r="M31">
        <f t="shared" si="0"/>
        <v>0.18474493187497243</v>
      </c>
      <c r="N31" t="str">
        <f t="shared" si="9"/>
        <v>Yes</v>
      </c>
      <c r="O31">
        <f t="shared" si="1"/>
        <v>47894.68</v>
      </c>
      <c r="P31">
        <f t="shared" si="2"/>
        <v>5</v>
      </c>
      <c r="Q31">
        <f t="shared" si="3"/>
        <v>172.5</v>
      </c>
      <c r="R31" t="str">
        <f t="shared" si="4"/>
        <v>Medium</v>
      </c>
      <c r="S31" t="str">
        <f t="shared" si="5"/>
        <v>Low</v>
      </c>
      <c r="T31" t="str">
        <f t="shared" si="12"/>
        <v>High</v>
      </c>
      <c r="U31" t="str">
        <f t="shared" si="10"/>
        <v>Yes</v>
      </c>
      <c r="V31" t="str">
        <f t="shared" si="6"/>
        <v>No</v>
      </c>
      <c r="W31" t="str">
        <f t="shared" si="11"/>
        <v>Yes</v>
      </c>
      <c r="X31" t="str">
        <f t="shared" si="7"/>
        <v>No</v>
      </c>
    </row>
    <row r="32" spans="1:24" x14ac:dyDescent="0.3">
      <c r="A32" t="s">
        <v>75</v>
      </c>
      <c r="B32">
        <v>53</v>
      </c>
      <c r="C32" t="s">
        <v>510</v>
      </c>
      <c r="D32">
        <v>71745</v>
      </c>
      <c r="E32" t="s">
        <v>513</v>
      </c>
      <c r="F32">
        <v>42</v>
      </c>
      <c r="G32">
        <v>3786.9</v>
      </c>
      <c r="H32">
        <v>183</v>
      </c>
      <c r="I32">
        <v>7</v>
      </c>
      <c r="J32">
        <v>159049.79999999999</v>
      </c>
      <c r="K32">
        <f>SUM(Table3[Total_Revenue])</f>
        <v>30761529.489999965</v>
      </c>
      <c r="L32">
        <f t="shared" si="8"/>
        <v>5842086.4699999988</v>
      </c>
      <c r="M32">
        <f t="shared" si="0"/>
        <v>0.18991534448568817</v>
      </c>
      <c r="N32" t="str">
        <f t="shared" si="9"/>
        <v>Yes</v>
      </c>
      <c r="O32">
        <f t="shared" si="1"/>
        <v>47894.68</v>
      </c>
      <c r="P32">
        <f t="shared" si="2"/>
        <v>5</v>
      </c>
      <c r="Q32">
        <f t="shared" si="3"/>
        <v>172.5</v>
      </c>
      <c r="R32" t="str">
        <f t="shared" si="4"/>
        <v>High</v>
      </c>
      <c r="S32" t="str">
        <f t="shared" si="5"/>
        <v>High</v>
      </c>
      <c r="T32" t="str">
        <f t="shared" si="12"/>
        <v>High</v>
      </c>
      <c r="U32" t="str">
        <f t="shared" si="10"/>
        <v>Yes</v>
      </c>
      <c r="V32" t="str">
        <f t="shared" si="6"/>
        <v>No</v>
      </c>
      <c r="W32" t="str">
        <f t="shared" si="11"/>
        <v>Yes</v>
      </c>
      <c r="X32" t="str">
        <f t="shared" si="7"/>
        <v>No</v>
      </c>
    </row>
    <row r="33" spans="1:24" x14ac:dyDescent="0.3">
      <c r="A33" t="s">
        <v>353</v>
      </c>
      <c r="B33">
        <v>20</v>
      </c>
      <c r="C33" t="s">
        <v>510</v>
      </c>
      <c r="D33">
        <v>38381</v>
      </c>
      <c r="E33" t="s">
        <v>513</v>
      </c>
      <c r="F33">
        <v>40</v>
      </c>
      <c r="G33">
        <v>3972.65</v>
      </c>
      <c r="H33">
        <v>248</v>
      </c>
      <c r="I33">
        <v>5</v>
      </c>
      <c r="J33">
        <v>158906</v>
      </c>
      <c r="K33">
        <f>SUM(Table3[Total_Revenue])</f>
        <v>30761529.489999965</v>
      </c>
      <c r="L33">
        <f t="shared" si="8"/>
        <v>6000992.4699999988</v>
      </c>
      <c r="M33">
        <f t="shared" si="0"/>
        <v>0.1950810824263734</v>
      </c>
      <c r="N33" t="str">
        <f t="shared" si="9"/>
        <v>Yes</v>
      </c>
      <c r="O33">
        <f t="shared" si="1"/>
        <v>47894.68</v>
      </c>
      <c r="P33">
        <f t="shared" si="2"/>
        <v>5</v>
      </c>
      <c r="Q33">
        <f t="shared" si="3"/>
        <v>172.5</v>
      </c>
      <c r="R33" t="str">
        <f t="shared" si="4"/>
        <v>Medium</v>
      </c>
      <c r="S33" t="str">
        <f t="shared" si="5"/>
        <v>High</v>
      </c>
      <c r="T33" t="str">
        <f t="shared" si="12"/>
        <v>High</v>
      </c>
      <c r="U33" t="str">
        <f t="shared" si="10"/>
        <v>Yes</v>
      </c>
      <c r="V33" t="str">
        <f t="shared" si="6"/>
        <v>No</v>
      </c>
      <c r="W33" t="str">
        <f t="shared" si="11"/>
        <v>Yes</v>
      </c>
      <c r="X33" t="str">
        <f t="shared" si="7"/>
        <v>No</v>
      </c>
    </row>
    <row r="34" spans="1:24" x14ac:dyDescent="0.3">
      <c r="A34" t="s">
        <v>54</v>
      </c>
      <c r="B34">
        <v>38</v>
      </c>
      <c r="C34" t="s">
        <v>511</v>
      </c>
      <c r="D34">
        <v>89724</v>
      </c>
      <c r="E34" t="s">
        <v>512</v>
      </c>
      <c r="F34">
        <v>32</v>
      </c>
      <c r="G34">
        <v>4895.29</v>
      </c>
      <c r="H34">
        <v>162</v>
      </c>
      <c r="I34">
        <v>1</v>
      </c>
      <c r="J34">
        <v>156649.28</v>
      </c>
      <c r="K34">
        <f>SUM(Table3[Total_Revenue])</f>
        <v>30761529.489999965</v>
      </c>
      <c r="L34">
        <f t="shared" si="8"/>
        <v>6157641.7499999991</v>
      </c>
      <c r="M34">
        <f t="shared" si="0"/>
        <v>0.2001734586052277</v>
      </c>
      <c r="N34" t="str">
        <f t="shared" si="9"/>
        <v>Yes</v>
      </c>
      <c r="O34">
        <f t="shared" si="1"/>
        <v>47894.68</v>
      </c>
      <c r="P34">
        <f t="shared" si="2"/>
        <v>5</v>
      </c>
      <c r="Q34">
        <f t="shared" si="3"/>
        <v>172.5</v>
      </c>
      <c r="R34" t="str">
        <f t="shared" si="4"/>
        <v>Low</v>
      </c>
      <c r="S34" t="str">
        <f t="shared" si="5"/>
        <v>Low</v>
      </c>
      <c r="T34" t="str">
        <f t="shared" si="12"/>
        <v>High</v>
      </c>
      <c r="U34" t="str">
        <f t="shared" si="10"/>
        <v>No</v>
      </c>
      <c r="V34" t="str">
        <f t="shared" si="6"/>
        <v>Yes</v>
      </c>
      <c r="W34" t="str">
        <f t="shared" si="11"/>
        <v>No</v>
      </c>
      <c r="X34" t="str">
        <f t="shared" si="7"/>
        <v>No</v>
      </c>
    </row>
    <row r="35" spans="1:24" x14ac:dyDescent="0.3">
      <c r="A35" t="s">
        <v>277</v>
      </c>
      <c r="B35">
        <v>36</v>
      </c>
      <c r="C35" t="s">
        <v>510</v>
      </c>
      <c r="D35">
        <v>83076</v>
      </c>
      <c r="E35" t="s">
        <v>512</v>
      </c>
      <c r="F35">
        <v>46</v>
      </c>
      <c r="G35">
        <v>3404.09</v>
      </c>
      <c r="H35">
        <v>267</v>
      </c>
      <c r="I35">
        <v>5</v>
      </c>
      <c r="J35">
        <v>156588.14000000001</v>
      </c>
      <c r="K35">
        <f>SUM(Table3[Total_Revenue])</f>
        <v>30761529.489999965</v>
      </c>
      <c r="L35">
        <f t="shared" si="8"/>
        <v>6314229.8899999987</v>
      </c>
      <c r="M35">
        <f t="shared" si="0"/>
        <v>0.20526384723661562</v>
      </c>
      <c r="N35" t="str">
        <f t="shared" si="9"/>
        <v>Yes</v>
      </c>
      <c r="O35">
        <f t="shared" si="1"/>
        <v>47894.68</v>
      </c>
      <c r="P35">
        <f t="shared" si="2"/>
        <v>5</v>
      </c>
      <c r="Q35">
        <f t="shared" si="3"/>
        <v>172.5</v>
      </c>
      <c r="R35" t="str">
        <f t="shared" si="4"/>
        <v>Medium</v>
      </c>
      <c r="S35" t="str">
        <f t="shared" si="5"/>
        <v>High</v>
      </c>
      <c r="T35" t="str">
        <f t="shared" si="12"/>
        <v>High</v>
      </c>
      <c r="U35" t="str">
        <f t="shared" si="10"/>
        <v>Yes</v>
      </c>
      <c r="V35" t="str">
        <f t="shared" si="6"/>
        <v>No</v>
      </c>
      <c r="W35" t="str">
        <f t="shared" si="11"/>
        <v>Yes</v>
      </c>
      <c r="X35" t="str">
        <f t="shared" si="7"/>
        <v>No</v>
      </c>
    </row>
    <row r="36" spans="1:24" x14ac:dyDescent="0.3">
      <c r="A36" t="s">
        <v>29</v>
      </c>
      <c r="B36">
        <v>41</v>
      </c>
      <c r="C36" t="s">
        <v>510</v>
      </c>
      <c r="D36">
        <v>124573</v>
      </c>
      <c r="E36" t="s">
        <v>515</v>
      </c>
      <c r="F36">
        <v>45</v>
      </c>
      <c r="G36">
        <v>3472.22</v>
      </c>
      <c r="H36">
        <v>154</v>
      </c>
      <c r="I36">
        <v>6</v>
      </c>
      <c r="J36">
        <v>156249.9</v>
      </c>
      <c r="K36">
        <f>SUM(Table3[Total_Revenue])</f>
        <v>30761529.489999965</v>
      </c>
      <c r="L36">
        <f t="shared" si="8"/>
        <v>6470479.7899999991</v>
      </c>
      <c r="M36">
        <f t="shared" si="0"/>
        <v>0.21034324031590948</v>
      </c>
      <c r="N36" t="str">
        <f t="shared" si="9"/>
        <v>Yes</v>
      </c>
      <c r="O36">
        <f t="shared" si="1"/>
        <v>47894.68</v>
      </c>
      <c r="P36">
        <f t="shared" si="2"/>
        <v>5</v>
      </c>
      <c r="Q36">
        <f t="shared" si="3"/>
        <v>172.5</v>
      </c>
      <c r="R36" t="str">
        <f t="shared" si="4"/>
        <v>High</v>
      </c>
      <c r="S36" t="str">
        <f t="shared" si="5"/>
        <v>Low</v>
      </c>
      <c r="T36" t="str">
        <f t="shared" si="12"/>
        <v>High</v>
      </c>
      <c r="U36" t="str">
        <f t="shared" si="10"/>
        <v>Yes</v>
      </c>
      <c r="V36" t="str">
        <f t="shared" si="6"/>
        <v>No</v>
      </c>
      <c r="W36" t="str">
        <f t="shared" si="11"/>
        <v>Yes</v>
      </c>
      <c r="X36" t="str">
        <f t="shared" si="7"/>
        <v>No</v>
      </c>
    </row>
    <row r="37" spans="1:24" x14ac:dyDescent="0.3">
      <c r="A37" t="s">
        <v>509</v>
      </c>
      <c r="B37">
        <v>18</v>
      </c>
      <c r="C37" t="s">
        <v>510</v>
      </c>
      <c r="D37">
        <v>28577</v>
      </c>
      <c r="E37" t="s">
        <v>514</v>
      </c>
      <c r="F37">
        <v>37</v>
      </c>
      <c r="G37">
        <v>4215.82</v>
      </c>
      <c r="H37">
        <v>307</v>
      </c>
      <c r="I37">
        <v>4</v>
      </c>
      <c r="J37">
        <v>155985.34</v>
      </c>
      <c r="K37">
        <f>SUM(Table3[Total_Revenue])</f>
        <v>30761529.489999965</v>
      </c>
      <c r="L37">
        <f t="shared" si="8"/>
        <v>6626465.129999999</v>
      </c>
      <c r="M37">
        <f t="shared" si="0"/>
        <v>0.21541403304260756</v>
      </c>
      <c r="N37" t="str">
        <f t="shared" si="9"/>
        <v>Yes</v>
      </c>
      <c r="O37">
        <f t="shared" si="1"/>
        <v>47894.68</v>
      </c>
      <c r="P37">
        <f t="shared" si="2"/>
        <v>5</v>
      </c>
      <c r="Q37">
        <f t="shared" si="3"/>
        <v>172.5</v>
      </c>
      <c r="R37" t="str">
        <f t="shared" si="4"/>
        <v>Low</v>
      </c>
      <c r="S37" t="str">
        <f t="shared" si="5"/>
        <v>High</v>
      </c>
      <c r="T37" t="str">
        <f t="shared" si="12"/>
        <v>High</v>
      </c>
      <c r="U37" t="str">
        <f t="shared" si="10"/>
        <v>No</v>
      </c>
      <c r="V37" t="str">
        <f t="shared" si="6"/>
        <v>Yes</v>
      </c>
      <c r="W37" t="str">
        <f t="shared" si="11"/>
        <v>No</v>
      </c>
      <c r="X37" t="str">
        <f t="shared" si="7"/>
        <v>No</v>
      </c>
    </row>
    <row r="38" spans="1:24" x14ac:dyDescent="0.3">
      <c r="A38" t="s">
        <v>412</v>
      </c>
      <c r="B38">
        <v>63</v>
      </c>
      <c r="C38" t="s">
        <v>510</v>
      </c>
      <c r="D38">
        <v>104291</v>
      </c>
      <c r="E38" t="s">
        <v>512</v>
      </c>
      <c r="F38">
        <v>33</v>
      </c>
      <c r="G38">
        <v>4717.3500000000004</v>
      </c>
      <c r="H38">
        <v>91</v>
      </c>
      <c r="I38">
        <v>4</v>
      </c>
      <c r="J38">
        <v>155672.54999999999</v>
      </c>
      <c r="K38">
        <f>SUM(Table3[Total_Revenue])</f>
        <v>30761529.489999965</v>
      </c>
      <c r="L38">
        <f t="shared" si="8"/>
        <v>6782137.6799999988</v>
      </c>
      <c r="M38">
        <f t="shared" si="0"/>
        <v>0.2204746575492858</v>
      </c>
      <c r="N38" t="str">
        <f t="shared" si="9"/>
        <v>Yes</v>
      </c>
      <c r="O38">
        <f t="shared" si="1"/>
        <v>47894.68</v>
      </c>
      <c r="P38">
        <f t="shared" si="2"/>
        <v>5</v>
      </c>
      <c r="Q38">
        <f t="shared" si="3"/>
        <v>172.5</v>
      </c>
      <c r="R38" t="str">
        <f t="shared" si="4"/>
        <v>Low</v>
      </c>
      <c r="S38" t="str">
        <f t="shared" si="5"/>
        <v>Low</v>
      </c>
      <c r="T38" t="str">
        <f t="shared" si="12"/>
        <v>High</v>
      </c>
      <c r="U38" t="str">
        <f t="shared" si="10"/>
        <v>No</v>
      </c>
      <c r="V38" t="str">
        <f t="shared" si="6"/>
        <v>Yes</v>
      </c>
      <c r="W38" t="str">
        <f t="shared" si="11"/>
        <v>No</v>
      </c>
      <c r="X38" t="str">
        <f t="shared" si="7"/>
        <v>No</v>
      </c>
    </row>
    <row r="39" spans="1:24" x14ac:dyDescent="0.3">
      <c r="A39" t="s">
        <v>148</v>
      </c>
      <c r="B39">
        <v>18</v>
      </c>
      <c r="C39" t="s">
        <v>511</v>
      </c>
      <c r="D39">
        <v>134813</v>
      </c>
      <c r="E39" t="s">
        <v>513</v>
      </c>
      <c r="F39">
        <v>39</v>
      </c>
      <c r="G39">
        <v>3987.7</v>
      </c>
      <c r="H39">
        <v>213</v>
      </c>
      <c r="I39">
        <v>2</v>
      </c>
      <c r="J39">
        <v>155520.29999999999</v>
      </c>
      <c r="K39">
        <f>SUM(Table3[Total_Revenue])</f>
        <v>30761529.489999965</v>
      </c>
      <c r="L39">
        <f t="shared" si="8"/>
        <v>6937657.9799999986</v>
      </c>
      <c r="M39">
        <f t="shared" si="0"/>
        <v>0.22553033269218001</v>
      </c>
      <c r="N39" t="str">
        <f t="shared" si="9"/>
        <v>Yes</v>
      </c>
      <c r="O39">
        <f t="shared" si="1"/>
        <v>47894.68</v>
      </c>
      <c r="P39">
        <f t="shared" si="2"/>
        <v>5</v>
      </c>
      <c r="Q39">
        <f t="shared" si="3"/>
        <v>172.5</v>
      </c>
      <c r="R39" t="str">
        <f t="shared" si="4"/>
        <v>Low</v>
      </c>
      <c r="S39" t="str">
        <f t="shared" si="5"/>
        <v>High</v>
      </c>
      <c r="T39" t="str">
        <f t="shared" si="12"/>
        <v>High</v>
      </c>
      <c r="U39" t="str">
        <f t="shared" si="10"/>
        <v>No</v>
      </c>
      <c r="V39" t="str">
        <f t="shared" si="6"/>
        <v>Yes</v>
      </c>
      <c r="W39" t="str">
        <f t="shared" si="11"/>
        <v>No</v>
      </c>
      <c r="X39" t="str">
        <f t="shared" si="7"/>
        <v>No</v>
      </c>
    </row>
    <row r="40" spans="1:24" x14ac:dyDescent="0.3">
      <c r="A40" t="s">
        <v>48</v>
      </c>
      <c r="B40">
        <v>61</v>
      </c>
      <c r="C40" t="s">
        <v>510</v>
      </c>
      <c r="D40">
        <v>128215</v>
      </c>
      <c r="E40" t="s">
        <v>513</v>
      </c>
      <c r="F40">
        <v>42</v>
      </c>
      <c r="G40">
        <v>3681.06</v>
      </c>
      <c r="H40">
        <v>229</v>
      </c>
      <c r="I40">
        <v>1</v>
      </c>
      <c r="J40">
        <v>154604.51999999999</v>
      </c>
      <c r="K40">
        <f>SUM(Table3[Total_Revenue])</f>
        <v>30761529.489999965</v>
      </c>
      <c r="L40">
        <f t="shared" si="8"/>
        <v>7092262.4999999981</v>
      </c>
      <c r="M40">
        <f t="shared" si="0"/>
        <v>0.23055623753381863</v>
      </c>
      <c r="N40" t="str">
        <f t="shared" si="9"/>
        <v>Yes</v>
      </c>
      <c r="O40">
        <f t="shared" si="1"/>
        <v>47894.68</v>
      </c>
      <c r="P40">
        <f t="shared" si="2"/>
        <v>5</v>
      </c>
      <c r="Q40">
        <f t="shared" si="3"/>
        <v>172.5</v>
      </c>
      <c r="R40" t="str">
        <f t="shared" si="4"/>
        <v>Low</v>
      </c>
      <c r="S40" t="str">
        <f t="shared" si="5"/>
        <v>High</v>
      </c>
      <c r="T40" t="str">
        <f t="shared" si="12"/>
        <v>High</v>
      </c>
      <c r="U40" t="str">
        <f t="shared" si="10"/>
        <v>No</v>
      </c>
      <c r="V40" t="str">
        <f t="shared" si="6"/>
        <v>Yes</v>
      </c>
      <c r="W40" t="str">
        <f t="shared" si="11"/>
        <v>No</v>
      </c>
      <c r="X40" t="str">
        <f t="shared" si="7"/>
        <v>No</v>
      </c>
    </row>
    <row r="41" spans="1:24" x14ac:dyDescent="0.3">
      <c r="A41" t="s">
        <v>205</v>
      </c>
      <c r="B41">
        <v>69</v>
      </c>
      <c r="C41" t="s">
        <v>511</v>
      </c>
      <c r="D41">
        <v>149922</v>
      </c>
      <c r="E41" t="s">
        <v>514</v>
      </c>
      <c r="F41">
        <v>47</v>
      </c>
      <c r="G41">
        <v>3261.92</v>
      </c>
      <c r="H41">
        <v>289</v>
      </c>
      <c r="I41">
        <v>2</v>
      </c>
      <c r="J41">
        <v>153310.24</v>
      </c>
      <c r="K41">
        <f>SUM(Table3[Total_Revenue])</f>
        <v>30761529.489999965</v>
      </c>
      <c r="L41">
        <f t="shared" si="8"/>
        <v>7245572.7399999984</v>
      </c>
      <c r="M41">
        <f t="shared" si="0"/>
        <v>0.23554006774453159</v>
      </c>
      <c r="N41" t="str">
        <f t="shared" si="9"/>
        <v>Yes</v>
      </c>
      <c r="O41">
        <f t="shared" si="1"/>
        <v>47894.68</v>
      </c>
      <c r="P41">
        <f t="shared" si="2"/>
        <v>5</v>
      </c>
      <c r="Q41">
        <f t="shared" si="3"/>
        <v>172.5</v>
      </c>
      <c r="R41" t="str">
        <f t="shared" si="4"/>
        <v>Low</v>
      </c>
      <c r="S41" t="str">
        <f t="shared" si="5"/>
        <v>High</v>
      </c>
      <c r="T41" t="str">
        <f t="shared" si="12"/>
        <v>High</v>
      </c>
      <c r="U41" t="str">
        <f t="shared" si="10"/>
        <v>No</v>
      </c>
      <c r="V41" t="str">
        <f t="shared" si="6"/>
        <v>Yes</v>
      </c>
      <c r="W41" t="str">
        <f t="shared" si="11"/>
        <v>No</v>
      </c>
      <c r="X41" t="str">
        <f t="shared" si="7"/>
        <v>No</v>
      </c>
    </row>
    <row r="42" spans="1:24" x14ac:dyDescent="0.3">
      <c r="A42" t="s">
        <v>140</v>
      </c>
      <c r="B42">
        <v>41</v>
      </c>
      <c r="C42" t="s">
        <v>510</v>
      </c>
      <c r="D42">
        <v>30267</v>
      </c>
      <c r="E42" t="s">
        <v>513</v>
      </c>
      <c r="F42">
        <v>31</v>
      </c>
      <c r="G42">
        <v>4885.95</v>
      </c>
      <c r="H42">
        <v>316</v>
      </c>
      <c r="I42">
        <v>1</v>
      </c>
      <c r="J42">
        <v>151464.45000000001</v>
      </c>
      <c r="K42">
        <f>SUM(Table3[Total_Revenue])</f>
        <v>30761529.489999965</v>
      </c>
      <c r="L42">
        <f t="shared" si="8"/>
        <v>7397037.1899999985</v>
      </c>
      <c r="M42">
        <f t="shared" si="0"/>
        <v>0.24046389476195082</v>
      </c>
      <c r="N42" t="str">
        <f t="shared" si="9"/>
        <v>Yes</v>
      </c>
      <c r="O42">
        <f t="shared" si="1"/>
        <v>47894.68</v>
      </c>
      <c r="P42">
        <f t="shared" si="2"/>
        <v>5</v>
      </c>
      <c r="Q42">
        <f t="shared" si="3"/>
        <v>172.5</v>
      </c>
      <c r="R42" t="str">
        <f t="shared" si="4"/>
        <v>Low</v>
      </c>
      <c r="S42" t="str">
        <f t="shared" si="5"/>
        <v>High</v>
      </c>
      <c r="T42" t="str">
        <f t="shared" si="12"/>
        <v>High</v>
      </c>
      <c r="U42" t="str">
        <f t="shared" si="10"/>
        <v>No</v>
      </c>
      <c r="V42" t="str">
        <f t="shared" si="6"/>
        <v>Yes</v>
      </c>
      <c r="W42" t="str">
        <f t="shared" si="11"/>
        <v>No</v>
      </c>
      <c r="X42" t="str">
        <f t="shared" si="7"/>
        <v>No</v>
      </c>
    </row>
    <row r="43" spans="1:24" x14ac:dyDescent="0.3">
      <c r="A43" t="s">
        <v>32</v>
      </c>
      <c r="B43">
        <v>55</v>
      </c>
      <c r="C43" t="s">
        <v>511</v>
      </c>
      <c r="D43">
        <v>32015</v>
      </c>
      <c r="E43" t="s">
        <v>514</v>
      </c>
      <c r="F43">
        <v>43</v>
      </c>
      <c r="G43">
        <v>3461.24</v>
      </c>
      <c r="H43">
        <v>310</v>
      </c>
      <c r="I43">
        <v>9</v>
      </c>
      <c r="J43">
        <v>148833.32</v>
      </c>
      <c r="K43">
        <f>SUM(Table3[Total_Revenue])</f>
        <v>30761529.489999965</v>
      </c>
      <c r="L43">
        <f t="shared" si="8"/>
        <v>7545870.5099999988</v>
      </c>
      <c r="M43">
        <f t="shared" si="0"/>
        <v>0.24530218864614745</v>
      </c>
      <c r="N43" t="str">
        <f t="shared" si="9"/>
        <v>Yes</v>
      </c>
      <c r="O43">
        <f t="shared" si="1"/>
        <v>47894.68</v>
      </c>
      <c r="P43">
        <f t="shared" si="2"/>
        <v>5</v>
      </c>
      <c r="Q43">
        <f t="shared" si="3"/>
        <v>172.5</v>
      </c>
      <c r="R43" t="str">
        <f t="shared" si="4"/>
        <v>High</v>
      </c>
      <c r="S43" t="str">
        <f t="shared" si="5"/>
        <v>High</v>
      </c>
      <c r="T43" t="str">
        <f t="shared" si="12"/>
        <v>High</v>
      </c>
      <c r="U43" t="str">
        <f t="shared" si="10"/>
        <v>Yes</v>
      </c>
      <c r="V43" t="str">
        <f t="shared" si="6"/>
        <v>No</v>
      </c>
      <c r="W43" t="str">
        <f t="shared" si="11"/>
        <v>Yes</v>
      </c>
      <c r="X43" t="str">
        <f t="shared" si="7"/>
        <v>No</v>
      </c>
    </row>
    <row r="44" spans="1:24" x14ac:dyDescent="0.3">
      <c r="A44" t="s">
        <v>73</v>
      </c>
      <c r="B44">
        <v>31</v>
      </c>
      <c r="C44" t="s">
        <v>510</v>
      </c>
      <c r="D44">
        <v>38777</v>
      </c>
      <c r="E44" t="s">
        <v>515</v>
      </c>
      <c r="F44">
        <v>34</v>
      </c>
      <c r="G44">
        <v>4345.55</v>
      </c>
      <c r="H44">
        <v>228</v>
      </c>
      <c r="I44">
        <v>7</v>
      </c>
      <c r="J44">
        <v>147748.70000000001</v>
      </c>
      <c r="K44">
        <f>SUM(Table3[Total_Revenue])</f>
        <v>30761529.489999965</v>
      </c>
      <c r="L44">
        <f t="shared" si="8"/>
        <v>7693619.209999999</v>
      </c>
      <c r="M44">
        <f t="shared" si="0"/>
        <v>0.25010522355531967</v>
      </c>
      <c r="N44" t="str">
        <f t="shared" si="9"/>
        <v>Yes</v>
      </c>
      <c r="O44">
        <f t="shared" si="1"/>
        <v>47894.68</v>
      </c>
      <c r="P44">
        <f t="shared" si="2"/>
        <v>5</v>
      </c>
      <c r="Q44">
        <f t="shared" si="3"/>
        <v>172.5</v>
      </c>
      <c r="R44" t="str">
        <f t="shared" si="4"/>
        <v>High</v>
      </c>
      <c r="S44" t="str">
        <f t="shared" si="5"/>
        <v>High</v>
      </c>
      <c r="T44" t="str">
        <f t="shared" si="12"/>
        <v>High</v>
      </c>
      <c r="U44" t="str">
        <f t="shared" si="10"/>
        <v>Yes</v>
      </c>
      <c r="V44" t="str">
        <f t="shared" si="6"/>
        <v>No</v>
      </c>
      <c r="W44" t="str">
        <f t="shared" si="11"/>
        <v>Yes</v>
      </c>
      <c r="X44" t="str">
        <f t="shared" si="7"/>
        <v>No</v>
      </c>
    </row>
    <row r="45" spans="1:24" x14ac:dyDescent="0.3">
      <c r="A45" t="s">
        <v>150</v>
      </c>
      <c r="B45">
        <v>54</v>
      </c>
      <c r="C45" t="s">
        <v>510</v>
      </c>
      <c r="D45">
        <v>24632</v>
      </c>
      <c r="E45" t="s">
        <v>512</v>
      </c>
      <c r="F45">
        <v>32</v>
      </c>
      <c r="G45">
        <v>4596.99</v>
      </c>
      <c r="H45">
        <v>106</v>
      </c>
      <c r="I45">
        <v>3</v>
      </c>
      <c r="J45">
        <v>147103.67999999999</v>
      </c>
      <c r="K45">
        <f>SUM(Table3[Total_Revenue])</f>
        <v>30761529.489999965</v>
      </c>
      <c r="L45">
        <f t="shared" si="8"/>
        <v>7840722.8899999987</v>
      </c>
      <c r="M45">
        <f t="shared" si="0"/>
        <v>0.25488729006627842</v>
      </c>
      <c r="N45" t="str">
        <f t="shared" si="9"/>
        <v>Yes</v>
      </c>
      <c r="O45">
        <f t="shared" si="1"/>
        <v>47894.68</v>
      </c>
      <c r="P45">
        <f t="shared" si="2"/>
        <v>5</v>
      </c>
      <c r="Q45">
        <f t="shared" si="3"/>
        <v>172.5</v>
      </c>
      <c r="R45" t="str">
        <f t="shared" si="4"/>
        <v>Low</v>
      </c>
      <c r="S45" t="str">
        <f t="shared" si="5"/>
        <v>Low</v>
      </c>
      <c r="T45" t="str">
        <f t="shared" si="12"/>
        <v>High</v>
      </c>
      <c r="U45" t="str">
        <f t="shared" si="10"/>
        <v>No</v>
      </c>
      <c r="V45" t="str">
        <f t="shared" si="6"/>
        <v>Yes</v>
      </c>
      <c r="W45" t="str">
        <f t="shared" si="11"/>
        <v>No</v>
      </c>
      <c r="X45" t="str">
        <f t="shared" si="7"/>
        <v>No</v>
      </c>
    </row>
    <row r="46" spans="1:24" x14ac:dyDescent="0.3">
      <c r="A46" t="s">
        <v>171</v>
      </c>
      <c r="B46">
        <v>49</v>
      </c>
      <c r="C46" t="s">
        <v>511</v>
      </c>
      <c r="D46">
        <v>92274</v>
      </c>
      <c r="E46" t="s">
        <v>515</v>
      </c>
      <c r="F46">
        <v>34</v>
      </c>
      <c r="G46">
        <v>4270.75</v>
      </c>
      <c r="H46">
        <v>250</v>
      </c>
      <c r="I46">
        <v>5</v>
      </c>
      <c r="J46">
        <v>145205.5</v>
      </c>
      <c r="K46">
        <f>SUM(Table3[Total_Revenue])</f>
        <v>30761529.489999965</v>
      </c>
      <c r="L46">
        <f t="shared" si="8"/>
        <v>7985928.3899999987</v>
      </c>
      <c r="M46">
        <f t="shared" si="0"/>
        <v>0.25960765028267158</v>
      </c>
      <c r="N46" t="str">
        <f t="shared" si="9"/>
        <v>Yes</v>
      </c>
      <c r="O46">
        <f t="shared" si="1"/>
        <v>47894.68</v>
      </c>
      <c r="P46">
        <f t="shared" si="2"/>
        <v>5</v>
      </c>
      <c r="Q46">
        <f t="shared" si="3"/>
        <v>172.5</v>
      </c>
      <c r="R46" t="str">
        <f t="shared" si="4"/>
        <v>Medium</v>
      </c>
      <c r="S46" t="str">
        <f t="shared" si="5"/>
        <v>High</v>
      </c>
      <c r="T46" t="str">
        <f t="shared" si="12"/>
        <v>High</v>
      </c>
      <c r="U46" t="str">
        <f t="shared" si="10"/>
        <v>Yes</v>
      </c>
      <c r="V46" t="str">
        <f t="shared" si="6"/>
        <v>No</v>
      </c>
      <c r="W46" t="str">
        <f t="shared" si="11"/>
        <v>Yes</v>
      </c>
      <c r="X46" t="str">
        <f t="shared" si="7"/>
        <v>No</v>
      </c>
    </row>
    <row r="47" spans="1:24" x14ac:dyDescent="0.3">
      <c r="A47" t="s">
        <v>310</v>
      </c>
      <c r="B47">
        <v>49</v>
      </c>
      <c r="C47" t="s">
        <v>510</v>
      </c>
      <c r="D47">
        <v>107388</v>
      </c>
      <c r="E47" t="s">
        <v>515</v>
      </c>
      <c r="F47">
        <v>33</v>
      </c>
      <c r="G47">
        <v>4392.92</v>
      </c>
      <c r="H47">
        <v>32</v>
      </c>
      <c r="I47">
        <v>4</v>
      </c>
      <c r="J47">
        <v>144966.35999999999</v>
      </c>
      <c r="K47">
        <f>SUM(Table3[Total_Revenue])</f>
        <v>30761529.489999965</v>
      </c>
      <c r="L47">
        <f t="shared" si="8"/>
        <v>8130894.7499999991</v>
      </c>
      <c r="M47">
        <f t="shared" si="0"/>
        <v>0.26432023650329906</v>
      </c>
      <c r="N47" t="str">
        <f t="shared" si="9"/>
        <v>Yes</v>
      </c>
      <c r="O47">
        <f t="shared" si="1"/>
        <v>47894.68</v>
      </c>
      <c r="P47">
        <f t="shared" si="2"/>
        <v>5</v>
      </c>
      <c r="Q47">
        <f t="shared" si="3"/>
        <v>172.5</v>
      </c>
      <c r="R47" t="str">
        <f t="shared" si="4"/>
        <v>Low</v>
      </c>
      <c r="S47" t="str">
        <f t="shared" si="5"/>
        <v>Low</v>
      </c>
      <c r="T47" t="str">
        <f t="shared" si="12"/>
        <v>High</v>
      </c>
      <c r="U47" t="str">
        <f t="shared" si="10"/>
        <v>No</v>
      </c>
      <c r="V47" t="str">
        <f t="shared" si="6"/>
        <v>Yes</v>
      </c>
      <c r="W47" t="str">
        <f t="shared" si="11"/>
        <v>No</v>
      </c>
      <c r="X47" t="str">
        <f t="shared" si="7"/>
        <v>No</v>
      </c>
    </row>
    <row r="48" spans="1:24" x14ac:dyDescent="0.3">
      <c r="A48" t="s">
        <v>36</v>
      </c>
      <c r="B48">
        <v>29</v>
      </c>
      <c r="C48" t="s">
        <v>510</v>
      </c>
      <c r="D48">
        <v>37144</v>
      </c>
      <c r="E48" t="s">
        <v>513</v>
      </c>
      <c r="F48">
        <v>49</v>
      </c>
      <c r="G48">
        <v>2942.55</v>
      </c>
      <c r="H48">
        <v>260</v>
      </c>
      <c r="I48">
        <v>10</v>
      </c>
      <c r="J48">
        <v>144184.95000000001</v>
      </c>
      <c r="K48">
        <f>SUM(Table3[Total_Revenue])</f>
        <v>30761529.489999965</v>
      </c>
      <c r="L48">
        <f t="shared" si="8"/>
        <v>8275079.6999999993</v>
      </c>
      <c r="M48">
        <f t="shared" si="0"/>
        <v>0.26900742054097415</v>
      </c>
      <c r="N48" t="str">
        <f t="shared" si="9"/>
        <v>Yes</v>
      </c>
      <c r="O48">
        <f t="shared" si="1"/>
        <v>47894.68</v>
      </c>
      <c r="P48">
        <f t="shared" si="2"/>
        <v>5</v>
      </c>
      <c r="Q48">
        <f t="shared" si="3"/>
        <v>172.5</v>
      </c>
      <c r="R48" t="str">
        <f t="shared" si="4"/>
        <v>High</v>
      </c>
      <c r="S48" t="str">
        <f t="shared" si="5"/>
        <v>High</v>
      </c>
      <c r="T48" t="str">
        <f t="shared" si="12"/>
        <v>High</v>
      </c>
      <c r="U48" t="str">
        <f t="shared" si="10"/>
        <v>Yes</v>
      </c>
      <c r="V48" t="str">
        <f t="shared" si="6"/>
        <v>No</v>
      </c>
      <c r="W48" t="str">
        <f t="shared" si="11"/>
        <v>Yes</v>
      </c>
      <c r="X48" t="str">
        <f t="shared" si="7"/>
        <v>No</v>
      </c>
    </row>
    <row r="49" spans="1:24" x14ac:dyDescent="0.3">
      <c r="A49" t="s">
        <v>410</v>
      </c>
      <c r="B49">
        <v>20</v>
      </c>
      <c r="C49" t="s">
        <v>511</v>
      </c>
      <c r="D49">
        <v>146108</v>
      </c>
      <c r="E49" t="s">
        <v>515</v>
      </c>
      <c r="F49">
        <v>29</v>
      </c>
      <c r="G49">
        <v>4958.78</v>
      </c>
      <c r="H49">
        <v>251</v>
      </c>
      <c r="I49">
        <v>8</v>
      </c>
      <c r="J49">
        <v>143804.62</v>
      </c>
      <c r="K49">
        <f>SUM(Table3[Total_Revenue])</f>
        <v>30761529.489999965</v>
      </c>
      <c r="L49">
        <f t="shared" si="8"/>
        <v>8418884.3199999984</v>
      </c>
      <c r="M49">
        <f t="shared" si="0"/>
        <v>0.27368224075908937</v>
      </c>
      <c r="N49" t="str">
        <f t="shared" si="9"/>
        <v>Yes</v>
      </c>
      <c r="O49">
        <f t="shared" si="1"/>
        <v>47894.68</v>
      </c>
      <c r="P49">
        <f t="shared" si="2"/>
        <v>5</v>
      </c>
      <c r="Q49">
        <f t="shared" si="3"/>
        <v>172.5</v>
      </c>
      <c r="R49" t="str">
        <f t="shared" si="4"/>
        <v>High</v>
      </c>
      <c r="S49" t="str">
        <f t="shared" si="5"/>
        <v>High</v>
      </c>
      <c r="T49" t="str">
        <f t="shared" si="12"/>
        <v>High</v>
      </c>
      <c r="U49" t="str">
        <f t="shared" si="10"/>
        <v>Yes</v>
      </c>
      <c r="V49" t="str">
        <f t="shared" si="6"/>
        <v>No</v>
      </c>
      <c r="W49" t="str">
        <f t="shared" si="11"/>
        <v>Yes</v>
      </c>
      <c r="X49" t="str">
        <f t="shared" si="7"/>
        <v>No</v>
      </c>
    </row>
    <row r="50" spans="1:24" x14ac:dyDescent="0.3">
      <c r="A50" t="s">
        <v>396</v>
      </c>
      <c r="B50">
        <v>63</v>
      </c>
      <c r="C50" t="s">
        <v>511</v>
      </c>
      <c r="D50">
        <v>66197</v>
      </c>
      <c r="E50" t="s">
        <v>512</v>
      </c>
      <c r="F50">
        <v>32</v>
      </c>
      <c r="G50">
        <v>4424.05</v>
      </c>
      <c r="H50">
        <v>227</v>
      </c>
      <c r="I50">
        <v>5</v>
      </c>
      <c r="J50">
        <v>141569.60000000001</v>
      </c>
      <c r="K50">
        <f>SUM(Table3[Total_Revenue])</f>
        <v>30761529.489999965</v>
      </c>
      <c r="L50">
        <f t="shared" si="8"/>
        <v>8560453.9199999981</v>
      </c>
      <c r="M50">
        <f t="shared" si="0"/>
        <v>0.27828440464193605</v>
      </c>
      <c r="N50" t="str">
        <f t="shared" si="9"/>
        <v>Yes</v>
      </c>
      <c r="O50">
        <f t="shared" si="1"/>
        <v>47894.68</v>
      </c>
      <c r="P50">
        <f t="shared" si="2"/>
        <v>5</v>
      </c>
      <c r="Q50">
        <f t="shared" si="3"/>
        <v>172.5</v>
      </c>
      <c r="R50" t="str">
        <f t="shared" si="4"/>
        <v>Medium</v>
      </c>
      <c r="S50" t="str">
        <f t="shared" si="5"/>
        <v>High</v>
      </c>
      <c r="T50" t="str">
        <f t="shared" si="12"/>
        <v>High</v>
      </c>
      <c r="U50" t="str">
        <f t="shared" si="10"/>
        <v>Yes</v>
      </c>
      <c r="V50" t="str">
        <f t="shared" si="6"/>
        <v>No</v>
      </c>
      <c r="W50" t="str">
        <f t="shared" si="11"/>
        <v>Yes</v>
      </c>
      <c r="X50" t="str">
        <f t="shared" si="7"/>
        <v>No</v>
      </c>
    </row>
    <row r="51" spans="1:24" x14ac:dyDescent="0.3">
      <c r="A51" t="s">
        <v>131</v>
      </c>
      <c r="B51">
        <v>45</v>
      </c>
      <c r="C51" t="s">
        <v>511</v>
      </c>
      <c r="D51">
        <v>125977</v>
      </c>
      <c r="E51" t="s">
        <v>512</v>
      </c>
      <c r="F51">
        <v>45</v>
      </c>
      <c r="G51">
        <v>3125.02</v>
      </c>
      <c r="H51">
        <v>295</v>
      </c>
      <c r="I51">
        <v>2</v>
      </c>
      <c r="J51">
        <v>140625.9</v>
      </c>
      <c r="K51">
        <f>SUM(Table3[Total_Revenue])</f>
        <v>30761529.489999965</v>
      </c>
      <c r="L51">
        <f t="shared" si="8"/>
        <v>8701079.8199999984</v>
      </c>
      <c r="M51">
        <f t="shared" si="0"/>
        <v>0.28285589059635569</v>
      </c>
      <c r="N51" t="str">
        <f t="shared" si="9"/>
        <v>Yes</v>
      </c>
      <c r="O51">
        <f t="shared" si="1"/>
        <v>47894.68</v>
      </c>
      <c r="P51">
        <f t="shared" si="2"/>
        <v>5</v>
      </c>
      <c r="Q51">
        <f t="shared" si="3"/>
        <v>172.5</v>
      </c>
      <c r="R51" t="str">
        <f t="shared" si="4"/>
        <v>Low</v>
      </c>
      <c r="S51" t="str">
        <f t="shared" si="5"/>
        <v>High</v>
      </c>
      <c r="T51" t="str">
        <f t="shared" si="12"/>
        <v>High</v>
      </c>
      <c r="U51" t="str">
        <f t="shared" si="10"/>
        <v>No</v>
      </c>
      <c r="V51" t="str">
        <f t="shared" si="6"/>
        <v>Yes</v>
      </c>
      <c r="W51" t="str">
        <f t="shared" si="11"/>
        <v>No</v>
      </c>
      <c r="X51" t="str">
        <f t="shared" si="7"/>
        <v>No</v>
      </c>
    </row>
    <row r="52" spans="1:24" x14ac:dyDescent="0.3">
      <c r="A52" t="s">
        <v>484</v>
      </c>
      <c r="B52">
        <v>69</v>
      </c>
      <c r="C52" t="s">
        <v>511</v>
      </c>
      <c r="D52">
        <v>121376</v>
      </c>
      <c r="E52" t="s">
        <v>512</v>
      </c>
      <c r="F52">
        <v>45</v>
      </c>
      <c r="G52">
        <v>3098.51</v>
      </c>
      <c r="H52">
        <v>325</v>
      </c>
      <c r="I52">
        <v>3</v>
      </c>
      <c r="J52">
        <v>139432.95000000001</v>
      </c>
      <c r="K52">
        <f>SUM(Table3[Total_Revenue])</f>
        <v>30761529.489999965</v>
      </c>
      <c r="L52">
        <f t="shared" si="8"/>
        <v>8840512.7699999977</v>
      </c>
      <c r="M52">
        <f t="shared" si="0"/>
        <v>0.28738859596932248</v>
      </c>
      <c r="N52" t="str">
        <f t="shared" si="9"/>
        <v>Yes</v>
      </c>
      <c r="O52">
        <f t="shared" si="1"/>
        <v>47894.68</v>
      </c>
      <c r="P52">
        <f t="shared" si="2"/>
        <v>5</v>
      </c>
      <c r="Q52">
        <f t="shared" si="3"/>
        <v>172.5</v>
      </c>
      <c r="R52" t="str">
        <f t="shared" si="4"/>
        <v>Low</v>
      </c>
      <c r="S52" t="str">
        <f t="shared" si="5"/>
        <v>High</v>
      </c>
      <c r="T52" t="str">
        <f t="shared" si="12"/>
        <v>High</v>
      </c>
      <c r="U52" t="str">
        <f t="shared" si="10"/>
        <v>No</v>
      </c>
      <c r="V52" t="str">
        <f t="shared" si="6"/>
        <v>Yes</v>
      </c>
      <c r="W52" t="str">
        <f t="shared" si="11"/>
        <v>No</v>
      </c>
      <c r="X52" t="str">
        <f t="shared" si="7"/>
        <v>No</v>
      </c>
    </row>
    <row r="53" spans="1:24" x14ac:dyDescent="0.3">
      <c r="A53" t="s">
        <v>251</v>
      </c>
      <c r="B53">
        <v>23</v>
      </c>
      <c r="C53" t="s">
        <v>511</v>
      </c>
      <c r="D53">
        <v>98477</v>
      </c>
      <c r="E53" t="s">
        <v>514</v>
      </c>
      <c r="F53">
        <v>35</v>
      </c>
      <c r="G53">
        <v>3960.72</v>
      </c>
      <c r="H53">
        <v>143</v>
      </c>
      <c r="I53">
        <v>1</v>
      </c>
      <c r="J53">
        <v>138625.20000000001</v>
      </c>
      <c r="K53">
        <f>SUM(Table3[Total_Revenue])</f>
        <v>30761529.489999965</v>
      </c>
      <c r="L53">
        <f t="shared" si="8"/>
        <v>8979137.9699999969</v>
      </c>
      <c r="M53">
        <f t="shared" si="0"/>
        <v>0.29189504289502111</v>
      </c>
      <c r="N53" t="str">
        <f t="shared" si="9"/>
        <v>Yes</v>
      </c>
      <c r="O53">
        <f t="shared" si="1"/>
        <v>47894.68</v>
      </c>
      <c r="P53">
        <f t="shared" si="2"/>
        <v>5</v>
      </c>
      <c r="Q53">
        <f t="shared" si="3"/>
        <v>172.5</v>
      </c>
      <c r="R53" t="str">
        <f t="shared" si="4"/>
        <v>Low</v>
      </c>
      <c r="S53" t="str">
        <f t="shared" si="5"/>
        <v>Low</v>
      </c>
      <c r="T53" t="str">
        <f t="shared" si="12"/>
        <v>High</v>
      </c>
      <c r="U53" t="str">
        <f t="shared" si="10"/>
        <v>No</v>
      </c>
      <c r="V53" t="str">
        <f t="shared" si="6"/>
        <v>Yes</v>
      </c>
      <c r="W53" t="str">
        <f t="shared" si="11"/>
        <v>No</v>
      </c>
      <c r="X53" t="str">
        <f t="shared" si="7"/>
        <v>No</v>
      </c>
    </row>
    <row r="54" spans="1:24" x14ac:dyDescent="0.3">
      <c r="A54" t="s">
        <v>93</v>
      </c>
      <c r="B54">
        <v>32</v>
      </c>
      <c r="C54" t="s">
        <v>511</v>
      </c>
      <c r="D54">
        <v>72796</v>
      </c>
      <c r="E54" t="s">
        <v>514</v>
      </c>
      <c r="F54">
        <v>48</v>
      </c>
      <c r="G54">
        <v>2860.85</v>
      </c>
      <c r="H54">
        <v>47</v>
      </c>
      <c r="I54">
        <v>4</v>
      </c>
      <c r="J54">
        <v>137320.79999999999</v>
      </c>
      <c r="K54">
        <f>SUM(Table3[Total_Revenue])</f>
        <v>30761529.489999965</v>
      </c>
      <c r="L54">
        <f t="shared" si="8"/>
        <v>9116458.7699999977</v>
      </c>
      <c r="M54">
        <f t="shared" si="0"/>
        <v>0.29635908620745272</v>
      </c>
      <c r="N54" t="str">
        <f t="shared" si="9"/>
        <v>Yes</v>
      </c>
      <c r="O54">
        <f t="shared" si="1"/>
        <v>47894.68</v>
      </c>
      <c r="P54">
        <f t="shared" si="2"/>
        <v>5</v>
      </c>
      <c r="Q54">
        <f t="shared" si="3"/>
        <v>172.5</v>
      </c>
      <c r="R54" t="str">
        <f t="shared" si="4"/>
        <v>Low</v>
      </c>
      <c r="S54" t="str">
        <f t="shared" si="5"/>
        <v>Low</v>
      </c>
      <c r="T54" t="str">
        <f t="shared" si="12"/>
        <v>High</v>
      </c>
      <c r="U54" t="str">
        <f t="shared" si="10"/>
        <v>No</v>
      </c>
      <c r="V54" t="str">
        <f t="shared" si="6"/>
        <v>Yes</v>
      </c>
      <c r="W54" t="str">
        <f t="shared" si="11"/>
        <v>No</v>
      </c>
      <c r="X54" t="str">
        <f t="shared" si="7"/>
        <v>No</v>
      </c>
    </row>
    <row r="55" spans="1:24" x14ac:dyDescent="0.3">
      <c r="A55" t="s">
        <v>308</v>
      </c>
      <c r="B55">
        <v>22</v>
      </c>
      <c r="C55" t="s">
        <v>511</v>
      </c>
      <c r="D55">
        <v>146523</v>
      </c>
      <c r="E55" t="s">
        <v>512</v>
      </c>
      <c r="F55">
        <v>45</v>
      </c>
      <c r="G55">
        <v>3012.02</v>
      </c>
      <c r="H55">
        <v>246</v>
      </c>
      <c r="I55">
        <v>9</v>
      </c>
      <c r="J55">
        <v>135540.9</v>
      </c>
      <c r="K55">
        <f>SUM(Table3[Total_Revenue])</f>
        <v>30761529.489999965</v>
      </c>
      <c r="L55">
        <f t="shared" si="8"/>
        <v>9251999.6699999981</v>
      </c>
      <c r="M55">
        <f t="shared" si="0"/>
        <v>0.30076526828770533</v>
      </c>
      <c r="N55" t="str">
        <f t="shared" si="9"/>
        <v>Yes</v>
      </c>
      <c r="O55">
        <f t="shared" si="1"/>
        <v>47894.68</v>
      </c>
      <c r="P55">
        <f t="shared" si="2"/>
        <v>5</v>
      </c>
      <c r="Q55">
        <f t="shared" si="3"/>
        <v>172.5</v>
      </c>
      <c r="R55" t="str">
        <f t="shared" si="4"/>
        <v>High</v>
      </c>
      <c r="S55" t="str">
        <f t="shared" si="5"/>
        <v>High</v>
      </c>
      <c r="T55" t="str">
        <f t="shared" si="12"/>
        <v>High</v>
      </c>
      <c r="U55" t="str">
        <f t="shared" si="10"/>
        <v>Yes</v>
      </c>
      <c r="V55" t="str">
        <f t="shared" si="6"/>
        <v>No</v>
      </c>
      <c r="W55" t="str">
        <f t="shared" si="11"/>
        <v>Yes</v>
      </c>
      <c r="X55" t="str">
        <f t="shared" si="7"/>
        <v>No</v>
      </c>
    </row>
    <row r="56" spans="1:24" x14ac:dyDescent="0.3">
      <c r="A56" t="s">
        <v>483</v>
      </c>
      <c r="B56">
        <v>57</v>
      </c>
      <c r="C56" t="s">
        <v>511</v>
      </c>
      <c r="D56">
        <v>39256</v>
      </c>
      <c r="E56" t="s">
        <v>514</v>
      </c>
      <c r="F56">
        <v>36</v>
      </c>
      <c r="G56">
        <v>3742.78</v>
      </c>
      <c r="H56">
        <v>149</v>
      </c>
      <c r="I56">
        <v>3</v>
      </c>
      <c r="J56">
        <v>134740.07999999999</v>
      </c>
      <c r="K56">
        <f>SUM(Table3[Total_Revenue])</f>
        <v>30761529.489999965</v>
      </c>
      <c r="L56">
        <f t="shared" si="8"/>
        <v>9386739.7499999981</v>
      </c>
      <c r="M56">
        <f t="shared" si="0"/>
        <v>0.30514541720207583</v>
      </c>
      <c r="N56" t="str">
        <f t="shared" si="9"/>
        <v>Yes</v>
      </c>
      <c r="O56">
        <f t="shared" si="1"/>
        <v>47894.68</v>
      </c>
      <c r="P56">
        <f t="shared" si="2"/>
        <v>5</v>
      </c>
      <c r="Q56">
        <f t="shared" si="3"/>
        <v>172.5</v>
      </c>
      <c r="R56" t="str">
        <f t="shared" si="4"/>
        <v>Low</v>
      </c>
      <c r="S56" t="str">
        <f t="shared" si="5"/>
        <v>Low</v>
      </c>
      <c r="T56" t="str">
        <f t="shared" si="12"/>
        <v>High</v>
      </c>
      <c r="U56" t="str">
        <f t="shared" si="10"/>
        <v>No</v>
      </c>
      <c r="V56" t="str">
        <f t="shared" si="6"/>
        <v>Yes</v>
      </c>
      <c r="W56" t="str">
        <f t="shared" si="11"/>
        <v>No</v>
      </c>
      <c r="X56" t="str">
        <f t="shared" si="7"/>
        <v>No</v>
      </c>
    </row>
    <row r="57" spans="1:24" x14ac:dyDescent="0.3">
      <c r="A57" t="s">
        <v>100</v>
      </c>
      <c r="B57">
        <v>62</v>
      </c>
      <c r="C57" t="s">
        <v>511</v>
      </c>
      <c r="D57">
        <v>99714</v>
      </c>
      <c r="E57" t="s">
        <v>512</v>
      </c>
      <c r="F57">
        <v>45</v>
      </c>
      <c r="G57">
        <v>2976.6</v>
      </c>
      <c r="H57">
        <v>137</v>
      </c>
      <c r="I57">
        <v>2</v>
      </c>
      <c r="J57">
        <v>133947</v>
      </c>
      <c r="K57">
        <f>SUM(Table3[Total_Revenue])</f>
        <v>30761529.489999965</v>
      </c>
      <c r="L57">
        <f t="shared" si="8"/>
        <v>9520686.7499999981</v>
      </c>
      <c r="M57">
        <f t="shared" si="0"/>
        <v>0.30949978456354088</v>
      </c>
      <c r="N57" t="str">
        <f t="shared" si="9"/>
        <v>Yes</v>
      </c>
      <c r="O57">
        <f t="shared" si="1"/>
        <v>47894.68</v>
      </c>
      <c r="P57">
        <f t="shared" si="2"/>
        <v>5</v>
      </c>
      <c r="Q57">
        <f t="shared" si="3"/>
        <v>172.5</v>
      </c>
      <c r="R57" t="str">
        <f t="shared" si="4"/>
        <v>Low</v>
      </c>
      <c r="S57" t="str">
        <f t="shared" si="5"/>
        <v>Low</v>
      </c>
      <c r="T57" t="str">
        <f t="shared" si="12"/>
        <v>High</v>
      </c>
      <c r="U57" t="str">
        <f t="shared" si="10"/>
        <v>No</v>
      </c>
      <c r="V57" t="str">
        <f t="shared" si="6"/>
        <v>Yes</v>
      </c>
      <c r="W57" t="str">
        <f t="shared" si="11"/>
        <v>No</v>
      </c>
      <c r="X57" t="str">
        <f t="shared" si="7"/>
        <v>No</v>
      </c>
    </row>
    <row r="58" spans="1:24" x14ac:dyDescent="0.3">
      <c r="A58" t="s">
        <v>503</v>
      </c>
      <c r="B58">
        <v>51</v>
      </c>
      <c r="C58" t="s">
        <v>511</v>
      </c>
      <c r="D58">
        <v>45150</v>
      </c>
      <c r="E58" t="s">
        <v>514</v>
      </c>
      <c r="F58">
        <v>43</v>
      </c>
      <c r="G58">
        <v>3113.39</v>
      </c>
      <c r="H58">
        <v>147</v>
      </c>
      <c r="I58">
        <v>9</v>
      </c>
      <c r="J58">
        <v>133875.76999999999</v>
      </c>
      <c r="K58">
        <f>SUM(Table3[Total_Revenue])</f>
        <v>30761529.489999965</v>
      </c>
      <c r="L58">
        <f t="shared" si="8"/>
        <v>9654562.5199999977</v>
      </c>
      <c r="M58">
        <f t="shared" si="0"/>
        <v>0.31385183637044206</v>
      </c>
      <c r="N58" t="str">
        <f t="shared" si="9"/>
        <v>Yes</v>
      </c>
      <c r="O58">
        <f t="shared" si="1"/>
        <v>47894.68</v>
      </c>
      <c r="P58">
        <f t="shared" si="2"/>
        <v>5</v>
      </c>
      <c r="Q58">
        <f t="shared" si="3"/>
        <v>172.5</v>
      </c>
      <c r="R58" t="str">
        <f t="shared" si="4"/>
        <v>High</v>
      </c>
      <c r="S58" t="str">
        <f t="shared" si="5"/>
        <v>Low</v>
      </c>
      <c r="T58" t="str">
        <f t="shared" si="12"/>
        <v>High</v>
      </c>
      <c r="U58" t="str">
        <f t="shared" si="10"/>
        <v>Yes</v>
      </c>
      <c r="V58" t="str">
        <f t="shared" si="6"/>
        <v>No</v>
      </c>
      <c r="W58" t="str">
        <f t="shared" si="11"/>
        <v>Yes</v>
      </c>
      <c r="X58" t="str">
        <f t="shared" si="7"/>
        <v>No</v>
      </c>
    </row>
    <row r="59" spans="1:24" x14ac:dyDescent="0.3">
      <c r="A59" t="s">
        <v>13</v>
      </c>
      <c r="B59">
        <v>32</v>
      </c>
      <c r="C59" t="s">
        <v>510</v>
      </c>
      <c r="D59">
        <v>123196</v>
      </c>
      <c r="E59" t="s">
        <v>513</v>
      </c>
      <c r="F59">
        <v>37</v>
      </c>
      <c r="G59">
        <v>3556.39</v>
      </c>
      <c r="H59">
        <v>121</v>
      </c>
      <c r="I59">
        <v>3</v>
      </c>
      <c r="J59">
        <v>131586.43</v>
      </c>
      <c r="K59">
        <f>SUM(Table3[Total_Revenue])</f>
        <v>30761529.489999965</v>
      </c>
      <c r="L59">
        <f t="shared" si="8"/>
        <v>9786148.9499999974</v>
      </c>
      <c r="M59">
        <f t="shared" si="0"/>
        <v>0.31812946600009934</v>
      </c>
      <c r="N59" t="str">
        <f t="shared" si="9"/>
        <v>Yes</v>
      </c>
      <c r="O59">
        <f t="shared" si="1"/>
        <v>47894.68</v>
      </c>
      <c r="P59">
        <f t="shared" si="2"/>
        <v>5</v>
      </c>
      <c r="Q59">
        <f t="shared" si="3"/>
        <v>172.5</v>
      </c>
      <c r="R59" t="str">
        <f t="shared" si="4"/>
        <v>Low</v>
      </c>
      <c r="S59" t="str">
        <f t="shared" si="5"/>
        <v>Low</v>
      </c>
      <c r="T59" t="str">
        <f t="shared" si="12"/>
        <v>High</v>
      </c>
      <c r="U59" t="str">
        <f t="shared" si="10"/>
        <v>No</v>
      </c>
      <c r="V59" t="str">
        <f t="shared" si="6"/>
        <v>Yes</v>
      </c>
      <c r="W59" t="str">
        <f t="shared" si="11"/>
        <v>No</v>
      </c>
      <c r="X59" t="str">
        <f t="shared" si="7"/>
        <v>No</v>
      </c>
    </row>
    <row r="60" spans="1:24" x14ac:dyDescent="0.3">
      <c r="A60" t="s">
        <v>45</v>
      </c>
      <c r="B60">
        <v>32</v>
      </c>
      <c r="C60" t="s">
        <v>510</v>
      </c>
      <c r="D60">
        <v>78243</v>
      </c>
      <c r="E60" t="s">
        <v>514</v>
      </c>
      <c r="F60">
        <v>35</v>
      </c>
      <c r="G60">
        <v>3691.2</v>
      </c>
      <c r="H60">
        <v>14</v>
      </c>
      <c r="I60">
        <v>3</v>
      </c>
      <c r="J60">
        <v>129192</v>
      </c>
      <c r="K60">
        <f>SUM(Table3[Total_Revenue])</f>
        <v>30761529.489999965</v>
      </c>
      <c r="L60">
        <f t="shared" si="8"/>
        <v>9915340.9499999974</v>
      </c>
      <c r="M60">
        <f t="shared" si="0"/>
        <v>0.32232925717244654</v>
      </c>
      <c r="N60" t="str">
        <f t="shared" si="9"/>
        <v>Yes</v>
      </c>
      <c r="O60">
        <f t="shared" si="1"/>
        <v>47894.68</v>
      </c>
      <c r="P60">
        <f t="shared" si="2"/>
        <v>5</v>
      </c>
      <c r="Q60">
        <f t="shared" si="3"/>
        <v>172.5</v>
      </c>
      <c r="R60" t="str">
        <f t="shared" si="4"/>
        <v>Low</v>
      </c>
      <c r="S60" t="str">
        <f t="shared" si="5"/>
        <v>Low</v>
      </c>
      <c r="T60" t="str">
        <f t="shared" si="12"/>
        <v>High</v>
      </c>
      <c r="U60" t="str">
        <f t="shared" si="10"/>
        <v>No</v>
      </c>
      <c r="V60" t="str">
        <f t="shared" si="6"/>
        <v>Yes</v>
      </c>
      <c r="W60" t="str">
        <f t="shared" si="11"/>
        <v>No</v>
      </c>
      <c r="X60" t="str">
        <f t="shared" si="7"/>
        <v>No</v>
      </c>
    </row>
    <row r="61" spans="1:24" x14ac:dyDescent="0.3">
      <c r="A61" t="s">
        <v>404</v>
      </c>
      <c r="B61">
        <v>50</v>
      </c>
      <c r="C61" t="s">
        <v>511</v>
      </c>
      <c r="D61">
        <v>84435</v>
      </c>
      <c r="E61" t="s">
        <v>512</v>
      </c>
      <c r="F61">
        <v>32</v>
      </c>
      <c r="G61">
        <v>4030.44</v>
      </c>
      <c r="H61">
        <v>333</v>
      </c>
      <c r="I61">
        <v>1</v>
      </c>
      <c r="J61">
        <v>128974.08</v>
      </c>
      <c r="K61">
        <f>SUM(Table3[Total_Revenue])</f>
        <v>30761529.489999965</v>
      </c>
      <c r="L61">
        <f t="shared" si="8"/>
        <v>10044315.029999997</v>
      </c>
      <c r="M61">
        <f t="shared" si="0"/>
        <v>0.32652196417168494</v>
      </c>
      <c r="N61" t="str">
        <f t="shared" si="9"/>
        <v>Yes</v>
      </c>
      <c r="O61">
        <f t="shared" si="1"/>
        <v>47894.68</v>
      </c>
      <c r="P61">
        <f t="shared" si="2"/>
        <v>5</v>
      </c>
      <c r="Q61">
        <f t="shared" si="3"/>
        <v>172.5</v>
      </c>
      <c r="R61" t="str">
        <f t="shared" si="4"/>
        <v>Low</v>
      </c>
      <c r="S61" t="str">
        <f t="shared" si="5"/>
        <v>High</v>
      </c>
      <c r="T61" t="str">
        <f t="shared" si="12"/>
        <v>High</v>
      </c>
      <c r="U61" t="str">
        <f t="shared" si="10"/>
        <v>No</v>
      </c>
      <c r="V61" t="str">
        <f t="shared" si="6"/>
        <v>Yes</v>
      </c>
      <c r="W61" t="str">
        <f t="shared" si="11"/>
        <v>No</v>
      </c>
      <c r="X61" t="str">
        <f t="shared" si="7"/>
        <v>No</v>
      </c>
    </row>
    <row r="62" spans="1:24" x14ac:dyDescent="0.3">
      <c r="A62" t="s">
        <v>248</v>
      </c>
      <c r="B62">
        <v>61</v>
      </c>
      <c r="C62" t="s">
        <v>511</v>
      </c>
      <c r="D62">
        <v>147534</v>
      </c>
      <c r="E62" t="s">
        <v>513</v>
      </c>
      <c r="F62">
        <v>38</v>
      </c>
      <c r="G62">
        <v>3390.64</v>
      </c>
      <c r="H62">
        <v>154</v>
      </c>
      <c r="I62">
        <v>2</v>
      </c>
      <c r="J62">
        <v>128844.32</v>
      </c>
      <c r="K62">
        <f>SUM(Table3[Total_Revenue])</f>
        <v>30761529.489999965</v>
      </c>
      <c r="L62">
        <f t="shared" si="8"/>
        <v>10173159.349999998</v>
      </c>
      <c r="M62">
        <f t="shared" si="0"/>
        <v>0.3307104529151294</v>
      </c>
      <c r="N62" t="str">
        <f t="shared" si="9"/>
        <v>Yes</v>
      </c>
      <c r="O62">
        <f t="shared" si="1"/>
        <v>47894.68</v>
      </c>
      <c r="P62">
        <f t="shared" si="2"/>
        <v>5</v>
      </c>
      <c r="Q62">
        <f t="shared" si="3"/>
        <v>172.5</v>
      </c>
      <c r="R62" t="str">
        <f t="shared" si="4"/>
        <v>Low</v>
      </c>
      <c r="S62" t="str">
        <f t="shared" si="5"/>
        <v>Low</v>
      </c>
      <c r="T62" t="str">
        <f t="shared" si="12"/>
        <v>High</v>
      </c>
      <c r="U62" t="str">
        <f t="shared" si="10"/>
        <v>No</v>
      </c>
      <c r="V62" t="str">
        <f t="shared" si="6"/>
        <v>Yes</v>
      </c>
      <c r="W62" t="str">
        <f t="shared" si="11"/>
        <v>No</v>
      </c>
      <c r="X62" t="str">
        <f t="shared" si="7"/>
        <v>No</v>
      </c>
    </row>
    <row r="63" spans="1:24" x14ac:dyDescent="0.3">
      <c r="A63" t="s">
        <v>203</v>
      </c>
      <c r="B63">
        <v>18</v>
      </c>
      <c r="C63" t="s">
        <v>510</v>
      </c>
      <c r="D63">
        <v>144040</v>
      </c>
      <c r="E63" t="s">
        <v>515</v>
      </c>
      <c r="F63">
        <v>33</v>
      </c>
      <c r="G63">
        <v>3885.85</v>
      </c>
      <c r="H63">
        <v>327</v>
      </c>
      <c r="I63">
        <v>10</v>
      </c>
      <c r="J63">
        <v>128233.05</v>
      </c>
      <c r="K63">
        <f>SUM(Table3[Total_Revenue])</f>
        <v>30761529.489999965</v>
      </c>
      <c r="L63">
        <f t="shared" si="8"/>
        <v>10301392.399999999</v>
      </c>
      <c r="M63">
        <f t="shared" si="0"/>
        <v>0.33487907040996778</v>
      </c>
      <c r="N63" t="str">
        <f t="shared" si="9"/>
        <v>Yes</v>
      </c>
      <c r="O63">
        <f t="shared" si="1"/>
        <v>47894.68</v>
      </c>
      <c r="P63">
        <f t="shared" si="2"/>
        <v>5</v>
      </c>
      <c r="Q63">
        <f t="shared" si="3"/>
        <v>172.5</v>
      </c>
      <c r="R63" t="str">
        <f t="shared" si="4"/>
        <v>High</v>
      </c>
      <c r="S63" t="str">
        <f t="shared" si="5"/>
        <v>High</v>
      </c>
      <c r="T63" t="str">
        <f t="shared" si="12"/>
        <v>High</v>
      </c>
      <c r="U63" t="str">
        <f t="shared" si="10"/>
        <v>Yes</v>
      </c>
      <c r="V63" t="str">
        <f t="shared" si="6"/>
        <v>No</v>
      </c>
      <c r="W63" t="str">
        <f t="shared" si="11"/>
        <v>Yes</v>
      </c>
      <c r="X63" t="str">
        <f t="shared" si="7"/>
        <v>No</v>
      </c>
    </row>
    <row r="64" spans="1:24" x14ac:dyDescent="0.3">
      <c r="A64" t="s">
        <v>306</v>
      </c>
      <c r="B64">
        <v>65</v>
      </c>
      <c r="C64" t="s">
        <v>511</v>
      </c>
      <c r="D64">
        <v>56159</v>
      </c>
      <c r="E64" t="s">
        <v>512</v>
      </c>
      <c r="F64">
        <v>32</v>
      </c>
      <c r="G64">
        <v>3905.95</v>
      </c>
      <c r="H64">
        <v>101</v>
      </c>
      <c r="I64">
        <v>7</v>
      </c>
      <c r="J64">
        <v>124990.39999999999</v>
      </c>
      <c r="K64">
        <f>SUM(Table3[Total_Revenue])</f>
        <v>30761529.489999965</v>
      </c>
      <c r="L64">
        <f t="shared" si="8"/>
        <v>10426382.799999999</v>
      </c>
      <c r="M64">
        <f t="shared" si="0"/>
        <v>0.33894227539594329</v>
      </c>
      <c r="N64" t="str">
        <f t="shared" si="9"/>
        <v>Yes</v>
      </c>
      <c r="O64">
        <f t="shared" si="1"/>
        <v>47894.68</v>
      </c>
      <c r="P64">
        <f t="shared" si="2"/>
        <v>5</v>
      </c>
      <c r="Q64">
        <f t="shared" si="3"/>
        <v>172.5</v>
      </c>
      <c r="R64" t="str">
        <f t="shared" si="4"/>
        <v>High</v>
      </c>
      <c r="S64" t="str">
        <f t="shared" si="5"/>
        <v>Low</v>
      </c>
      <c r="T64" t="str">
        <f t="shared" si="12"/>
        <v>High</v>
      </c>
      <c r="U64" t="str">
        <f t="shared" si="10"/>
        <v>Yes</v>
      </c>
      <c r="V64" t="str">
        <f t="shared" si="6"/>
        <v>No</v>
      </c>
      <c r="W64" t="str">
        <f t="shared" si="11"/>
        <v>Yes</v>
      </c>
      <c r="X64" t="str">
        <f t="shared" si="7"/>
        <v>No</v>
      </c>
    </row>
    <row r="65" spans="1:24" x14ac:dyDescent="0.3">
      <c r="A65" t="s">
        <v>360</v>
      </c>
      <c r="B65">
        <v>39</v>
      </c>
      <c r="C65" t="s">
        <v>510</v>
      </c>
      <c r="D65">
        <v>61157</v>
      </c>
      <c r="E65" t="s">
        <v>515</v>
      </c>
      <c r="F65">
        <v>39</v>
      </c>
      <c r="G65">
        <v>3183.56</v>
      </c>
      <c r="H65">
        <v>307</v>
      </c>
      <c r="I65">
        <v>7</v>
      </c>
      <c r="J65">
        <v>124158.84</v>
      </c>
      <c r="K65">
        <f>SUM(Table3[Total_Revenue])</f>
        <v>30761529.489999965</v>
      </c>
      <c r="L65">
        <f t="shared" si="8"/>
        <v>10550541.639999999</v>
      </c>
      <c r="M65">
        <f t="shared" si="0"/>
        <v>0.3429784479159203</v>
      </c>
      <c r="N65" t="str">
        <f t="shared" si="9"/>
        <v>Yes</v>
      </c>
      <c r="O65">
        <f t="shared" si="1"/>
        <v>47894.68</v>
      </c>
      <c r="P65">
        <f t="shared" si="2"/>
        <v>5</v>
      </c>
      <c r="Q65">
        <f t="shared" si="3"/>
        <v>172.5</v>
      </c>
      <c r="R65" t="str">
        <f t="shared" si="4"/>
        <v>High</v>
      </c>
      <c r="S65" t="str">
        <f t="shared" si="5"/>
        <v>High</v>
      </c>
      <c r="T65" t="str">
        <f t="shared" si="12"/>
        <v>High</v>
      </c>
      <c r="U65" t="str">
        <f t="shared" si="10"/>
        <v>Yes</v>
      </c>
      <c r="V65" t="str">
        <f t="shared" si="6"/>
        <v>No</v>
      </c>
      <c r="W65" t="str">
        <f t="shared" si="11"/>
        <v>Yes</v>
      </c>
      <c r="X65" t="str">
        <f t="shared" si="7"/>
        <v>No</v>
      </c>
    </row>
    <row r="66" spans="1:24" x14ac:dyDescent="0.3">
      <c r="A66" t="s">
        <v>117</v>
      </c>
      <c r="B66">
        <v>61</v>
      </c>
      <c r="C66" t="s">
        <v>510</v>
      </c>
      <c r="D66">
        <v>24621</v>
      </c>
      <c r="E66" t="s">
        <v>515</v>
      </c>
      <c r="F66">
        <v>33</v>
      </c>
      <c r="G66">
        <v>3759.69</v>
      </c>
      <c r="H66">
        <v>302</v>
      </c>
      <c r="I66">
        <v>2</v>
      </c>
      <c r="J66">
        <v>124069.77</v>
      </c>
      <c r="K66">
        <f>SUM(Table3[Total_Revenue])</f>
        <v>30761529.489999965</v>
      </c>
      <c r="L66">
        <f t="shared" ref="L66:L129" si="13">L65+J66</f>
        <v>10674611.409999998</v>
      </c>
      <c r="M66">
        <f t="shared" ref="M66:M129" si="14">L66/$K$2</f>
        <v>0.3470117249361781</v>
      </c>
      <c r="N66" t="str">
        <f t="shared" ref="N66:N129" si="15">IF(M66&lt;=0.75,"Yes","No")</f>
        <v>Yes</v>
      </c>
      <c r="O66">
        <f t="shared" ref="O66:O129" si="16">MEDIAN($J$2:$J$501)</f>
        <v>47894.68</v>
      </c>
      <c r="P66">
        <f t="shared" ref="P66:P129" si="17">MEDIAN($I$2:$I$501)</f>
        <v>5</v>
      </c>
      <c r="Q66">
        <f t="shared" ref="Q66:Q129" si="18">MEDIAN($H$2:$H$501)</f>
        <v>172.5</v>
      </c>
      <c r="R66" t="str">
        <f t="shared" ref="R66:R129" si="19">IF(I66&gt;$P$2,"High",IF(I66&lt;$P$2,"Low","Medium"))</f>
        <v>Low</v>
      </c>
      <c r="S66" t="str">
        <f t="shared" ref="S66:S129" si="20">IF(H66&gt;$Q$2,"High",IF(H66&lt;$Q$2,"Low","Medium"))</f>
        <v>High</v>
      </c>
      <c r="T66" t="str">
        <f t="shared" ref="T66:T129" si="21">IF(J66&gt;$O$2,"High",IF(J66&lt;$O$2,"Low","Medium"))</f>
        <v>High</v>
      </c>
      <c r="U66" t="str">
        <f t="shared" ref="U66:U129" si="22">IF(AND(J66&lt;$O$1, I66&gt;=$P$2),"Yes","No")</f>
        <v>No</v>
      </c>
      <c r="V66" t="str">
        <f t="shared" ref="V66:V129" si="23">IF(AND(J66&gt;=$O$2, I66&lt;$P$2),"Yes","No")</f>
        <v>Yes</v>
      </c>
      <c r="W66" t="str">
        <f t="shared" ref="W66:W129" si="24">IF(AND(J66&gt;=$O$2, I66&gt;=$P$2),"Yes","No")</f>
        <v>No</v>
      </c>
      <c r="X66" t="str">
        <f t="shared" ref="X66:X129" si="25">IF(AND(J66&lt;$O$2, I66&lt;$P$2),"Yes","No")</f>
        <v>No</v>
      </c>
    </row>
    <row r="67" spans="1:24" x14ac:dyDescent="0.3">
      <c r="A67" t="s">
        <v>403</v>
      </c>
      <c r="B67">
        <v>40</v>
      </c>
      <c r="C67" t="s">
        <v>510</v>
      </c>
      <c r="D67">
        <v>91895</v>
      </c>
      <c r="E67" t="s">
        <v>513</v>
      </c>
      <c r="F67">
        <v>37</v>
      </c>
      <c r="G67">
        <v>3329.27</v>
      </c>
      <c r="H67">
        <v>252</v>
      </c>
      <c r="I67">
        <v>6</v>
      </c>
      <c r="J67">
        <v>123182.99</v>
      </c>
      <c r="K67">
        <f>SUM(Table3[Total_Revenue])</f>
        <v>30761529.489999965</v>
      </c>
      <c r="L67">
        <f t="shared" si="13"/>
        <v>10797794.399999999</v>
      </c>
      <c r="M67">
        <f t="shared" si="14"/>
        <v>0.35101617439113919</v>
      </c>
      <c r="N67" t="str">
        <f t="shared" si="15"/>
        <v>Yes</v>
      </c>
      <c r="O67">
        <f t="shared" si="16"/>
        <v>47894.68</v>
      </c>
      <c r="P67">
        <f t="shared" si="17"/>
        <v>5</v>
      </c>
      <c r="Q67">
        <f t="shared" si="18"/>
        <v>172.5</v>
      </c>
      <c r="R67" t="str">
        <f t="shared" si="19"/>
        <v>High</v>
      </c>
      <c r="S67" t="str">
        <f t="shared" si="20"/>
        <v>High</v>
      </c>
      <c r="T67" t="str">
        <f t="shared" si="21"/>
        <v>High</v>
      </c>
      <c r="U67" t="str">
        <f t="shared" si="22"/>
        <v>Yes</v>
      </c>
      <c r="V67" t="str">
        <f t="shared" si="23"/>
        <v>No</v>
      </c>
      <c r="W67" t="str">
        <f t="shared" si="24"/>
        <v>Yes</v>
      </c>
      <c r="X67" t="str">
        <f t="shared" si="25"/>
        <v>No</v>
      </c>
    </row>
    <row r="68" spans="1:24" x14ac:dyDescent="0.3">
      <c r="A68" t="s">
        <v>462</v>
      </c>
      <c r="B68">
        <v>66</v>
      </c>
      <c r="C68" t="s">
        <v>511</v>
      </c>
      <c r="D68">
        <v>85310</v>
      </c>
      <c r="E68" t="s">
        <v>515</v>
      </c>
      <c r="F68">
        <v>38</v>
      </c>
      <c r="G68">
        <v>3216.75</v>
      </c>
      <c r="H68">
        <v>196</v>
      </c>
      <c r="I68">
        <v>1</v>
      </c>
      <c r="J68">
        <v>122236.5</v>
      </c>
      <c r="K68">
        <f>SUM(Table3[Total_Revenue])</f>
        <v>30761529.489999965</v>
      </c>
      <c r="L68">
        <f t="shared" si="13"/>
        <v>10920030.899999999</v>
      </c>
      <c r="M68">
        <f t="shared" si="14"/>
        <v>0.35498985521997239</v>
      </c>
      <c r="N68" t="str">
        <f t="shared" si="15"/>
        <v>Yes</v>
      </c>
      <c r="O68">
        <f t="shared" si="16"/>
        <v>47894.68</v>
      </c>
      <c r="P68">
        <f t="shared" si="17"/>
        <v>5</v>
      </c>
      <c r="Q68">
        <f t="shared" si="18"/>
        <v>172.5</v>
      </c>
      <c r="R68" t="str">
        <f t="shared" si="19"/>
        <v>Low</v>
      </c>
      <c r="S68" t="str">
        <f t="shared" si="20"/>
        <v>High</v>
      </c>
      <c r="T68" t="str">
        <f t="shared" si="21"/>
        <v>High</v>
      </c>
      <c r="U68" t="str">
        <f t="shared" si="22"/>
        <v>No</v>
      </c>
      <c r="V68" t="str">
        <f t="shared" si="23"/>
        <v>Yes</v>
      </c>
      <c r="W68" t="str">
        <f t="shared" si="24"/>
        <v>No</v>
      </c>
      <c r="X68" t="str">
        <f t="shared" si="25"/>
        <v>No</v>
      </c>
    </row>
    <row r="69" spans="1:24" x14ac:dyDescent="0.3">
      <c r="A69" t="s">
        <v>303</v>
      </c>
      <c r="B69">
        <v>66</v>
      </c>
      <c r="C69" t="s">
        <v>511</v>
      </c>
      <c r="D69">
        <v>144450</v>
      </c>
      <c r="E69" t="s">
        <v>514</v>
      </c>
      <c r="F69">
        <v>47</v>
      </c>
      <c r="G69">
        <v>2579.9299999999998</v>
      </c>
      <c r="H69">
        <v>101</v>
      </c>
      <c r="I69">
        <v>2</v>
      </c>
      <c r="J69">
        <v>121256.71</v>
      </c>
      <c r="K69">
        <f>SUM(Table3[Total_Revenue])</f>
        <v>30761529.489999965</v>
      </c>
      <c r="L69">
        <f t="shared" si="13"/>
        <v>11041287.609999999</v>
      </c>
      <c r="M69">
        <f t="shared" si="14"/>
        <v>0.35893168490173183</v>
      </c>
      <c r="N69" t="str">
        <f t="shared" si="15"/>
        <v>Yes</v>
      </c>
      <c r="O69">
        <f t="shared" si="16"/>
        <v>47894.68</v>
      </c>
      <c r="P69">
        <f t="shared" si="17"/>
        <v>5</v>
      </c>
      <c r="Q69">
        <f t="shared" si="18"/>
        <v>172.5</v>
      </c>
      <c r="R69" t="str">
        <f t="shared" si="19"/>
        <v>Low</v>
      </c>
      <c r="S69" t="str">
        <f t="shared" si="20"/>
        <v>Low</v>
      </c>
      <c r="T69" t="str">
        <f t="shared" si="21"/>
        <v>High</v>
      </c>
      <c r="U69" t="str">
        <f t="shared" si="22"/>
        <v>No</v>
      </c>
      <c r="V69" t="str">
        <f t="shared" si="23"/>
        <v>Yes</v>
      </c>
      <c r="W69" t="str">
        <f t="shared" si="24"/>
        <v>No</v>
      </c>
      <c r="X69" t="str">
        <f t="shared" si="25"/>
        <v>No</v>
      </c>
    </row>
    <row r="70" spans="1:24" x14ac:dyDescent="0.3">
      <c r="A70" t="s">
        <v>125</v>
      </c>
      <c r="B70">
        <v>52</v>
      </c>
      <c r="C70" t="s">
        <v>510</v>
      </c>
      <c r="D70">
        <v>104717</v>
      </c>
      <c r="E70" t="s">
        <v>512</v>
      </c>
      <c r="F70">
        <v>36</v>
      </c>
      <c r="G70">
        <v>3308</v>
      </c>
      <c r="H70">
        <v>356</v>
      </c>
      <c r="I70">
        <v>6</v>
      </c>
      <c r="J70">
        <v>119088</v>
      </c>
      <c r="K70">
        <f>SUM(Table3[Total_Revenue])</f>
        <v>30761529.489999965</v>
      </c>
      <c r="L70">
        <f t="shared" si="13"/>
        <v>11160375.609999999</v>
      </c>
      <c r="M70">
        <f t="shared" si="14"/>
        <v>0.36280301386275488</v>
      </c>
      <c r="N70" t="str">
        <f t="shared" si="15"/>
        <v>Yes</v>
      </c>
      <c r="O70">
        <f t="shared" si="16"/>
        <v>47894.68</v>
      </c>
      <c r="P70">
        <f t="shared" si="17"/>
        <v>5</v>
      </c>
      <c r="Q70">
        <f t="shared" si="18"/>
        <v>172.5</v>
      </c>
      <c r="R70" t="str">
        <f t="shared" si="19"/>
        <v>High</v>
      </c>
      <c r="S70" t="str">
        <f t="shared" si="20"/>
        <v>High</v>
      </c>
      <c r="T70" t="str">
        <f t="shared" si="21"/>
        <v>High</v>
      </c>
      <c r="U70" t="str">
        <f t="shared" si="22"/>
        <v>Yes</v>
      </c>
      <c r="V70" t="str">
        <f t="shared" si="23"/>
        <v>No</v>
      </c>
      <c r="W70" t="str">
        <f t="shared" si="24"/>
        <v>Yes</v>
      </c>
      <c r="X70" t="str">
        <f t="shared" si="25"/>
        <v>No</v>
      </c>
    </row>
    <row r="71" spans="1:24" x14ac:dyDescent="0.3">
      <c r="A71" t="s">
        <v>19</v>
      </c>
      <c r="B71">
        <v>40</v>
      </c>
      <c r="C71" t="s">
        <v>511</v>
      </c>
      <c r="D71">
        <v>137520</v>
      </c>
      <c r="E71" t="s">
        <v>515</v>
      </c>
      <c r="F71">
        <v>24</v>
      </c>
      <c r="G71">
        <v>4934.8</v>
      </c>
      <c r="H71">
        <v>312</v>
      </c>
      <c r="I71">
        <v>3</v>
      </c>
      <c r="J71">
        <v>118435.2</v>
      </c>
      <c r="K71">
        <f>SUM(Table3[Total_Revenue])</f>
        <v>30761529.489999965</v>
      </c>
      <c r="L71">
        <f t="shared" si="13"/>
        <v>11278810.809999999</v>
      </c>
      <c r="M71">
        <f t="shared" si="14"/>
        <v>0.36665312151226237</v>
      </c>
      <c r="N71" t="str">
        <f t="shared" si="15"/>
        <v>Yes</v>
      </c>
      <c r="O71">
        <f t="shared" si="16"/>
        <v>47894.68</v>
      </c>
      <c r="P71">
        <f t="shared" si="17"/>
        <v>5</v>
      </c>
      <c r="Q71">
        <f t="shared" si="18"/>
        <v>172.5</v>
      </c>
      <c r="R71" t="str">
        <f t="shared" si="19"/>
        <v>Low</v>
      </c>
      <c r="S71" t="str">
        <f t="shared" si="20"/>
        <v>High</v>
      </c>
      <c r="T71" t="str">
        <f t="shared" si="21"/>
        <v>High</v>
      </c>
      <c r="U71" t="str">
        <f t="shared" si="22"/>
        <v>No</v>
      </c>
      <c r="V71" t="str">
        <f t="shared" si="23"/>
        <v>Yes</v>
      </c>
      <c r="W71" t="str">
        <f t="shared" si="24"/>
        <v>No</v>
      </c>
      <c r="X71" t="str">
        <f t="shared" si="25"/>
        <v>No</v>
      </c>
    </row>
    <row r="72" spans="1:24" x14ac:dyDescent="0.3">
      <c r="A72" t="s">
        <v>170</v>
      </c>
      <c r="B72">
        <v>69</v>
      </c>
      <c r="C72" t="s">
        <v>510</v>
      </c>
      <c r="D72">
        <v>43275</v>
      </c>
      <c r="E72" t="s">
        <v>514</v>
      </c>
      <c r="F72">
        <v>32</v>
      </c>
      <c r="G72">
        <v>3686.59</v>
      </c>
      <c r="H72">
        <v>338</v>
      </c>
      <c r="I72">
        <v>8</v>
      </c>
      <c r="J72">
        <v>117970.88</v>
      </c>
      <c r="K72">
        <f>SUM(Table3[Total_Revenue])</f>
        <v>30761529.489999965</v>
      </c>
      <c r="L72">
        <f t="shared" si="13"/>
        <v>11396781.689999999</v>
      </c>
      <c r="M72">
        <f t="shared" si="14"/>
        <v>0.37048813498382432</v>
      </c>
      <c r="N72" t="str">
        <f t="shared" si="15"/>
        <v>Yes</v>
      </c>
      <c r="O72">
        <f t="shared" si="16"/>
        <v>47894.68</v>
      </c>
      <c r="P72">
        <f t="shared" si="17"/>
        <v>5</v>
      </c>
      <c r="Q72">
        <f t="shared" si="18"/>
        <v>172.5</v>
      </c>
      <c r="R72" t="str">
        <f t="shared" si="19"/>
        <v>High</v>
      </c>
      <c r="S72" t="str">
        <f t="shared" si="20"/>
        <v>High</v>
      </c>
      <c r="T72" t="str">
        <f t="shared" si="21"/>
        <v>High</v>
      </c>
      <c r="U72" t="str">
        <f t="shared" si="22"/>
        <v>Yes</v>
      </c>
      <c r="V72" t="str">
        <f t="shared" si="23"/>
        <v>No</v>
      </c>
      <c r="W72" t="str">
        <f t="shared" si="24"/>
        <v>Yes</v>
      </c>
      <c r="X72" t="str">
        <f t="shared" si="25"/>
        <v>No</v>
      </c>
    </row>
    <row r="73" spans="1:24" x14ac:dyDescent="0.3">
      <c r="A73" t="s">
        <v>309</v>
      </c>
      <c r="B73">
        <v>54</v>
      </c>
      <c r="C73" t="s">
        <v>510</v>
      </c>
      <c r="D73">
        <v>25951</v>
      </c>
      <c r="E73" t="s">
        <v>512</v>
      </c>
      <c r="F73">
        <v>25</v>
      </c>
      <c r="G73">
        <v>4688.6000000000004</v>
      </c>
      <c r="H73">
        <v>275</v>
      </c>
      <c r="I73">
        <v>8</v>
      </c>
      <c r="J73">
        <v>117215</v>
      </c>
      <c r="K73">
        <f>SUM(Table3[Total_Revenue])</f>
        <v>30761529.489999965</v>
      </c>
      <c r="L73">
        <f t="shared" si="13"/>
        <v>11513996.689999999</v>
      </c>
      <c r="M73">
        <f t="shared" si="14"/>
        <v>0.37429857620515905</v>
      </c>
      <c r="N73" t="str">
        <f t="shared" si="15"/>
        <v>Yes</v>
      </c>
      <c r="O73">
        <f t="shared" si="16"/>
        <v>47894.68</v>
      </c>
      <c r="P73">
        <f t="shared" si="17"/>
        <v>5</v>
      </c>
      <c r="Q73">
        <f t="shared" si="18"/>
        <v>172.5</v>
      </c>
      <c r="R73" t="str">
        <f t="shared" si="19"/>
        <v>High</v>
      </c>
      <c r="S73" t="str">
        <f t="shared" si="20"/>
        <v>High</v>
      </c>
      <c r="T73" t="str">
        <f t="shared" si="21"/>
        <v>High</v>
      </c>
      <c r="U73" t="str">
        <f t="shared" si="22"/>
        <v>Yes</v>
      </c>
      <c r="V73" t="str">
        <f t="shared" si="23"/>
        <v>No</v>
      </c>
      <c r="W73" t="str">
        <f t="shared" si="24"/>
        <v>Yes</v>
      </c>
      <c r="X73" t="str">
        <f t="shared" si="25"/>
        <v>No</v>
      </c>
    </row>
    <row r="74" spans="1:24" x14ac:dyDescent="0.3">
      <c r="A74" t="s">
        <v>166</v>
      </c>
      <c r="B74">
        <v>68</v>
      </c>
      <c r="C74" t="s">
        <v>510</v>
      </c>
      <c r="D74">
        <v>32910</v>
      </c>
      <c r="E74" t="s">
        <v>513</v>
      </c>
      <c r="F74">
        <v>30</v>
      </c>
      <c r="G74">
        <v>3872.73</v>
      </c>
      <c r="H74">
        <v>228</v>
      </c>
      <c r="I74">
        <v>1</v>
      </c>
      <c r="J74">
        <v>116181.9</v>
      </c>
      <c r="K74">
        <f>SUM(Table3[Total_Revenue])</f>
        <v>30761529.489999965</v>
      </c>
      <c r="L74">
        <f t="shared" si="13"/>
        <v>11630178.59</v>
      </c>
      <c r="M74">
        <f t="shared" si="14"/>
        <v>0.37807543327066256</v>
      </c>
      <c r="N74" t="str">
        <f t="shared" si="15"/>
        <v>Yes</v>
      </c>
      <c r="O74">
        <f t="shared" si="16"/>
        <v>47894.68</v>
      </c>
      <c r="P74">
        <f t="shared" si="17"/>
        <v>5</v>
      </c>
      <c r="Q74">
        <f t="shared" si="18"/>
        <v>172.5</v>
      </c>
      <c r="R74" t="str">
        <f t="shared" si="19"/>
        <v>Low</v>
      </c>
      <c r="S74" t="str">
        <f t="shared" si="20"/>
        <v>High</v>
      </c>
      <c r="T74" t="str">
        <f t="shared" si="21"/>
        <v>High</v>
      </c>
      <c r="U74" t="str">
        <f t="shared" si="22"/>
        <v>No</v>
      </c>
      <c r="V74" t="str">
        <f t="shared" si="23"/>
        <v>Yes</v>
      </c>
      <c r="W74" t="str">
        <f t="shared" si="24"/>
        <v>No</v>
      </c>
      <c r="X74" t="str">
        <f t="shared" si="25"/>
        <v>No</v>
      </c>
    </row>
    <row r="75" spans="1:24" x14ac:dyDescent="0.3">
      <c r="A75" t="s">
        <v>174</v>
      </c>
      <c r="B75">
        <v>54</v>
      </c>
      <c r="C75" t="s">
        <v>511</v>
      </c>
      <c r="D75">
        <v>80004</v>
      </c>
      <c r="E75" t="s">
        <v>512</v>
      </c>
      <c r="F75">
        <v>30</v>
      </c>
      <c r="G75">
        <v>3856.62</v>
      </c>
      <c r="H75">
        <v>196</v>
      </c>
      <c r="I75">
        <v>5</v>
      </c>
      <c r="J75">
        <v>115698.6</v>
      </c>
      <c r="K75">
        <f>SUM(Table3[Total_Revenue])</f>
        <v>30761529.489999965</v>
      </c>
      <c r="L75">
        <f t="shared" si="13"/>
        <v>11745877.189999999</v>
      </c>
      <c r="M75">
        <f t="shared" si="14"/>
        <v>0.38183657915378943</v>
      </c>
      <c r="N75" t="str">
        <f t="shared" si="15"/>
        <v>Yes</v>
      </c>
      <c r="O75">
        <f t="shared" si="16"/>
        <v>47894.68</v>
      </c>
      <c r="P75">
        <f t="shared" si="17"/>
        <v>5</v>
      </c>
      <c r="Q75">
        <f t="shared" si="18"/>
        <v>172.5</v>
      </c>
      <c r="R75" t="str">
        <f t="shared" si="19"/>
        <v>Medium</v>
      </c>
      <c r="S75" t="str">
        <f t="shared" si="20"/>
        <v>High</v>
      </c>
      <c r="T75" t="str">
        <f t="shared" si="21"/>
        <v>High</v>
      </c>
      <c r="U75" t="str">
        <f t="shared" si="22"/>
        <v>Yes</v>
      </c>
      <c r="V75" t="str">
        <f t="shared" si="23"/>
        <v>No</v>
      </c>
      <c r="W75" t="str">
        <f t="shared" si="24"/>
        <v>Yes</v>
      </c>
      <c r="X75" t="str">
        <f t="shared" si="25"/>
        <v>No</v>
      </c>
    </row>
    <row r="76" spans="1:24" x14ac:dyDescent="0.3">
      <c r="A76" t="s">
        <v>236</v>
      </c>
      <c r="B76">
        <v>34</v>
      </c>
      <c r="C76" t="s">
        <v>510</v>
      </c>
      <c r="D76">
        <v>117579</v>
      </c>
      <c r="E76" t="s">
        <v>514</v>
      </c>
      <c r="F76">
        <v>28</v>
      </c>
      <c r="G76">
        <v>4126.8500000000004</v>
      </c>
      <c r="H76">
        <v>344</v>
      </c>
      <c r="I76">
        <v>2</v>
      </c>
      <c r="J76">
        <v>115551.8</v>
      </c>
      <c r="K76">
        <f>SUM(Table3[Total_Revenue])</f>
        <v>30761529.489999965</v>
      </c>
      <c r="L76">
        <f t="shared" si="13"/>
        <v>11861428.99</v>
      </c>
      <c r="M76">
        <f t="shared" si="14"/>
        <v>0.3855929528424763</v>
      </c>
      <c r="N76" t="str">
        <f t="shared" si="15"/>
        <v>Yes</v>
      </c>
      <c r="O76">
        <f t="shared" si="16"/>
        <v>47894.68</v>
      </c>
      <c r="P76">
        <f t="shared" si="17"/>
        <v>5</v>
      </c>
      <c r="Q76">
        <f t="shared" si="18"/>
        <v>172.5</v>
      </c>
      <c r="R76" t="str">
        <f t="shared" si="19"/>
        <v>Low</v>
      </c>
      <c r="S76" t="str">
        <f t="shared" si="20"/>
        <v>High</v>
      </c>
      <c r="T76" t="str">
        <f t="shared" si="21"/>
        <v>High</v>
      </c>
      <c r="U76" t="str">
        <f t="shared" si="22"/>
        <v>No</v>
      </c>
      <c r="V76" t="str">
        <f t="shared" si="23"/>
        <v>Yes</v>
      </c>
      <c r="W76" t="str">
        <f t="shared" si="24"/>
        <v>No</v>
      </c>
      <c r="X76" t="str">
        <f t="shared" si="25"/>
        <v>No</v>
      </c>
    </row>
    <row r="77" spans="1:24" x14ac:dyDescent="0.3">
      <c r="A77" t="s">
        <v>331</v>
      </c>
      <c r="B77">
        <v>65</v>
      </c>
      <c r="C77" t="s">
        <v>511</v>
      </c>
      <c r="D77">
        <v>104056</v>
      </c>
      <c r="E77" t="s">
        <v>513</v>
      </c>
      <c r="F77">
        <v>33</v>
      </c>
      <c r="G77">
        <v>3488.93</v>
      </c>
      <c r="H77">
        <v>131</v>
      </c>
      <c r="I77">
        <v>8</v>
      </c>
      <c r="J77">
        <v>115134.69</v>
      </c>
      <c r="K77">
        <f>SUM(Table3[Total_Revenue])</f>
        <v>30761529.489999965</v>
      </c>
      <c r="L77">
        <f t="shared" si="13"/>
        <v>11976563.68</v>
      </c>
      <c r="M77">
        <f t="shared" si="14"/>
        <v>0.3893357670623423</v>
      </c>
      <c r="N77" t="str">
        <f t="shared" si="15"/>
        <v>Yes</v>
      </c>
      <c r="O77">
        <f t="shared" si="16"/>
        <v>47894.68</v>
      </c>
      <c r="P77">
        <f t="shared" si="17"/>
        <v>5</v>
      </c>
      <c r="Q77">
        <f t="shared" si="18"/>
        <v>172.5</v>
      </c>
      <c r="R77" t="str">
        <f t="shared" si="19"/>
        <v>High</v>
      </c>
      <c r="S77" t="str">
        <f t="shared" si="20"/>
        <v>Low</v>
      </c>
      <c r="T77" t="str">
        <f t="shared" si="21"/>
        <v>High</v>
      </c>
      <c r="U77" t="str">
        <f t="shared" si="22"/>
        <v>Yes</v>
      </c>
      <c r="V77" t="str">
        <f t="shared" si="23"/>
        <v>No</v>
      </c>
      <c r="W77" t="str">
        <f t="shared" si="24"/>
        <v>Yes</v>
      </c>
      <c r="X77" t="str">
        <f t="shared" si="25"/>
        <v>No</v>
      </c>
    </row>
    <row r="78" spans="1:24" x14ac:dyDescent="0.3">
      <c r="A78" t="s">
        <v>213</v>
      </c>
      <c r="B78">
        <v>26</v>
      </c>
      <c r="C78" t="s">
        <v>510</v>
      </c>
      <c r="D78">
        <v>36389</v>
      </c>
      <c r="E78" t="s">
        <v>514</v>
      </c>
      <c r="F78">
        <v>34</v>
      </c>
      <c r="G78">
        <v>3381.05</v>
      </c>
      <c r="H78">
        <v>169</v>
      </c>
      <c r="I78">
        <v>5</v>
      </c>
      <c r="J78">
        <v>114955.7</v>
      </c>
      <c r="K78">
        <f>SUM(Table3[Total_Revenue])</f>
        <v>30761529.489999965</v>
      </c>
      <c r="L78">
        <f t="shared" si="13"/>
        <v>12091519.379999999</v>
      </c>
      <c r="M78">
        <f t="shared" si="14"/>
        <v>0.39307276265085389</v>
      </c>
      <c r="N78" t="str">
        <f t="shared" si="15"/>
        <v>Yes</v>
      </c>
      <c r="O78">
        <f t="shared" si="16"/>
        <v>47894.68</v>
      </c>
      <c r="P78">
        <f t="shared" si="17"/>
        <v>5</v>
      </c>
      <c r="Q78">
        <f t="shared" si="18"/>
        <v>172.5</v>
      </c>
      <c r="R78" t="str">
        <f t="shared" si="19"/>
        <v>Medium</v>
      </c>
      <c r="S78" t="str">
        <f t="shared" si="20"/>
        <v>Low</v>
      </c>
      <c r="T78" t="str">
        <f t="shared" si="21"/>
        <v>High</v>
      </c>
      <c r="U78" t="str">
        <f t="shared" si="22"/>
        <v>Yes</v>
      </c>
      <c r="V78" t="str">
        <f t="shared" si="23"/>
        <v>No</v>
      </c>
      <c r="W78" t="str">
        <f t="shared" si="24"/>
        <v>Yes</v>
      </c>
      <c r="X78" t="str">
        <f t="shared" si="25"/>
        <v>No</v>
      </c>
    </row>
    <row r="79" spans="1:24" x14ac:dyDescent="0.3">
      <c r="A79" t="s">
        <v>107</v>
      </c>
      <c r="B79">
        <v>58</v>
      </c>
      <c r="C79" t="s">
        <v>510</v>
      </c>
      <c r="D79">
        <v>131317</v>
      </c>
      <c r="E79" t="s">
        <v>515</v>
      </c>
      <c r="F79">
        <v>27</v>
      </c>
      <c r="G79">
        <v>4251.12</v>
      </c>
      <c r="H79">
        <v>107</v>
      </c>
      <c r="I79">
        <v>10</v>
      </c>
      <c r="J79">
        <v>114780.24</v>
      </c>
      <c r="K79">
        <f>SUM(Table3[Total_Revenue])</f>
        <v>30761529.489999965</v>
      </c>
      <c r="L79">
        <f t="shared" si="13"/>
        <v>12206299.619999999</v>
      </c>
      <c r="M79">
        <f t="shared" si="14"/>
        <v>0.39680405436173299</v>
      </c>
      <c r="N79" t="str">
        <f t="shared" si="15"/>
        <v>Yes</v>
      </c>
      <c r="O79">
        <f t="shared" si="16"/>
        <v>47894.68</v>
      </c>
      <c r="P79">
        <f t="shared" si="17"/>
        <v>5</v>
      </c>
      <c r="Q79">
        <f t="shared" si="18"/>
        <v>172.5</v>
      </c>
      <c r="R79" t="str">
        <f t="shared" si="19"/>
        <v>High</v>
      </c>
      <c r="S79" t="str">
        <f t="shared" si="20"/>
        <v>Low</v>
      </c>
      <c r="T79" t="str">
        <f t="shared" si="21"/>
        <v>High</v>
      </c>
      <c r="U79" t="str">
        <f t="shared" si="22"/>
        <v>Yes</v>
      </c>
      <c r="V79" t="str">
        <f t="shared" si="23"/>
        <v>No</v>
      </c>
      <c r="W79" t="str">
        <f t="shared" si="24"/>
        <v>Yes</v>
      </c>
      <c r="X79" t="str">
        <f t="shared" si="25"/>
        <v>No</v>
      </c>
    </row>
    <row r="80" spans="1:24" x14ac:dyDescent="0.3">
      <c r="A80" t="s">
        <v>162</v>
      </c>
      <c r="B80">
        <v>32</v>
      </c>
      <c r="C80" t="s">
        <v>511</v>
      </c>
      <c r="D80">
        <v>26371</v>
      </c>
      <c r="E80" t="s">
        <v>512</v>
      </c>
      <c r="F80">
        <v>35</v>
      </c>
      <c r="G80">
        <v>3268.37</v>
      </c>
      <c r="H80">
        <v>70</v>
      </c>
      <c r="I80">
        <v>10</v>
      </c>
      <c r="J80">
        <v>114392.95</v>
      </c>
      <c r="K80">
        <f>SUM(Table3[Total_Revenue])</f>
        <v>30761529.489999965</v>
      </c>
      <c r="L80">
        <f t="shared" si="13"/>
        <v>12320692.569999998</v>
      </c>
      <c r="M80">
        <f t="shared" si="14"/>
        <v>0.40052275599642212</v>
      </c>
      <c r="N80" t="str">
        <f t="shared" si="15"/>
        <v>Yes</v>
      </c>
      <c r="O80">
        <f t="shared" si="16"/>
        <v>47894.68</v>
      </c>
      <c r="P80">
        <f t="shared" si="17"/>
        <v>5</v>
      </c>
      <c r="Q80">
        <f t="shared" si="18"/>
        <v>172.5</v>
      </c>
      <c r="R80" t="str">
        <f t="shared" si="19"/>
        <v>High</v>
      </c>
      <c r="S80" t="str">
        <f t="shared" si="20"/>
        <v>Low</v>
      </c>
      <c r="T80" t="str">
        <f t="shared" si="21"/>
        <v>High</v>
      </c>
      <c r="U80" t="str">
        <f t="shared" si="22"/>
        <v>Yes</v>
      </c>
      <c r="V80" t="str">
        <f t="shared" si="23"/>
        <v>No</v>
      </c>
      <c r="W80" t="str">
        <f t="shared" si="24"/>
        <v>Yes</v>
      </c>
      <c r="X80" t="str">
        <f t="shared" si="25"/>
        <v>No</v>
      </c>
    </row>
    <row r="81" spans="1:24" x14ac:dyDescent="0.3">
      <c r="A81" t="s">
        <v>92</v>
      </c>
      <c r="B81">
        <v>65</v>
      </c>
      <c r="C81" t="s">
        <v>511</v>
      </c>
      <c r="D81">
        <v>138831</v>
      </c>
      <c r="E81" t="s">
        <v>515</v>
      </c>
      <c r="F81">
        <v>37</v>
      </c>
      <c r="G81">
        <v>3088.18</v>
      </c>
      <c r="H81">
        <v>240</v>
      </c>
      <c r="I81">
        <v>1</v>
      </c>
      <c r="J81">
        <v>114262.66</v>
      </c>
      <c r="K81">
        <f>SUM(Table3[Total_Revenue])</f>
        <v>30761529.489999965</v>
      </c>
      <c r="L81">
        <f t="shared" si="13"/>
        <v>12434955.229999999</v>
      </c>
      <c r="M81">
        <f t="shared" si="14"/>
        <v>0.40423722214600494</v>
      </c>
      <c r="N81" t="str">
        <f t="shared" si="15"/>
        <v>Yes</v>
      </c>
      <c r="O81">
        <f t="shared" si="16"/>
        <v>47894.68</v>
      </c>
      <c r="P81">
        <f t="shared" si="17"/>
        <v>5</v>
      </c>
      <c r="Q81">
        <f t="shared" si="18"/>
        <v>172.5</v>
      </c>
      <c r="R81" t="str">
        <f t="shared" si="19"/>
        <v>Low</v>
      </c>
      <c r="S81" t="str">
        <f t="shared" si="20"/>
        <v>High</v>
      </c>
      <c r="T81" t="str">
        <f t="shared" si="21"/>
        <v>High</v>
      </c>
      <c r="U81" t="str">
        <f t="shared" si="22"/>
        <v>No</v>
      </c>
      <c r="V81" t="str">
        <f t="shared" si="23"/>
        <v>Yes</v>
      </c>
      <c r="W81" t="str">
        <f t="shared" si="24"/>
        <v>No</v>
      </c>
      <c r="X81" t="str">
        <f t="shared" si="25"/>
        <v>No</v>
      </c>
    </row>
    <row r="82" spans="1:24" x14ac:dyDescent="0.3">
      <c r="A82" t="s">
        <v>273</v>
      </c>
      <c r="B82">
        <v>53</v>
      </c>
      <c r="C82" t="s">
        <v>511</v>
      </c>
      <c r="D82">
        <v>146593</v>
      </c>
      <c r="E82" t="s">
        <v>515</v>
      </c>
      <c r="F82">
        <v>44</v>
      </c>
      <c r="G82">
        <v>2555.65</v>
      </c>
      <c r="H82">
        <v>89</v>
      </c>
      <c r="I82">
        <v>6</v>
      </c>
      <c r="J82">
        <v>112448.6</v>
      </c>
      <c r="K82">
        <f>SUM(Table3[Total_Revenue])</f>
        <v>30761529.489999965</v>
      </c>
      <c r="L82">
        <f t="shared" si="13"/>
        <v>12547403.829999998</v>
      </c>
      <c r="M82">
        <f t="shared" si="14"/>
        <v>0.40789271658546561</v>
      </c>
      <c r="N82" t="str">
        <f t="shared" si="15"/>
        <v>Yes</v>
      </c>
      <c r="O82">
        <f t="shared" si="16"/>
        <v>47894.68</v>
      </c>
      <c r="P82">
        <f t="shared" si="17"/>
        <v>5</v>
      </c>
      <c r="Q82">
        <f t="shared" si="18"/>
        <v>172.5</v>
      </c>
      <c r="R82" t="str">
        <f t="shared" si="19"/>
        <v>High</v>
      </c>
      <c r="S82" t="str">
        <f t="shared" si="20"/>
        <v>Low</v>
      </c>
      <c r="T82" t="str">
        <f t="shared" si="21"/>
        <v>High</v>
      </c>
      <c r="U82" t="str">
        <f t="shared" si="22"/>
        <v>Yes</v>
      </c>
      <c r="V82" t="str">
        <f t="shared" si="23"/>
        <v>No</v>
      </c>
      <c r="W82" t="str">
        <f t="shared" si="24"/>
        <v>Yes</v>
      </c>
      <c r="X82" t="str">
        <f t="shared" si="25"/>
        <v>No</v>
      </c>
    </row>
    <row r="83" spans="1:24" x14ac:dyDescent="0.3">
      <c r="A83" t="s">
        <v>302</v>
      </c>
      <c r="B83">
        <v>69</v>
      </c>
      <c r="C83" t="s">
        <v>510</v>
      </c>
      <c r="D83">
        <v>93698</v>
      </c>
      <c r="E83" t="s">
        <v>515</v>
      </c>
      <c r="F83">
        <v>46</v>
      </c>
      <c r="G83">
        <v>2443.35</v>
      </c>
      <c r="H83">
        <v>8</v>
      </c>
      <c r="I83">
        <v>5</v>
      </c>
      <c r="J83">
        <v>112394.1</v>
      </c>
      <c r="K83">
        <f>SUM(Table3[Total_Revenue])</f>
        <v>30761529.489999965</v>
      </c>
      <c r="L83">
        <f t="shared" si="13"/>
        <v>12659797.929999998</v>
      </c>
      <c r="M83">
        <f t="shared" si="14"/>
        <v>0.41154643933148632</v>
      </c>
      <c r="N83" t="str">
        <f t="shared" si="15"/>
        <v>Yes</v>
      </c>
      <c r="O83">
        <f t="shared" si="16"/>
        <v>47894.68</v>
      </c>
      <c r="P83">
        <f t="shared" si="17"/>
        <v>5</v>
      </c>
      <c r="Q83">
        <f t="shared" si="18"/>
        <v>172.5</v>
      </c>
      <c r="R83" t="str">
        <f t="shared" si="19"/>
        <v>Medium</v>
      </c>
      <c r="S83" t="str">
        <f t="shared" si="20"/>
        <v>Low</v>
      </c>
      <c r="T83" t="str">
        <f t="shared" si="21"/>
        <v>High</v>
      </c>
      <c r="U83" t="str">
        <f t="shared" si="22"/>
        <v>Yes</v>
      </c>
      <c r="V83" t="str">
        <f t="shared" si="23"/>
        <v>No</v>
      </c>
      <c r="W83" t="str">
        <f t="shared" si="24"/>
        <v>Yes</v>
      </c>
      <c r="X83" t="str">
        <f t="shared" si="25"/>
        <v>No</v>
      </c>
    </row>
    <row r="84" spans="1:24" x14ac:dyDescent="0.3">
      <c r="A84" t="s">
        <v>153</v>
      </c>
      <c r="B84">
        <v>20</v>
      </c>
      <c r="C84" t="s">
        <v>510</v>
      </c>
      <c r="D84">
        <v>129779</v>
      </c>
      <c r="E84" t="s">
        <v>512</v>
      </c>
      <c r="F84">
        <v>27</v>
      </c>
      <c r="G84">
        <v>4097.17</v>
      </c>
      <c r="H84">
        <v>163</v>
      </c>
      <c r="I84">
        <v>5</v>
      </c>
      <c r="J84">
        <v>110623.59</v>
      </c>
      <c r="K84">
        <f>SUM(Table3[Total_Revenue])</f>
        <v>30761529.489999965</v>
      </c>
      <c r="L84">
        <f t="shared" si="13"/>
        <v>12770421.519999998</v>
      </c>
      <c r="M84">
        <f t="shared" si="14"/>
        <v>0.41514260609672993</v>
      </c>
      <c r="N84" t="str">
        <f t="shared" si="15"/>
        <v>Yes</v>
      </c>
      <c r="O84">
        <f t="shared" si="16"/>
        <v>47894.68</v>
      </c>
      <c r="P84">
        <f t="shared" si="17"/>
        <v>5</v>
      </c>
      <c r="Q84">
        <f t="shared" si="18"/>
        <v>172.5</v>
      </c>
      <c r="R84" t="str">
        <f t="shared" si="19"/>
        <v>Medium</v>
      </c>
      <c r="S84" t="str">
        <f t="shared" si="20"/>
        <v>Low</v>
      </c>
      <c r="T84" t="str">
        <f t="shared" si="21"/>
        <v>High</v>
      </c>
      <c r="U84" t="str">
        <f t="shared" si="22"/>
        <v>Yes</v>
      </c>
      <c r="V84" t="str">
        <f t="shared" si="23"/>
        <v>No</v>
      </c>
      <c r="W84" t="str">
        <f t="shared" si="24"/>
        <v>Yes</v>
      </c>
      <c r="X84" t="str">
        <f t="shared" si="25"/>
        <v>No</v>
      </c>
    </row>
    <row r="85" spans="1:24" x14ac:dyDescent="0.3">
      <c r="A85" t="s">
        <v>288</v>
      </c>
      <c r="B85">
        <v>18</v>
      </c>
      <c r="C85" t="s">
        <v>511</v>
      </c>
      <c r="D85">
        <v>62078</v>
      </c>
      <c r="E85" t="s">
        <v>515</v>
      </c>
      <c r="F85">
        <v>38</v>
      </c>
      <c r="G85">
        <v>2907.9</v>
      </c>
      <c r="H85">
        <v>104</v>
      </c>
      <c r="I85">
        <v>4</v>
      </c>
      <c r="J85">
        <v>110500.2</v>
      </c>
      <c r="K85">
        <f>SUM(Table3[Total_Revenue])</f>
        <v>30761529.489999965</v>
      </c>
      <c r="L85">
        <f t="shared" si="13"/>
        <v>12880921.719999997</v>
      </c>
      <c r="M85">
        <f t="shared" si="14"/>
        <v>0.41873476168300927</v>
      </c>
      <c r="N85" t="str">
        <f t="shared" si="15"/>
        <v>Yes</v>
      </c>
      <c r="O85">
        <f t="shared" si="16"/>
        <v>47894.68</v>
      </c>
      <c r="P85">
        <f t="shared" si="17"/>
        <v>5</v>
      </c>
      <c r="Q85">
        <f t="shared" si="18"/>
        <v>172.5</v>
      </c>
      <c r="R85" t="str">
        <f t="shared" si="19"/>
        <v>Low</v>
      </c>
      <c r="S85" t="str">
        <f t="shared" si="20"/>
        <v>Low</v>
      </c>
      <c r="T85" t="str">
        <f t="shared" si="21"/>
        <v>High</v>
      </c>
      <c r="U85" t="str">
        <f t="shared" si="22"/>
        <v>No</v>
      </c>
      <c r="V85" t="str">
        <f t="shared" si="23"/>
        <v>Yes</v>
      </c>
      <c r="W85" t="str">
        <f t="shared" si="24"/>
        <v>No</v>
      </c>
      <c r="X85" t="str">
        <f t="shared" si="25"/>
        <v>No</v>
      </c>
    </row>
    <row r="86" spans="1:24" x14ac:dyDescent="0.3">
      <c r="A86" t="s">
        <v>423</v>
      </c>
      <c r="B86">
        <v>43</v>
      </c>
      <c r="C86" t="s">
        <v>511</v>
      </c>
      <c r="D86">
        <v>120420</v>
      </c>
      <c r="E86" t="s">
        <v>515</v>
      </c>
      <c r="F86">
        <v>28</v>
      </c>
      <c r="G86">
        <v>3934.18</v>
      </c>
      <c r="H86">
        <v>334</v>
      </c>
      <c r="I86">
        <v>2</v>
      </c>
      <c r="J86">
        <v>110157.04</v>
      </c>
      <c r="K86">
        <f>SUM(Table3[Total_Revenue])</f>
        <v>30761529.489999965</v>
      </c>
      <c r="L86">
        <f t="shared" si="13"/>
        <v>12991078.759999996</v>
      </c>
      <c r="M86">
        <f t="shared" si="14"/>
        <v>0.4223157617771629</v>
      </c>
      <c r="N86" t="str">
        <f t="shared" si="15"/>
        <v>Yes</v>
      </c>
      <c r="O86">
        <f t="shared" si="16"/>
        <v>47894.68</v>
      </c>
      <c r="P86">
        <f t="shared" si="17"/>
        <v>5</v>
      </c>
      <c r="Q86">
        <f t="shared" si="18"/>
        <v>172.5</v>
      </c>
      <c r="R86" t="str">
        <f t="shared" si="19"/>
        <v>Low</v>
      </c>
      <c r="S86" t="str">
        <f t="shared" si="20"/>
        <v>High</v>
      </c>
      <c r="T86" t="str">
        <f t="shared" si="21"/>
        <v>High</v>
      </c>
      <c r="U86" t="str">
        <f t="shared" si="22"/>
        <v>No</v>
      </c>
      <c r="V86" t="str">
        <f t="shared" si="23"/>
        <v>Yes</v>
      </c>
      <c r="W86" t="str">
        <f t="shared" si="24"/>
        <v>No</v>
      </c>
      <c r="X86" t="str">
        <f t="shared" si="25"/>
        <v>No</v>
      </c>
    </row>
    <row r="87" spans="1:24" x14ac:dyDescent="0.3">
      <c r="A87" t="s">
        <v>155</v>
      </c>
      <c r="B87">
        <v>22</v>
      </c>
      <c r="C87" t="s">
        <v>510</v>
      </c>
      <c r="D87">
        <v>128099</v>
      </c>
      <c r="E87" t="s">
        <v>512</v>
      </c>
      <c r="F87">
        <v>41</v>
      </c>
      <c r="G87">
        <v>2679.85</v>
      </c>
      <c r="H87">
        <v>270</v>
      </c>
      <c r="I87">
        <v>10</v>
      </c>
      <c r="J87">
        <v>109873.85</v>
      </c>
      <c r="K87">
        <f>SUM(Table3[Total_Revenue])</f>
        <v>30761529.489999965</v>
      </c>
      <c r="L87">
        <f t="shared" si="13"/>
        <v>13100952.609999996</v>
      </c>
      <c r="M87">
        <f t="shared" si="14"/>
        <v>0.4258875558921375</v>
      </c>
      <c r="N87" t="str">
        <f t="shared" si="15"/>
        <v>Yes</v>
      </c>
      <c r="O87">
        <f t="shared" si="16"/>
        <v>47894.68</v>
      </c>
      <c r="P87">
        <f t="shared" si="17"/>
        <v>5</v>
      </c>
      <c r="Q87">
        <f t="shared" si="18"/>
        <v>172.5</v>
      </c>
      <c r="R87" t="str">
        <f t="shared" si="19"/>
        <v>High</v>
      </c>
      <c r="S87" t="str">
        <f t="shared" si="20"/>
        <v>High</v>
      </c>
      <c r="T87" t="str">
        <f t="shared" si="21"/>
        <v>High</v>
      </c>
      <c r="U87" t="str">
        <f t="shared" si="22"/>
        <v>Yes</v>
      </c>
      <c r="V87" t="str">
        <f t="shared" si="23"/>
        <v>No</v>
      </c>
      <c r="W87" t="str">
        <f t="shared" si="24"/>
        <v>Yes</v>
      </c>
      <c r="X87" t="str">
        <f t="shared" si="25"/>
        <v>No</v>
      </c>
    </row>
    <row r="88" spans="1:24" x14ac:dyDescent="0.3">
      <c r="A88" t="s">
        <v>338</v>
      </c>
      <c r="B88">
        <v>35</v>
      </c>
      <c r="C88" t="s">
        <v>510</v>
      </c>
      <c r="D88">
        <v>59711</v>
      </c>
      <c r="E88" t="s">
        <v>515</v>
      </c>
      <c r="F88">
        <v>33</v>
      </c>
      <c r="G88">
        <v>3313.05</v>
      </c>
      <c r="H88">
        <v>189</v>
      </c>
      <c r="I88">
        <v>8</v>
      </c>
      <c r="J88">
        <v>109330.65</v>
      </c>
      <c r="K88">
        <f>SUM(Table3[Total_Revenue])</f>
        <v>30761529.489999965</v>
      </c>
      <c r="L88">
        <f t="shared" si="13"/>
        <v>13210283.259999996</v>
      </c>
      <c r="M88">
        <f t="shared" si="14"/>
        <v>0.42944169158735845</v>
      </c>
      <c r="N88" t="str">
        <f t="shared" si="15"/>
        <v>Yes</v>
      </c>
      <c r="O88">
        <f t="shared" si="16"/>
        <v>47894.68</v>
      </c>
      <c r="P88">
        <f t="shared" si="17"/>
        <v>5</v>
      </c>
      <c r="Q88">
        <f t="shared" si="18"/>
        <v>172.5</v>
      </c>
      <c r="R88" t="str">
        <f t="shared" si="19"/>
        <v>High</v>
      </c>
      <c r="S88" t="str">
        <f t="shared" si="20"/>
        <v>High</v>
      </c>
      <c r="T88" t="str">
        <f t="shared" si="21"/>
        <v>High</v>
      </c>
      <c r="U88" t="str">
        <f t="shared" si="22"/>
        <v>Yes</v>
      </c>
      <c r="V88" t="str">
        <f t="shared" si="23"/>
        <v>No</v>
      </c>
      <c r="W88" t="str">
        <f t="shared" si="24"/>
        <v>Yes</v>
      </c>
      <c r="X88" t="str">
        <f t="shared" si="25"/>
        <v>No</v>
      </c>
    </row>
    <row r="89" spans="1:24" x14ac:dyDescent="0.3">
      <c r="A89" t="s">
        <v>119</v>
      </c>
      <c r="B89">
        <v>41</v>
      </c>
      <c r="C89" t="s">
        <v>511</v>
      </c>
      <c r="D89">
        <v>131927</v>
      </c>
      <c r="E89" t="s">
        <v>512</v>
      </c>
      <c r="F89">
        <v>41</v>
      </c>
      <c r="G89">
        <v>2654.05</v>
      </c>
      <c r="H89">
        <v>349</v>
      </c>
      <c r="I89">
        <v>6</v>
      </c>
      <c r="J89">
        <v>108816.05</v>
      </c>
      <c r="K89">
        <f>SUM(Table3[Total_Revenue])</f>
        <v>30761529.489999965</v>
      </c>
      <c r="L89">
        <f t="shared" si="13"/>
        <v>13319099.309999997</v>
      </c>
      <c r="M89">
        <f t="shared" si="14"/>
        <v>0.43297909859552997</v>
      </c>
      <c r="N89" t="str">
        <f t="shared" si="15"/>
        <v>Yes</v>
      </c>
      <c r="O89">
        <f t="shared" si="16"/>
        <v>47894.68</v>
      </c>
      <c r="P89">
        <f t="shared" si="17"/>
        <v>5</v>
      </c>
      <c r="Q89">
        <f t="shared" si="18"/>
        <v>172.5</v>
      </c>
      <c r="R89" t="str">
        <f t="shared" si="19"/>
        <v>High</v>
      </c>
      <c r="S89" t="str">
        <f t="shared" si="20"/>
        <v>High</v>
      </c>
      <c r="T89" t="str">
        <f t="shared" si="21"/>
        <v>High</v>
      </c>
      <c r="U89" t="str">
        <f t="shared" si="22"/>
        <v>Yes</v>
      </c>
      <c r="V89" t="str">
        <f t="shared" si="23"/>
        <v>No</v>
      </c>
      <c r="W89" t="str">
        <f t="shared" si="24"/>
        <v>Yes</v>
      </c>
      <c r="X89" t="str">
        <f t="shared" si="25"/>
        <v>No</v>
      </c>
    </row>
    <row r="90" spans="1:24" x14ac:dyDescent="0.3">
      <c r="A90" t="s">
        <v>138</v>
      </c>
      <c r="B90">
        <v>65</v>
      </c>
      <c r="C90" t="s">
        <v>511</v>
      </c>
      <c r="D90">
        <v>58518</v>
      </c>
      <c r="E90" t="s">
        <v>515</v>
      </c>
      <c r="F90">
        <v>30</v>
      </c>
      <c r="G90">
        <v>3616.42</v>
      </c>
      <c r="H90">
        <v>182</v>
      </c>
      <c r="I90">
        <v>5</v>
      </c>
      <c r="J90">
        <v>108492.6</v>
      </c>
      <c r="K90">
        <f>SUM(Table3[Total_Revenue])</f>
        <v>30761529.489999965</v>
      </c>
      <c r="L90">
        <f t="shared" si="13"/>
        <v>13427591.909999996</v>
      </c>
      <c r="M90">
        <f t="shared" si="14"/>
        <v>0.43650599084694641</v>
      </c>
      <c r="N90" t="str">
        <f t="shared" si="15"/>
        <v>Yes</v>
      </c>
      <c r="O90">
        <f t="shared" si="16"/>
        <v>47894.68</v>
      </c>
      <c r="P90">
        <f t="shared" si="17"/>
        <v>5</v>
      </c>
      <c r="Q90">
        <f t="shared" si="18"/>
        <v>172.5</v>
      </c>
      <c r="R90" t="str">
        <f t="shared" si="19"/>
        <v>Medium</v>
      </c>
      <c r="S90" t="str">
        <f t="shared" si="20"/>
        <v>High</v>
      </c>
      <c r="T90" t="str">
        <f t="shared" si="21"/>
        <v>High</v>
      </c>
      <c r="U90" t="str">
        <f t="shared" si="22"/>
        <v>Yes</v>
      </c>
      <c r="V90" t="str">
        <f t="shared" si="23"/>
        <v>No</v>
      </c>
      <c r="W90" t="str">
        <f t="shared" si="24"/>
        <v>Yes</v>
      </c>
      <c r="X90" t="str">
        <f t="shared" si="25"/>
        <v>No</v>
      </c>
    </row>
    <row r="91" spans="1:24" x14ac:dyDescent="0.3">
      <c r="A91" t="s">
        <v>59</v>
      </c>
      <c r="B91">
        <v>42</v>
      </c>
      <c r="C91" t="s">
        <v>510</v>
      </c>
      <c r="D91">
        <v>31314</v>
      </c>
      <c r="E91" t="s">
        <v>512</v>
      </c>
      <c r="F91">
        <v>25</v>
      </c>
      <c r="G91">
        <v>4336.58</v>
      </c>
      <c r="H91">
        <v>60</v>
      </c>
      <c r="I91">
        <v>1</v>
      </c>
      <c r="J91">
        <v>108414.5</v>
      </c>
      <c r="K91">
        <f>SUM(Table3[Total_Revenue])</f>
        <v>30761529.489999965</v>
      </c>
      <c r="L91">
        <f t="shared" si="13"/>
        <v>13536006.409999996</v>
      </c>
      <c r="M91">
        <f t="shared" si="14"/>
        <v>0.44003034421290121</v>
      </c>
      <c r="N91" t="str">
        <f t="shared" si="15"/>
        <v>Yes</v>
      </c>
      <c r="O91">
        <f t="shared" si="16"/>
        <v>47894.68</v>
      </c>
      <c r="P91">
        <f t="shared" si="17"/>
        <v>5</v>
      </c>
      <c r="Q91">
        <f t="shared" si="18"/>
        <v>172.5</v>
      </c>
      <c r="R91" t="str">
        <f t="shared" si="19"/>
        <v>Low</v>
      </c>
      <c r="S91" t="str">
        <f t="shared" si="20"/>
        <v>Low</v>
      </c>
      <c r="T91" t="str">
        <f t="shared" si="21"/>
        <v>High</v>
      </c>
      <c r="U91" t="str">
        <f t="shared" si="22"/>
        <v>No</v>
      </c>
      <c r="V91" t="str">
        <f t="shared" si="23"/>
        <v>Yes</v>
      </c>
      <c r="W91" t="str">
        <f t="shared" si="24"/>
        <v>No</v>
      </c>
      <c r="X91" t="str">
        <f t="shared" si="25"/>
        <v>No</v>
      </c>
    </row>
    <row r="92" spans="1:24" x14ac:dyDescent="0.3">
      <c r="A92" t="s">
        <v>83</v>
      </c>
      <c r="B92">
        <v>46</v>
      </c>
      <c r="C92" t="s">
        <v>511</v>
      </c>
      <c r="D92">
        <v>30488</v>
      </c>
      <c r="E92" t="s">
        <v>515</v>
      </c>
      <c r="F92">
        <v>24</v>
      </c>
      <c r="G92">
        <v>4516.74</v>
      </c>
      <c r="H92">
        <v>251</v>
      </c>
      <c r="I92">
        <v>1</v>
      </c>
      <c r="J92">
        <v>108401.76</v>
      </c>
      <c r="K92">
        <f>SUM(Table3[Total_Revenue])</f>
        <v>30761529.489999965</v>
      </c>
      <c r="L92">
        <f t="shared" si="13"/>
        <v>13644408.169999996</v>
      </c>
      <c r="M92">
        <f t="shared" si="14"/>
        <v>0.44355428342519687</v>
      </c>
      <c r="N92" t="str">
        <f t="shared" si="15"/>
        <v>Yes</v>
      </c>
      <c r="O92">
        <f t="shared" si="16"/>
        <v>47894.68</v>
      </c>
      <c r="P92">
        <f t="shared" si="17"/>
        <v>5</v>
      </c>
      <c r="Q92">
        <f t="shared" si="18"/>
        <v>172.5</v>
      </c>
      <c r="R92" t="str">
        <f t="shared" si="19"/>
        <v>Low</v>
      </c>
      <c r="S92" t="str">
        <f t="shared" si="20"/>
        <v>High</v>
      </c>
      <c r="T92" t="str">
        <f t="shared" si="21"/>
        <v>High</v>
      </c>
      <c r="U92" t="str">
        <f t="shared" si="22"/>
        <v>No</v>
      </c>
      <c r="V92" t="str">
        <f t="shared" si="23"/>
        <v>Yes</v>
      </c>
      <c r="W92" t="str">
        <f t="shared" si="24"/>
        <v>No</v>
      </c>
      <c r="X92" t="str">
        <f t="shared" si="25"/>
        <v>No</v>
      </c>
    </row>
    <row r="93" spans="1:24" x14ac:dyDescent="0.3">
      <c r="A93" t="s">
        <v>494</v>
      </c>
      <c r="B93">
        <v>43</v>
      </c>
      <c r="C93" t="s">
        <v>510</v>
      </c>
      <c r="D93">
        <v>95060</v>
      </c>
      <c r="E93" t="s">
        <v>515</v>
      </c>
      <c r="F93">
        <v>29</v>
      </c>
      <c r="G93">
        <v>3734.39</v>
      </c>
      <c r="H93">
        <v>8</v>
      </c>
      <c r="I93">
        <v>3</v>
      </c>
      <c r="J93">
        <v>108297.31</v>
      </c>
      <c r="K93">
        <f>SUM(Table3[Total_Revenue])</f>
        <v>30761529.489999965</v>
      </c>
      <c r="L93">
        <f t="shared" si="13"/>
        <v>13752705.479999997</v>
      </c>
      <c r="M93">
        <f t="shared" si="14"/>
        <v>0.4470748271626338</v>
      </c>
      <c r="N93" t="str">
        <f t="shared" si="15"/>
        <v>Yes</v>
      </c>
      <c r="O93">
        <f t="shared" si="16"/>
        <v>47894.68</v>
      </c>
      <c r="P93">
        <f t="shared" si="17"/>
        <v>5</v>
      </c>
      <c r="Q93">
        <f t="shared" si="18"/>
        <v>172.5</v>
      </c>
      <c r="R93" t="str">
        <f t="shared" si="19"/>
        <v>Low</v>
      </c>
      <c r="S93" t="str">
        <f t="shared" si="20"/>
        <v>Low</v>
      </c>
      <c r="T93" t="str">
        <f t="shared" si="21"/>
        <v>High</v>
      </c>
      <c r="U93" t="str">
        <f t="shared" si="22"/>
        <v>No</v>
      </c>
      <c r="V93" t="str">
        <f t="shared" si="23"/>
        <v>Yes</v>
      </c>
      <c r="W93" t="str">
        <f t="shared" si="24"/>
        <v>No</v>
      </c>
      <c r="X93" t="str">
        <f t="shared" si="25"/>
        <v>No</v>
      </c>
    </row>
    <row r="94" spans="1:24" x14ac:dyDescent="0.3">
      <c r="A94" t="s">
        <v>17</v>
      </c>
      <c r="B94">
        <v>56</v>
      </c>
      <c r="C94" t="s">
        <v>511</v>
      </c>
      <c r="D94">
        <v>105392</v>
      </c>
      <c r="E94" t="s">
        <v>512</v>
      </c>
      <c r="F94">
        <v>39</v>
      </c>
      <c r="G94">
        <v>2745.54</v>
      </c>
      <c r="H94">
        <v>223</v>
      </c>
      <c r="I94">
        <v>4</v>
      </c>
      <c r="J94">
        <v>107076.06</v>
      </c>
      <c r="K94">
        <f>SUM(Table3[Total_Revenue])</f>
        <v>30761529.489999965</v>
      </c>
      <c r="L94">
        <f t="shared" si="13"/>
        <v>13859781.539999997</v>
      </c>
      <c r="M94">
        <f t="shared" si="14"/>
        <v>0.45055567033835459</v>
      </c>
      <c r="N94" t="str">
        <f t="shared" si="15"/>
        <v>Yes</v>
      </c>
      <c r="O94">
        <f t="shared" si="16"/>
        <v>47894.68</v>
      </c>
      <c r="P94">
        <f t="shared" si="17"/>
        <v>5</v>
      </c>
      <c r="Q94">
        <f t="shared" si="18"/>
        <v>172.5</v>
      </c>
      <c r="R94" t="str">
        <f t="shared" si="19"/>
        <v>Low</v>
      </c>
      <c r="S94" t="str">
        <f t="shared" si="20"/>
        <v>High</v>
      </c>
      <c r="T94" t="str">
        <f t="shared" si="21"/>
        <v>High</v>
      </c>
      <c r="U94" t="str">
        <f t="shared" si="22"/>
        <v>No</v>
      </c>
      <c r="V94" t="str">
        <f t="shared" si="23"/>
        <v>Yes</v>
      </c>
      <c r="W94" t="str">
        <f t="shared" si="24"/>
        <v>No</v>
      </c>
      <c r="X94" t="str">
        <f t="shared" si="25"/>
        <v>No</v>
      </c>
    </row>
    <row r="95" spans="1:24" x14ac:dyDescent="0.3">
      <c r="A95" t="s">
        <v>194</v>
      </c>
      <c r="B95">
        <v>61</v>
      </c>
      <c r="C95" t="s">
        <v>511</v>
      </c>
      <c r="D95">
        <v>92303</v>
      </c>
      <c r="E95" t="s">
        <v>515</v>
      </c>
      <c r="F95">
        <v>47</v>
      </c>
      <c r="G95">
        <v>2269.31</v>
      </c>
      <c r="H95">
        <v>87</v>
      </c>
      <c r="I95">
        <v>1</v>
      </c>
      <c r="J95">
        <v>106657.57</v>
      </c>
      <c r="K95">
        <f>SUM(Table3[Total_Revenue])</f>
        <v>30761529.489999965</v>
      </c>
      <c r="L95">
        <f t="shared" si="13"/>
        <v>13966439.109999998</v>
      </c>
      <c r="M95">
        <f t="shared" si="14"/>
        <v>0.45402290918402621</v>
      </c>
      <c r="N95" t="str">
        <f t="shared" si="15"/>
        <v>Yes</v>
      </c>
      <c r="O95">
        <f t="shared" si="16"/>
        <v>47894.68</v>
      </c>
      <c r="P95">
        <f t="shared" si="17"/>
        <v>5</v>
      </c>
      <c r="Q95">
        <f t="shared" si="18"/>
        <v>172.5</v>
      </c>
      <c r="R95" t="str">
        <f t="shared" si="19"/>
        <v>Low</v>
      </c>
      <c r="S95" t="str">
        <f t="shared" si="20"/>
        <v>Low</v>
      </c>
      <c r="T95" t="str">
        <f t="shared" si="21"/>
        <v>High</v>
      </c>
      <c r="U95" t="str">
        <f t="shared" si="22"/>
        <v>No</v>
      </c>
      <c r="V95" t="str">
        <f t="shared" si="23"/>
        <v>Yes</v>
      </c>
      <c r="W95" t="str">
        <f t="shared" si="24"/>
        <v>No</v>
      </c>
      <c r="X95" t="str">
        <f t="shared" si="25"/>
        <v>No</v>
      </c>
    </row>
    <row r="96" spans="1:24" x14ac:dyDescent="0.3">
      <c r="A96" t="s">
        <v>230</v>
      </c>
      <c r="B96">
        <v>56</v>
      </c>
      <c r="C96" t="s">
        <v>511</v>
      </c>
      <c r="D96">
        <v>20846</v>
      </c>
      <c r="E96" t="s">
        <v>513</v>
      </c>
      <c r="F96">
        <v>22</v>
      </c>
      <c r="G96">
        <v>4812.16</v>
      </c>
      <c r="H96">
        <v>98</v>
      </c>
      <c r="I96">
        <v>6</v>
      </c>
      <c r="J96">
        <v>105867.52</v>
      </c>
      <c r="K96">
        <f>SUM(Table3[Total_Revenue])</f>
        <v>30761529.489999965</v>
      </c>
      <c r="L96">
        <f t="shared" si="13"/>
        <v>14072306.629999997</v>
      </c>
      <c r="M96">
        <f t="shared" si="14"/>
        <v>0.45746446497644594</v>
      </c>
      <c r="N96" t="str">
        <f t="shared" si="15"/>
        <v>Yes</v>
      </c>
      <c r="O96">
        <f t="shared" si="16"/>
        <v>47894.68</v>
      </c>
      <c r="P96">
        <f t="shared" si="17"/>
        <v>5</v>
      </c>
      <c r="Q96">
        <f t="shared" si="18"/>
        <v>172.5</v>
      </c>
      <c r="R96" t="str">
        <f t="shared" si="19"/>
        <v>High</v>
      </c>
      <c r="S96" t="str">
        <f t="shared" si="20"/>
        <v>Low</v>
      </c>
      <c r="T96" t="str">
        <f t="shared" si="21"/>
        <v>High</v>
      </c>
      <c r="U96" t="str">
        <f t="shared" si="22"/>
        <v>Yes</v>
      </c>
      <c r="V96" t="str">
        <f t="shared" si="23"/>
        <v>No</v>
      </c>
      <c r="W96" t="str">
        <f t="shared" si="24"/>
        <v>Yes</v>
      </c>
      <c r="X96" t="str">
        <f t="shared" si="25"/>
        <v>No</v>
      </c>
    </row>
    <row r="97" spans="1:24" x14ac:dyDescent="0.3">
      <c r="A97" t="s">
        <v>333</v>
      </c>
      <c r="B97">
        <v>52</v>
      </c>
      <c r="C97" t="s">
        <v>511</v>
      </c>
      <c r="D97">
        <v>63303</v>
      </c>
      <c r="E97" t="s">
        <v>512</v>
      </c>
      <c r="F97">
        <v>33</v>
      </c>
      <c r="G97">
        <v>3202.63</v>
      </c>
      <c r="H97">
        <v>196</v>
      </c>
      <c r="I97">
        <v>8</v>
      </c>
      <c r="J97">
        <v>105686.79</v>
      </c>
      <c r="K97">
        <f>SUM(Table3[Total_Revenue])</f>
        <v>30761529.489999965</v>
      </c>
      <c r="L97">
        <f t="shared" si="13"/>
        <v>14177993.419999996</v>
      </c>
      <c r="M97">
        <f t="shared" si="14"/>
        <v>0.46090014557335368</v>
      </c>
      <c r="N97" t="str">
        <f t="shared" si="15"/>
        <v>Yes</v>
      </c>
      <c r="O97">
        <f t="shared" si="16"/>
        <v>47894.68</v>
      </c>
      <c r="P97">
        <f t="shared" si="17"/>
        <v>5</v>
      </c>
      <c r="Q97">
        <f t="shared" si="18"/>
        <v>172.5</v>
      </c>
      <c r="R97" t="str">
        <f t="shared" si="19"/>
        <v>High</v>
      </c>
      <c r="S97" t="str">
        <f t="shared" si="20"/>
        <v>High</v>
      </c>
      <c r="T97" t="str">
        <f t="shared" si="21"/>
        <v>High</v>
      </c>
      <c r="U97" t="str">
        <f t="shared" si="22"/>
        <v>Yes</v>
      </c>
      <c r="V97" t="str">
        <f t="shared" si="23"/>
        <v>No</v>
      </c>
      <c r="W97" t="str">
        <f t="shared" si="24"/>
        <v>Yes</v>
      </c>
      <c r="X97" t="str">
        <f t="shared" si="25"/>
        <v>No</v>
      </c>
    </row>
    <row r="98" spans="1:24" x14ac:dyDescent="0.3">
      <c r="A98" t="s">
        <v>352</v>
      </c>
      <c r="B98">
        <v>24</v>
      </c>
      <c r="C98" t="s">
        <v>510</v>
      </c>
      <c r="D98">
        <v>138721</v>
      </c>
      <c r="E98" t="s">
        <v>514</v>
      </c>
      <c r="F98">
        <v>49</v>
      </c>
      <c r="G98">
        <v>2151.0500000000002</v>
      </c>
      <c r="H98">
        <v>156</v>
      </c>
      <c r="I98">
        <v>8</v>
      </c>
      <c r="J98">
        <v>105401.45</v>
      </c>
      <c r="K98">
        <f>SUM(Table3[Total_Revenue])</f>
        <v>30761529.489999965</v>
      </c>
      <c r="L98">
        <f t="shared" si="13"/>
        <v>14283394.869999995</v>
      </c>
      <c r="M98">
        <f t="shared" si="14"/>
        <v>0.46432655029858894</v>
      </c>
      <c r="N98" t="str">
        <f t="shared" si="15"/>
        <v>Yes</v>
      </c>
      <c r="O98">
        <f t="shared" si="16"/>
        <v>47894.68</v>
      </c>
      <c r="P98">
        <f t="shared" si="17"/>
        <v>5</v>
      </c>
      <c r="Q98">
        <f t="shared" si="18"/>
        <v>172.5</v>
      </c>
      <c r="R98" t="str">
        <f t="shared" si="19"/>
        <v>High</v>
      </c>
      <c r="S98" t="str">
        <f t="shared" si="20"/>
        <v>Low</v>
      </c>
      <c r="T98" t="str">
        <f t="shared" si="21"/>
        <v>High</v>
      </c>
      <c r="U98" t="str">
        <f t="shared" si="22"/>
        <v>Yes</v>
      </c>
      <c r="V98" t="str">
        <f t="shared" si="23"/>
        <v>No</v>
      </c>
      <c r="W98" t="str">
        <f t="shared" si="24"/>
        <v>Yes</v>
      </c>
      <c r="X98" t="str">
        <f t="shared" si="25"/>
        <v>No</v>
      </c>
    </row>
    <row r="99" spans="1:24" x14ac:dyDescent="0.3">
      <c r="A99" t="s">
        <v>217</v>
      </c>
      <c r="B99">
        <v>59</v>
      </c>
      <c r="C99" t="s">
        <v>511</v>
      </c>
      <c r="D99">
        <v>48746</v>
      </c>
      <c r="E99" t="s">
        <v>513</v>
      </c>
      <c r="F99">
        <v>35</v>
      </c>
      <c r="G99">
        <v>3004.78</v>
      </c>
      <c r="H99">
        <v>98</v>
      </c>
      <c r="I99">
        <v>4</v>
      </c>
      <c r="J99">
        <v>105167.3</v>
      </c>
      <c r="K99">
        <f>SUM(Table3[Total_Revenue])</f>
        <v>30761529.489999965</v>
      </c>
      <c r="L99">
        <f t="shared" si="13"/>
        <v>14388562.169999996</v>
      </c>
      <c r="M99">
        <f t="shared" si="14"/>
        <v>0.46774534324365979</v>
      </c>
      <c r="N99" t="str">
        <f t="shared" si="15"/>
        <v>Yes</v>
      </c>
      <c r="O99">
        <f t="shared" si="16"/>
        <v>47894.68</v>
      </c>
      <c r="P99">
        <f t="shared" si="17"/>
        <v>5</v>
      </c>
      <c r="Q99">
        <f t="shared" si="18"/>
        <v>172.5</v>
      </c>
      <c r="R99" t="str">
        <f t="shared" si="19"/>
        <v>Low</v>
      </c>
      <c r="S99" t="str">
        <f t="shared" si="20"/>
        <v>Low</v>
      </c>
      <c r="T99" t="str">
        <f t="shared" si="21"/>
        <v>High</v>
      </c>
      <c r="U99" t="str">
        <f t="shared" si="22"/>
        <v>No</v>
      </c>
      <c r="V99" t="str">
        <f t="shared" si="23"/>
        <v>Yes</v>
      </c>
      <c r="W99" t="str">
        <f t="shared" si="24"/>
        <v>No</v>
      </c>
      <c r="X99" t="str">
        <f t="shared" si="25"/>
        <v>No</v>
      </c>
    </row>
    <row r="100" spans="1:24" x14ac:dyDescent="0.3">
      <c r="A100" t="s">
        <v>345</v>
      </c>
      <c r="B100">
        <v>21</v>
      </c>
      <c r="C100" t="s">
        <v>511</v>
      </c>
      <c r="D100">
        <v>38574</v>
      </c>
      <c r="E100" t="s">
        <v>512</v>
      </c>
      <c r="F100">
        <v>39</v>
      </c>
      <c r="G100">
        <v>2674.97</v>
      </c>
      <c r="H100">
        <v>213</v>
      </c>
      <c r="I100">
        <v>1</v>
      </c>
      <c r="J100">
        <v>104323.83</v>
      </c>
      <c r="K100">
        <f>SUM(Table3[Total_Revenue])</f>
        <v>30761529.489999965</v>
      </c>
      <c r="L100">
        <f t="shared" si="13"/>
        <v>14492885.999999996</v>
      </c>
      <c r="M100">
        <f t="shared" si="14"/>
        <v>0.47113671655082623</v>
      </c>
      <c r="N100" t="str">
        <f t="shared" si="15"/>
        <v>Yes</v>
      </c>
      <c r="O100">
        <f t="shared" si="16"/>
        <v>47894.68</v>
      </c>
      <c r="P100">
        <f t="shared" si="17"/>
        <v>5</v>
      </c>
      <c r="Q100">
        <f t="shared" si="18"/>
        <v>172.5</v>
      </c>
      <c r="R100" t="str">
        <f t="shared" si="19"/>
        <v>Low</v>
      </c>
      <c r="S100" t="str">
        <f t="shared" si="20"/>
        <v>High</v>
      </c>
      <c r="T100" t="str">
        <f t="shared" si="21"/>
        <v>High</v>
      </c>
      <c r="U100" t="str">
        <f t="shared" si="22"/>
        <v>No</v>
      </c>
      <c r="V100" t="str">
        <f t="shared" si="23"/>
        <v>Yes</v>
      </c>
      <c r="W100" t="str">
        <f t="shared" si="24"/>
        <v>No</v>
      </c>
      <c r="X100" t="str">
        <f t="shared" si="25"/>
        <v>No</v>
      </c>
    </row>
    <row r="101" spans="1:24" x14ac:dyDescent="0.3">
      <c r="A101" t="s">
        <v>415</v>
      </c>
      <c r="B101">
        <v>49</v>
      </c>
      <c r="C101" t="s">
        <v>511</v>
      </c>
      <c r="D101">
        <v>40609</v>
      </c>
      <c r="E101" t="s">
        <v>513</v>
      </c>
      <c r="F101">
        <v>49</v>
      </c>
      <c r="G101">
        <v>2119.44</v>
      </c>
      <c r="H101">
        <v>38</v>
      </c>
      <c r="I101">
        <v>2</v>
      </c>
      <c r="J101">
        <v>103852.56</v>
      </c>
      <c r="K101">
        <f>SUM(Table3[Total_Revenue])</f>
        <v>30761529.489999965</v>
      </c>
      <c r="L101">
        <f t="shared" si="13"/>
        <v>14596738.559999997</v>
      </c>
      <c r="M101">
        <f t="shared" si="14"/>
        <v>0.47451276974849838</v>
      </c>
      <c r="N101" t="str">
        <f t="shared" si="15"/>
        <v>Yes</v>
      </c>
      <c r="O101">
        <f t="shared" si="16"/>
        <v>47894.68</v>
      </c>
      <c r="P101">
        <f t="shared" si="17"/>
        <v>5</v>
      </c>
      <c r="Q101">
        <f t="shared" si="18"/>
        <v>172.5</v>
      </c>
      <c r="R101" t="str">
        <f t="shared" si="19"/>
        <v>Low</v>
      </c>
      <c r="S101" t="str">
        <f t="shared" si="20"/>
        <v>Low</v>
      </c>
      <c r="T101" t="str">
        <f t="shared" si="21"/>
        <v>High</v>
      </c>
      <c r="U101" t="str">
        <f t="shared" si="22"/>
        <v>No</v>
      </c>
      <c r="V101" t="str">
        <f t="shared" si="23"/>
        <v>Yes</v>
      </c>
      <c r="W101" t="str">
        <f t="shared" si="24"/>
        <v>No</v>
      </c>
      <c r="X101" t="str">
        <f t="shared" si="25"/>
        <v>No</v>
      </c>
    </row>
    <row r="102" spans="1:24" x14ac:dyDescent="0.3">
      <c r="A102" t="s">
        <v>64</v>
      </c>
      <c r="B102">
        <v>19</v>
      </c>
      <c r="C102" t="s">
        <v>511</v>
      </c>
      <c r="D102">
        <v>131195</v>
      </c>
      <c r="E102" t="s">
        <v>513</v>
      </c>
      <c r="F102">
        <v>34</v>
      </c>
      <c r="G102">
        <v>3042.99</v>
      </c>
      <c r="H102">
        <v>109</v>
      </c>
      <c r="I102">
        <v>8</v>
      </c>
      <c r="J102">
        <v>103461.66</v>
      </c>
      <c r="K102">
        <f>SUM(Table3[Total_Revenue])</f>
        <v>30761529.489999965</v>
      </c>
      <c r="L102">
        <f t="shared" si="13"/>
        <v>14700200.219999997</v>
      </c>
      <c r="M102">
        <f t="shared" si="14"/>
        <v>0.47787611551560771</v>
      </c>
      <c r="N102" t="str">
        <f t="shared" si="15"/>
        <v>Yes</v>
      </c>
      <c r="O102">
        <f t="shared" si="16"/>
        <v>47894.68</v>
      </c>
      <c r="P102">
        <f t="shared" si="17"/>
        <v>5</v>
      </c>
      <c r="Q102">
        <f t="shared" si="18"/>
        <v>172.5</v>
      </c>
      <c r="R102" t="str">
        <f t="shared" si="19"/>
        <v>High</v>
      </c>
      <c r="S102" t="str">
        <f t="shared" si="20"/>
        <v>Low</v>
      </c>
      <c r="T102" t="str">
        <f t="shared" si="21"/>
        <v>High</v>
      </c>
      <c r="U102" t="str">
        <f t="shared" si="22"/>
        <v>Yes</v>
      </c>
      <c r="V102" t="str">
        <f t="shared" si="23"/>
        <v>No</v>
      </c>
      <c r="W102" t="str">
        <f t="shared" si="24"/>
        <v>Yes</v>
      </c>
      <c r="X102" t="str">
        <f t="shared" si="25"/>
        <v>No</v>
      </c>
    </row>
    <row r="103" spans="1:24" x14ac:dyDescent="0.3">
      <c r="A103" t="s">
        <v>232</v>
      </c>
      <c r="B103">
        <v>20</v>
      </c>
      <c r="C103" t="s">
        <v>511</v>
      </c>
      <c r="D103">
        <v>99239</v>
      </c>
      <c r="E103" t="s">
        <v>515</v>
      </c>
      <c r="F103">
        <v>27</v>
      </c>
      <c r="G103">
        <v>3798.71</v>
      </c>
      <c r="H103">
        <v>125</v>
      </c>
      <c r="I103">
        <v>7</v>
      </c>
      <c r="J103">
        <v>102565.17</v>
      </c>
      <c r="K103">
        <f>SUM(Table3[Total_Revenue])</f>
        <v>30761529.489999965</v>
      </c>
      <c r="L103">
        <f t="shared" si="13"/>
        <v>14802765.389999997</v>
      </c>
      <c r="M103">
        <f t="shared" si="14"/>
        <v>0.4812103180634148</v>
      </c>
      <c r="N103" t="str">
        <f t="shared" si="15"/>
        <v>Yes</v>
      </c>
      <c r="O103">
        <f t="shared" si="16"/>
        <v>47894.68</v>
      </c>
      <c r="P103">
        <f t="shared" si="17"/>
        <v>5</v>
      </c>
      <c r="Q103">
        <f t="shared" si="18"/>
        <v>172.5</v>
      </c>
      <c r="R103" t="str">
        <f t="shared" si="19"/>
        <v>High</v>
      </c>
      <c r="S103" t="str">
        <f t="shared" si="20"/>
        <v>Low</v>
      </c>
      <c r="T103" t="str">
        <f t="shared" si="21"/>
        <v>High</v>
      </c>
      <c r="U103" t="str">
        <f t="shared" si="22"/>
        <v>Yes</v>
      </c>
      <c r="V103" t="str">
        <f t="shared" si="23"/>
        <v>No</v>
      </c>
      <c r="W103" t="str">
        <f t="shared" si="24"/>
        <v>Yes</v>
      </c>
      <c r="X103" t="str">
        <f t="shared" si="25"/>
        <v>No</v>
      </c>
    </row>
    <row r="104" spans="1:24" x14ac:dyDescent="0.3">
      <c r="A104" t="s">
        <v>453</v>
      </c>
      <c r="B104">
        <v>51</v>
      </c>
      <c r="C104" t="s">
        <v>511</v>
      </c>
      <c r="D104">
        <v>131939</v>
      </c>
      <c r="E104" t="s">
        <v>513</v>
      </c>
      <c r="F104">
        <v>30</v>
      </c>
      <c r="G104">
        <v>3412.31</v>
      </c>
      <c r="H104">
        <v>308</v>
      </c>
      <c r="I104">
        <v>4</v>
      </c>
      <c r="J104">
        <v>102369.3</v>
      </c>
      <c r="K104">
        <f>SUM(Table3[Total_Revenue])</f>
        <v>30761529.489999965</v>
      </c>
      <c r="L104">
        <f t="shared" si="13"/>
        <v>14905134.689999998</v>
      </c>
      <c r="M104">
        <f t="shared" si="14"/>
        <v>0.48453815324252314</v>
      </c>
      <c r="N104" t="str">
        <f t="shared" si="15"/>
        <v>Yes</v>
      </c>
      <c r="O104">
        <f t="shared" si="16"/>
        <v>47894.68</v>
      </c>
      <c r="P104">
        <f t="shared" si="17"/>
        <v>5</v>
      </c>
      <c r="Q104">
        <f t="shared" si="18"/>
        <v>172.5</v>
      </c>
      <c r="R104" t="str">
        <f t="shared" si="19"/>
        <v>Low</v>
      </c>
      <c r="S104" t="str">
        <f t="shared" si="20"/>
        <v>High</v>
      </c>
      <c r="T104" t="str">
        <f t="shared" si="21"/>
        <v>High</v>
      </c>
      <c r="U104" t="str">
        <f t="shared" si="22"/>
        <v>No</v>
      </c>
      <c r="V104" t="str">
        <f t="shared" si="23"/>
        <v>Yes</v>
      </c>
      <c r="W104" t="str">
        <f t="shared" si="24"/>
        <v>No</v>
      </c>
      <c r="X104" t="str">
        <f t="shared" si="25"/>
        <v>No</v>
      </c>
    </row>
    <row r="105" spans="1:24" x14ac:dyDescent="0.3">
      <c r="A105" t="s">
        <v>104</v>
      </c>
      <c r="B105">
        <v>43</v>
      </c>
      <c r="C105" t="s">
        <v>510</v>
      </c>
      <c r="D105">
        <v>20302</v>
      </c>
      <c r="E105" t="s">
        <v>514</v>
      </c>
      <c r="F105">
        <v>40</v>
      </c>
      <c r="G105">
        <v>2552.1799999999998</v>
      </c>
      <c r="H105">
        <v>138</v>
      </c>
      <c r="I105">
        <v>4</v>
      </c>
      <c r="J105">
        <v>102087.2</v>
      </c>
      <c r="K105">
        <f>SUM(Table3[Total_Revenue])</f>
        <v>30761529.489999965</v>
      </c>
      <c r="L105">
        <f t="shared" si="13"/>
        <v>15007221.889999997</v>
      </c>
      <c r="M105">
        <f t="shared" si="14"/>
        <v>0.48785681787632124</v>
      </c>
      <c r="N105" t="str">
        <f t="shared" si="15"/>
        <v>Yes</v>
      </c>
      <c r="O105">
        <f t="shared" si="16"/>
        <v>47894.68</v>
      </c>
      <c r="P105">
        <f t="shared" si="17"/>
        <v>5</v>
      </c>
      <c r="Q105">
        <f t="shared" si="18"/>
        <v>172.5</v>
      </c>
      <c r="R105" t="str">
        <f t="shared" si="19"/>
        <v>Low</v>
      </c>
      <c r="S105" t="str">
        <f t="shared" si="20"/>
        <v>Low</v>
      </c>
      <c r="T105" t="str">
        <f t="shared" si="21"/>
        <v>High</v>
      </c>
      <c r="U105" t="str">
        <f t="shared" si="22"/>
        <v>No</v>
      </c>
      <c r="V105" t="str">
        <f t="shared" si="23"/>
        <v>Yes</v>
      </c>
      <c r="W105" t="str">
        <f t="shared" si="24"/>
        <v>No</v>
      </c>
      <c r="X105" t="str">
        <f t="shared" si="25"/>
        <v>No</v>
      </c>
    </row>
    <row r="106" spans="1:24" x14ac:dyDescent="0.3">
      <c r="A106" t="s">
        <v>300</v>
      </c>
      <c r="B106">
        <v>43</v>
      </c>
      <c r="C106" t="s">
        <v>510</v>
      </c>
      <c r="D106">
        <v>85441</v>
      </c>
      <c r="E106" t="s">
        <v>513</v>
      </c>
      <c r="F106">
        <v>30</v>
      </c>
      <c r="G106">
        <v>3364.9</v>
      </c>
      <c r="H106">
        <v>220</v>
      </c>
      <c r="I106">
        <v>1</v>
      </c>
      <c r="J106">
        <v>100947</v>
      </c>
      <c r="K106">
        <f>SUM(Table3[Total_Revenue])</f>
        <v>30761529.489999965</v>
      </c>
      <c r="L106">
        <f t="shared" si="13"/>
        <v>15108168.889999997</v>
      </c>
      <c r="M106">
        <f t="shared" si="14"/>
        <v>0.49113841673286751</v>
      </c>
      <c r="N106" t="str">
        <f t="shared" si="15"/>
        <v>Yes</v>
      </c>
      <c r="O106">
        <f t="shared" si="16"/>
        <v>47894.68</v>
      </c>
      <c r="P106">
        <f t="shared" si="17"/>
        <v>5</v>
      </c>
      <c r="Q106">
        <f t="shared" si="18"/>
        <v>172.5</v>
      </c>
      <c r="R106" t="str">
        <f t="shared" si="19"/>
        <v>Low</v>
      </c>
      <c r="S106" t="str">
        <f t="shared" si="20"/>
        <v>High</v>
      </c>
      <c r="T106" t="str">
        <f t="shared" si="21"/>
        <v>High</v>
      </c>
      <c r="U106" t="str">
        <f t="shared" si="22"/>
        <v>No</v>
      </c>
      <c r="V106" t="str">
        <f t="shared" si="23"/>
        <v>Yes</v>
      </c>
      <c r="W106" t="str">
        <f t="shared" si="24"/>
        <v>No</v>
      </c>
      <c r="X106" t="str">
        <f t="shared" si="25"/>
        <v>No</v>
      </c>
    </row>
    <row r="107" spans="1:24" x14ac:dyDescent="0.3">
      <c r="A107" t="s">
        <v>298</v>
      </c>
      <c r="B107">
        <v>24</v>
      </c>
      <c r="C107" t="s">
        <v>510</v>
      </c>
      <c r="D107">
        <v>121834</v>
      </c>
      <c r="E107" t="s">
        <v>515</v>
      </c>
      <c r="F107">
        <v>21</v>
      </c>
      <c r="G107">
        <v>4768.71</v>
      </c>
      <c r="H107">
        <v>363</v>
      </c>
      <c r="I107">
        <v>3</v>
      </c>
      <c r="J107">
        <v>100142.91</v>
      </c>
      <c r="K107">
        <f>SUM(Table3[Total_Revenue])</f>
        <v>30761529.489999965</v>
      </c>
      <c r="L107">
        <f t="shared" si="13"/>
        <v>15208311.799999997</v>
      </c>
      <c r="M107">
        <f t="shared" si="14"/>
        <v>0.49439387612192537</v>
      </c>
      <c r="N107" t="str">
        <f t="shared" si="15"/>
        <v>Yes</v>
      </c>
      <c r="O107">
        <f t="shared" si="16"/>
        <v>47894.68</v>
      </c>
      <c r="P107">
        <f t="shared" si="17"/>
        <v>5</v>
      </c>
      <c r="Q107">
        <f t="shared" si="18"/>
        <v>172.5</v>
      </c>
      <c r="R107" t="str">
        <f t="shared" si="19"/>
        <v>Low</v>
      </c>
      <c r="S107" t="str">
        <f t="shared" si="20"/>
        <v>High</v>
      </c>
      <c r="T107" t="str">
        <f t="shared" si="21"/>
        <v>High</v>
      </c>
      <c r="U107" t="str">
        <f t="shared" si="22"/>
        <v>No</v>
      </c>
      <c r="V107" t="str">
        <f t="shared" si="23"/>
        <v>Yes</v>
      </c>
      <c r="W107" t="str">
        <f t="shared" si="24"/>
        <v>No</v>
      </c>
      <c r="X107" t="str">
        <f t="shared" si="25"/>
        <v>No</v>
      </c>
    </row>
    <row r="108" spans="1:24" x14ac:dyDescent="0.3">
      <c r="A108" t="s">
        <v>158</v>
      </c>
      <c r="B108">
        <v>56</v>
      </c>
      <c r="C108" t="s">
        <v>511</v>
      </c>
      <c r="D108">
        <v>102152</v>
      </c>
      <c r="E108" t="s">
        <v>514</v>
      </c>
      <c r="F108">
        <v>31</v>
      </c>
      <c r="G108">
        <v>3226.13</v>
      </c>
      <c r="H108">
        <v>182</v>
      </c>
      <c r="I108">
        <v>3</v>
      </c>
      <c r="J108">
        <v>100010.03</v>
      </c>
      <c r="K108">
        <f>SUM(Table3[Total_Revenue])</f>
        <v>30761529.489999965</v>
      </c>
      <c r="L108">
        <f t="shared" si="13"/>
        <v>15308321.829999996</v>
      </c>
      <c r="M108">
        <f t="shared" si="14"/>
        <v>0.49764501582980342</v>
      </c>
      <c r="N108" t="str">
        <f t="shared" si="15"/>
        <v>Yes</v>
      </c>
      <c r="O108">
        <f t="shared" si="16"/>
        <v>47894.68</v>
      </c>
      <c r="P108">
        <f t="shared" si="17"/>
        <v>5</v>
      </c>
      <c r="Q108">
        <f t="shared" si="18"/>
        <v>172.5</v>
      </c>
      <c r="R108" t="str">
        <f t="shared" si="19"/>
        <v>Low</v>
      </c>
      <c r="S108" t="str">
        <f t="shared" si="20"/>
        <v>High</v>
      </c>
      <c r="T108" t="str">
        <f t="shared" si="21"/>
        <v>High</v>
      </c>
      <c r="U108" t="str">
        <f t="shared" si="22"/>
        <v>No</v>
      </c>
      <c r="V108" t="str">
        <f t="shared" si="23"/>
        <v>Yes</v>
      </c>
      <c r="W108" t="str">
        <f t="shared" si="24"/>
        <v>No</v>
      </c>
      <c r="X108" t="str">
        <f t="shared" si="25"/>
        <v>No</v>
      </c>
    </row>
    <row r="109" spans="1:24" x14ac:dyDescent="0.3">
      <c r="A109" t="s">
        <v>388</v>
      </c>
      <c r="B109">
        <v>63</v>
      </c>
      <c r="C109" t="s">
        <v>510</v>
      </c>
      <c r="D109">
        <v>87779</v>
      </c>
      <c r="E109" t="s">
        <v>514</v>
      </c>
      <c r="F109">
        <v>25</v>
      </c>
      <c r="G109">
        <v>3927.74</v>
      </c>
      <c r="H109">
        <v>191</v>
      </c>
      <c r="I109">
        <v>7</v>
      </c>
      <c r="J109">
        <v>98193.5</v>
      </c>
      <c r="K109">
        <f>SUM(Table3[Total_Revenue])</f>
        <v>30761529.489999965</v>
      </c>
      <c r="L109">
        <f t="shared" si="13"/>
        <v>15406515.329999996</v>
      </c>
      <c r="M109">
        <f t="shared" si="14"/>
        <v>0.50083710353246202</v>
      </c>
      <c r="N109" t="str">
        <f t="shared" si="15"/>
        <v>Yes</v>
      </c>
      <c r="O109">
        <f t="shared" si="16"/>
        <v>47894.68</v>
      </c>
      <c r="P109">
        <f t="shared" si="17"/>
        <v>5</v>
      </c>
      <c r="Q109">
        <f t="shared" si="18"/>
        <v>172.5</v>
      </c>
      <c r="R109" t="str">
        <f t="shared" si="19"/>
        <v>High</v>
      </c>
      <c r="S109" t="str">
        <f t="shared" si="20"/>
        <v>High</v>
      </c>
      <c r="T109" t="str">
        <f t="shared" si="21"/>
        <v>High</v>
      </c>
      <c r="U109" t="str">
        <f t="shared" si="22"/>
        <v>Yes</v>
      </c>
      <c r="V109" t="str">
        <f t="shared" si="23"/>
        <v>No</v>
      </c>
      <c r="W109" t="str">
        <f t="shared" si="24"/>
        <v>Yes</v>
      </c>
      <c r="X109" t="str">
        <f t="shared" si="25"/>
        <v>No</v>
      </c>
    </row>
    <row r="110" spans="1:24" x14ac:dyDescent="0.3">
      <c r="A110" t="s">
        <v>181</v>
      </c>
      <c r="B110">
        <v>53</v>
      </c>
      <c r="C110" t="s">
        <v>511</v>
      </c>
      <c r="D110">
        <v>95703</v>
      </c>
      <c r="E110" t="s">
        <v>514</v>
      </c>
      <c r="F110">
        <v>36</v>
      </c>
      <c r="G110">
        <v>2723.25</v>
      </c>
      <c r="H110">
        <v>203</v>
      </c>
      <c r="I110">
        <v>2</v>
      </c>
      <c r="J110">
        <v>98037</v>
      </c>
      <c r="K110">
        <f>SUM(Table3[Total_Revenue])</f>
        <v>30761529.489999965</v>
      </c>
      <c r="L110">
        <f t="shared" si="13"/>
        <v>15504552.329999996</v>
      </c>
      <c r="M110">
        <f t="shared" si="14"/>
        <v>0.50402410371175643</v>
      </c>
      <c r="N110" t="str">
        <f t="shared" si="15"/>
        <v>Yes</v>
      </c>
      <c r="O110">
        <f t="shared" si="16"/>
        <v>47894.68</v>
      </c>
      <c r="P110">
        <f t="shared" si="17"/>
        <v>5</v>
      </c>
      <c r="Q110">
        <f t="shared" si="18"/>
        <v>172.5</v>
      </c>
      <c r="R110" t="str">
        <f t="shared" si="19"/>
        <v>Low</v>
      </c>
      <c r="S110" t="str">
        <f t="shared" si="20"/>
        <v>High</v>
      </c>
      <c r="T110" t="str">
        <f t="shared" si="21"/>
        <v>High</v>
      </c>
      <c r="U110" t="str">
        <f t="shared" si="22"/>
        <v>No</v>
      </c>
      <c r="V110" t="str">
        <f t="shared" si="23"/>
        <v>Yes</v>
      </c>
      <c r="W110" t="str">
        <f t="shared" si="24"/>
        <v>No</v>
      </c>
      <c r="X110" t="str">
        <f t="shared" si="25"/>
        <v>No</v>
      </c>
    </row>
    <row r="111" spans="1:24" x14ac:dyDescent="0.3">
      <c r="A111" t="s">
        <v>448</v>
      </c>
      <c r="B111">
        <v>29</v>
      </c>
      <c r="C111" t="s">
        <v>511</v>
      </c>
      <c r="D111">
        <v>47306</v>
      </c>
      <c r="E111" t="s">
        <v>515</v>
      </c>
      <c r="F111">
        <v>35</v>
      </c>
      <c r="G111">
        <v>2795.45</v>
      </c>
      <c r="H111">
        <v>164</v>
      </c>
      <c r="I111">
        <v>1</v>
      </c>
      <c r="J111">
        <v>97840.75</v>
      </c>
      <c r="K111">
        <f>SUM(Table3[Total_Revenue])</f>
        <v>30761529.489999965</v>
      </c>
      <c r="L111">
        <f t="shared" si="13"/>
        <v>15602393.079999996</v>
      </c>
      <c r="M111">
        <f t="shared" si="14"/>
        <v>0.50720472416926021</v>
      </c>
      <c r="N111" t="str">
        <f t="shared" si="15"/>
        <v>Yes</v>
      </c>
      <c r="O111">
        <f t="shared" si="16"/>
        <v>47894.68</v>
      </c>
      <c r="P111">
        <f t="shared" si="17"/>
        <v>5</v>
      </c>
      <c r="Q111">
        <f t="shared" si="18"/>
        <v>172.5</v>
      </c>
      <c r="R111" t="str">
        <f t="shared" si="19"/>
        <v>Low</v>
      </c>
      <c r="S111" t="str">
        <f t="shared" si="20"/>
        <v>Low</v>
      </c>
      <c r="T111" t="str">
        <f t="shared" si="21"/>
        <v>High</v>
      </c>
      <c r="U111" t="str">
        <f t="shared" si="22"/>
        <v>No</v>
      </c>
      <c r="V111" t="str">
        <f t="shared" si="23"/>
        <v>Yes</v>
      </c>
      <c r="W111" t="str">
        <f t="shared" si="24"/>
        <v>No</v>
      </c>
      <c r="X111" t="str">
        <f t="shared" si="25"/>
        <v>No</v>
      </c>
    </row>
    <row r="112" spans="1:24" x14ac:dyDescent="0.3">
      <c r="A112" t="s">
        <v>425</v>
      </c>
      <c r="B112">
        <v>57</v>
      </c>
      <c r="C112" t="s">
        <v>511</v>
      </c>
      <c r="D112">
        <v>97834</v>
      </c>
      <c r="E112" t="s">
        <v>513</v>
      </c>
      <c r="F112">
        <v>20</v>
      </c>
      <c r="G112">
        <v>4882.3599999999997</v>
      </c>
      <c r="H112">
        <v>281</v>
      </c>
      <c r="I112">
        <v>2</v>
      </c>
      <c r="J112">
        <v>97647.2</v>
      </c>
      <c r="K112">
        <f>SUM(Table3[Total_Revenue])</f>
        <v>30761529.489999965</v>
      </c>
      <c r="L112">
        <f t="shared" si="13"/>
        <v>15700040.279999996</v>
      </c>
      <c r="M112">
        <f t="shared" si="14"/>
        <v>0.51037905267694195</v>
      </c>
      <c r="N112" t="str">
        <f t="shared" si="15"/>
        <v>Yes</v>
      </c>
      <c r="O112">
        <f t="shared" si="16"/>
        <v>47894.68</v>
      </c>
      <c r="P112">
        <f t="shared" si="17"/>
        <v>5</v>
      </c>
      <c r="Q112">
        <f t="shared" si="18"/>
        <v>172.5</v>
      </c>
      <c r="R112" t="str">
        <f t="shared" si="19"/>
        <v>Low</v>
      </c>
      <c r="S112" t="str">
        <f t="shared" si="20"/>
        <v>High</v>
      </c>
      <c r="T112" t="str">
        <f t="shared" si="21"/>
        <v>High</v>
      </c>
      <c r="U112" t="str">
        <f t="shared" si="22"/>
        <v>No</v>
      </c>
      <c r="V112" t="str">
        <f t="shared" si="23"/>
        <v>Yes</v>
      </c>
      <c r="W112" t="str">
        <f t="shared" si="24"/>
        <v>No</v>
      </c>
      <c r="X112" t="str">
        <f t="shared" si="25"/>
        <v>No</v>
      </c>
    </row>
    <row r="113" spans="1:24" x14ac:dyDescent="0.3">
      <c r="A113" t="s">
        <v>421</v>
      </c>
      <c r="B113">
        <v>59</v>
      </c>
      <c r="C113" t="s">
        <v>510</v>
      </c>
      <c r="D113">
        <v>119097</v>
      </c>
      <c r="E113" t="s">
        <v>512</v>
      </c>
      <c r="F113">
        <v>37</v>
      </c>
      <c r="G113">
        <v>2621.82</v>
      </c>
      <c r="H113">
        <v>147</v>
      </c>
      <c r="I113">
        <v>7</v>
      </c>
      <c r="J113">
        <v>97007.34</v>
      </c>
      <c r="K113">
        <f>SUM(Table3[Total_Revenue])</f>
        <v>30761529.489999965</v>
      </c>
      <c r="L113">
        <f t="shared" si="13"/>
        <v>15797047.619999995</v>
      </c>
      <c r="M113">
        <f t="shared" si="14"/>
        <v>0.51353258052839468</v>
      </c>
      <c r="N113" t="str">
        <f t="shared" si="15"/>
        <v>Yes</v>
      </c>
      <c r="O113">
        <f t="shared" si="16"/>
        <v>47894.68</v>
      </c>
      <c r="P113">
        <f t="shared" si="17"/>
        <v>5</v>
      </c>
      <c r="Q113">
        <f t="shared" si="18"/>
        <v>172.5</v>
      </c>
      <c r="R113" t="str">
        <f t="shared" si="19"/>
        <v>High</v>
      </c>
      <c r="S113" t="str">
        <f t="shared" si="20"/>
        <v>Low</v>
      </c>
      <c r="T113" t="str">
        <f t="shared" si="21"/>
        <v>High</v>
      </c>
      <c r="U113" t="str">
        <f t="shared" si="22"/>
        <v>Yes</v>
      </c>
      <c r="V113" t="str">
        <f t="shared" si="23"/>
        <v>No</v>
      </c>
      <c r="W113" t="str">
        <f t="shared" si="24"/>
        <v>Yes</v>
      </c>
      <c r="X113" t="str">
        <f t="shared" si="25"/>
        <v>No</v>
      </c>
    </row>
    <row r="114" spans="1:24" x14ac:dyDescent="0.3">
      <c r="A114" t="s">
        <v>475</v>
      </c>
      <c r="B114">
        <v>21</v>
      </c>
      <c r="C114" t="s">
        <v>511</v>
      </c>
      <c r="D114">
        <v>96589</v>
      </c>
      <c r="E114" t="s">
        <v>514</v>
      </c>
      <c r="F114">
        <v>28</v>
      </c>
      <c r="G114">
        <v>3457.96</v>
      </c>
      <c r="H114">
        <v>62</v>
      </c>
      <c r="I114">
        <v>1</v>
      </c>
      <c r="J114">
        <v>96822.88</v>
      </c>
      <c r="K114">
        <f>SUM(Table3[Total_Revenue])</f>
        <v>30761529.489999965</v>
      </c>
      <c r="L114">
        <f t="shared" si="13"/>
        <v>15893870.499999996</v>
      </c>
      <c r="M114">
        <f t="shared" si="14"/>
        <v>0.51668011192898633</v>
      </c>
      <c r="N114" t="str">
        <f t="shared" si="15"/>
        <v>Yes</v>
      </c>
      <c r="O114">
        <f t="shared" si="16"/>
        <v>47894.68</v>
      </c>
      <c r="P114">
        <f t="shared" si="17"/>
        <v>5</v>
      </c>
      <c r="Q114">
        <f t="shared" si="18"/>
        <v>172.5</v>
      </c>
      <c r="R114" t="str">
        <f t="shared" si="19"/>
        <v>Low</v>
      </c>
      <c r="S114" t="str">
        <f t="shared" si="20"/>
        <v>Low</v>
      </c>
      <c r="T114" t="str">
        <f t="shared" si="21"/>
        <v>High</v>
      </c>
      <c r="U114" t="str">
        <f t="shared" si="22"/>
        <v>No</v>
      </c>
      <c r="V114" t="str">
        <f t="shared" si="23"/>
        <v>Yes</v>
      </c>
      <c r="W114" t="str">
        <f t="shared" si="24"/>
        <v>No</v>
      </c>
      <c r="X114" t="str">
        <f t="shared" si="25"/>
        <v>No</v>
      </c>
    </row>
    <row r="115" spans="1:24" x14ac:dyDescent="0.3">
      <c r="A115" t="s">
        <v>438</v>
      </c>
      <c r="B115">
        <v>30</v>
      </c>
      <c r="C115" t="s">
        <v>510</v>
      </c>
      <c r="D115">
        <v>95993</v>
      </c>
      <c r="E115" t="s">
        <v>515</v>
      </c>
      <c r="F115">
        <v>39</v>
      </c>
      <c r="G115">
        <v>2481.48</v>
      </c>
      <c r="H115">
        <v>327</v>
      </c>
      <c r="I115">
        <v>1</v>
      </c>
      <c r="J115">
        <v>96777.72</v>
      </c>
      <c r="K115">
        <f>SUM(Table3[Total_Revenue])</f>
        <v>30761529.489999965</v>
      </c>
      <c r="L115">
        <f t="shared" si="13"/>
        <v>15990648.219999997</v>
      </c>
      <c r="M115">
        <f t="shared" si="14"/>
        <v>0.51982617526213304</v>
      </c>
      <c r="N115" t="str">
        <f t="shared" si="15"/>
        <v>Yes</v>
      </c>
      <c r="O115">
        <f t="shared" si="16"/>
        <v>47894.68</v>
      </c>
      <c r="P115">
        <f t="shared" si="17"/>
        <v>5</v>
      </c>
      <c r="Q115">
        <f t="shared" si="18"/>
        <v>172.5</v>
      </c>
      <c r="R115" t="str">
        <f t="shared" si="19"/>
        <v>Low</v>
      </c>
      <c r="S115" t="str">
        <f t="shared" si="20"/>
        <v>High</v>
      </c>
      <c r="T115" t="str">
        <f t="shared" si="21"/>
        <v>High</v>
      </c>
      <c r="U115" t="str">
        <f t="shared" si="22"/>
        <v>No</v>
      </c>
      <c r="V115" t="str">
        <f t="shared" si="23"/>
        <v>Yes</v>
      </c>
      <c r="W115" t="str">
        <f t="shared" si="24"/>
        <v>No</v>
      </c>
      <c r="X115" t="str">
        <f t="shared" si="25"/>
        <v>No</v>
      </c>
    </row>
    <row r="116" spans="1:24" x14ac:dyDescent="0.3">
      <c r="A116" t="s">
        <v>142</v>
      </c>
      <c r="B116">
        <v>52</v>
      </c>
      <c r="C116" t="s">
        <v>511</v>
      </c>
      <c r="D116">
        <v>21062</v>
      </c>
      <c r="E116" t="s">
        <v>515</v>
      </c>
      <c r="F116">
        <v>36</v>
      </c>
      <c r="G116">
        <v>2660.16</v>
      </c>
      <c r="H116">
        <v>188</v>
      </c>
      <c r="I116">
        <v>7</v>
      </c>
      <c r="J116">
        <v>95765.759999999995</v>
      </c>
      <c r="K116">
        <f>SUM(Table3[Total_Revenue])</f>
        <v>30761529.489999965</v>
      </c>
      <c r="L116">
        <f t="shared" si="13"/>
        <v>16086413.979999997</v>
      </c>
      <c r="M116">
        <f t="shared" si="14"/>
        <v>0.52293934166145439</v>
      </c>
      <c r="N116" t="str">
        <f t="shared" si="15"/>
        <v>Yes</v>
      </c>
      <c r="O116">
        <f t="shared" si="16"/>
        <v>47894.68</v>
      </c>
      <c r="P116">
        <f t="shared" si="17"/>
        <v>5</v>
      </c>
      <c r="Q116">
        <f t="shared" si="18"/>
        <v>172.5</v>
      </c>
      <c r="R116" t="str">
        <f t="shared" si="19"/>
        <v>High</v>
      </c>
      <c r="S116" t="str">
        <f t="shared" si="20"/>
        <v>High</v>
      </c>
      <c r="T116" t="str">
        <f t="shared" si="21"/>
        <v>High</v>
      </c>
      <c r="U116" t="str">
        <f t="shared" si="22"/>
        <v>Yes</v>
      </c>
      <c r="V116" t="str">
        <f t="shared" si="23"/>
        <v>No</v>
      </c>
      <c r="W116" t="str">
        <f t="shared" si="24"/>
        <v>Yes</v>
      </c>
      <c r="X116" t="str">
        <f t="shared" si="25"/>
        <v>No</v>
      </c>
    </row>
    <row r="117" spans="1:24" x14ac:dyDescent="0.3">
      <c r="A117" t="s">
        <v>235</v>
      </c>
      <c r="B117">
        <v>66</v>
      </c>
      <c r="C117" t="s">
        <v>511</v>
      </c>
      <c r="D117">
        <v>108236</v>
      </c>
      <c r="E117" t="s">
        <v>515</v>
      </c>
      <c r="F117">
        <v>44</v>
      </c>
      <c r="G117">
        <v>2171.1799999999998</v>
      </c>
      <c r="H117">
        <v>76</v>
      </c>
      <c r="I117">
        <v>10</v>
      </c>
      <c r="J117">
        <v>95531.92</v>
      </c>
      <c r="K117">
        <f>SUM(Table3[Total_Revenue])</f>
        <v>30761529.489999965</v>
      </c>
      <c r="L117">
        <f t="shared" si="13"/>
        <v>16181945.899999997</v>
      </c>
      <c r="M117">
        <f t="shared" si="14"/>
        <v>0.52604490635813361</v>
      </c>
      <c r="N117" t="str">
        <f t="shared" si="15"/>
        <v>Yes</v>
      </c>
      <c r="O117">
        <f t="shared" si="16"/>
        <v>47894.68</v>
      </c>
      <c r="P117">
        <f t="shared" si="17"/>
        <v>5</v>
      </c>
      <c r="Q117">
        <f t="shared" si="18"/>
        <v>172.5</v>
      </c>
      <c r="R117" t="str">
        <f t="shared" si="19"/>
        <v>High</v>
      </c>
      <c r="S117" t="str">
        <f t="shared" si="20"/>
        <v>Low</v>
      </c>
      <c r="T117" t="str">
        <f t="shared" si="21"/>
        <v>High</v>
      </c>
      <c r="U117" t="str">
        <f t="shared" si="22"/>
        <v>Yes</v>
      </c>
      <c r="V117" t="str">
        <f t="shared" si="23"/>
        <v>No</v>
      </c>
      <c r="W117" t="str">
        <f t="shared" si="24"/>
        <v>Yes</v>
      </c>
      <c r="X117" t="str">
        <f t="shared" si="25"/>
        <v>No</v>
      </c>
    </row>
    <row r="118" spans="1:24" x14ac:dyDescent="0.3">
      <c r="A118" t="s">
        <v>121</v>
      </c>
      <c r="B118">
        <v>68</v>
      </c>
      <c r="C118" t="s">
        <v>511</v>
      </c>
      <c r="D118">
        <v>25126</v>
      </c>
      <c r="E118" t="s">
        <v>514</v>
      </c>
      <c r="F118">
        <v>43</v>
      </c>
      <c r="G118">
        <v>2211.2199999999998</v>
      </c>
      <c r="H118">
        <v>49</v>
      </c>
      <c r="I118">
        <v>9</v>
      </c>
      <c r="J118">
        <v>95082.46</v>
      </c>
      <c r="K118">
        <f>SUM(Table3[Total_Revenue])</f>
        <v>30761529.489999965</v>
      </c>
      <c r="L118">
        <f t="shared" si="13"/>
        <v>16277028.359999998</v>
      </c>
      <c r="M118">
        <f t="shared" si="14"/>
        <v>0.52913585994777579</v>
      </c>
      <c r="N118" t="str">
        <f t="shared" si="15"/>
        <v>Yes</v>
      </c>
      <c r="O118">
        <f t="shared" si="16"/>
        <v>47894.68</v>
      </c>
      <c r="P118">
        <f t="shared" si="17"/>
        <v>5</v>
      </c>
      <c r="Q118">
        <f t="shared" si="18"/>
        <v>172.5</v>
      </c>
      <c r="R118" t="str">
        <f t="shared" si="19"/>
        <v>High</v>
      </c>
      <c r="S118" t="str">
        <f t="shared" si="20"/>
        <v>Low</v>
      </c>
      <c r="T118" t="str">
        <f t="shared" si="21"/>
        <v>High</v>
      </c>
      <c r="U118" t="str">
        <f t="shared" si="22"/>
        <v>Yes</v>
      </c>
      <c r="V118" t="str">
        <f t="shared" si="23"/>
        <v>No</v>
      </c>
      <c r="W118" t="str">
        <f t="shared" si="24"/>
        <v>Yes</v>
      </c>
      <c r="X118" t="str">
        <f t="shared" si="25"/>
        <v>No</v>
      </c>
    </row>
    <row r="119" spans="1:24" x14ac:dyDescent="0.3">
      <c r="A119" t="s">
        <v>172</v>
      </c>
      <c r="B119">
        <v>21</v>
      </c>
      <c r="C119" t="s">
        <v>511</v>
      </c>
      <c r="D119">
        <v>101449</v>
      </c>
      <c r="E119" t="s">
        <v>512</v>
      </c>
      <c r="F119">
        <v>28</v>
      </c>
      <c r="G119">
        <v>3389.98</v>
      </c>
      <c r="H119">
        <v>363</v>
      </c>
      <c r="I119">
        <v>7</v>
      </c>
      <c r="J119">
        <v>94919.44</v>
      </c>
      <c r="K119">
        <f>SUM(Table3[Total_Revenue])</f>
        <v>30761529.489999965</v>
      </c>
      <c r="L119">
        <f t="shared" si="13"/>
        <v>16371947.799999997</v>
      </c>
      <c r="M119">
        <f t="shared" si="14"/>
        <v>0.53222151406100371</v>
      </c>
      <c r="N119" t="str">
        <f t="shared" si="15"/>
        <v>Yes</v>
      </c>
      <c r="O119">
        <f t="shared" si="16"/>
        <v>47894.68</v>
      </c>
      <c r="P119">
        <f t="shared" si="17"/>
        <v>5</v>
      </c>
      <c r="Q119">
        <f t="shared" si="18"/>
        <v>172.5</v>
      </c>
      <c r="R119" t="str">
        <f t="shared" si="19"/>
        <v>High</v>
      </c>
      <c r="S119" t="str">
        <f t="shared" si="20"/>
        <v>High</v>
      </c>
      <c r="T119" t="str">
        <f t="shared" si="21"/>
        <v>High</v>
      </c>
      <c r="U119" t="str">
        <f t="shared" si="22"/>
        <v>Yes</v>
      </c>
      <c r="V119" t="str">
        <f t="shared" si="23"/>
        <v>No</v>
      </c>
      <c r="W119" t="str">
        <f t="shared" si="24"/>
        <v>Yes</v>
      </c>
      <c r="X119" t="str">
        <f t="shared" si="25"/>
        <v>No</v>
      </c>
    </row>
    <row r="120" spans="1:24" x14ac:dyDescent="0.3">
      <c r="A120" t="s">
        <v>340</v>
      </c>
      <c r="B120">
        <v>52</v>
      </c>
      <c r="C120" t="s">
        <v>510</v>
      </c>
      <c r="D120">
        <v>93340</v>
      </c>
      <c r="E120" t="s">
        <v>512</v>
      </c>
      <c r="F120">
        <v>26</v>
      </c>
      <c r="G120">
        <v>3649.16</v>
      </c>
      <c r="H120">
        <v>134</v>
      </c>
      <c r="I120">
        <v>1</v>
      </c>
      <c r="J120">
        <v>94878.16</v>
      </c>
      <c r="K120">
        <f>SUM(Table3[Total_Revenue])</f>
        <v>30761529.489999965</v>
      </c>
      <c r="L120">
        <f t="shared" si="13"/>
        <v>16466825.959999997</v>
      </c>
      <c r="M120">
        <f t="shared" si="14"/>
        <v>0.53530582623835643</v>
      </c>
      <c r="N120" t="str">
        <f t="shared" si="15"/>
        <v>Yes</v>
      </c>
      <c r="O120">
        <f t="shared" si="16"/>
        <v>47894.68</v>
      </c>
      <c r="P120">
        <f t="shared" si="17"/>
        <v>5</v>
      </c>
      <c r="Q120">
        <f t="shared" si="18"/>
        <v>172.5</v>
      </c>
      <c r="R120" t="str">
        <f t="shared" si="19"/>
        <v>Low</v>
      </c>
      <c r="S120" t="str">
        <f t="shared" si="20"/>
        <v>Low</v>
      </c>
      <c r="T120" t="str">
        <f t="shared" si="21"/>
        <v>High</v>
      </c>
      <c r="U120" t="str">
        <f t="shared" si="22"/>
        <v>No</v>
      </c>
      <c r="V120" t="str">
        <f t="shared" si="23"/>
        <v>Yes</v>
      </c>
      <c r="W120" t="str">
        <f t="shared" si="24"/>
        <v>No</v>
      </c>
      <c r="X120" t="str">
        <f t="shared" si="25"/>
        <v>No</v>
      </c>
    </row>
    <row r="121" spans="1:24" x14ac:dyDescent="0.3">
      <c r="A121" t="s">
        <v>376</v>
      </c>
      <c r="B121">
        <v>50</v>
      </c>
      <c r="C121" t="s">
        <v>511</v>
      </c>
      <c r="D121">
        <v>20922</v>
      </c>
      <c r="E121" t="s">
        <v>515</v>
      </c>
      <c r="F121">
        <v>22</v>
      </c>
      <c r="G121">
        <v>4311.87</v>
      </c>
      <c r="H121">
        <v>272</v>
      </c>
      <c r="I121">
        <v>10</v>
      </c>
      <c r="J121">
        <v>94861.14</v>
      </c>
      <c r="K121">
        <f>SUM(Table3[Total_Revenue])</f>
        <v>30761529.489999965</v>
      </c>
      <c r="L121">
        <f t="shared" si="13"/>
        <v>16561687.099999998</v>
      </c>
      <c r="M121">
        <f t="shared" si="14"/>
        <v>0.53838958512722568</v>
      </c>
      <c r="N121" t="str">
        <f t="shared" si="15"/>
        <v>Yes</v>
      </c>
      <c r="O121">
        <f t="shared" si="16"/>
        <v>47894.68</v>
      </c>
      <c r="P121">
        <f t="shared" si="17"/>
        <v>5</v>
      </c>
      <c r="Q121">
        <f t="shared" si="18"/>
        <v>172.5</v>
      </c>
      <c r="R121" t="str">
        <f t="shared" si="19"/>
        <v>High</v>
      </c>
      <c r="S121" t="str">
        <f t="shared" si="20"/>
        <v>High</v>
      </c>
      <c r="T121" t="str">
        <f t="shared" si="21"/>
        <v>High</v>
      </c>
      <c r="U121" t="str">
        <f t="shared" si="22"/>
        <v>Yes</v>
      </c>
      <c r="V121" t="str">
        <f t="shared" si="23"/>
        <v>No</v>
      </c>
      <c r="W121" t="str">
        <f t="shared" si="24"/>
        <v>Yes</v>
      </c>
      <c r="X121" t="str">
        <f t="shared" si="25"/>
        <v>No</v>
      </c>
    </row>
    <row r="122" spans="1:24" x14ac:dyDescent="0.3">
      <c r="A122" t="s">
        <v>154</v>
      </c>
      <c r="B122">
        <v>18</v>
      </c>
      <c r="C122" t="s">
        <v>511</v>
      </c>
      <c r="D122">
        <v>26168</v>
      </c>
      <c r="E122" t="s">
        <v>513</v>
      </c>
      <c r="F122">
        <v>49</v>
      </c>
      <c r="G122">
        <v>1930.2</v>
      </c>
      <c r="H122">
        <v>220</v>
      </c>
      <c r="I122">
        <v>6</v>
      </c>
      <c r="J122">
        <v>94579.8</v>
      </c>
      <c r="K122">
        <f>SUM(Table3[Total_Revenue])</f>
        <v>30761529.489999965</v>
      </c>
      <c r="L122">
        <f t="shared" si="13"/>
        <v>16656266.899999999</v>
      </c>
      <c r="M122">
        <f t="shared" si="14"/>
        <v>0.54146419817696845</v>
      </c>
      <c r="N122" t="str">
        <f t="shared" si="15"/>
        <v>Yes</v>
      </c>
      <c r="O122">
        <f t="shared" si="16"/>
        <v>47894.68</v>
      </c>
      <c r="P122">
        <f t="shared" si="17"/>
        <v>5</v>
      </c>
      <c r="Q122">
        <f t="shared" si="18"/>
        <v>172.5</v>
      </c>
      <c r="R122" t="str">
        <f t="shared" si="19"/>
        <v>High</v>
      </c>
      <c r="S122" t="str">
        <f t="shared" si="20"/>
        <v>High</v>
      </c>
      <c r="T122" t="str">
        <f t="shared" si="21"/>
        <v>High</v>
      </c>
      <c r="U122" t="str">
        <f t="shared" si="22"/>
        <v>Yes</v>
      </c>
      <c r="V122" t="str">
        <f t="shared" si="23"/>
        <v>No</v>
      </c>
      <c r="W122" t="str">
        <f t="shared" si="24"/>
        <v>Yes</v>
      </c>
      <c r="X122" t="str">
        <f t="shared" si="25"/>
        <v>No</v>
      </c>
    </row>
    <row r="123" spans="1:24" x14ac:dyDescent="0.3">
      <c r="A123" t="s">
        <v>136</v>
      </c>
      <c r="B123">
        <v>51</v>
      </c>
      <c r="C123" t="s">
        <v>510</v>
      </c>
      <c r="D123">
        <v>66271</v>
      </c>
      <c r="E123" t="s">
        <v>515</v>
      </c>
      <c r="F123">
        <v>32</v>
      </c>
      <c r="G123">
        <v>2946.57</v>
      </c>
      <c r="H123">
        <v>326</v>
      </c>
      <c r="I123">
        <v>7</v>
      </c>
      <c r="J123">
        <v>94290.240000000005</v>
      </c>
      <c r="K123">
        <f>SUM(Table3[Total_Revenue])</f>
        <v>30761529.489999965</v>
      </c>
      <c r="L123">
        <f t="shared" si="13"/>
        <v>16750557.139999999</v>
      </c>
      <c r="M123">
        <f t="shared" si="14"/>
        <v>0.54452939817070256</v>
      </c>
      <c r="N123" t="str">
        <f t="shared" si="15"/>
        <v>Yes</v>
      </c>
      <c r="O123">
        <f t="shared" si="16"/>
        <v>47894.68</v>
      </c>
      <c r="P123">
        <f t="shared" si="17"/>
        <v>5</v>
      </c>
      <c r="Q123">
        <f t="shared" si="18"/>
        <v>172.5</v>
      </c>
      <c r="R123" t="str">
        <f t="shared" si="19"/>
        <v>High</v>
      </c>
      <c r="S123" t="str">
        <f t="shared" si="20"/>
        <v>High</v>
      </c>
      <c r="T123" t="str">
        <f t="shared" si="21"/>
        <v>High</v>
      </c>
      <c r="U123" t="str">
        <f t="shared" si="22"/>
        <v>Yes</v>
      </c>
      <c r="V123" t="str">
        <f t="shared" si="23"/>
        <v>No</v>
      </c>
      <c r="W123" t="str">
        <f t="shared" si="24"/>
        <v>Yes</v>
      </c>
      <c r="X123" t="str">
        <f t="shared" si="25"/>
        <v>No</v>
      </c>
    </row>
    <row r="124" spans="1:24" x14ac:dyDescent="0.3">
      <c r="A124" t="s">
        <v>102</v>
      </c>
      <c r="B124">
        <v>64</v>
      </c>
      <c r="C124" t="s">
        <v>511</v>
      </c>
      <c r="D124">
        <v>107731</v>
      </c>
      <c r="E124" t="s">
        <v>513</v>
      </c>
      <c r="F124">
        <v>29</v>
      </c>
      <c r="G124">
        <v>3248.62</v>
      </c>
      <c r="H124">
        <v>325</v>
      </c>
      <c r="I124">
        <v>3</v>
      </c>
      <c r="J124">
        <v>94209.98</v>
      </c>
      <c r="K124">
        <f>SUM(Table3[Total_Revenue])</f>
        <v>30761529.489999965</v>
      </c>
      <c r="L124">
        <f t="shared" si="13"/>
        <v>16844767.119999997</v>
      </c>
      <c r="M124">
        <f t="shared" si="14"/>
        <v>0.54759198906140005</v>
      </c>
      <c r="N124" t="str">
        <f t="shared" si="15"/>
        <v>Yes</v>
      </c>
      <c r="O124">
        <f t="shared" si="16"/>
        <v>47894.68</v>
      </c>
      <c r="P124">
        <f t="shared" si="17"/>
        <v>5</v>
      </c>
      <c r="Q124">
        <f t="shared" si="18"/>
        <v>172.5</v>
      </c>
      <c r="R124" t="str">
        <f t="shared" si="19"/>
        <v>Low</v>
      </c>
      <c r="S124" t="str">
        <f t="shared" si="20"/>
        <v>High</v>
      </c>
      <c r="T124" t="str">
        <f t="shared" si="21"/>
        <v>High</v>
      </c>
      <c r="U124" t="str">
        <f t="shared" si="22"/>
        <v>No</v>
      </c>
      <c r="V124" t="str">
        <f t="shared" si="23"/>
        <v>Yes</v>
      </c>
      <c r="W124" t="str">
        <f t="shared" si="24"/>
        <v>No</v>
      </c>
      <c r="X124" t="str">
        <f t="shared" si="25"/>
        <v>No</v>
      </c>
    </row>
    <row r="125" spans="1:24" x14ac:dyDescent="0.3">
      <c r="A125" t="s">
        <v>30</v>
      </c>
      <c r="B125">
        <v>61</v>
      </c>
      <c r="C125" t="s">
        <v>511</v>
      </c>
      <c r="D125">
        <v>56586</v>
      </c>
      <c r="E125" t="s">
        <v>514</v>
      </c>
      <c r="F125">
        <v>46</v>
      </c>
      <c r="G125">
        <v>2047.16</v>
      </c>
      <c r="H125">
        <v>293</v>
      </c>
      <c r="I125">
        <v>6</v>
      </c>
      <c r="J125">
        <v>94169.36</v>
      </c>
      <c r="K125">
        <f>SUM(Table3[Total_Revenue])</f>
        <v>30761529.489999965</v>
      </c>
      <c r="L125">
        <f t="shared" si="13"/>
        <v>16938936.479999997</v>
      </c>
      <c r="M125">
        <f t="shared" si="14"/>
        <v>0.5506532594715926</v>
      </c>
      <c r="N125" t="str">
        <f t="shared" si="15"/>
        <v>Yes</v>
      </c>
      <c r="O125">
        <f t="shared" si="16"/>
        <v>47894.68</v>
      </c>
      <c r="P125">
        <f t="shared" si="17"/>
        <v>5</v>
      </c>
      <c r="Q125">
        <f t="shared" si="18"/>
        <v>172.5</v>
      </c>
      <c r="R125" t="str">
        <f t="shared" si="19"/>
        <v>High</v>
      </c>
      <c r="S125" t="str">
        <f t="shared" si="20"/>
        <v>High</v>
      </c>
      <c r="T125" t="str">
        <f t="shared" si="21"/>
        <v>High</v>
      </c>
      <c r="U125" t="str">
        <f t="shared" si="22"/>
        <v>Yes</v>
      </c>
      <c r="V125" t="str">
        <f t="shared" si="23"/>
        <v>No</v>
      </c>
      <c r="W125" t="str">
        <f t="shared" si="24"/>
        <v>Yes</v>
      </c>
      <c r="X125" t="str">
        <f t="shared" si="25"/>
        <v>No</v>
      </c>
    </row>
    <row r="126" spans="1:24" x14ac:dyDescent="0.3">
      <c r="A126" t="s">
        <v>105</v>
      </c>
      <c r="B126">
        <v>42</v>
      </c>
      <c r="C126" t="s">
        <v>511</v>
      </c>
      <c r="D126">
        <v>102558</v>
      </c>
      <c r="E126" t="s">
        <v>512</v>
      </c>
      <c r="F126">
        <v>34</v>
      </c>
      <c r="G126">
        <v>2757.58</v>
      </c>
      <c r="H126">
        <v>50</v>
      </c>
      <c r="I126">
        <v>1</v>
      </c>
      <c r="J126">
        <v>93757.72</v>
      </c>
      <c r="K126">
        <f>SUM(Table3[Total_Revenue])</f>
        <v>30761529.489999965</v>
      </c>
      <c r="L126">
        <f t="shared" si="13"/>
        <v>17032694.199999996</v>
      </c>
      <c r="M126">
        <f t="shared" si="14"/>
        <v>0.55370114823247085</v>
      </c>
      <c r="N126" t="str">
        <f t="shared" si="15"/>
        <v>Yes</v>
      </c>
      <c r="O126">
        <f t="shared" si="16"/>
        <v>47894.68</v>
      </c>
      <c r="P126">
        <f t="shared" si="17"/>
        <v>5</v>
      </c>
      <c r="Q126">
        <f t="shared" si="18"/>
        <v>172.5</v>
      </c>
      <c r="R126" t="str">
        <f t="shared" si="19"/>
        <v>Low</v>
      </c>
      <c r="S126" t="str">
        <f t="shared" si="20"/>
        <v>Low</v>
      </c>
      <c r="T126" t="str">
        <f t="shared" si="21"/>
        <v>High</v>
      </c>
      <c r="U126" t="str">
        <f t="shared" si="22"/>
        <v>No</v>
      </c>
      <c r="V126" t="str">
        <f t="shared" si="23"/>
        <v>Yes</v>
      </c>
      <c r="W126" t="str">
        <f t="shared" si="24"/>
        <v>No</v>
      </c>
      <c r="X126" t="str">
        <f t="shared" si="25"/>
        <v>No</v>
      </c>
    </row>
    <row r="127" spans="1:24" x14ac:dyDescent="0.3">
      <c r="A127" t="s">
        <v>478</v>
      </c>
      <c r="B127">
        <v>49</v>
      </c>
      <c r="C127" t="s">
        <v>511</v>
      </c>
      <c r="D127">
        <v>121721</v>
      </c>
      <c r="E127" t="s">
        <v>515</v>
      </c>
      <c r="F127">
        <v>37</v>
      </c>
      <c r="G127">
        <v>2493.13</v>
      </c>
      <c r="H127">
        <v>35</v>
      </c>
      <c r="I127">
        <v>4</v>
      </c>
      <c r="J127">
        <v>92245.81</v>
      </c>
      <c r="K127">
        <f>SUM(Table3[Total_Revenue])</f>
        <v>30761529.489999965</v>
      </c>
      <c r="L127">
        <f t="shared" si="13"/>
        <v>17124940.009999994</v>
      </c>
      <c r="M127">
        <f t="shared" si="14"/>
        <v>0.55669988761667433</v>
      </c>
      <c r="N127" t="str">
        <f t="shared" si="15"/>
        <v>Yes</v>
      </c>
      <c r="O127">
        <f t="shared" si="16"/>
        <v>47894.68</v>
      </c>
      <c r="P127">
        <f t="shared" si="17"/>
        <v>5</v>
      </c>
      <c r="Q127">
        <f t="shared" si="18"/>
        <v>172.5</v>
      </c>
      <c r="R127" t="str">
        <f t="shared" si="19"/>
        <v>Low</v>
      </c>
      <c r="S127" t="str">
        <f t="shared" si="20"/>
        <v>Low</v>
      </c>
      <c r="T127" t="str">
        <f t="shared" si="21"/>
        <v>High</v>
      </c>
      <c r="U127" t="str">
        <f t="shared" si="22"/>
        <v>No</v>
      </c>
      <c r="V127" t="str">
        <f t="shared" si="23"/>
        <v>Yes</v>
      </c>
      <c r="W127" t="str">
        <f t="shared" si="24"/>
        <v>No</v>
      </c>
      <c r="X127" t="str">
        <f t="shared" si="25"/>
        <v>No</v>
      </c>
    </row>
    <row r="128" spans="1:24" x14ac:dyDescent="0.3">
      <c r="A128" t="s">
        <v>391</v>
      </c>
      <c r="B128">
        <v>58</v>
      </c>
      <c r="C128" t="s">
        <v>511</v>
      </c>
      <c r="D128">
        <v>52265</v>
      </c>
      <c r="E128" t="s">
        <v>514</v>
      </c>
      <c r="F128">
        <v>46</v>
      </c>
      <c r="G128">
        <v>1993.11</v>
      </c>
      <c r="H128">
        <v>303</v>
      </c>
      <c r="I128">
        <v>5</v>
      </c>
      <c r="J128">
        <v>91683.06</v>
      </c>
      <c r="K128">
        <f>SUM(Table3[Total_Revenue])</f>
        <v>30761529.489999965</v>
      </c>
      <c r="L128">
        <f t="shared" si="13"/>
        <v>17216623.069999993</v>
      </c>
      <c r="M128">
        <f t="shared" si="14"/>
        <v>0.55968033304705533</v>
      </c>
      <c r="N128" t="str">
        <f t="shared" si="15"/>
        <v>Yes</v>
      </c>
      <c r="O128">
        <f t="shared" si="16"/>
        <v>47894.68</v>
      </c>
      <c r="P128">
        <f t="shared" si="17"/>
        <v>5</v>
      </c>
      <c r="Q128">
        <f t="shared" si="18"/>
        <v>172.5</v>
      </c>
      <c r="R128" t="str">
        <f t="shared" si="19"/>
        <v>Medium</v>
      </c>
      <c r="S128" t="str">
        <f t="shared" si="20"/>
        <v>High</v>
      </c>
      <c r="T128" t="str">
        <f t="shared" si="21"/>
        <v>High</v>
      </c>
      <c r="U128" t="str">
        <f t="shared" si="22"/>
        <v>Yes</v>
      </c>
      <c r="V128" t="str">
        <f t="shared" si="23"/>
        <v>No</v>
      </c>
      <c r="W128" t="str">
        <f t="shared" si="24"/>
        <v>Yes</v>
      </c>
      <c r="X128" t="str">
        <f t="shared" si="25"/>
        <v>No</v>
      </c>
    </row>
    <row r="129" spans="1:24" x14ac:dyDescent="0.3">
      <c r="A129" t="s">
        <v>220</v>
      </c>
      <c r="B129">
        <v>32</v>
      </c>
      <c r="C129" t="s">
        <v>510</v>
      </c>
      <c r="D129">
        <v>127141</v>
      </c>
      <c r="E129" t="s">
        <v>513</v>
      </c>
      <c r="F129">
        <v>39</v>
      </c>
      <c r="G129">
        <v>2338.61</v>
      </c>
      <c r="H129">
        <v>65</v>
      </c>
      <c r="I129">
        <v>1</v>
      </c>
      <c r="J129">
        <v>91205.79</v>
      </c>
      <c r="K129">
        <f>SUM(Table3[Total_Revenue])</f>
        <v>30761529.489999965</v>
      </c>
      <c r="L129">
        <f t="shared" si="13"/>
        <v>17307828.859999992</v>
      </c>
      <c r="M129">
        <f t="shared" si="14"/>
        <v>0.56264526331912279</v>
      </c>
      <c r="N129" t="str">
        <f t="shared" si="15"/>
        <v>Yes</v>
      </c>
      <c r="O129">
        <f t="shared" si="16"/>
        <v>47894.68</v>
      </c>
      <c r="P129">
        <f t="shared" si="17"/>
        <v>5</v>
      </c>
      <c r="Q129">
        <f t="shared" si="18"/>
        <v>172.5</v>
      </c>
      <c r="R129" t="str">
        <f t="shared" si="19"/>
        <v>Low</v>
      </c>
      <c r="S129" t="str">
        <f t="shared" si="20"/>
        <v>Low</v>
      </c>
      <c r="T129" t="str">
        <f t="shared" si="21"/>
        <v>High</v>
      </c>
      <c r="U129" t="str">
        <f t="shared" si="22"/>
        <v>No</v>
      </c>
      <c r="V129" t="str">
        <f t="shared" si="23"/>
        <v>Yes</v>
      </c>
      <c r="W129" t="str">
        <f t="shared" si="24"/>
        <v>No</v>
      </c>
      <c r="X129" t="str">
        <f t="shared" si="25"/>
        <v>No</v>
      </c>
    </row>
    <row r="130" spans="1:24" x14ac:dyDescent="0.3">
      <c r="A130" t="s">
        <v>279</v>
      </c>
      <c r="B130">
        <v>49</v>
      </c>
      <c r="C130" t="s">
        <v>510</v>
      </c>
      <c r="D130">
        <v>39216</v>
      </c>
      <c r="E130" t="s">
        <v>515</v>
      </c>
      <c r="F130">
        <v>25</v>
      </c>
      <c r="G130">
        <v>3634.97</v>
      </c>
      <c r="H130">
        <v>74</v>
      </c>
      <c r="I130">
        <v>8</v>
      </c>
      <c r="J130">
        <v>90874.25</v>
      </c>
      <c r="K130">
        <f>SUM(Table3[Total_Revenue])</f>
        <v>30761529.489999965</v>
      </c>
      <c r="L130">
        <f t="shared" ref="L130:L193" si="26">L129+J130</f>
        <v>17398703.109999992</v>
      </c>
      <c r="M130">
        <f t="shared" ref="M130:M193" si="27">L130/$K$2</f>
        <v>0.56559941584361095</v>
      </c>
      <c r="N130" t="str">
        <f t="shared" ref="N130:N193" si="28">IF(M130&lt;=0.75,"Yes","No")</f>
        <v>Yes</v>
      </c>
      <c r="O130">
        <f t="shared" ref="O130:O193" si="29">MEDIAN($J$2:$J$501)</f>
        <v>47894.68</v>
      </c>
      <c r="P130">
        <f t="shared" ref="P130:P193" si="30">MEDIAN($I$2:$I$501)</f>
        <v>5</v>
      </c>
      <c r="Q130">
        <f t="shared" ref="Q130:Q193" si="31">MEDIAN($H$2:$H$501)</f>
        <v>172.5</v>
      </c>
      <c r="R130" t="str">
        <f t="shared" ref="R130:R193" si="32">IF(I130&gt;$P$2,"High",IF(I130&lt;$P$2,"Low","Medium"))</f>
        <v>High</v>
      </c>
      <c r="S130" t="str">
        <f t="shared" ref="S130:S193" si="33">IF(H130&gt;$Q$2,"High",IF(H130&lt;$Q$2,"Low","Medium"))</f>
        <v>Low</v>
      </c>
      <c r="T130" t="str">
        <f t="shared" ref="T130:T193" si="34">IF(J130&gt;$O$2,"High",IF(J130&lt;$O$2,"Low","Medium"))</f>
        <v>High</v>
      </c>
      <c r="U130" t="str">
        <f t="shared" ref="U130:U193" si="35">IF(AND(J130&lt;$O$1, I130&gt;=$P$2),"Yes","No")</f>
        <v>Yes</v>
      </c>
      <c r="V130" t="str">
        <f t="shared" ref="V130:V193" si="36">IF(AND(J130&gt;=$O$2, I130&lt;$P$2),"Yes","No")</f>
        <v>No</v>
      </c>
      <c r="W130" t="str">
        <f t="shared" ref="W130:W193" si="37">IF(AND(J130&gt;=$O$2, I130&gt;=$P$2),"Yes","No")</f>
        <v>Yes</v>
      </c>
      <c r="X130" t="str">
        <f t="shared" ref="X130:X193" si="38">IF(AND(J130&lt;$O$2, I130&lt;$P$2),"Yes","No")</f>
        <v>No</v>
      </c>
    </row>
    <row r="131" spans="1:24" x14ac:dyDescent="0.3">
      <c r="A131" t="s">
        <v>159</v>
      </c>
      <c r="B131">
        <v>44</v>
      </c>
      <c r="C131" t="s">
        <v>511</v>
      </c>
      <c r="D131">
        <v>145036</v>
      </c>
      <c r="E131" t="s">
        <v>512</v>
      </c>
      <c r="F131">
        <v>34</v>
      </c>
      <c r="G131">
        <v>2624.36</v>
      </c>
      <c r="H131">
        <v>106</v>
      </c>
      <c r="I131">
        <v>9</v>
      </c>
      <c r="J131">
        <v>89228.24</v>
      </c>
      <c r="K131">
        <f>SUM(Table3[Total_Revenue])</f>
        <v>30761529.489999965</v>
      </c>
      <c r="L131">
        <f t="shared" si="26"/>
        <v>17487931.34999999</v>
      </c>
      <c r="M131">
        <f t="shared" si="27"/>
        <v>0.5685000596503178</v>
      </c>
      <c r="N131" t="str">
        <f t="shared" si="28"/>
        <v>Yes</v>
      </c>
      <c r="O131">
        <f t="shared" si="29"/>
        <v>47894.68</v>
      </c>
      <c r="P131">
        <f t="shared" si="30"/>
        <v>5</v>
      </c>
      <c r="Q131">
        <f t="shared" si="31"/>
        <v>172.5</v>
      </c>
      <c r="R131" t="str">
        <f t="shared" si="32"/>
        <v>High</v>
      </c>
      <c r="S131" t="str">
        <f t="shared" si="33"/>
        <v>Low</v>
      </c>
      <c r="T131" t="str">
        <f t="shared" si="34"/>
        <v>High</v>
      </c>
      <c r="U131" t="str">
        <f t="shared" si="35"/>
        <v>Yes</v>
      </c>
      <c r="V131" t="str">
        <f t="shared" si="36"/>
        <v>No</v>
      </c>
      <c r="W131" t="str">
        <f t="shared" si="37"/>
        <v>Yes</v>
      </c>
      <c r="X131" t="str">
        <f t="shared" si="38"/>
        <v>No</v>
      </c>
    </row>
    <row r="132" spans="1:24" x14ac:dyDescent="0.3">
      <c r="A132" t="s">
        <v>398</v>
      </c>
      <c r="B132">
        <v>52</v>
      </c>
      <c r="C132" t="s">
        <v>510</v>
      </c>
      <c r="D132">
        <v>75180</v>
      </c>
      <c r="E132" t="s">
        <v>512</v>
      </c>
      <c r="F132">
        <v>18</v>
      </c>
      <c r="G132">
        <v>4942.55</v>
      </c>
      <c r="H132">
        <v>117</v>
      </c>
      <c r="I132">
        <v>3</v>
      </c>
      <c r="J132">
        <v>88965.9</v>
      </c>
      <c r="K132">
        <f>SUM(Table3[Total_Revenue])</f>
        <v>30761529.489999965</v>
      </c>
      <c r="L132">
        <f t="shared" si="26"/>
        <v>17576897.249999989</v>
      </c>
      <c r="M132">
        <f t="shared" si="27"/>
        <v>0.57139217527249186</v>
      </c>
      <c r="N132" t="str">
        <f t="shared" si="28"/>
        <v>Yes</v>
      </c>
      <c r="O132">
        <f t="shared" si="29"/>
        <v>47894.68</v>
      </c>
      <c r="P132">
        <f t="shared" si="30"/>
        <v>5</v>
      </c>
      <c r="Q132">
        <f t="shared" si="31"/>
        <v>172.5</v>
      </c>
      <c r="R132" t="str">
        <f t="shared" si="32"/>
        <v>Low</v>
      </c>
      <c r="S132" t="str">
        <f t="shared" si="33"/>
        <v>Low</v>
      </c>
      <c r="T132" t="str">
        <f t="shared" si="34"/>
        <v>High</v>
      </c>
      <c r="U132" t="str">
        <f t="shared" si="35"/>
        <v>No</v>
      </c>
      <c r="V132" t="str">
        <f t="shared" si="36"/>
        <v>Yes</v>
      </c>
      <c r="W132" t="str">
        <f t="shared" si="37"/>
        <v>No</v>
      </c>
      <c r="X132" t="str">
        <f t="shared" si="38"/>
        <v>No</v>
      </c>
    </row>
    <row r="133" spans="1:24" x14ac:dyDescent="0.3">
      <c r="A133" t="s">
        <v>432</v>
      </c>
      <c r="B133">
        <v>59</v>
      </c>
      <c r="C133" t="s">
        <v>511</v>
      </c>
      <c r="D133">
        <v>75318</v>
      </c>
      <c r="E133" t="s">
        <v>512</v>
      </c>
      <c r="F133">
        <v>36</v>
      </c>
      <c r="G133">
        <v>2443.4499999999998</v>
      </c>
      <c r="H133">
        <v>83</v>
      </c>
      <c r="I133">
        <v>1</v>
      </c>
      <c r="J133">
        <v>87964.2</v>
      </c>
      <c r="K133">
        <f>SUM(Table3[Total_Revenue])</f>
        <v>30761529.489999965</v>
      </c>
      <c r="L133">
        <f t="shared" si="26"/>
        <v>17664861.449999988</v>
      </c>
      <c r="M133">
        <f t="shared" si="27"/>
        <v>0.5742517274943213</v>
      </c>
      <c r="N133" t="str">
        <f t="shared" si="28"/>
        <v>Yes</v>
      </c>
      <c r="O133">
        <f t="shared" si="29"/>
        <v>47894.68</v>
      </c>
      <c r="P133">
        <f t="shared" si="30"/>
        <v>5</v>
      </c>
      <c r="Q133">
        <f t="shared" si="31"/>
        <v>172.5</v>
      </c>
      <c r="R133" t="str">
        <f t="shared" si="32"/>
        <v>Low</v>
      </c>
      <c r="S133" t="str">
        <f t="shared" si="33"/>
        <v>Low</v>
      </c>
      <c r="T133" t="str">
        <f t="shared" si="34"/>
        <v>High</v>
      </c>
      <c r="U133" t="str">
        <f t="shared" si="35"/>
        <v>No</v>
      </c>
      <c r="V133" t="str">
        <f t="shared" si="36"/>
        <v>Yes</v>
      </c>
      <c r="W133" t="str">
        <f t="shared" si="37"/>
        <v>No</v>
      </c>
      <c r="X133" t="str">
        <f t="shared" si="38"/>
        <v>No</v>
      </c>
    </row>
    <row r="134" spans="1:24" x14ac:dyDescent="0.3">
      <c r="A134" t="s">
        <v>341</v>
      </c>
      <c r="B134">
        <v>33</v>
      </c>
      <c r="C134" t="s">
        <v>510</v>
      </c>
      <c r="D134">
        <v>92101</v>
      </c>
      <c r="E134" t="s">
        <v>513</v>
      </c>
      <c r="F134">
        <v>22</v>
      </c>
      <c r="G134">
        <v>3981.26</v>
      </c>
      <c r="H134">
        <v>211</v>
      </c>
      <c r="I134">
        <v>8</v>
      </c>
      <c r="J134">
        <v>87587.72</v>
      </c>
      <c r="K134">
        <f>SUM(Table3[Total_Revenue])</f>
        <v>30761529.489999965</v>
      </c>
      <c r="L134">
        <f t="shared" si="26"/>
        <v>17752449.169999987</v>
      </c>
      <c r="M134">
        <f t="shared" si="27"/>
        <v>0.57709904105291632</v>
      </c>
      <c r="N134" t="str">
        <f t="shared" si="28"/>
        <v>Yes</v>
      </c>
      <c r="O134">
        <f t="shared" si="29"/>
        <v>47894.68</v>
      </c>
      <c r="P134">
        <f t="shared" si="30"/>
        <v>5</v>
      </c>
      <c r="Q134">
        <f t="shared" si="31"/>
        <v>172.5</v>
      </c>
      <c r="R134" t="str">
        <f t="shared" si="32"/>
        <v>High</v>
      </c>
      <c r="S134" t="str">
        <f t="shared" si="33"/>
        <v>High</v>
      </c>
      <c r="T134" t="str">
        <f t="shared" si="34"/>
        <v>High</v>
      </c>
      <c r="U134" t="str">
        <f t="shared" si="35"/>
        <v>Yes</v>
      </c>
      <c r="V134" t="str">
        <f t="shared" si="36"/>
        <v>No</v>
      </c>
      <c r="W134" t="str">
        <f t="shared" si="37"/>
        <v>Yes</v>
      </c>
      <c r="X134" t="str">
        <f t="shared" si="38"/>
        <v>No</v>
      </c>
    </row>
    <row r="135" spans="1:24" x14ac:dyDescent="0.3">
      <c r="A135" t="s">
        <v>417</v>
      </c>
      <c r="B135">
        <v>39</v>
      </c>
      <c r="C135" t="s">
        <v>511</v>
      </c>
      <c r="D135">
        <v>36478</v>
      </c>
      <c r="E135" t="s">
        <v>514</v>
      </c>
      <c r="F135">
        <v>21</v>
      </c>
      <c r="G135">
        <v>4169.62</v>
      </c>
      <c r="H135">
        <v>100</v>
      </c>
      <c r="I135">
        <v>5</v>
      </c>
      <c r="J135">
        <v>87562.02</v>
      </c>
      <c r="K135">
        <f>SUM(Table3[Total_Revenue])</f>
        <v>30761529.489999965</v>
      </c>
      <c r="L135">
        <f t="shared" si="26"/>
        <v>17840011.189999986</v>
      </c>
      <c r="M135">
        <f t="shared" si="27"/>
        <v>0.57994551915240311</v>
      </c>
      <c r="N135" t="str">
        <f t="shared" si="28"/>
        <v>Yes</v>
      </c>
      <c r="O135">
        <f t="shared" si="29"/>
        <v>47894.68</v>
      </c>
      <c r="P135">
        <f t="shared" si="30"/>
        <v>5</v>
      </c>
      <c r="Q135">
        <f t="shared" si="31"/>
        <v>172.5</v>
      </c>
      <c r="R135" t="str">
        <f t="shared" si="32"/>
        <v>Medium</v>
      </c>
      <c r="S135" t="str">
        <f t="shared" si="33"/>
        <v>Low</v>
      </c>
      <c r="T135" t="str">
        <f t="shared" si="34"/>
        <v>High</v>
      </c>
      <c r="U135" t="str">
        <f t="shared" si="35"/>
        <v>Yes</v>
      </c>
      <c r="V135" t="str">
        <f t="shared" si="36"/>
        <v>No</v>
      </c>
      <c r="W135" t="str">
        <f t="shared" si="37"/>
        <v>Yes</v>
      </c>
      <c r="X135" t="str">
        <f t="shared" si="38"/>
        <v>No</v>
      </c>
    </row>
    <row r="136" spans="1:24" x14ac:dyDescent="0.3">
      <c r="A136" t="s">
        <v>436</v>
      </c>
      <c r="B136">
        <v>42</v>
      </c>
      <c r="C136" t="s">
        <v>511</v>
      </c>
      <c r="D136">
        <v>110474</v>
      </c>
      <c r="E136" t="s">
        <v>515</v>
      </c>
      <c r="F136">
        <v>36</v>
      </c>
      <c r="G136">
        <v>2424.25</v>
      </c>
      <c r="H136">
        <v>284</v>
      </c>
      <c r="I136">
        <v>6</v>
      </c>
      <c r="J136">
        <v>87273</v>
      </c>
      <c r="K136">
        <f>SUM(Table3[Total_Revenue])</f>
        <v>30761529.489999965</v>
      </c>
      <c r="L136">
        <f t="shared" si="26"/>
        <v>17927284.189999986</v>
      </c>
      <c r="M136">
        <f t="shared" si="27"/>
        <v>0.58278260175027485</v>
      </c>
      <c r="N136" t="str">
        <f t="shared" si="28"/>
        <v>Yes</v>
      </c>
      <c r="O136">
        <f t="shared" si="29"/>
        <v>47894.68</v>
      </c>
      <c r="P136">
        <f t="shared" si="30"/>
        <v>5</v>
      </c>
      <c r="Q136">
        <f t="shared" si="31"/>
        <v>172.5</v>
      </c>
      <c r="R136" t="str">
        <f t="shared" si="32"/>
        <v>High</v>
      </c>
      <c r="S136" t="str">
        <f t="shared" si="33"/>
        <v>High</v>
      </c>
      <c r="T136" t="str">
        <f t="shared" si="34"/>
        <v>High</v>
      </c>
      <c r="U136" t="str">
        <f t="shared" si="35"/>
        <v>Yes</v>
      </c>
      <c r="V136" t="str">
        <f t="shared" si="36"/>
        <v>No</v>
      </c>
      <c r="W136" t="str">
        <f t="shared" si="37"/>
        <v>Yes</v>
      </c>
      <c r="X136" t="str">
        <f t="shared" si="38"/>
        <v>No</v>
      </c>
    </row>
    <row r="137" spans="1:24" x14ac:dyDescent="0.3">
      <c r="A137" t="s">
        <v>179</v>
      </c>
      <c r="B137">
        <v>60</v>
      </c>
      <c r="C137" t="s">
        <v>511</v>
      </c>
      <c r="D137">
        <v>54529</v>
      </c>
      <c r="E137" t="s">
        <v>515</v>
      </c>
      <c r="F137">
        <v>20</v>
      </c>
      <c r="G137">
        <v>4359.37</v>
      </c>
      <c r="H137">
        <v>160</v>
      </c>
      <c r="I137">
        <v>3</v>
      </c>
      <c r="J137">
        <v>87187.4</v>
      </c>
      <c r="K137">
        <f>SUM(Table3[Total_Revenue])</f>
        <v>30761529.489999965</v>
      </c>
      <c r="L137">
        <f t="shared" si="26"/>
        <v>18014471.589999985</v>
      </c>
      <c r="M137">
        <f t="shared" si="27"/>
        <v>0.58561690165166125</v>
      </c>
      <c r="N137" t="str">
        <f t="shared" si="28"/>
        <v>Yes</v>
      </c>
      <c r="O137">
        <f t="shared" si="29"/>
        <v>47894.68</v>
      </c>
      <c r="P137">
        <f t="shared" si="30"/>
        <v>5</v>
      </c>
      <c r="Q137">
        <f t="shared" si="31"/>
        <v>172.5</v>
      </c>
      <c r="R137" t="str">
        <f t="shared" si="32"/>
        <v>Low</v>
      </c>
      <c r="S137" t="str">
        <f t="shared" si="33"/>
        <v>Low</v>
      </c>
      <c r="T137" t="str">
        <f t="shared" si="34"/>
        <v>High</v>
      </c>
      <c r="U137" t="str">
        <f t="shared" si="35"/>
        <v>No</v>
      </c>
      <c r="V137" t="str">
        <f t="shared" si="36"/>
        <v>Yes</v>
      </c>
      <c r="W137" t="str">
        <f t="shared" si="37"/>
        <v>No</v>
      </c>
      <c r="X137" t="str">
        <f t="shared" si="38"/>
        <v>No</v>
      </c>
    </row>
    <row r="138" spans="1:24" x14ac:dyDescent="0.3">
      <c r="A138" t="s">
        <v>165</v>
      </c>
      <c r="B138">
        <v>30</v>
      </c>
      <c r="C138" t="s">
        <v>511</v>
      </c>
      <c r="D138">
        <v>99905</v>
      </c>
      <c r="E138" t="s">
        <v>515</v>
      </c>
      <c r="F138">
        <v>19</v>
      </c>
      <c r="G138">
        <v>4538.87</v>
      </c>
      <c r="H138">
        <v>301</v>
      </c>
      <c r="I138">
        <v>4</v>
      </c>
      <c r="J138">
        <v>86238.53</v>
      </c>
      <c r="K138">
        <f>SUM(Table3[Total_Revenue])</f>
        <v>30761529.489999965</v>
      </c>
      <c r="L138">
        <f t="shared" si="26"/>
        <v>18100710.119999986</v>
      </c>
      <c r="M138">
        <f t="shared" si="27"/>
        <v>0.58842035555755479</v>
      </c>
      <c r="N138" t="str">
        <f t="shared" si="28"/>
        <v>Yes</v>
      </c>
      <c r="O138">
        <f t="shared" si="29"/>
        <v>47894.68</v>
      </c>
      <c r="P138">
        <f t="shared" si="30"/>
        <v>5</v>
      </c>
      <c r="Q138">
        <f t="shared" si="31"/>
        <v>172.5</v>
      </c>
      <c r="R138" t="str">
        <f t="shared" si="32"/>
        <v>Low</v>
      </c>
      <c r="S138" t="str">
        <f t="shared" si="33"/>
        <v>High</v>
      </c>
      <c r="T138" t="str">
        <f t="shared" si="34"/>
        <v>High</v>
      </c>
      <c r="U138" t="str">
        <f t="shared" si="35"/>
        <v>No</v>
      </c>
      <c r="V138" t="str">
        <f t="shared" si="36"/>
        <v>Yes</v>
      </c>
      <c r="W138" t="str">
        <f t="shared" si="37"/>
        <v>No</v>
      </c>
      <c r="X138" t="str">
        <f t="shared" si="38"/>
        <v>No</v>
      </c>
    </row>
    <row r="139" spans="1:24" x14ac:dyDescent="0.3">
      <c r="A139" t="s">
        <v>28</v>
      </c>
      <c r="B139">
        <v>19</v>
      </c>
      <c r="C139" t="s">
        <v>510</v>
      </c>
      <c r="D139">
        <v>89836</v>
      </c>
      <c r="E139" t="s">
        <v>514</v>
      </c>
      <c r="F139">
        <v>29</v>
      </c>
      <c r="G139">
        <v>2964.89</v>
      </c>
      <c r="H139">
        <v>227</v>
      </c>
      <c r="I139">
        <v>7</v>
      </c>
      <c r="J139">
        <v>85981.81</v>
      </c>
      <c r="K139">
        <f>SUM(Table3[Total_Revenue])</f>
        <v>30761529.489999965</v>
      </c>
      <c r="L139">
        <f t="shared" si="26"/>
        <v>18186691.929999985</v>
      </c>
      <c r="M139">
        <f t="shared" si="27"/>
        <v>0.59121546397464275</v>
      </c>
      <c r="N139" t="str">
        <f t="shared" si="28"/>
        <v>Yes</v>
      </c>
      <c r="O139">
        <f t="shared" si="29"/>
        <v>47894.68</v>
      </c>
      <c r="P139">
        <f t="shared" si="30"/>
        <v>5</v>
      </c>
      <c r="Q139">
        <f t="shared" si="31"/>
        <v>172.5</v>
      </c>
      <c r="R139" t="str">
        <f t="shared" si="32"/>
        <v>High</v>
      </c>
      <c r="S139" t="str">
        <f t="shared" si="33"/>
        <v>High</v>
      </c>
      <c r="T139" t="str">
        <f t="shared" si="34"/>
        <v>High</v>
      </c>
      <c r="U139" t="str">
        <f t="shared" si="35"/>
        <v>Yes</v>
      </c>
      <c r="V139" t="str">
        <f t="shared" si="36"/>
        <v>No</v>
      </c>
      <c r="W139" t="str">
        <f t="shared" si="37"/>
        <v>Yes</v>
      </c>
      <c r="X139" t="str">
        <f t="shared" si="38"/>
        <v>No</v>
      </c>
    </row>
    <row r="140" spans="1:24" x14ac:dyDescent="0.3">
      <c r="A140" t="s">
        <v>89</v>
      </c>
      <c r="B140">
        <v>53</v>
      </c>
      <c r="C140" t="s">
        <v>511</v>
      </c>
      <c r="D140">
        <v>75645</v>
      </c>
      <c r="E140" t="s">
        <v>512</v>
      </c>
      <c r="F140">
        <v>26</v>
      </c>
      <c r="G140">
        <v>3280.47</v>
      </c>
      <c r="H140">
        <v>198</v>
      </c>
      <c r="I140">
        <v>9</v>
      </c>
      <c r="J140">
        <v>85292.22</v>
      </c>
      <c r="K140">
        <f>SUM(Table3[Total_Revenue])</f>
        <v>30761529.489999965</v>
      </c>
      <c r="L140">
        <f t="shared" si="26"/>
        <v>18271984.149999984</v>
      </c>
      <c r="M140">
        <f t="shared" si="27"/>
        <v>0.59398815510587299</v>
      </c>
      <c r="N140" t="str">
        <f t="shared" si="28"/>
        <v>Yes</v>
      </c>
      <c r="O140">
        <f t="shared" si="29"/>
        <v>47894.68</v>
      </c>
      <c r="P140">
        <f t="shared" si="30"/>
        <v>5</v>
      </c>
      <c r="Q140">
        <f t="shared" si="31"/>
        <v>172.5</v>
      </c>
      <c r="R140" t="str">
        <f t="shared" si="32"/>
        <v>High</v>
      </c>
      <c r="S140" t="str">
        <f t="shared" si="33"/>
        <v>High</v>
      </c>
      <c r="T140" t="str">
        <f t="shared" si="34"/>
        <v>High</v>
      </c>
      <c r="U140" t="str">
        <f t="shared" si="35"/>
        <v>Yes</v>
      </c>
      <c r="V140" t="str">
        <f t="shared" si="36"/>
        <v>No</v>
      </c>
      <c r="W140" t="str">
        <f t="shared" si="37"/>
        <v>Yes</v>
      </c>
      <c r="X140" t="str">
        <f t="shared" si="38"/>
        <v>No</v>
      </c>
    </row>
    <row r="141" spans="1:24" x14ac:dyDescent="0.3">
      <c r="A141" t="s">
        <v>481</v>
      </c>
      <c r="B141">
        <v>64</v>
      </c>
      <c r="C141" t="s">
        <v>510</v>
      </c>
      <c r="D141">
        <v>144085</v>
      </c>
      <c r="E141" t="s">
        <v>513</v>
      </c>
      <c r="F141">
        <v>40</v>
      </c>
      <c r="G141">
        <v>2125.7399999999998</v>
      </c>
      <c r="H141">
        <v>50</v>
      </c>
      <c r="I141">
        <v>5</v>
      </c>
      <c r="J141">
        <v>85029.6</v>
      </c>
      <c r="K141">
        <f>SUM(Table3[Total_Revenue])</f>
        <v>30761529.489999965</v>
      </c>
      <c r="L141">
        <f t="shared" si="26"/>
        <v>18357013.749999985</v>
      </c>
      <c r="M141">
        <f t="shared" si="27"/>
        <v>0.5967523089502923</v>
      </c>
      <c r="N141" t="str">
        <f t="shared" si="28"/>
        <v>Yes</v>
      </c>
      <c r="O141">
        <f t="shared" si="29"/>
        <v>47894.68</v>
      </c>
      <c r="P141">
        <f t="shared" si="30"/>
        <v>5</v>
      </c>
      <c r="Q141">
        <f t="shared" si="31"/>
        <v>172.5</v>
      </c>
      <c r="R141" t="str">
        <f t="shared" si="32"/>
        <v>Medium</v>
      </c>
      <c r="S141" t="str">
        <f t="shared" si="33"/>
        <v>Low</v>
      </c>
      <c r="T141" t="str">
        <f t="shared" si="34"/>
        <v>High</v>
      </c>
      <c r="U141" t="str">
        <f t="shared" si="35"/>
        <v>Yes</v>
      </c>
      <c r="V141" t="str">
        <f t="shared" si="36"/>
        <v>No</v>
      </c>
      <c r="W141" t="str">
        <f t="shared" si="37"/>
        <v>Yes</v>
      </c>
      <c r="X141" t="str">
        <f t="shared" si="38"/>
        <v>No</v>
      </c>
    </row>
    <row r="142" spans="1:24" x14ac:dyDescent="0.3">
      <c r="A142" t="s">
        <v>14</v>
      </c>
      <c r="B142">
        <v>60</v>
      </c>
      <c r="C142" t="s">
        <v>511</v>
      </c>
      <c r="D142">
        <v>59811</v>
      </c>
      <c r="E142" t="s">
        <v>512</v>
      </c>
      <c r="F142">
        <v>37</v>
      </c>
      <c r="G142">
        <v>2287.21</v>
      </c>
      <c r="H142">
        <v>20</v>
      </c>
      <c r="I142">
        <v>4</v>
      </c>
      <c r="J142">
        <v>84626.77</v>
      </c>
      <c r="K142">
        <f>SUM(Table3[Total_Revenue])</f>
        <v>30761529.489999965</v>
      </c>
      <c r="L142">
        <f t="shared" si="26"/>
        <v>18441640.519999985</v>
      </c>
      <c r="M142">
        <f t="shared" si="27"/>
        <v>0.59950336754208011</v>
      </c>
      <c r="N142" t="str">
        <f t="shared" si="28"/>
        <v>Yes</v>
      </c>
      <c r="O142">
        <f t="shared" si="29"/>
        <v>47894.68</v>
      </c>
      <c r="P142">
        <f t="shared" si="30"/>
        <v>5</v>
      </c>
      <c r="Q142">
        <f t="shared" si="31"/>
        <v>172.5</v>
      </c>
      <c r="R142" t="str">
        <f t="shared" si="32"/>
        <v>Low</v>
      </c>
      <c r="S142" t="str">
        <f t="shared" si="33"/>
        <v>Low</v>
      </c>
      <c r="T142" t="str">
        <f t="shared" si="34"/>
        <v>High</v>
      </c>
      <c r="U142" t="str">
        <f t="shared" si="35"/>
        <v>No</v>
      </c>
      <c r="V142" t="str">
        <f t="shared" si="36"/>
        <v>Yes</v>
      </c>
      <c r="W142" t="str">
        <f t="shared" si="37"/>
        <v>No</v>
      </c>
      <c r="X142" t="str">
        <f t="shared" si="38"/>
        <v>No</v>
      </c>
    </row>
    <row r="143" spans="1:24" x14ac:dyDescent="0.3">
      <c r="A143" t="s">
        <v>416</v>
      </c>
      <c r="B143">
        <v>64</v>
      </c>
      <c r="C143" t="s">
        <v>511</v>
      </c>
      <c r="D143">
        <v>134074</v>
      </c>
      <c r="E143" t="s">
        <v>512</v>
      </c>
      <c r="F143">
        <v>30</v>
      </c>
      <c r="G143">
        <v>2793.12</v>
      </c>
      <c r="H143">
        <v>142</v>
      </c>
      <c r="I143">
        <v>4</v>
      </c>
      <c r="J143">
        <v>83793.600000000006</v>
      </c>
      <c r="K143">
        <f>SUM(Table3[Total_Revenue])</f>
        <v>30761529.489999965</v>
      </c>
      <c r="L143">
        <f t="shared" si="26"/>
        <v>18525434.119999986</v>
      </c>
      <c r="M143">
        <f t="shared" si="27"/>
        <v>0.60222734132976974</v>
      </c>
      <c r="N143" t="str">
        <f t="shared" si="28"/>
        <v>Yes</v>
      </c>
      <c r="O143">
        <f t="shared" si="29"/>
        <v>47894.68</v>
      </c>
      <c r="P143">
        <f t="shared" si="30"/>
        <v>5</v>
      </c>
      <c r="Q143">
        <f t="shared" si="31"/>
        <v>172.5</v>
      </c>
      <c r="R143" t="str">
        <f t="shared" si="32"/>
        <v>Low</v>
      </c>
      <c r="S143" t="str">
        <f t="shared" si="33"/>
        <v>Low</v>
      </c>
      <c r="T143" t="str">
        <f t="shared" si="34"/>
        <v>High</v>
      </c>
      <c r="U143" t="str">
        <f t="shared" si="35"/>
        <v>No</v>
      </c>
      <c r="V143" t="str">
        <f t="shared" si="36"/>
        <v>Yes</v>
      </c>
      <c r="W143" t="str">
        <f t="shared" si="37"/>
        <v>No</v>
      </c>
      <c r="X143" t="str">
        <f t="shared" si="38"/>
        <v>No</v>
      </c>
    </row>
    <row r="144" spans="1:24" x14ac:dyDescent="0.3">
      <c r="A144" t="s">
        <v>392</v>
      </c>
      <c r="B144">
        <v>54</v>
      </c>
      <c r="C144" t="s">
        <v>511</v>
      </c>
      <c r="D144">
        <v>122916</v>
      </c>
      <c r="E144" t="s">
        <v>513</v>
      </c>
      <c r="F144">
        <v>36</v>
      </c>
      <c r="G144">
        <v>2305.61</v>
      </c>
      <c r="H144">
        <v>294</v>
      </c>
      <c r="I144">
        <v>7</v>
      </c>
      <c r="J144">
        <v>83001.960000000006</v>
      </c>
      <c r="K144">
        <f>SUM(Table3[Total_Revenue])</f>
        <v>30761529.489999965</v>
      </c>
      <c r="L144">
        <f t="shared" si="26"/>
        <v>18608436.079999987</v>
      </c>
      <c r="M144">
        <f t="shared" si="27"/>
        <v>0.60492558037627042</v>
      </c>
      <c r="N144" t="str">
        <f t="shared" si="28"/>
        <v>Yes</v>
      </c>
      <c r="O144">
        <f t="shared" si="29"/>
        <v>47894.68</v>
      </c>
      <c r="P144">
        <f t="shared" si="30"/>
        <v>5</v>
      </c>
      <c r="Q144">
        <f t="shared" si="31"/>
        <v>172.5</v>
      </c>
      <c r="R144" t="str">
        <f t="shared" si="32"/>
        <v>High</v>
      </c>
      <c r="S144" t="str">
        <f t="shared" si="33"/>
        <v>High</v>
      </c>
      <c r="T144" t="str">
        <f t="shared" si="34"/>
        <v>High</v>
      </c>
      <c r="U144" t="str">
        <f t="shared" si="35"/>
        <v>Yes</v>
      </c>
      <c r="V144" t="str">
        <f t="shared" si="36"/>
        <v>No</v>
      </c>
      <c r="W144" t="str">
        <f t="shared" si="37"/>
        <v>Yes</v>
      </c>
      <c r="X144" t="str">
        <f t="shared" si="38"/>
        <v>No</v>
      </c>
    </row>
    <row r="145" spans="1:24" x14ac:dyDescent="0.3">
      <c r="A145" t="s">
        <v>409</v>
      </c>
      <c r="B145">
        <v>48</v>
      </c>
      <c r="C145" t="s">
        <v>511</v>
      </c>
      <c r="D145">
        <v>84772</v>
      </c>
      <c r="E145" t="s">
        <v>513</v>
      </c>
      <c r="F145">
        <v>35</v>
      </c>
      <c r="G145">
        <v>2363.54</v>
      </c>
      <c r="H145">
        <v>134</v>
      </c>
      <c r="I145">
        <v>4</v>
      </c>
      <c r="J145">
        <v>82723.899999999994</v>
      </c>
      <c r="K145">
        <f>SUM(Table3[Total_Revenue])</f>
        <v>30761529.489999965</v>
      </c>
      <c r="L145">
        <f t="shared" si="26"/>
        <v>18691159.979999986</v>
      </c>
      <c r="M145">
        <f t="shared" si="27"/>
        <v>0.60761478021033233</v>
      </c>
      <c r="N145" t="str">
        <f t="shared" si="28"/>
        <v>Yes</v>
      </c>
      <c r="O145">
        <f t="shared" si="29"/>
        <v>47894.68</v>
      </c>
      <c r="P145">
        <f t="shared" si="30"/>
        <v>5</v>
      </c>
      <c r="Q145">
        <f t="shared" si="31"/>
        <v>172.5</v>
      </c>
      <c r="R145" t="str">
        <f t="shared" si="32"/>
        <v>Low</v>
      </c>
      <c r="S145" t="str">
        <f t="shared" si="33"/>
        <v>Low</v>
      </c>
      <c r="T145" t="str">
        <f t="shared" si="34"/>
        <v>High</v>
      </c>
      <c r="U145" t="str">
        <f t="shared" si="35"/>
        <v>No</v>
      </c>
      <c r="V145" t="str">
        <f t="shared" si="36"/>
        <v>Yes</v>
      </c>
      <c r="W145" t="str">
        <f t="shared" si="37"/>
        <v>No</v>
      </c>
      <c r="X145" t="str">
        <f t="shared" si="38"/>
        <v>No</v>
      </c>
    </row>
    <row r="146" spans="1:24" x14ac:dyDescent="0.3">
      <c r="A146" t="s">
        <v>402</v>
      </c>
      <c r="B146">
        <v>49</v>
      </c>
      <c r="C146" t="s">
        <v>511</v>
      </c>
      <c r="D146">
        <v>148876</v>
      </c>
      <c r="E146" t="s">
        <v>515</v>
      </c>
      <c r="F146">
        <v>22</v>
      </c>
      <c r="G146">
        <v>3756.42</v>
      </c>
      <c r="H146">
        <v>355</v>
      </c>
      <c r="I146">
        <v>9</v>
      </c>
      <c r="J146">
        <v>82641.240000000005</v>
      </c>
      <c r="K146">
        <f>SUM(Table3[Total_Revenue])</f>
        <v>30761529.489999965</v>
      </c>
      <c r="L146">
        <f t="shared" si="26"/>
        <v>18773801.219999984</v>
      </c>
      <c r="M146">
        <f t="shared" si="27"/>
        <v>0.61030129292183011</v>
      </c>
      <c r="N146" t="str">
        <f t="shared" si="28"/>
        <v>Yes</v>
      </c>
      <c r="O146">
        <f t="shared" si="29"/>
        <v>47894.68</v>
      </c>
      <c r="P146">
        <f t="shared" si="30"/>
        <v>5</v>
      </c>
      <c r="Q146">
        <f t="shared" si="31"/>
        <v>172.5</v>
      </c>
      <c r="R146" t="str">
        <f t="shared" si="32"/>
        <v>High</v>
      </c>
      <c r="S146" t="str">
        <f t="shared" si="33"/>
        <v>High</v>
      </c>
      <c r="T146" t="str">
        <f t="shared" si="34"/>
        <v>High</v>
      </c>
      <c r="U146" t="str">
        <f t="shared" si="35"/>
        <v>Yes</v>
      </c>
      <c r="V146" t="str">
        <f t="shared" si="36"/>
        <v>No</v>
      </c>
      <c r="W146" t="str">
        <f t="shared" si="37"/>
        <v>Yes</v>
      </c>
      <c r="X146" t="str">
        <f t="shared" si="38"/>
        <v>No</v>
      </c>
    </row>
    <row r="147" spans="1:24" x14ac:dyDescent="0.3">
      <c r="A147" t="s">
        <v>132</v>
      </c>
      <c r="B147">
        <v>24</v>
      </c>
      <c r="C147" t="s">
        <v>511</v>
      </c>
      <c r="D147">
        <v>108869</v>
      </c>
      <c r="E147" t="s">
        <v>515</v>
      </c>
      <c r="F147">
        <v>31</v>
      </c>
      <c r="G147">
        <v>2663.12</v>
      </c>
      <c r="H147">
        <v>129</v>
      </c>
      <c r="I147">
        <v>1</v>
      </c>
      <c r="J147">
        <v>82556.72</v>
      </c>
      <c r="K147">
        <f>SUM(Table3[Total_Revenue])</f>
        <v>30761529.489999965</v>
      </c>
      <c r="L147">
        <f t="shared" si="26"/>
        <v>18856357.939999983</v>
      </c>
      <c r="M147">
        <f t="shared" si="27"/>
        <v>0.61298505804562986</v>
      </c>
      <c r="N147" t="str">
        <f t="shared" si="28"/>
        <v>Yes</v>
      </c>
      <c r="O147">
        <f t="shared" si="29"/>
        <v>47894.68</v>
      </c>
      <c r="P147">
        <f t="shared" si="30"/>
        <v>5</v>
      </c>
      <c r="Q147">
        <f t="shared" si="31"/>
        <v>172.5</v>
      </c>
      <c r="R147" t="str">
        <f t="shared" si="32"/>
        <v>Low</v>
      </c>
      <c r="S147" t="str">
        <f t="shared" si="33"/>
        <v>Low</v>
      </c>
      <c r="T147" t="str">
        <f t="shared" si="34"/>
        <v>High</v>
      </c>
      <c r="U147" t="str">
        <f t="shared" si="35"/>
        <v>No</v>
      </c>
      <c r="V147" t="str">
        <f t="shared" si="36"/>
        <v>Yes</v>
      </c>
      <c r="W147" t="str">
        <f t="shared" si="37"/>
        <v>No</v>
      </c>
      <c r="X147" t="str">
        <f t="shared" si="38"/>
        <v>No</v>
      </c>
    </row>
    <row r="148" spans="1:24" x14ac:dyDescent="0.3">
      <c r="A148" t="s">
        <v>79</v>
      </c>
      <c r="B148">
        <v>19</v>
      </c>
      <c r="C148" t="s">
        <v>510</v>
      </c>
      <c r="D148">
        <v>132428</v>
      </c>
      <c r="E148" t="s">
        <v>512</v>
      </c>
      <c r="F148">
        <v>25</v>
      </c>
      <c r="G148">
        <v>3287.51</v>
      </c>
      <c r="H148">
        <v>319</v>
      </c>
      <c r="I148">
        <v>3</v>
      </c>
      <c r="J148">
        <v>82187.75</v>
      </c>
      <c r="K148">
        <f>SUM(Table3[Total_Revenue])</f>
        <v>30761529.489999965</v>
      </c>
      <c r="L148">
        <f t="shared" si="26"/>
        <v>18938545.689999983</v>
      </c>
      <c r="M148">
        <f t="shared" si="27"/>
        <v>0.61565682864230054</v>
      </c>
      <c r="N148" t="str">
        <f t="shared" si="28"/>
        <v>Yes</v>
      </c>
      <c r="O148">
        <f t="shared" si="29"/>
        <v>47894.68</v>
      </c>
      <c r="P148">
        <f t="shared" si="30"/>
        <v>5</v>
      </c>
      <c r="Q148">
        <f t="shared" si="31"/>
        <v>172.5</v>
      </c>
      <c r="R148" t="str">
        <f t="shared" si="32"/>
        <v>Low</v>
      </c>
      <c r="S148" t="str">
        <f t="shared" si="33"/>
        <v>High</v>
      </c>
      <c r="T148" t="str">
        <f t="shared" si="34"/>
        <v>High</v>
      </c>
      <c r="U148" t="str">
        <f t="shared" si="35"/>
        <v>No</v>
      </c>
      <c r="V148" t="str">
        <f t="shared" si="36"/>
        <v>Yes</v>
      </c>
      <c r="W148" t="str">
        <f t="shared" si="37"/>
        <v>No</v>
      </c>
      <c r="X148" t="str">
        <f t="shared" si="38"/>
        <v>No</v>
      </c>
    </row>
    <row r="149" spans="1:24" x14ac:dyDescent="0.3">
      <c r="A149" t="s">
        <v>68</v>
      </c>
      <c r="B149">
        <v>24</v>
      </c>
      <c r="C149" t="s">
        <v>510</v>
      </c>
      <c r="D149">
        <v>99252</v>
      </c>
      <c r="E149" t="s">
        <v>514</v>
      </c>
      <c r="F149">
        <v>28</v>
      </c>
      <c r="G149">
        <v>2928.21</v>
      </c>
      <c r="H149">
        <v>117</v>
      </c>
      <c r="I149">
        <v>1</v>
      </c>
      <c r="J149">
        <v>81989.88</v>
      </c>
      <c r="K149">
        <f>SUM(Table3[Total_Revenue])</f>
        <v>30761529.489999965</v>
      </c>
      <c r="L149">
        <f t="shared" si="26"/>
        <v>19020535.569999982</v>
      </c>
      <c r="M149">
        <f t="shared" si="27"/>
        <v>0.61832216685399943</v>
      </c>
      <c r="N149" t="str">
        <f t="shared" si="28"/>
        <v>Yes</v>
      </c>
      <c r="O149">
        <f t="shared" si="29"/>
        <v>47894.68</v>
      </c>
      <c r="P149">
        <f t="shared" si="30"/>
        <v>5</v>
      </c>
      <c r="Q149">
        <f t="shared" si="31"/>
        <v>172.5</v>
      </c>
      <c r="R149" t="str">
        <f t="shared" si="32"/>
        <v>Low</v>
      </c>
      <c r="S149" t="str">
        <f t="shared" si="33"/>
        <v>Low</v>
      </c>
      <c r="T149" t="str">
        <f t="shared" si="34"/>
        <v>High</v>
      </c>
      <c r="U149" t="str">
        <f t="shared" si="35"/>
        <v>No</v>
      </c>
      <c r="V149" t="str">
        <f t="shared" si="36"/>
        <v>Yes</v>
      </c>
      <c r="W149" t="str">
        <f t="shared" si="37"/>
        <v>No</v>
      </c>
      <c r="X149" t="str">
        <f t="shared" si="38"/>
        <v>No</v>
      </c>
    </row>
    <row r="150" spans="1:24" x14ac:dyDescent="0.3">
      <c r="A150" t="s">
        <v>51</v>
      </c>
      <c r="B150">
        <v>54</v>
      </c>
      <c r="C150" t="s">
        <v>510</v>
      </c>
      <c r="D150">
        <v>103807</v>
      </c>
      <c r="E150" t="s">
        <v>514</v>
      </c>
      <c r="F150">
        <v>17</v>
      </c>
      <c r="G150">
        <v>4820.3999999999996</v>
      </c>
      <c r="H150">
        <v>55</v>
      </c>
      <c r="I150">
        <v>1</v>
      </c>
      <c r="J150">
        <v>81946.8</v>
      </c>
      <c r="K150">
        <f>SUM(Table3[Total_Revenue])</f>
        <v>30761529.489999965</v>
      </c>
      <c r="L150">
        <f t="shared" si="26"/>
        <v>19102482.369999982</v>
      </c>
      <c r="M150">
        <f t="shared" si="27"/>
        <v>0.62098610461517734</v>
      </c>
      <c r="N150" t="str">
        <f t="shared" si="28"/>
        <v>Yes</v>
      </c>
      <c r="O150">
        <f t="shared" si="29"/>
        <v>47894.68</v>
      </c>
      <c r="P150">
        <f t="shared" si="30"/>
        <v>5</v>
      </c>
      <c r="Q150">
        <f t="shared" si="31"/>
        <v>172.5</v>
      </c>
      <c r="R150" t="str">
        <f t="shared" si="32"/>
        <v>Low</v>
      </c>
      <c r="S150" t="str">
        <f t="shared" si="33"/>
        <v>Low</v>
      </c>
      <c r="T150" t="str">
        <f t="shared" si="34"/>
        <v>High</v>
      </c>
      <c r="U150" t="str">
        <f t="shared" si="35"/>
        <v>No</v>
      </c>
      <c r="V150" t="str">
        <f t="shared" si="36"/>
        <v>Yes</v>
      </c>
      <c r="W150" t="str">
        <f t="shared" si="37"/>
        <v>No</v>
      </c>
      <c r="X150" t="str">
        <f t="shared" si="38"/>
        <v>No</v>
      </c>
    </row>
    <row r="151" spans="1:24" x14ac:dyDescent="0.3">
      <c r="A151" t="s">
        <v>317</v>
      </c>
      <c r="B151">
        <v>20</v>
      </c>
      <c r="C151" t="s">
        <v>511</v>
      </c>
      <c r="D151">
        <v>108861</v>
      </c>
      <c r="E151" t="s">
        <v>513</v>
      </c>
      <c r="F151">
        <v>41</v>
      </c>
      <c r="G151">
        <v>1993.66</v>
      </c>
      <c r="H151">
        <v>109</v>
      </c>
      <c r="I151">
        <v>6</v>
      </c>
      <c r="J151">
        <v>81740.06</v>
      </c>
      <c r="K151">
        <f>SUM(Table3[Total_Revenue])</f>
        <v>30761529.489999965</v>
      </c>
      <c r="L151">
        <f t="shared" si="26"/>
        <v>19184222.429999981</v>
      </c>
      <c r="M151">
        <f t="shared" si="27"/>
        <v>0.62364332164421266</v>
      </c>
      <c r="N151" t="str">
        <f t="shared" si="28"/>
        <v>Yes</v>
      </c>
      <c r="O151">
        <f t="shared" si="29"/>
        <v>47894.68</v>
      </c>
      <c r="P151">
        <f t="shared" si="30"/>
        <v>5</v>
      </c>
      <c r="Q151">
        <f t="shared" si="31"/>
        <v>172.5</v>
      </c>
      <c r="R151" t="str">
        <f t="shared" si="32"/>
        <v>High</v>
      </c>
      <c r="S151" t="str">
        <f t="shared" si="33"/>
        <v>Low</v>
      </c>
      <c r="T151" t="str">
        <f t="shared" si="34"/>
        <v>High</v>
      </c>
      <c r="U151" t="str">
        <f t="shared" si="35"/>
        <v>Yes</v>
      </c>
      <c r="V151" t="str">
        <f t="shared" si="36"/>
        <v>No</v>
      </c>
      <c r="W151" t="str">
        <f t="shared" si="37"/>
        <v>Yes</v>
      </c>
      <c r="X151" t="str">
        <f t="shared" si="38"/>
        <v>No</v>
      </c>
    </row>
    <row r="152" spans="1:24" x14ac:dyDescent="0.3">
      <c r="A152" t="s">
        <v>227</v>
      </c>
      <c r="B152">
        <v>66</v>
      </c>
      <c r="C152" t="s">
        <v>511</v>
      </c>
      <c r="D152">
        <v>149597</v>
      </c>
      <c r="E152" t="s">
        <v>512</v>
      </c>
      <c r="F152">
        <v>47</v>
      </c>
      <c r="G152">
        <v>1734.49</v>
      </c>
      <c r="H152">
        <v>57</v>
      </c>
      <c r="I152">
        <v>9</v>
      </c>
      <c r="J152">
        <v>81521.03</v>
      </c>
      <c r="K152">
        <f>SUM(Table3[Total_Revenue])</f>
        <v>30761529.489999965</v>
      </c>
      <c r="L152">
        <f t="shared" si="26"/>
        <v>19265743.459999982</v>
      </c>
      <c r="M152">
        <f t="shared" si="27"/>
        <v>0.62629341841610764</v>
      </c>
      <c r="N152" t="str">
        <f t="shared" si="28"/>
        <v>Yes</v>
      </c>
      <c r="O152">
        <f t="shared" si="29"/>
        <v>47894.68</v>
      </c>
      <c r="P152">
        <f t="shared" si="30"/>
        <v>5</v>
      </c>
      <c r="Q152">
        <f t="shared" si="31"/>
        <v>172.5</v>
      </c>
      <c r="R152" t="str">
        <f t="shared" si="32"/>
        <v>High</v>
      </c>
      <c r="S152" t="str">
        <f t="shared" si="33"/>
        <v>Low</v>
      </c>
      <c r="T152" t="str">
        <f t="shared" si="34"/>
        <v>High</v>
      </c>
      <c r="U152" t="str">
        <f t="shared" si="35"/>
        <v>Yes</v>
      </c>
      <c r="V152" t="str">
        <f t="shared" si="36"/>
        <v>No</v>
      </c>
      <c r="W152" t="str">
        <f t="shared" si="37"/>
        <v>Yes</v>
      </c>
      <c r="X152" t="str">
        <f t="shared" si="38"/>
        <v>No</v>
      </c>
    </row>
    <row r="153" spans="1:24" x14ac:dyDescent="0.3">
      <c r="A153" t="s">
        <v>115</v>
      </c>
      <c r="B153">
        <v>41</v>
      </c>
      <c r="C153" t="s">
        <v>510</v>
      </c>
      <c r="D153">
        <v>36748</v>
      </c>
      <c r="E153" t="s">
        <v>512</v>
      </c>
      <c r="F153">
        <v>40</v>
      </c>
      <c r="G153">
        <v>2032.39</v>
      </c>
      <c r="H153">
        <v>245</v>
      </c>
      <c r="I153">
        <v>3</v>
      </c>
      <c r="J153">
        <v>81295.600000000006</v>
      </c>
      <c r="K153">
        <f>SUM(Table3[Total_Revenue])</f>
        <v>30761529.489999965</v>
      </c>
      <c r="L153">
        <f t="shared" si="26"/>
        <v>19347039.059999984</v>
      </c>
      <c r="M153">
        <f t="shared" si="27"/>
        <v>0.62893618687878861</v>
      </c>
      <c r="N153" t="str">
        <f t="shared" si="28"/>
        <v>Yes</v>
      </c>
      <c r="O153">
        <f t="shared" si="29"/>
        <v>47894.68</v>
      </c>
      <c r="P153">
        <f t="shared" si="30"/>
        <v>5</v>
      </c>
      <c r="Q153">
        <f t="shared" si="31"/>
        <v>172.5</v>
      </c>
      <c r="R153" t="str">
        <f t="shared" si="32"/>
        <v>Low</v>
      </c>
      <c r="S153" t="str">
        <f t="shared" si="33"/>
        <v>High</v>
      </c>
      <c r="T153" t="str">
        <f t="shared" si="34"/>
        <v>High</v>
      </c>
      <c r="U153" t="str">
        <f t="shared" si="35"/>
        <v>No</v>
      </c>
      <c r="V153" t="str">
        <f t="shared" si="36"/>
        <v>Yes</v>
      </c>
      <c r="W153" t="str">
        <f t="shared" si="37"/>
        <v>No</v>
      </c>
      <c r="X153" t="str">
        <f t="shared" si="38"/>
        <v>No</v>
      </c>
    </row>
    <row r="154" spans="1:24" x14ac:dyDescent="0.3">
      <c r="A154" t="s">
        <v>342</v>
      </c>
      <c r="B154">
        <v>58</v>
      </c>
      <c r="C154" t="s">
        <v>510</v>
      </c>
      <c r="D154">
        <v>91520</v>
      </c>
      <c r="E154" t="s">
        <v>513</v>
      </c>
      <c r="F154">
        <v>39</v>
      </c>
      <c r="G154">
        <v>2083.5100000000002</v>
      </c>
      <c r="H154">
        <v>60</v>
      </c>
      <c r="I154">
        <v>7</v>
      </c>
      <c r="J154">
        <v>81256.89</v>
      </c>
      <c r="K154">
        <f>SUM(Table3[Total_Revenue])</f>
        <v>30761529.489999965</v>
      </c>
      <c r="L154">
        <f t="shared" si="26"/>
        <v>19428295.949999984</v>
      </c>
      <c r="M154">
        <f t="shared" si="27"/>
        <v>0.63157769695150512</v>
      </c>
      <c r="N154" t="str">
        <f t="shared" si="28"/>
        <v>Yes</v>
      </c>
      <c r="O154">
        <f t="shared" si="29"/>
        <v>47894.68</v>
      </c>
      <c r="P154">
        <f t="shared" si="30"/>
        <v>5</v>
      </c>
      <c r="Q154">
        <f t="shared" si="31"/>
        <v>172.5</v>
      </c>
      <c r="R154" t="str">
        <f t="shared" si="32"/>
        <v>High</v>
      </c>
      <c r="S154" t="str">
        <f t="shared" si="33"/>
        <v>Low</v>
      </c>
      <c r="T154" t="str">
        <f t="shared" si="34"/>
        <v>High</v>
      </c>
      <c r="U154" t="str">
        <f t="shared" si="35"/>
        <v>Yes</v>
      </c>
      <c r="V154" t="str">
        <f t="shared" si="36"/>
        <v>No</v>
      </c>
      <c r="W154" t="str">
        <f t="shared" si="37"/>
        <v>Yes</v>
      </c>
      <c r="X154" t="str">
        <f t="shared" si="38"/>
        <v>No</v>
      </c>
    </row>
    <row r="155" spans="1:24" x14ac:dyDescent="0.3">
      <c r="A155" t="s">
        <v>210</v>
      </c>
      <c r="B155">
        <v>23</v>
      </c>
      <c r="C155" t="s">
        <v>511</v>
      </c>
      <c r="D155">
        <v>96323</v>
      </c>
      <c r="E155" t="s">
        <v>514</v>
      </c>
      <c r="F155">
        <v>26</v>
      </c>
      <c r="G155">
        <v>3124.06</v>
      </c>
      <c r="H155">
        <v>354</v>
      </c>
      <c r="I155">
        <v>10</v>
      </c>
      <c r="J155">
        <v>81225.56</v>
      </c>
      <c r="K155">
        <f>SUM(Table3[Total_Revenue])</f>
        <v>30761529.489999965</v>
      </c>
      <c r="L155">
        <f t="shared" si="26"/>
        <v>19509521.509999983</v>
      </c>
      <c r="M155">
        <f t="shared" si="27"/>
        <v>0.63421818854430456</v>
      </c>
      <c r="N155" t="str">
        <f t="shared" si="28"/>
        <v>Yes</v>
      </c>
      <c r="O155">
        <f t="shared" si="29"/>
        <v>47894.68</v>
      </c>
      <c r="P155">
        <f t="shared" si="30"/>
        <v>5</v>
      </c>
      <c r="Q155">
        <f t="shared" si="31"/>
        <v>172.5</v>
      </c>
      <c r="R155" t="str">
        <f t="shared" si="32"/>
        <v>High</v>
      </c>
      <c r="S155" t="str">
        <f t="shared" si="33"/>
        <v>High</v>
      </c>
      <c r="T155" t="str">
        <f t="shared" si="34"/>
        <v>High</v>
      </c>
      <c r="U155" t="str">
        <f t="shared" si="35"/>
        <v>Yes</v>
      </c>
      <c r="V155" t="str">
        <f t="shared" si="36"/>
        <v>No</v>
      </c>
      <c r="W155" t="str">
        <f t="shared" si="37"/>
        <v>Yes</v>
      </c>
      <c r="X155" t="str">
        <f t="shared" si="38"/>
        <v>No</v>
      </c>
    </row>
    <row r="156" spans="1:24" x14ac:dyDescent="0.3">
      <c r="A156" t="s">
        <v>23</v>
      </c>
      <c r="B156">
        <v>53</v>
      </c>
      <c r="C156" t="s">
        <v>511</v>
      </c>
      <c r="D156">
        <v>122468</v>
      </c>
      <c r="E156" t="s">
        <v>515</v>
      </c>
      <c r="F156">
        <v>25</v>
      </c>
      <c r="G156">
        <v>3236.01</v>
      </c>
      <c r="H156">
        <v>132</v>
      </c>
      <c r="I156">
        <v>2</v>
      </c>
      <c r="J156">
        <v>80900.25</v>
      </c>
      <c r="K156">
        <f>SUM(Table3[Total_Revenue])</f>
        <v>30761529.489999965</v>
      </c>
      <c r="L156">
        <f t="shared" si="26"/>
        <v>19590421.759999983</v>
      </c>
      <c r="M156">
        <f t="shared" si="27"/>
        <v>0.63684810491521515</v>
      </c>
      <c r="N156" t="str">
        <f t="shared" si="28"/>
        <v>Yes</v>
      </c>
      <c r="O156">
        <f t="shared" si="29"/>
        <v>47894.68</v>
      </c>
      <c r="P156">
        <f t="shared" si="30"/>
        <v>5</v>
      </c>
      <c r="Q156">
        <f t="shared" si="31"/>
        <v>172.5</v>
      </c>
      <c r="R156" t="str">
        <f t="shared" si="32"/>
        <v>Low</v>
      </c>
      <c r="S156" t="str">
        <f t="shared" si="33"/>
        <v>Low</v>
      </c>
      <c r="T156" t="str">
        <f t="shared" si="34"/>
        <v>High</v>
      </c>
      <c r="U156" t="str">
        <f t="shared" si="35"/>
        <v>No</v>
      </c>
      <c r="V156" t="str">
        <f t="shared" si="36"/>
        <v>Yes</v>
      </c>
      <c r="W156" t="str">
        <f t="shared" si="37"/>
        <v>No</v>
      </c>
      <c r="X156" t="str">
        <f t="shared" si="38"/>
        <v>No</v>
      </c>
    </row>
    <row r="157" spans="1:24" x14ac:dyDescent="0.3">
      <c r="A157" t="s">
        <v>426</v>
      </c>
      <c r="B157">
        <v>50</v>
      </c>
      <c r="C157" t="s">
        <v>510</v>
      </c>
      <c r="D157">
        <v>146205</v>
      </c>
      <c r="E157" t="s">
        <v>512</v>
      </c>
      <c r="F157">
        <v>24</v>
      </c>
      <c r="G157">
        <v>3370.02</v>
      </c>
      <c r="H157">
        <v>344</v>
      </c>
      <c r="I157">
        <v>2</v>
      </c>
      <c r="J157">
        <v>80880.479999999996</v>
      </c>
      <c r="K157">
        <f>SUM(Table3[Total_Revenue])</f>
        <v>30761529.489999965</v>
      </c>
      <c r="L157">
        <f t="shared" si="26"/>
        <v>19671302.239999983</v>
      </c>
      <c r="M157">
        <f t="shared" si="27"/>
        <v>0.63947737860026688</v>
      </c>
      <c r="N157" t="str">
        <f t="shared" si="28"/>
        <v>Yes</v>
      </c>
      <c r="O157">
        <f t="shared" si="29"/>
        <v>47894.68</v>
      </c>
      <c r="P157">
        <f t="shared" si="30"/>
        <v>5</v>
      </c>
      <c r="Q157">
        <f t="shared" si="31"/>
        <v>172.5</v>
      </c>
      <c r="R157" t="str">
        <f t="shared" si="32"/>
        <v>Low</v>
      </c>
      <c r="S157" t="str">
        <f t="shared" si="33"/>
        <v>High</v>
      </c>
      <c r="T157" t="str">
        <f t="shared" si="34"/>
        <v>High</v>
      </c>
      <c r="U157" t="str">
        <f t="shared" si="35"/>
        <v>No</v>
      </c>
      <c r="V157" t="str">
        <f t="shared" si="36"/>
        <v>Yes</v>
      </c>
      <c r="W157" t="str">
        <f t="shared" si="37"/>
        <v>No</v>
      </c>
      <c r="X157" t="str">
        <f t="shared" si="38"/>
        <v>No</v>
      </c>
    </row>
    <row r="158" spans="1:24" x14ac:dyDescent="0.3">
      <c r="A158" t="s">
        <v>139</v>
      </c>
      <c r="B158">
        <v>40</v>
      </c>
      <c r="C158" t="s">
        <v>510</v>
      </c>
      <c r="D158">
        <v>131076</v>
      </c>
      <c r="E158" t="s">
        <v>515</v>
      </c>
      <c r="F158">
        <v>39</v>
      </c>
      <c r="G158">
        <v>2059.54</v>
      </c>
      <c r="H158">
        <v>174</v>
      </c>
      <c r="I158">
        <v>5</v>
      </c>
      <c r="J158">
        <v>80322.06</v>
      </c>
      <c r="K158">
        <f>SUM(Table3[Total_Revenue])</f>
        <v>30761529.489999965</v>
      </c>
      <c r="L158">
        <f t="shared" si="26"/>
        <v>19751624.299999982</v>
      </c>
      <c r="M158">
        <f t="shared" si="27"/>
        <v>0.64208849909172716</v>
      </c>
      <c r="N158" t="str">
        <f t="shared" si="28"/>
        <v>Yes</v>
      </c>
      <c r="O158">
        <f t="shared" si="29"/>
        <v>47894.68</v>
      </c>
      <c r="P158">
        <f t="shared" si="30"/>
        <v>5</v>
      </c>
      <c r="Q158">
        <f t="shared" si="31"/>
        <v>172.5</v>
      </c>
      <c r="R158" t="str">
        <f t="shared" si="32"/>
        <v>Medium</v>
      </c>
      <c r="S158" t="str">
        <f t="shared" si="33"/>
        <v>High</v>
      </c>
      <c r="T158" t="str">
        <f t="shared" si="34"/>
        <v>High</v>
      </c>
      <c r="U158" t="str">
        <f t="shared" si="35"/>
        <v>Yes</v>
      </c>
      <c r="V158" t="str">
        <f t="shared" si="36"/>
        <v>No</v>
      </c>
      <c r="W158" t="str">
        <f t="shared" si="37"/>
        <v>Yes</v>
      </c>
      <c r="X158" t="str">
        <f t="shared" si="38"/>
        <v>No</v>
      </c>
    </row>
    <row r="159" spans="1:24" x14ac:dyDescent="0.3">
      <c r="A159" t="s">
        <v>321</v>
      </c>
      <c r="B159">
        <v>41</v>
      </c>
      <c r="C159" t="s">
        <v>511</v>
      </c>
      <c r="D159">
        <v>149028</v>
      </c>
      <c r="E159" t="s">
        <v>514</v>
      </c>
      <c r="F159">
        <v>32</v>
      </c>
      <c r="G159">
        <v>2474.5500000000002</v>
      </c>
      <c r="H159">
        <v>162</v>
      </c>
      <c r="I159">
        <v>2</v>
      </c>
      <c r="J159">
        <v>79185.600000000006</v>
      </c>
      <c r="K159">
        <f>SUM(Table3[Total_Revenue])</f>
        <v>30761529.489999965</v>
      </c>
      <c r="L159">
        <f t="shared" si="26"/>
        <v>19830809.899999984</v>
      </c>
      <c r="M159">
        <f t="shared" si="27"/>
        <v>0.64466267538636635</v>
      </c>
      <c r="N159" t="str">
        <f t="shared" si="28"/>
        <v>Yes</v>
      </c>
      <c r="O159">
        <f t="shared" si="29"/>
        <v>47894.68</v>
      </c>
      <c r="P159">
        <f t="shared" si="30"/>
        <v>5</v>
      </c>
      <c r="Q159">
        <f t="shared" si="31"/>
        <v>172.5</v>
      </c>
      <c r="R159" t="str">
        <f t="shared" si="32"/>
        <v>Low</v>
      </c>
      <c r="S159" t="str">
        <f t="shared" si="33"/>
        <v>Low</v>
      </c>
      <c r="T159" t="str">
        <f t="shared" si="34"/>
        <v>High</v>
      </c>
      <c r="U159" t="str">
        <f t="shared" si="35"/>
        <v>No</v>
      </c>
      <c r="V159" t="str">
        <f t="shared" si="36"/>
        <v>Yes</v>
      </c>
      <c r="W159" t="str">
        <f t="shared" si="37"/>
        <v>No</v>
      </c>
      <c r="X159" t="str">
        <f t="shared" si="38"/>
        <v>No</v>
      </c>
    </row>
    <row r="160" spans="1:24" x14ac:dyDescent="0.3">
      <c r="A160" t="s">
        <v>116</v>
      </c>
      <c r="B160">
        <v>18</v>
      </c>
      <c r="C160" t="s">
        <v>510</v>
      </c>
      <c r="D160">
        <v>125113</v>
      </c>
      <c r="E160" t="s">
        <v>512</v>
      </c>
      <c r="F160">
        <v>28</v>
      </c>
      <c r="G160">
        <v>2792.13</v>
      </c>
      <c r="H160">
        <v>35</v>
      </c>
      <c r="I160">
        <v>10</v>
      </c>
      <c r="J160">
        <v>78179.64</v>
      </c>
      <c r="K160">
        <f>SUM(Table3[Total_Revenue])</f>
        <v>30761529.489999965</v>
      </c>
      <c r="L160">
        <f t="shared" si="26"/>
        <v>19908989.539999984</v>
      </c>
      <c r="M160">
        <f t="shared" si="27"/>
        <v>0.64720414979599916</v>
      </c>
      <c r="N160" t="str">
        <f t="shared" si="28"/>
        <v>Yes</v>
      </c>
      <c r="O160">
        <f t="shared" si="29"/>
        <v>47894.68</v>
      </c>
      <c r="P160">
        <f t="shared" si="30"/>
        <v>5</v>
      </c>
      <c r="Q160">
        <f t="shared" si="31"/>
        <v>172.5</v>
      </c>
      <c r="R160" t="str">
        <f t="shared" si="32"/>
        <v>High</v>
      </c>
      <c r="S160" t="str">
        <f t="shared" si="33"/>
        <v>Low</v>
      </c>
      <c r="T160" t="str">
        <f t="shared" si="34"/>
        <v>High</v>
      </c>
      <c r="U160" t="str">
        <f t="shared" si="35"/>
        <v>Yes</v>
      </c>
      <c r="V160" t="str">
        <f t="shared" si="36"/>
        <v>No</v>
      </c>
      <c r="W160" t="str">
        <f t="shared" si="37"/>
        <v>Yes</v>
      </c>
      <c r="X160" t="str">
        <f t="shared" si="38"/>
        <v>No</v>
      </c>
    </row>
    <row r="161" spans="1:24" x14ac:dyDescent="0.3">
      <c r="A161" t="s">
        <v>95</v>
      </c>
      <c r="B161">
        <v>31</v>
      </c>
      <c r="C161" t="s">
        <v>510</v>
      </c>
      <c r="D161">
        <v>115257</v>
      </c>
      <c r="E161" t="s">
        <v>512</v>
      </c>
      <c r="F161">
        <v>28</v>
      </c>
      <c r="G161">
        <v>2787.65</v>
      </c>
      <c r="H161">
        <v>47</v>
      </c>
      <c r="I161">
        <v>2</v>
      </c>
      <c r="J161">
        <v>78054.2</v>
      </c>
      <c r="K161">
        <f>SUM(Table3[Total_Revenue])</f>
        <v>30761529.489999965</v>
      </c>
      <c r="L161">
        <f t="shared" si="26"/>
        <v>19987043.739999983</v>
      </c>
      <c r="M161">
        <f t="shared" si="27"/>
        <v>0.64974154638498782</v>
      </c>
      <c r="N161" t="str">
        <f t="shared" si="28"/>
        <v>Yes</v>
      </c>
      <c r="O161">
        <f t="shared" si="29"/>
        <v>47894.68</v>
      </c>
      <c r="P161">
        <f t="shared" si="30"/>
        <v>5</v>
      </c>
      <c r="Q161">
        <f t="shared" si="31"/>
        <v>172.5</v>
      </c>
      <c r="R161" t="str">
        <f t="shared" si="32"/>
        <v>Low</v>
      </c>
      <c r="S161" t="str">
        <f t="shared" si="33"/>
        <v>Low</v>
      </c>
      <c r="T161" t="str">
        <f t="shared" si="34"/>
        <v>High</v>
      </c>
      <c r="U161" t="str">
        <f t="shared" si="35"/>
        <v>No</v>
      </c>
      <c r="V161" t="str">
        <f t="shared" si="36"/>
        <v>Yes</v>
      </c>
      <c r="W161" t="str">
        <f t="shared" si="37"/>
        <v>No</v>
      </c>
      <c r="X161" t="str">
        <f t="shared" si="38"/>
        <v>No</v>
      </c>
    </row>
    <row r="162" spans="1:24" x14ac:dyDescent="0.3">
      <c r="A162" t="s">
        <v>133</v>
      </c>
      <c r="B162">
        <v>26</v>
      </c>
      <c r="C162" t="s">
        <v>511</v>
      </c>
      <c r="D162">
        <v>125186</v>
      </c>
      <c r="E162" t="s">
        <v>513</v>
      </c>
      <c r="F162">
        <v>23</v>
      </c>
      <c r="G162">
        <v>3383.47</v>
      </c>
      <c r="H162">
        <v>280</v>
      </c>
      <c r="I162">
        <v>9</v>
      </c>
      <c r="J162">
        <v>77819.81</v>
      </c>
      <c r="K162">
        <f>SUM(Table3[Total_Revenue])</f>
        <v>30761529.489999965</v>
      </c>
      <c r="L162">
        <f t="shared" si="26"/>
        <v>20064863.549999982</v>
      </c>
      <c r="M162">
        <f t="shared" si="27"/>
        <v>0.65227132339185923</v>
      </c>
      <c r="N162" t="str">
        <f t="shared" si="28"/>
        <v>Yes</v>
      </c>
      <c r="O162">
        <f t="shared" si="29"/>
        <v>47894.68</v>
      </c>
      <c r="P162">
        <f t="shared" si="30"/>
        <v>5</v>
      </c>
      <c r="Q162">
        <f t="shared" si="31"/>
        <v>172.5</v>
      </c>
      <c r="R162" t="str">
        <f t="shared" si="32"/>
        <v>High</v>
      </c>
      <c r="S162" t="str">
        <f t="shared" si="33"/>
        <v>High</v>
      </c>
      <c r="T162" t="str">
        <f t="shared" si="34"/>
        <v>High</v>
      </c>
      <c r="U162" t="str">
        <f t="shared" si="35"/>
        <v>Yes</v>
      </c>
      <c r="V162" t="str">
        <f t="shared" si="36"/>
        <v>No</v>
      </c>
      <c r="W162" t="str">
        <f t="shared" si="37"/>
        <v>Yes</v>
      </c>
      <c r="X162" t="str">
        <f t="shared" si="38"/>
        <v>No</v>
      </c>
    </row>
    <row r="163" spans="1:24" x14ac:dyDescent="0.3">
      <c r="A163" t="s">
        <v>180</v>
      </c>
      <c r="B163">
        <v>46</v>
      </c>
      <c r="C163" t="s">
        <v>510</v>
      </c>
      <c r="D163">
        <v>146394</v>
      </c>
      <c r="E163" t="s">
        <v>515</v>
      </c>
      <c r="F163">
        <v>32</v>
      </c>
      <c r="G163">
        <v>2417.17</v>
      </c>
      <c r="H163">
        <v>248</v>
      </c>
      <c r="I163">
        <v>10</v>
      </c>
      <c r="J163">
        <v>77349.440000000002</v>
      </c>
      <c r="K163">
        <f>SUM(Table3[Total_Revenue])</f>
        <v>30761529.489999965</v>
      </c>
      <c r="L163">
        <f t="shared" si="26"/>
        <v>20142212.989999983</v>
      </c>
      <c r="M163">
        <f t="shared" si="27"/>
        <v>0.65478580954655929</v>
      </c>
      <c r="N163" t="str">
        <f t="shared" si="28"/>
        <v>Yes</v>
      </c>
      <c r="O163">
        <f t="shared" si="29"/>
        <v>47894.68</v>
      </c>
      <c r="P163">
        <f t="shared" si="30"/>
        <v>5</v>
      </c>
      <c r="Q163">
        <f t="shared" si="31"/>
        <v>172.5</v>
      </c>
      <c r="R163" t="str">
        <f t="shared" si="32"/>
        <v>High</v>
      </c>
      <c r="S163" t="str">
        <f t="shared" si="33"/>
        <v>High</v>
      </c>
      <c r="T163" t="str">
        <f t="shared" si="34"/>
        <v>High</v>
      </c>
      <c r="U163" t="str">
        <f t="shared" si="35"/>
        <v>Yes</v>
      </c>
      <c r="V163" t="str">
        <f t="shared" si="36"/>
        <v>No</v>
      </c>
      <c r="W163" t="str">
        <f t="shared" si="37"/>
        <v>Yes</v>
      </c>
      <c r="X163" t="str">
        <f t="shared" si="38"/>
        <v>No</v>
      </c>
    </row>
    <row r="164" spans="1:24" x14ac:dyDescent="0.3">
      <c r="A164" t="s">
        <v>211</v>
      </c>
      <c r="B164">
        <v>25</v>
      </c>
      <c r="C164" t="s">
        <v>510</v>
      </c>
      <c r="D164">
        <v>29111</v>
      </c>
      <c r="E164" t="s">
        <v>515</v>
      </c>
      <c r="F164">
        <v>34</v>
      </c>
      <c r="G164">
        <v>2267.81</v>
      </c>
      <c r="H164">
        <v>28</v>
      </c>
      <c r="I164">
        <v>5</v>
      </c>
      <c r="J164">
        <v>77105.539999999994</v>
      </c>
      <c r="K164">
        <f>SUM(Table3[Total_Revenue])</f>
        <v>30761529.489999965</v>
      </c>
      <c r="L164">
        <f t="shared" si="26"/>
        <v>20219318.529999983</v>
      </c>
      <c r="M164">
        <f t="shared" si="27"/>
        <v>0.65729236696676374</v>
      </c>
      <c r="N164" t="str">
        <f t="shared" si="28"/>
        <v>Yes</v>
      </c>
      <c r="O164">
        <f t="shared" si="29"/>
        <v>47894.68</v>
      </c>
      <c r="P164">
        <f t="shared" si="30"/>
        <v>5</v>
      </c>
      <c r="Q164">
        <f t="shared" si="31"/>
        <v>172.5</v>
      </c>
      <c r="R164" t="str">
        <f t="shared" si="32"/>
        <v>Medium</v>
      </c>
      <c r="S164" t="str">
        <f t="shared" si="33"/>
        <v>Low</v>
      </c>
      <c r="T164" t="str">
        <f t="shared" si="34"/>
        <v>High</v>
      </c>
      <c r="U164" t="str">
        <f t="shared" si="35"/>
        <v>Yes</v>
      </c>
      <c r="V164" t="str">
        <f t="shared" si="36"/>
        <v>No</v>
      </c>
      <c r="W164" t="str">
        <f t="shared" si="37"/>
        <v>Yes</v>
      </c>
      <c r="X164" t="str">
        <f t="shared" si="38"/>
        <v>No</v>
      </c>
    </row>
    <row r="165" spans="1:24" x14ac:dyDescent="0.3">
      <c r="A165" t="s">
        <v>253</v>
      </c>
      <c r="B165">
        <v>21</v>
      </c>
      <c r="C165" t="s">
        <v>511</v>
      </c>
      <c r="D165">
        <v>62533</v>
      </c>
      <c r="E165" t="s">
        <v>513</v>
      </c>
      <c r="F165">
        <v>25</v>
      </c>
      <c r="G165">
        <v>3081.58</v>
      </c>
      <c r="H165">
        <v>213</v>
      </c>
      <c r="I165">
        <v>2</v>
      </c>
      <c r="J165">
        <v>77039.5</v>
      </c>
      <c r="K165">
        <f>SUM(Table3[Total_Revenue])</f>
        <v>30761529.489999965</v>
      </c>
      <c r="L165">
        <f t="shared" si="26"/>
        <v>20296358.029999983</v>
      </c>
      <c r="M165">
        <f t="shared" si="27"/>
        <v>0.65979677754963306</v>
      </c>
      <c r="N165" t="str">
        <f t="shared" si="28"/>
        <v>Yes</v>
      </c>
      <c r="O165">
        <f t="shared" si="29"/>
        <v>47894.68</v>
      </c>
      <c r="P165">
        <f t="shared" si="30"/>
        <v>5</v>
      </c>
      <c r="Q165">
        <f t="shared" si="31"/>
        <v>172.5</v>
      </c>
      <c r="R165" t="str">
        <f t="shared" si="32"/>
        <v>Low</v>
      </c>
      <c r="S165" t="str">
        <f t="shared" si="33"/>
        <v>High</v>
      </c>
      <c r="T165" t="str">
        <f t="shared" si="34"/>
        <v>High</v>
      </c>
      <c r="U165" t="str">
        <f t="shared" si="35"/>
        <v>No</v>
      </c>
      <c r="V165" t="str">
        <f t="shared" si="36"/>
        <v>Yes</v>
      </c>
      <c r="W165" t="str">
        <f t="shared" si="37"/>
        <v>No</v>
      </c>
      <c r="X165" t="str">
        <f t="shared" si="38"/>
        <v>No</v>
      </c>
    </row>
    <row r="166" spans="1:24" x14ac:dyDescent="0.3">
      <c r="A166" t="s">
        <v>82</v>
      </c>
      <c r="B166">
        <v>21</v>
      </c>
      <c r="C166" t="s">
        <v>510</v>
      </c>
      <c r="D166">
        <v>43321</v>
      </c>
      <c r="E166" t="s">
        <v>513</v>
      </c>
      <c r="F166">
        <v>34</v>
      </c>
      <c r="G166">
        <v>2247.04</v>
      </c>
      <c r="H166">
        <v>251</v>
      </c>
      <c r="I166">
        <v>5</v>
      </c>
      <c r="J166">
        <v>76399.360000000001</v>
      </c>
      <c r="K166">
        <f>SUM(Table3[Total_Revenue])</f>
        <v>30761529.489999965</v>
      </c>
      <c r="L166">
        <f t="shared" si="26"/>
        <v>20372757.389999982</v>
      </c>
      <c r="M166">
        <f t="shared" si="27"/>
        <v>0.662280378373995</v>
      </c>
      <c r="N166" t="str">
        <f t="shared" si="28"/>
        <v>Yes</v>
      </c>
      <c r="O166">
        <f t="shared" si="29"/>
        <v>47894.68</v>
      </c>
      <c r="P166">
        <f t="shared" si="30"/>
        <v>5</v>
      </c>
      <c r="Q166">
        <f t="shared" si="31"/>
        <v>172.5</v>
      </c>
      <c r="R166" t="str">
        <f t="shared" si="32"/>
        <v>Medium</v>
      </c>
      <c r="S166" t="str">
        <f t="shared" si="33"/>
        <v>High</v>
      </c>
      <c r="T166" t="str">
        <f t="shared" si="34"/>
        <v>High</v>
      </c>
      <c r="U166" t="str">
        <f t="shared" si="35"/>
        <v>Yes</v>
      </c>
      <c r="V166" t="str">
        <f t="shared" si="36"/>
        <v>No</v>
      </c>
      <c r="W166" t="str">
        <f t="shared" si="37"/>
        <v>Yes</v>
      </c>
      <c r="X166" t="str">
        <f t="shared" si="38"/>
        <v>No</v>
      </c>
    </row>
    <row r="167" spans="1:24" x14ac:dyDescent="0.3">
      <c r="A167" t="s">
        <v>501</v>
      </c>
      <c r="B167">
        <v>18</v>
      </c>
      <c r="C167" t="s">
        <v>511</v>
      </c>
      <c r="D167">
        <v>33224</v>
      </c>
      <c r="E167" t="s">
        <v>514</v>
      </c>
      <c r="F167">
        <v>20</v>
      </c>
      <c r="G167">
        <v>3737.51</v>
      </c>
      <c r="H167">
        <v>15</v>
      </c>
      <c r="I167">
        <v>2</v>
      </c>
      <c r="J167">
        <v>74750.2</v>
      </c>
      <c r="K167">
        <f>SUM(Table3[Total_Revenue])</f>
        <v>30761529.489999965</v>
      </c>
      <c r="L167">
        <f t="shared" si="26"/>
        <v>20447507.589999981</v>
      </c>
      <c r="M167">
        <f t="shared" si="27"/>
        <v>0.66471036807994566</v>
      </c>
      <c r="N167" t="str">
        <f t="shared" si="28"/>
        <v>Yes</v>
      </c>
      <c r="O167">
        <f t="shared" si="29"/>
        <v>47894.68</v>
      </c>
      <c r="P167">
        <f t="shared" si="30"/>
        <v>5</v>
      </c>
      <c r="Q167">
        <f t="shared" si="31"/>
        <v>172.5</v>
      </c>
      <c r="R167" t="str">
        <f t="shared" si="32"/>
        <v>Low</v>
      </c>
      <c r="S167" t="str">
        <f t="shared" si="33"/>
        <v>Low</v>
      </c>
      <c r="T167" t="str">
        <f t="shared" si="34"/>
        <v>High</v>
      </c>
      <c r="U167" t="str">
        <f t="shared" si="35"/>
        <v>No</v>
      </c>
      <c r="V167" t="str">
        <f t="shared" si="36"/>
        <v>Yes</v>
      </c>
      <c r="W167" t="str">
        <f t="shared" si="37"/>
        <v>No</v>
      </c>
      <c r="X167" t="str">
        <f t="shared" si="38"/>
        <v>No</v>
      </c>
    </row>
    <row r="168" spans="1:24" x14ac:dyDescent="0.3">
      <c r="A168" t="s">
        <v>507</v>
      </c>
      <c r="B168">
        <v>57</v>
      </c>
      <c r="C168" t="s">
        <v>510</v>
      </c>
      <c r="D168">
        <v>128618</v>
      </c>
      <c r="E168" t="s">
        <v>514</v>
      </c>
      <c r="F168">
        <v>28</v>
      </c>
      <c r="G168">
        <v>2668.38</v>
      </c>
      <c r="H168">
        <v>232</v>
      </c>
      <c r="I168">
        <v>6</v>
      </c>
      <c r="J168">
        <v>74714.64</v>
      </c>
      <c r="K168">
        <f>SUM(Table3[Total_Revenue])</f>
        <v>30761529.489999965</v>
      </c>
      <c r="L168">
        <f t="shared" si="26"/>
        <v>20522222.229999982</v>
      </c>
      <c r="M168">
        <f t="shared" si="27"/>
        <v>0.66713920179656205</v>
      </c>
      <c r="N168" t="str">
        <f t="shared" si="28"/>
        <v>Yes</v>
      </c>
      <c r="O168">
        <f t="shared" si="29"/>
        <v>47894.68</v>
      </c>
      <c r="P168">
        <f t="shared" si="30"/>
        <v>5</v>
      </c>
      <c r="Q168">
        <f t="shared" si="31"/>
        <v>172.5</v>
      </c>
      <c r="R168" t="str">
        <f t="shared" si="32"/>
        <v>High</v>
      </c>
      <c r="S168" t="str">
        <f t="shared" si="33"/>
        <v>High</v>
      </c>
      <c r="T168" t="str">
        <f t="shared" si="34"/>
        <v>High</v>
      </c>
      <c r="U168" t="str">
        <f t="shared" si="35"/>
        <v>Yes</v>
      </c>
      <c r="V168" t="str">
        <f t="shared" si="36"/>
        <v>No</v>
      </c>
      <c r="W168" t="str">
        <f t="shared" si="37"/>
        <v>Yes</v>
      </c>
      <c r="X168" t="str">
        <f t="shared" si="38"/>
        <v>No</v>
      </c>
    </row>
    <row r="169" spans="1:24" x14ac:dyDescent="0.3">
      <c r="A169" t="s">
        <v>88</v>
      </c>
      <c r="B169">
        <v>27</v>
      </c>
      <c r="C169" t="s">
        <v>511</v>
      </c>
      <c r="D169">
        <v>148055</v>
      </c>
      <c r="E169" t="s">
        <v>512</v>
      </c>
      <c r="F169">
        <v>48</v>
      </c>
      <c r="G169">
        <v>1554.66</v>
      </c>
      <c r="H169">
        <v>161</v>
      </c>
      <c r="I169">
        <v>8</v>
      </c>
      <c r="J169">
        <v>74623.679999999993</v>
      </c>
      <c r="K169">
        <f>SUM(Table3[Total_Revenue])</f>
        <v>30761529.489999965</v>
      </c>
      <c r="L169">
        <f t="shared" si="26"/>
        <v>20596845.909999982</v>
      </c>
      <c r="M169">
        <f t="shared" si="27"/>
        <v>0.66956507857308123</v>
      </c>
      <c r="N169" t="str">
        <f t="shared" si="28"/>
        <v>Yes</v>
      </c>
      <c r="O169">
        <f t="shared" si="29"/>
        <v>47894.68</v>
      </c>
      <c r="P169">
        <f t="shared" si="30"/>
        <v>5</v>
      </c>
      <c r="Q169">
        <f t="shared" si="31"/>
        <v>172.5</v>
      </c>
      <c r="R169" t="str">
        <f t="shared" si="32"/>
        <v>High</v>
      </c>
      <c r="S169" t="str">
        <f t="shared" si="33"/>
        <v>Low</v>
      </c>
      <c r="T169" t="str">
        <f t="shared" si="34"/>
        <v>High</v>
      </c>
      <c r="U169" t="str">
        <f t="shared" si="35"/>
        <v>Yes</v>
      </c>
      <c r="V169" t="str">
        <f t="shared" si="36"/>
        <v>No</v>
      </c>
      <c r="W169" t="str">
        <f t="shared" si="37"/>
        <v>Yes</v>
      </c>
      <c r="X169" t="str">
        <f t="shared" si="38"/>
        <v>No</v>
      </c>
    </row>
    <row r="170" spans="1:24" x14ac:dyDescent="0.3">
      <c r="A170" t="s">
        <v>299</v>
      </c>
      <c r="B170">
        <v>33</v>
      </c>
      <c r="C170" t="s">
        <v>511</v>
      </c>
      <c r="D170">
        <v>90792</v>
      </c>
      <c r="E170" t="s">
        <v>513</v>
      </c>
      <c r="F170">
        <v>18</v>
      </c>
      <c r="G170">
        <v>4143.4799999999996</v>
      </c>
      <c r="H170">
        <v>40</v>
      </c>
      <c r="I170">
        <v>2</v>
      </c>
      <c r="J170">
        <v>74582.64</v>
      </c>
      <c r="K170">
        <f>SUM(Table3[Total_Revenue])</f>
        <v>30761529.489999965</v>
      </c>
      <c r="L170">
        <f t="shared" si="26"/>
        <v>20671428.549999982</v>
      </c>
      <c r="M170">
        <f t="shared" si="27"/>
        <v>0.67198962121567796</v>
      </c>
      <c r="N170" t="str">
        <f t="shared" si="28"/>
        <v>Yes</v>
      </c>
      <c r="O170">
        <f t="shared" si="29"/>
        <v>47894.68</v>
      </c>
      <c r="P170">
        <f t="shared" si="30"/>
        <v>5</v>
      </c>
      <c r="Q170">
        <f t="shared" si="31"/>
        <v>172.5</v>
      </c>
      <c r="R170" t="str">
        <f t="shared" si="32"/>
        <v>Low</v>
      </c>
      <c r="S170" t="str">
        <f t="shared" si="33"/>
        <v>Low</v>
      </c>
      <c r="T170" t="str">
        <f t="shared" si="34"/>
        <v>High</v>
      </c>
      <c r="U170" t="str">
        <f t="shared" si="35"/>
        <v>No</v>
      </c>
      <c r="V170" t="str">
        <f t="shared" si="36"/>
        <v>Yes</v>
      </c>
      <c r="W170" t="str">
        <f t="shared" si="37"/>
        <v>No</v>
      </c>
      <c r="X170" t="str">
        <f t="shared" si="38"/>
        <v>No</v>
      </c>
    </row>
    <row r="171" spans="1:24" x14ac:dyDescent="0.3">
      <c r="A171" t="s">
        <v>141</v>
      </c>
      <c r="B171">
        <v>54</v>
      </c>
      <c r="C171" t="s">
        <v>511</v>
      </c>
      <c r="D171">
        <v>110825</v>
      </c>
      <c r="E171" t="s">
        <v>512</v>
      </c>
      <c r="F171">
        <v>18</v>
      </c>
      <c r="G171">
        <v>4133.55</v>
      </c>
      <c r="H171">
        <v>364</v>
      </c>
      <c r="I171">
        <v>9</v>
      </c>
      <c r="J171">
        <v>74403.899999999994</v>
      </c>
      <c r="K171">
        <f>SUM(Table3[Total_Revenue])</f>
        <v>30761529.489999965</v>
      </c>
      <c r="L171">
        <f t="shared" si="26"/>
        <v>20745832.449999981</v>
      </c>
      <c r="M171">
        <f t="shared" si="27"/>
        <v>0.67440835335395422</v>
      </c>
      <c r="N171" t="str">
        <f t="shared" si="28"/>
        <v>Yes</v>
      </c>
      <c r="O171">
        <f t="shared" si="29"/>
        <v>47894.68</v>
      </c>
      <c r="P171">
        <f t="shared" si="30"/>
        <v>5</v>
      </c>
      <c r="Q171">
        <f t="shared" si="31"/>
        <v>172.5</v>
      </c>
      <c r="R171" t="str">
        <f t="shared" si="32"/>
        <v>High</v>
      </c>
      <c r="S171" t="str">
        <f t="shared" si="33"/>
        <v>High</v>
      </c>
      <c r="T171" t="str">
        <f t="shared" si="34"/>
        <v>High</v>
      </c>
      <c r="U171" t="str">
        <f t="shared" si="35"/>
        <v>Yes</v>
      </c>
      <c r="V171" t="str">
        <f t="shared" si="36"/>
        <v>No</v>
      </c>
      <c r="W171" t="str">
        <f t="shared" si="37"/>
        <v>Yes</v>
      </c>
      <c r="X171" t="str">
        <f t="shared" si="38"/>
        <v>No</v>
      </c>
    </row>
    <row r="172" spans="1:24" x14ac:dyDescent="0.3">
      <c r="A172" t="s">
        <v>383</v>
      </c>
      <c r="B172">
        <v>34</v>
      </c>
      <c r="C172" t="s">
        <v>511</v>
      </c>
      <c r="D172">
        <v>84484</v>
      </c>
      <c r="E172" t="s">
        <v>512</v>
      </c>
      <c r="F172">
        <v>18</v>
      </c>
      <c r="G172">
        <v>4063.53</v>
      </c>
      <c r="H172">
        <v>124</v>
      </c>
      <c r="I172">
        <v>7</v>
      </c>
      <c r="J172">
        <v>73143.539999999994</v>
      </c>
      <c r="K172">
        <f>SUM(Table3[Total_Revenue])</f>
        <v>30761529.489999965</v>
      </c>
      <c r="L172">
        <f t="shared" si="26"/>
        <v>20818975.98999998</v>
      </c>
      <c r="M172">
        <f t="shared" si="27"/>
        <v>0.67678611353729545</v>
      </c>
      <c r="N172" t="str">
        <f t="shared" si="28"/>
        <v>Yes</v>
      </c>
      <c r="O172">
        <f t="shared" si="29"/>
        <v>47894.68</v>
      </c>
      <c r="P172">
        <f t="shared" si="30"/>
        <v>5</v>
      </c>
      <c r="Q172">
        <f t="shared" si="31"/>
        <v>172.5</v>
      </c>
      <c r="R172" t="str">
        <f t="shared" si="32"/>
        <v>High</v>
      </c>
      <c r="S172" t="str">
        <f t="shared" si="33"/>
        <v>Low</v>
      </c>
      <c r="T172" t="str">
        <f t="shared" si="34"/>
        <v>High</v>
      </c>
      <c r="U172" t="str">
        <f t="shared" si="35"/>
        <v>Yes</v>
      </c>
      <c r="V172" t="str">
        <f t="shared" si="36"/>
        <v>No</v>
      </c>
      <c r="W172" t="str">
        <f t="shared" si="37"/>
        <v>Yes</v>
      </c>
      <c r="X172" t="str">
        <f t="shared" si="38"/>
        <v>No</v>
      </c>
    </row>
    <row r="173" spans="1:24" x14ac:dyDescent="0.3">
      <c r="A173" t="s">
        <v>241</v>
      </c>
      <c r="B173">
        <v>40</v>
      </c>
      <c r="C173" t="s">
        <v>511</v>
      </c>
      <c r="D173">
        <v>84323</v>
      </c>
      <c r="E173" t="s">
        <v>514</v>
      </c>
      <c r="F173">
        <v>37</v>
      </c>
      <c r="G173">
        <v>1974.38</v>
      </c>
      <c r="H173">
        <v>192</v>
      </c>
      <c r="I173">
        <v>5</v>
      </c>
      <c r="J173">
        <v>73052.06</v>
      </c>
      <c r="K173">
        <f>SUM(Table3[Total_Revenue])</f>
        <v>30761529.489999965</v>
      </c>
      <c r="L173">
        <f t="shared" si="26"/>
        <v>20892028.049999978</v>
      </c>
      <c r="M173">
        <f t="shared" si="27"/>
        <v>0.67916089987630857</v>
      </c>
      <c r="N173" t="str">
        <f t="shared" si="28"/>
        <v>Yes</v>
      </c>
      <c r="O173">
        <f t="shared" si="29"/>
        <v>47894.68</v>
      </c>
      <c r="P173">
        <f t="shared" si="30"/>
        <v>5</v>
      </c>
      <c r="Q173">
        <f t="shared" si="31"/>
        <v>172.5</v>
      </c>
      <c r="R173" t="str">
        <f t="shared" si="32"/>
        <v>Medium</v>
      </c>
      <c r="S173" t="str">
        <f t="shared" si="33"/>
        <v>High</v>
      </c>
      <c r="T173" t="str">
        <f t="shared" si="34"/>
        <v>High</v>
      </c>
      <c r="U173" t="str">
        <f t="shared" si="35"/>
        <v>Yes</v>
      </c>
      <c r="V173" t="str">
        <f t="shared" si="36"/>
        <v>No</v>
      </c>
      <c r="W173" t="str">
        <f t="shared" si="37"/>
        <v>Yes</v>
      </c>
      <c r="X173" t="str">
        <f t="shared" si="38"/>
        <v>No</v>
      </c>
    </row>
    <row r="174" spans="1:24" x14ac:dyDescent="0.3">
      <c r="A174" t="s">
        <v>411</v>
      </c>
      <c r="B174">
        <v>57</v>
      </c>
      <c r="C174" t="s">
        <v>511</v>
      </c>
      <c r="D174">
        <v>34382</v>
      </c>
      <c r="E174" t="s">
        <v>512</v>
      </c>
      <c r="F174">
        <v>15</v>
      </c>
      <c r="G174">
        <v>4856.67</v>
      </c>
      <c r="H174">
        <v>219</v>
      </c>
      <c r="I174">
        <v>6</v>
      </c>
      <c r="J174">
        <v>72850.05</v>
      </c>
      <c r="K174">
        <f>SUM(Table3[Total_Revenue])</f>
        <v>30761529.489999965</v>
      </c>
      <c r="L174">
        <f t="shared" si="26"/>
        <v>20964878.099999979</v>
      </c>
      <c r="M174">
        <f t="shared" si="27"/>
        <v>0.68152911924666471</v>
      </c>
      <c r="N174" t="str">
        <f t="shared" si="28"/>
        <v>Yes</v>
      </c>
      <c r="O174">
        <f t="shared" si="29"/>
        <v>47894.68</v>
      </c>
      <c r="P174">
        <f t="shared" si="30"/>
        <v>5</v>
      </c>
      <c r="Q174">
        <f t="shared" si="31"/>
        <v>172.5</v>
      </c>
      <c r="R174" t="str">
        <f t="shared" si="32"/>
        <v>High</v>
      </c>
      <c r="S174" t="str">
        <f t="shared" si="33"/>
        <v>High</v>
      </c>
      <c r="T174" t="str">
        <f t="shared" si="34"/>
        <v>High</v>
      </c>
      <c r="U174" t="str">
        <f t="shared" si="35"/>
        <v>Yes</v>
      </c>
      <c r="V174" t="str">
        <f t="shared" si="36"/>
        <v>No</v>
      </c>
      <c r="W174" t="str">
        <f t="shared" si="37"/>
        <v>Yes</v>
      </c>
      <c r="X174" t="str">
        <f t="shared" si="38"/>
        <v>No</v>
      </c>
    </row>
    <row r="175" spans="1:24" x14ac:dyDescent="0.3">
      <c r="A175" t="s">
        <v>407</v>
      </c>
      <c r="B175">
        <v>42</v>
      </c>
      <c r="C175" t="s">
        <v>511</v>
      </c>
      <c r="D175">
        <v>121532</v>
      </c>
      <c r="E175" t="s">
        <v>513</v>
      </c>
      <c r="F175">
        <v>28</v>
      </c>
      <c r="G175">
        <v>2592.04</v>
      </c>
      <c r="H175">
        <v>115</v>
      </c>
      <c r="I175">
        <v>10</v>
      </c>
      <c r="J175">
        <v>72577.119999999995</v>
      </c>
      <c r="K175">
        <f>SUM(Table3[Total_Revenue])</f>
        <v>30761529.489999965</v>
      </c>
      <c r="L175">
        <f t="shared" si="26"/>
        <v>21037455.21999998</v>
      </c>
      <c r="M175">
        <f t="shared" si="27"/>
        <v>0.68388846617132248</v>
      </c>
      <c r="N175" t="str">
        <f t="shared" si="28"/>
        <v>Yes</v>
      </c>
      <c r="O175">
        <f t="shared" si="29"/>
        <v>47894.68</v>
      </c>
      <c r="P175">
        <f t="shared" si="30"/>
        <v>5</v>
      </c>
      <c r="Q175">
        <f t="shared" si="31"/>
        <v>172.5</v>
      </c>
      <c r="R175" t="str">
        <f t="shared" si="32"/>
        <v>High</v>
      </c>
      <c r="S175" t="str">
        <f t="shared" si="33"/>
        <v>Low</v>
      </c>
      <c r="T175" t="str">
        <f t="shared" si="34"/>
        <v>High</v>
      </c>
      <c r="U175" t="str">
        <f t="shared" si="35"/>
        <v>Yes</v>
      </c>
      <c r="V175" t="str">
        <f t="shared" si="36"/>
        <v>No</v>
      </c>
      <c r="W175" t="str">
        <f t="shared" si="37"/>
        <v>Yes</v>
      </c>
      <c r="X175" t="str">
        <f t="shared" si="38"/>
        <v>No</v>
      </c>
    </row>
    <row r="176" spans="1:24" x14ac:dyDescent="0.3">
      <c r="A176" t="s">
        <v>160</v>
      </c>
      <c r="B176">
        <v>26</v>
      </c>
      <c r="C176" t="s">
        <v>511</v>
      </c>
      <c r="D176">
        <v>144049</v>
      </c>
      <c r="E176" t="s">
        <v>515</v>
      </c>
      <c r="F176">
        <v>24</v>
      </c>
      <c r="G176">
        <v>3008.34</v>
      </c>
      <c r="H176">
        <v>217</v>
      </c>
      <c r="I176">
        <v>7</v>
      </c>
      <c r="J176">
        <v>72200.160000000003</v>
      </c>
      <c r="K176">
        <f>SUM(Table3[Total_Revenue])</f>
        <v>30761529.489999965</v>
      </c>
      <c r="L176">
        <f t="shared" si="26"/>
        <v>21109655.37999998</v>
      </c>
      <c r="M176">
        <f t="shared" si="27"/>
        <v>0.68623555882884046</v>
      </c>
      <c r="N176" t="str">
        <f t="shared" si="28"/>
        <v>Yes</v>
      </c>
      <c r="O176">
        <f t="shared" si="29"/>
        <v>47894.68</v>
      </c>
      <c r="P176">
        <f t="shared" si="30"/>
        <v>5</v>
      </c>
      <c r="Q176">
        <f t="shared" si="31"/>
        <v>172.5</v>
      </c>
      <c r="R176" t="str">
        <f t="shared" si="32"/>
        <v>High</v>
      </c>
      <c r="S176" t="str">
        <f t="shared" si="33"/>
        <v>High</v>
      </c>
      <c r="T176" t="str">
        <f t="shared" si="34"/>
        <v>High</v>
      </c>
      <c r="U176" t="str">
        <f t="shared" si="35"/>
        <v>Yes</v>
      </c>
      <c r="V176" t="str">
        <f t="shared" si="36"/>
        <v>No</v>
      </c>
      <c r="W176" t="str">
        <f t="shared" si="37"/>
        <v>Yes</v>
      </c>
      <c r="X176" t="str">
        <f t="shared" si="38"/>
        <v>No</v>
      </c>
    </row>
    <row r="177" spans="1:24" x14ac:dyDescent="0.3">
      <c r="A177" t="s">
        <v>367</v>
      </c>
      <c r="B177">
        <v>25</v>
      </c>
      <c r="C177" t="s">
        <v>511</v>
      </c>
      <c r="D177">
        <v>107487</v>
      </c>
      <c r="E177" t="s">
        <v>512</v>
      </c>
      <c r="F177">
        <v>28</v>
      </c>
      <c r="G177">
        <v>2546.7399999999998</v>
      </c>
      <c r="H177">
        <v>273</v>
      </c>
      <c r="I177">
        <v>3</v>
      </c>
      <c r="J177">
        <v>71308.72</v>
      </c>
      <c r="K177">
        <f>SUM(Table3[Total_Revenue])</f>
        <v>30761529.489999965</v>
      </c>
      <c r="L177">
        <f t="shared" si="26"/>
        <v>21180964.099999979</v>
      </c>
      <c r="M177">
        <f t="shared" si="27"/>
        <v>0.68855367243314547</v>
      </c>
      <c r="N177" t="str">
        <f t="shared" si="28"/>
        <v>Yes</v>
      </c>
      <c r="O177">
        <f t="shared" si="29"/>
        <v>47894.68</v>
      </c>
      <c r="P177">
        <f t="shared" si="30"/>
        <v>5</v>
      </c>
      <c r="Q177">
        <f t="shared" si="31"/>
        <v>172.5</v>
      </c>
      <c r="R177" t="str">
        <f t="shared" si="32"/>
        <v>Low</v>
      </c>
      <c r="S177" t="str">
        <f t="shared" si="33"/>
        <v>High</v>
      </c>
      <c r="T177" t="str">
        <f t="shared" si="34"/>
        <v>High</v>
      </c>
      <c r="U177" t="str">
        <f t="shared" si="35"/>
        <v>No</v>
      </c>
      <c r="V177" t="str">
        <f t="shared" si="36"/>
        <v>Yes</v>
      </c>
      <c r="W177" t="str">
        <f t="shared" si="37"/>
        <v>No</v>
      </c>
      <c r="X177" t="str">
        <f t="shared" si="38"/>
        <v>No</v>
      </c>
    </row>
    <row r="178" spans="1:24" x14ac:dyDescent="0.3">
      <c r="A178" t="s">
        <v>186</v>
      </c>
      <c r="B178">
        <v>39</v>
      </c>
      <c r="C178" t="s">
        <v>510</v>
      </c>
      <c r="D178">
        <v>48024</v>
      </c>
      <c r="E178" t="s">
        <v>514</v>
      </c>
      <c r="F178">
        <v>22</v>
      </c>
      <c r="G178">
        <v>3226.01</v>
      </c>
      <c r="H178">
        <v>142</v>
      </c>
      <c r="I178">
        <v>5</v>
      </c>
      <c r="J178">
        <v>70972.22</v>
      </c>
      <c r="K178">
        <f>SUM(Table3[Total_Revenue])</f>
        <v>30761529.489999965</v>
      </c>
      <c r="L178">
        <f t="shared" si="26"/>
        <v>21251936.319999978</v>
      </c>
      <c r="M178">
        <f t="shared" si="27"/>
        <v>0.69086084704951389</v>
      </c>
      <c r="N178" t="str">
        <f t="shared" si="28"/>
        <v>Yes</v>
      </c>
      <c r="O178">
        <f t="shared" si="29"/>
        <v>47894.68</v>
      </c>
      <c r="P178">
        <f t="shared" si="30"/>
        <v>5</v>
      </c>
      <c r="Q178">
        <f t="shared" si="31"/>
        <v>172.5</v>
      </c>
      <c r="R178" t="str">
        <f t="shared" si="32"/>
        <v>Medium</v>
      </c>
      <c r="S178" t="str">
        <f t="shared" si="33"/>
        <v>Low</v>
      </c>
      <c r="T178" t="str">
        <f t="shared" si="34"/>
        <v>High</v>
      </c>
      <c r="U178" t="str">
        <f t="shared" si="35"/>
        <v>Yes</v>
      </c>
      <c r="V178" t="str">
        <f t="shared" si="36"/>
        <v>No</v>
      </c>
      <c r="W178" t="str">
        <f t="shared" si="37"/>
        <v>Yes</v>
      </c>
      <c r="X178" t="str">
        <f t="shared" si="38"/>
        <v>No</v>
      </c>
    </row>
    <row r="179" spans="1:24" x14ac:dyDescent="0.3">
      <c r="A179" t="s">
        <v>296</v>
      </c>
      <c r="B179">
        <v>59</v>
      </c>
      <c r="C179" t="s">
        <v>510</v>
      </c>
      <c r="D179">
        <v>87444</v>
      </c>
      <c r="E179" t="s">
        <v>512</v>
      </c>
      <c r="F179">
        <v>17</v>
      </c>
      <c r="G179">
        <v>4163.7299999999996</v>
      </c>
      <c r="H179">
        <v>283</v>
      </c>
      <c r="I179">
        <v>7</v>
      </c>
      <c r="J179">
        <v>70783.41</v>
      </c>
      <c r="K179">
        <f>SUM(Table3[Total_Revenue])</f>
        <v>30761529.489999965</v>
      </c>
      <c r="L179">
        <f t="shared" si="26"/>
        <v>21322719.729999978</v>
      </c>
      <c r="M179">
        <f t="shared" si="27"/>
        <v>0.69316188380462751</v>
      </c>
      <c r="N179" t="str">
        <f t="shared" si="28"/>
        <v>Yes</v>
      </c>
      <c r="O179">
        <f t="shared" si="29"/>
        <v>47894.68</v>
      </c>
      <c r="P179">
        <f t="shared" si="30"/>
        <v>5</v>
      </c>
      <c r="Q179">
        <f t="shared" si="31"/>
        <v>172.5</v>
      </c>
      <c r="R179" t="str">
        <f t="shared" si="32"/>
        <v>High</v>
      </c>
      <c r="S179" t="str">
        <f t="shared" si="33"/>
        <v>High</v>
      </c>
      <c r="T179" t="str">
        <f t="shared" si="34"/>
        <v>High</v>
      </c>
      <c r="U179" t="str">
        <f t="shared" si="35"/>
        <v>Yes</v>
      </c>
      <c r="V179" t="str">
        <f t="shared" si="36"/>
        <v>No</v>
      </c>
      <c r="W179" t="str">
        <f t="shared" si="37"/>
        <v>Yes</v>
      </c>
      <c r="X179" t="str">
        <f t="shared" si="38"/>
        <v>No</v>
      </c>
    </row>
    <row r="180" spans="1:24" x14ac:dyDescent="0.3">
      <c r="A180" t="s">
        <v>264</v>
      </c>
      <c r="B180">
        <v>65</v>
      </c>
      <c r="C180" t="s">
        <v>510</v>
      </c>
      <c r="D180">
        <v>79383</v>
      </c>
      <c r="E180" t="s">
        <v>514</v>
      </c>
      <c r="F180">
        <v>17</v>
      </c>
      <c r="G180">
        <v>4143.8999999999996</v>
      </c>
      <c r="H180">
        <v>248</v>
      </c>
      <c r="I180">
        <v>5</v>
      </c>
      <c r="J180">
        <v>70446.3</v>
      </c>
      <c r="K180">
        <f>SUM(Table3[Total_Revenue])</f>
        <v>30761529.489999965</v>
      </c>
      <c r="L180">
        <f t="shared" si="26"/>
        <v>21393166.029999979</v>
      </c>
      <c r="M180">
        <f t="shared" si="27"/>
        <v>0.69545196174184132</v>
      </c>
      <c r="N180" t="str">
        <f t="shared" si="28"/>
        <v>Yes</v>
      </c>
      <c r="O180">
        <f t="shared" si="29"/>
        <v>47894.68</v>
      </c>
      <c r="P180">
        <f t="shared" si="30"/>
        <v>5</v>
      </c>
      <c r="Q180">
        <f t="shared" si="31"/>
        <v>172.5</v>
      </c>
      <c r="R180" t="str">
        <f t="shared" si="32"/>
        <v>Medium</v>
      </c>
      <c r="S180" t="str">
        <f t="shared" si="33"/>
        <v>High</v>
      </c>
      <c r="T180" t="str">
        <f t="shared" si="34"/>
        <v>High</v>
      </c>
      <c r="U180" t="str">
        <f t="shared" si="35"/>
        <v>Yes</v>
      </c>
      <c r="V180" t="str">
        <f t="shared" si="36"/>
        <v>No</v>
      </c>
      <c r="W180" t="str">
        <f t="shared" si="37"/>
        <v>Yes</v>
      </c>
      <c r="X180" t="str">
        <f t="shared" si="38"/>
        <v>No</v>
      </c>
    </row>
    <row r="181" spans="1:24" x14ac:dyDescent="0.3">
      <c r="A181" t="s">
        <v>344</v>
      </c>
      <c r="B181">
        <v>50</v>
      </c>
      <c r="C181" t="s">
        <v>510</v>
      </c>
      <c r="D181">
        <v>122974</v>
      </c>
      <c r="E181" t="s">
        <v>515</v>
      </c>
      <c r="F181">
        <v>38</v>
      </c>
      <c r="G181">
        <v>1835.76</v>
      </c>
      <c r="H181">
        <v>364</v>
      </c>
      <c r="I181">
        <v>3</v>
      </c>
      <c r="J181">
        <v>69758.880000000005</v>
      </c>
      <c r="K181">
        <f>SUM(Table3[Total_Revenue])</f>
        <v>30761529.489999965</v>
      </c>
      <c r="L181">
        <f t="shared" si="26"/>
        <v>21462924.909999978</v>
      </c>
      <c r="M181">
        <f t="shared" si="27"/>
        <v>0.69771969293585345</v>
      </c>
      <c r="N181" t="str">
        <f t="shared" si="28"/>
        <v>Yes</v>
      </c>
      <c r="O181">
        <f t="shared" si="29"/>
        <v>47894.68</v>
      </c>
      <c r="P181">
        <f t="shared" si="30"/>
        <v>5</v>
      </c>
      <c r="Q181">
        <f t="shared" si="31"/>
        <v>172.5</v>
      </c>
      <c r="R181" t="str">
        <f t="shared" si="32"/>
        <v>Low</v>
      </c>
      <c r="S181" t="str">
        <f t="shared" si="33"/>
        <v>High</v>
      </c>
      <c r="T181" t="str">
        <f t="shared" si="34"/>
        <v>High</v>
      </c>
      <c r="U181" t="str">
        <f t="shared" si="35"/>
        <v>No</v>
      </c>
      <c r="V181" t="str">
        <f t="shared" si="36"/>
        <v>Yes</v>
      </c>
      <c r="W181" t="str">
        <f t="shared" si="37"/>
        <v>No</v>
      </c>
      <c r="X181" t="str">
        <f t="shared" si="38"/>
        <v>No</v>
      </c>
    </row>
    <row r="182" spans="1:24" x14ac:dyDescent="0.3">
      <c r="A182" t="s">
        <v>55</v>
      </c>
      <c r="B182">
        <v>26</v>
      </c>
      <c r="C182" t="s">
        <v>510</v>
      </c>
      <c r="D182">
        <v>135359</v>
      </c>
      <c r="E182" t="s">
        <v>514</v>
      </c>
      <c r="F182">
        <v>35</v>
      </c>
      <c r="G182">
        <v>1934.05</v>
      </c>
      <c r="H182">
        <v>158</v>
      </c>
      <c r="I182">
        <v>10</v>
      </c>
      <c r="J182">
        <v>67691.75</v>
      </c>
      <c r="K182">
        <f>SUM(Table3[Total_Revenue])</f>
        <v>30761529.489999965</v>
      </c>
      <c r="L182">
        <f t="shared" si="26"/>
        <v>21530616.659999978</v>
      </c>
      <c r="M182">
        <f t="shared" si="27"/>
        <v>0.69992022558563627</v>
      </c>
      <c r="N182" t="str">
        <f t="shared" si="28"/>
        <v>Yes</v>
      </c>
      <c r="O182">
        <f t="shared" si="29"/>
        <v>47894.68</v>
      </c>
      <c r="P182">
        <f t="shared" si="30"/>
        <v>5</v>
      </c>
      <c r="Q182">
        <f t="shared" si="31"/>
        <v>172.5</v>
      </c>
      <c r="R182" t="str">
        <f t="shared" si="32"/>
        <v>High</v>
      </c>
      <c r="S182" t="str">
        <f t="shared" si="33"/>
        <v>Low</v>
      </c>
      <c r="T182" t="str">
        <f t="shared" si="34"/>
        <v>High</v>
      </c>
      <c r="U182" t="str">
        <f t="shared" si="35"/>
        <v>Yes</v>
      </c>
      <c r="V182" t="str">
        <f t="shared" si="36"/>
        <v>No</v>
      </c>
      <c r="W182" t="str">
        <f t="shared" si="37"/>
        <v>Yes</v>
      </c>
      <c r="X182" t="str">
        <f t="shared" si="38"/>
        <v>No</v>
      </c>
    </row>
    <row r="183" spans="1:24" x14ac:dyDescent="0.3">
      <c r="A183" t="s">
        <v>315</v>
      </c>
      <c r="B183">
        <v>65</v>
      </c>
      <c r="C183" t="s">
        <v>510</v>
      </c>
      <c r="D183">
        <v>141101</v>
      </c>
      <c r="E183" t="s">
        <v>514</v>
      </c>
      <c r="F183">
        <v>22</v>
      </c>
      <c r="G183">
        <v>3052.51</v>
      </c>
      <c r="H183">
        <v>129</v>
      </c>
      <c r="I183">
        <v>8</v>
      </c>
      <c r="J183">
        <v>67155.22</v>
      </c>
      <c r="K183">
        <f>SUM(Table3[Total_Revenue])</f>
        <v>30761529.489999965</v>
      </c>
      <c r="L183">
        <f t="shared" si="26"/>
        <v>21597771.879999977</v>
      </c>
      <c r="M183">
        <f t="shared" si="27"/>
        <v>0.70210331664493586</v>
      </c>
      <c r="N183" t="str">
        <f t="shared" si="28"/>
        <v>Yes</v>
      </c>
      <c r="O183">
        <f t="shared" si="29"/>
        <v>47894.68</v>
      </c>
      <c r="P183">
        <f t="shared" si="30"/>
        <v>5</v>
      </c>
      <c r="Q183">
        <f t="shared" si="31"/>
        <v>172.5</v>
      </c>
      <c r="R183" t="str">
        <f t="shared" si="32"/>
        <v>High</v>
      </c>
      <c r="S183" t="str">
        <f t="shared" si="33"/>
        <v>Low</v>
      </c>
      <c r="T183" t="str">
        <f t="shared" si="34"/>
        <v>High</v>
      </c>
      <c r="U183" t="str">
        <f t="shared" si="35"/>
        <v>Yes</v>
      </c>
      <c r="V183" t="str">
        <f t="shared" si="36"/>
        <v>No</v>
      </c>
      <c r="W183" t="str">
        <f t="shared" si="37"/>
        <v>Yes</v>
      </c>
      <c r="X183" t="str">
        <f t="shared" si="38"/>
        <v>No</v>
      </c>
    </row>
    <row r="184" spans="1:24" x14ac:dyDescent="0.3">
      <c r="A184" t="s">
        <v>395</v>
      </c>
      <c r="B184">
        <v>66</v>
      </c>
      <c r="C184" t="s">
        <v>510</v>
      </c>
      <c r="D184">
        <v>63872</v>
      </c>
      <c r="E184" t="s">
        <v>513</v>
      </c>
      <c r="F184">
        <v>29</v>
      </c>
      <c r="G184">
        <v>2308.04</v>
      </c>
      <c r="H184">
        <v>21</v>
      </c>
      <c r="I184">
        <v>9</v>
      </c>
      <c r="J184">
        <v>66933.16</v>
      </c>
      <c r="K184">
        <f>SUM(Table3[Total_Revenue])</f>
        <v>30761529.489999965</v>
      </c>
      <c r="L184">
        <f t="shared" si="26"/>
        <v>21664705.039999977</v>
      </c>
      <c r="M184">
        <f t="shared" si="27"/>
        <v>0.70427918894744146</v>
      </c>
      <c r="N184" t="str">
        <f t="shared" si="28"/>
        <v>Yes</v>
      </c>
      <c r="O184">
        <f t="shared" si="29"/>
        <v>47894.68</v>
      </c>
      <c r="P184">
        <f t="shared" si="30"/>
        <v>5</v>
      </c>
      <c r="Q184">
        <f t="shared" si="31"/>
        <v>172.5</v>
      </c>
      <c r="R184" t="str">
        <f t="shared" si="32"/>
        <v>High</v>
      </c>
      <c r="S184" t="str">
        <f t="shared" si="33"/>
        <v>Low</v>
      </c>
      <c r="T184" t="str">
        <f t="shared" si="34"/>
        <v>High</v>
      </c>
      <c r="U184" t="str">
        <f t="shared" si="35"/>
        <v>Yes</v>
      </c>
      <c r="V184" t="str">
        <f t="shared" si="36"/>
        <v>No</v>
      </c>
      <c r="W184" t="str">
        <f t="shared" si="37"/>
        <v>Yes</v>
      </c>
      <c r="X184" t="str">
        <f t="shared" si="38"/>
        <v>No</v>
      </c>
    </row>
    <row r="185" spans="1:24" x14ac:dyDescent="0.3">
      <c r="A185" t="s">
        <v>195</v>
      </c>
      <c r="B185">
        <v>61</v>
      </c>
      <c r="C185" t="s">
        <v>510</v>
      </c>
      <c r="D185">
        <v>47139</v>
      </c>
      <c r="E185" t="s">
        <v>515</v>
      </c>
      <c r="F185">
        <v>29</v>
      </c>
      <c r="G185">
        <v>2284.38</v>
      </c>
      <c r="H185">
        <v>218</v>
      </c>
      <c r="I185">
        <v>2</v>
      </c>
      <c r="J185">
        <v>66247.02</v>
      </c>
      <c r="K185">
        <f>SUM(Table3[Total_Revenue])</f>
        <v>30761529.489999965</v>
      </c>
      <c r="L185">
        <f t="shared" si="26"/>
        <v>21730952.059999976</v>
      </c>
      <c r="M185">
        <f t="shared" si="27"/>
        <v>0.70643275611716017</v>
      </c>
      <c r="N185" t="str">
        <f t="shared" si="28"/>
        <v>Yes</v>
      </c>
      <c r="O185">
        <f t="shared" si="29"/>
        <v>47894.68</v>
      </c>
      <c r="P185">
        <f t="shared" si="30"/>
        <v>5</v>
      </c>
      <c r="Q185">
        <f t="shared" si="31"/>
        <v>172.5</v>
      </c>
      <c r="R185" t="str">
        <f t="shared" si="32"/>
        <v>Low</v>
      </c>
      <c r="S185" t="str">
        <f t="shared" si="33"/>
        <v>High</v>
      </c>
      <c r="T185" t="str">
        <f t="shared" si="34"/>
        <v>High</v>
      </c>
      <c r="U185" t="str">
        <f t="shared" si="35"/>
        <v>No</v>
      </c>
      <c r="V185" t="str">
        <f t="shared" si="36"/>
        <v>Yes</v>
      </c>
      <c r="W185" t="str">
        <f t="shared" si="37"/>
        <v>No</v>
      </c>
      <c r="X185" t="str">
        <f t="shared" si="38"/>
        <v>No</v>
      </c>
    </row>
    <row r="186" spans="1:24" x14ac:dyDescent="0.3">
      <c r="A186" t="s">
        <v>207</v>
      </c>
      <c r="B186">
        <v>58</v>
      </c>
      <c r="C186" t="s">
        <v>511</v>
      </c>
      <c r="D186">
        <v>120894</v>
      </c>
      <c r="E186" t="s">
        <v>512</v>
      </c>
      <c r="F186">
        <v>32</v>
      </c>
      <c r="G186">
        <v>2065.8200000000002</v>
      </c>
      <c r="H186">
        <v>152</v>
      </c>
      <c r="I186">
        <v>5</v>
      </c>
      <c r="J186">
        <v>66106.240000000005</v>
      </c>
      <c r="K186">
        <f>SUM(Table3[Total_Revenue])</f>
        <v>30761529.489999965</v>
      </c>
      <c r="L186">
        <f t="shared" si="26"/>
        <v>21797058.299999975</v>
      </c>
      <c r="M186">
        <f t="shared" si="27"/>
        <v>0.70858174679142061</v>
      </c>
      <c r="N186" t="str">
        <f t="shared" si="28"/>
        <v>Yes</v>
      </c>
      <c r="O186">
        <f t="shared" si="29"/>
        <v>47894.68</v>
      </c>
      <c r="P186">
        <f t="shared" si="30"/>
        <v>5</v>
      </c>
      <c r="Q186">
        <f t="shared" si="31"/>
        <v>172.5</v>
      </c>
      <c r="R186" t="str">
        <f t="shared" si="32"/>
        <v>Medium</v>
      </c>
      <c r="S186" t="str">
        <f t="shared" si="33"/>
        <v>Low</v>
      </c>
      <c r="T186" t="str">
        <f t="shared" si="34"/>
        <v>High</v>
      </c>
      <c r="U186" t="str">
        <f t="shared" si="35"/>
        <v>Yes</v>
      </c>
      <c r="V186" t="str">
        <f t="shared" si="36"/>
        <v>No</v>
      </c>
      <c r="W186" t="str">
        <f t="shared" si="37"/>
        <v>Yes</v>
      </c>
      <c r="X186" t="str">
        <f t="shared" si="38"/>
        <v>No</v>
      </c>
    </row>
    <row r="187" spans="1:24" x14ac:dyDescent="0.3">
      <c r="A187" t="s">
        <v>84</v>
      </c>
      <c r="B187">
        <v>35</v>
      </c>
      <c r="C187" t="s">
        <v>510</v>
      </c>
      <c r="D187">
        <v>42574</v>
      </c>
      <c r="E187" t="s">
        <v>514</v>
      </c>
      <c r="F187">
        <v>15</v>
      </c>
      <c r="G187">
        <v>4401.67</v>
      </c>
      <c r="H187">
        <v>303</v>
      </c>
      <c r="I187">
        <v>10</v>
      </c>
      <c r="J187">
        <v>66025.05</v>
      </c>
      <c r="K187">
        <f>SUM(Table3[Total_Revenue])</f>
        <v>30761529.489999965</v>
      </c>
      <c r="L187">
        <f t="shared" si="26"/>
        <v>21863083.349999975</v>
      </c>
      <c r="M187">
        <f t="shared" si="27"/>
        <v>0.71072809813007776</v>
      </c>
      <c r="N187" t="str">
        <f t="shared" si="28"/>
        <v>Yes</v>
      </c>
      <c r="O187">
        <f t="shared" si="29"/>
        <v>47894.68</v>
      </c>
      <c r="P187">
        <f t="shared" si="30"/>
        <v>5</v>
      </c>
      <c r="Q187">
        <f t="shared" si="31"/>
        <v>172.5</v>
      </c>
      <c r="R187" t="str">
        <f t="shared" si="32"/>
        <v>High</v>
      </c>
      <c r="S187" t="str">
        <f t="shared" si="33"/>
        <v>High</v>
      </c>
      <c r="T187" t="str">
        <f t="shared" si="34"/>
        <v>High</v>
      </c>
      <c r="U187" t="str">
        <f t="shared" si="35"/>
        <v>Yes</v>
      </c>
      <c r="V187" t="str">
        <f t="shared" si="36"/>
        <v>No</v>
      </c>
      <c r="W187" t="str">
        <f t="shared" si="37"/>
        <v>Yes</v>
      </c>
      <c r="X187" t="str">
        <f t="shared" si="38"/>
        <v>No</v>
      </c>
    </row>
    <row r="188" spans="1:24" x14ac:dyDescent="0.3">
      <c r="A188" t="s">
        <v>267</v>
      </c>
      <c r="B188">
        <v>26</v>
      </c>
      <c r="C188" t="s">
        <v>510</v>
      </c>
      <c r="D188">
        <v>107958</v>
      </c>
      <c r="E188" t="s">
        <v>515</v>
      </c>
      <c r="F188">
        <v>15</v>
      </c>
      <c r="G188">
        <v>4379.3500000000004</v>
      </c>
      <c r="H188">
        <v>97</v>
      </c>
      <c r="I188">
        <v>4</v>
      </c>
      <c r="J188">
        <v>65690.25</v>
      </c>
      <c r="K188">
        <f>SUM(Table3[Total_Revenue])</f>
        <v>30761529.489999965</v>
      </c>
      <c r="L188">
        <f t="shared" si="26"/>
        <v>21928773.599999975</v>
      </c>
      <c r="M188">
        <f t="shared" si="27"/>
        <v>0.71286356574463039</v>
      </c>
      <c r="N188" t="str">
        <f t="shared" si="28"/>
        <v>Yes</v>
      </c>
      <c r="O188">
        <f t="shared" si="29"/>
        <v>47894.68</v>
      </c>
      <c r="P188">
        <f t="shared" si="30"/>
        <v>5</v>
      </c>
      <c r="Q188">
        <f t="shared" si="31"/>
        <v>172.5</v>
      </c>
      <c r="R188" t="str">
        <f t="shared" si="32"/>
        <v>Low</v>
      </c>
      <c r="S188" t="str">
        <f t="shared" si="33"/>
        <v>Low</v>
      </c>
      <c r="T188" t="str">
        <f t="shared" si="34"/>
        <v>High</v>
      </c>
      <c r="U188" t="str">
        <f t="shared" si="35"/>
        <v>No</v>
      </c>
      <c r="V188" t="str">
        <f t="shared" si="36"/>
        <v>Yes</v>
      </c>
      <c r="W188" t="str">
        <f t="shared" si="37"/>
        <v>No</v>
      </c>
      <c r="X188" t="str">
        <f t="shared" si="38"/>
        <v>No</v>
      </c>
    </row>
    <row r="189" spans="1:24" x14ac:dyDescent="0.3">
      <c r="A189" t="s">
        <v>263</v>
      </c>
      <c r="B189">
        <v>28</v>
      </c>
      <c r="C189" t="s">
        <v>510</v>
      </c>
      <c r="D189">
        <v>131281</v>
      </c>
      <c r="E189" t="s">
        <v>514</v>
      </c>
      <c r="F189">
        <v>25</v>
      </c>
      <c r="G189">
        <v>2597.65</v>
      </c>
      <c r="H189">
        <v>66</v>
      </c>
      <c r="I189">
        <v>8</v>
      </c>
      <c r="J189">
        <v>64941.25</v>
      </c>
      <c r="K189">
        <f>SUM(Table3[Total_Revenue])</f>
        <v>30761529.489999965</v>
      </c>
      <c r="L189">
        <f t="shared" si="26"/>
        <v>21993714.849999975</v>
      </c>
      <c r="M189">
        <f t="shared" si="27"/>
        <v>0.71497468476493498</v>
      </c>
      <c r="N189" t="str">
        <f t="shared" si="28"/>
        <v>Yes</v>
      </c>
      <c r="O189">
        <f t="shared" si="29"/>
        <v>47894.68</v>
      </c>
      <c r="P189">
        <f t="shared" si="30"/>
        <v>5</v>
      </c>
      <c r="Q189">
        <f t="shared" si="31"/>
        <v>172.5</v>
      </c>
      <c r="R189" t="str">
        <f t="shared" si="32"/>
        <v>High</v>
      </c>
      <c r="S189" t="str">
        <f t="shared" si="33"/>
        <v>Low</v>
      </c>
      <c r="T189" t="str">
        <f t="shared" si="34"/>
        <v>High</v>
      </c>
      <c r="U189" t="str">
        <f t="shared" si="35"/>
        <v>Yes</v>
      </c>
      <c r="V189" t="str">
        <f t="shared" si="36"/>
        <v>No</v>
      </c>
      <c r="W189" t="str">
        <f t="shared" si="37"/>
        <v>Yes</v>
      </c>
      <c r="X189" t="str">
        <f t="shared" si="38"/>
        <v>No</v>
      </c>
    </row>
    <row r="190" spans="1:24" x14ac:dyDescent="0.3">
      <c r="A190" t="s">
        <v>169</v>
      </c>
      <c r="B190">
        <v>66</v>
      </c>
      <c r="C190" t="s">
        <v>511</v>
      </c>
      <c r="D190">
        <v>101264</v>
      </c>
      <c r="E190" t="s">
        <v>512</v>
      </c>
      <c r="F190">
        <v>41</v>
      </c>
      <c r="G190">
        <v>1580.1</v>
      </c>
      <c r="H190">
        <v>84</v>
      </c>
      <c r="I190">
        <v>2</v>
      </c>
      <c r="J190">
        <v>64784.1</v>
      </c>
      <c r="K190">
        <f>SUM(Table3[Total_Revenue])</f>
        <v>30761529.489999965</v>
      </c>
      <c r="L190">
        <f t="shared" si="26"/>
        <v>22058498.949999977</v>
      </c>
      <c r="M190">
        <f t="shared" si="27"/>
        <v>0.71708069513158668</v>
      </c>
      <c r="N190" t="str">
        <f t="shared" si="28"/>
        <v>Yes</v>
      </c>
      <c r="O190">
        <f t="shared" si="29"/>
        <v>47894.68</v>
      </c>
      <c r="P190">
        <f t="shared" si="30"/>
        <v>5</v>
      </c>
      <c r="Q190">
        <f t="shared" si="31"/>
        <v>172.5</v>
      </c>
      <c r="R190" t="str">
        <f t="shared" si="32"/>
        <v>Low</v>
      </c>
      <c r="S190" t="str">
        <f t="shared" si="33"/>
        <v>Low</v>
      </c>
      <c r="T190" t="str">
        <f t="shared" si="34"/>
        <v>High</v>
      </c>
      <c r="U190" t="str">
        <f t="shared" si="35"/>
        <v>No</v>
      </c>
      <c r="V190" t="str">
        <f t="shared" si="36"/>
        <v>Yes</v>
      </c>
      <c r="W190" t="str">
        <f t="shared" si="37"/>
        <v>No</v>
      </c>
      <c r="X190" t="str">
        <f t="shared" si="38"/>
        <v>No</v>
      </c>
    </row>
    <row r="191" spans="1:24" x14ac:dyDescent="0.3">
      <c r="A191" t="s">
        <v>112</v>
      </c>
      <c r="B191">
        <v>42</v>
      </c>
      <c r="C191" t="s">
        <v>510</v>
      </c>
      <c r="D191">
        <v>87661</v>
      </c>
      <c r="E191" t="s">
        <v>515</v>
      </c>
      <c r="F191">
        <v>24</v>
      </c>
      <c r="G191">
        <v>2680.46</v>
      </c>
      <c r="H191">
        <v>198</v>
      </c>
      <c r="I191">
        <v>9</v>
      </c>
      <c r="J191">
        <v>64331.040000000001</v>
      </c>
      <c r="K191">
        <f>SUM(Table3[Total_Revenue])</f>
        <v>30761529.489999965</v>
      </c>
      <c r="L191">
        <f t="shared" si="26"/>
        <v>22122829.989999976</v>
      </c>
      <c r="M191">
        <f t="shared" si="27"/>
        <v>0.71917197736190985</v>
      </c>
      <c r="N191" t="str">
        <f t="shared" si="28"/>
        <v>Yes</v>
      </c>
      <c r="O191">
        <f t="shared" si="29"/>
        <v>47894.68</v>
      </c>
      <c r="P191">
        <f t="shared" si="30"/>
        <v>5</v>
      </c>
      <c r="Q191">
        <f t="shared" si="31"/>
        <v>172.5</v>
      </c>
      <c r="R191" t="str">
        <f t="shared" si="32"/>
        <v>High</v>
      </c>
      <c r="S191" t="str">
        <f t="shared" si="33"/>
        <v>High</v>
      </c>
      <c r="T191" t="str">
        <f t="shared" si="34"/>
        <v>High</v>
      </c>
      <c r="U191" t="str">
        <f t="shared" si="35"/>
        <v>Yes</v>
      </c>
      <c r="V191" t="str">
        <f t="shared" si="36"/>
        <v>No</v>
      </c>
      <c r="W191" t="str">
        <f t="shared" si="37"/>
        <v>Yes</v>
      </c>
      <c r="X191" t="str">
        <f t="shared" si="38"/>
        <v>No</v>
      </c>
    </row>
    <row r="192" spans="1:24" x14ac:dyDescent="0.3">
      <c r="A192" t="s">
        <v>290</v>
      </c>
      <c r="B192">
        <v>45</v>
      </c>
      <c r="C192" t="s">
        <v>510</v>
      </c>
      <c r="D192">
        <v>103524</v>
      </c>
      <c r="E192" t="s">
        <v>512</v>
      </c>
      <c r="F192">
        <v>22</v>
      </c>
      <c r="G192">
        <v>2918.3</v>
      </c>
      <c r="H192">
        <v>42</v>
      </c>
      <c r="I192">
        <v>7</v>
      </c>
      <c r="J192">
        <v>64202.6</v>
      </c>
      <c r="K192">
        <f>SUM(Table3[Total_Revenue])</f>
        <v>30761529.489999965</v>
      </c>
      <c r="L192">
        <f t="shared" si="26"/>
        <v>22187032.589999977</v>
      </c>
      <c r="M192">
        <f t="shared" si="27"/>
        <v>0.72125908424717933</v>
      </c>
      <c r="N192" t="str">
        <f t="shared" si="28"/>
        <v>Yes</v>
      </c>
      <c r="O192">
        <f t="shared" si="29"/>
        <v>47894.68</v>
      </c>
      <c r="P192">
        <f t="shared" si="30"/>
        <v>5</v>
      </c>
      <c r="Q192">
        <f t="shared" si="31"/>
        <v>172.5</v>
      </c>
      <c r="R192" t="str">
        <f t="shared" si="32"/>
        <v>High</v>
      </c>
      <c r="S192" t="str">
        <f t="shared" si="33"/>
        <v>Low</v>
      </c>
      <c r="T192" t="str">
        <f t="shared" si="34"/>
        <v>High</v>
      </c>
      <c r="U192" t="str">
        <f t="shared" si="35"/>
        <v>Yes</v>
      </c>
      <c r="V192" t="str">
        <f t="shared" si="36"/>
        <v>No</v>
      </c>
      <c r="W192" t="str">
        <f t="shared" si="37"/>
        <v>Yes</v>
      </c>
      <c r="X192" t="str">
        <f t="shared" si="38"/>
        <v>No</v>
      </c>
    </row>
    <row r="193" spans="1:24" x14ac:dyDescent="0.3">
      <c r="A193" t="s">
        <v>447</v>
      </c>
      <c r="B193">
        <v>31</v>
      </c>
      <c r="C193" t="s">
        <v>511</v>
      </c>
      <c r="D193">
        <v>119131</v>
      </c>
      <c r="E193" t="s">
        <v>513</v>
      </c>
      <c r="F193">
        <v>33</v>
      </c>
      <c r="G193">
        <v>1942.37</v>
      </c>
      <c r="H193">
        <v>317</v>
      </c>
      <c r="I193">
        <v>9</v>
      </c>
      <c r="J193">
        <v>64098.21</v>
      </c>
      <c r="K193">
        <f>SUM(Table3[Total_Revenue])</f>
        <v>30761529.489999965</v>
      </c>
      <c r="L193">
        <f t="shared" si="26"/>
        <v>22251130.799999978</v>
      </c>
      <c r="M193">
        <f t="shared" si="27"/>
        <v>0.7233427976080784</v>
      </c>
      <c r="N193" t="str">
        <f t="shared" si="28"/>
        <v>Yes</v>
      </c>
      <c r="O193">
        <f t="shared" si="29"/>
        <v>47894.68</v>
      </c>
      <c r="P193">
        <f t="shared" si="30"/>
        <v>5</v>
      </c>
      <c r="Q193">
        <f t="shared" si="31"/>
        <v>172.5</v>
      </c>
      <c r="R193" t="str">
        <f t="shared" si="32"/>
        <v>High</v>
      </c>
      <c r="S193" t="str">
        <f t="shared" si="33"/>
        <v>High</v>
      </c>
      <c r="T193" t="str">
        <f t="shared" si="34"/>
        <v>High</v>
      </c>
      <c r="U193" t="str">
        <f t="shared" si="35"/>
        <v>Yes</v>
      </c>
      <c r="V193" t="str">
        <f t="shared" si="36"/>
        <v>No</v>
      </c>
      <c r="W193" t="str">
        <f t="shared" si="37"/>
        <v>Yes</v>
      </c>
      <c r="X193" t="str">
        <f t="shared" si="38"/>
        <v>No</v>
      </c>
    </row>
    <row r="194" spans="1:24" x14ac:dyDescent="0.3">
      <c r="A194" t="s">
        <v>346</v>
      </c>
      <c r="B194">
        <v>50</v>
      </c>
      <c r="C194" t="s">
        <v>510</v>
      </c>
      <c r="D194">
        <v>29184</v>
      </c>
      <c r="E194" t="s">
        <v>514</v>
      </c>
      <c r="F194">
        <v>26</v>
      </c>
      <c r="G194">
        <v>2460.0100000000002</v>
      </c>
      <c r="H194">
        <v>216</v>
      </c>
      <c r="I194">
        <v>4</v>
      </c>
      <c r="J194">
        <v>63960.26</v>
      </c>
      <c r="K194">
        <f>SUM(Table3[Total_Revenue])</f>
        <v>30761529.489999965</v>
      </c>
      <c r="L194">
        <f t="shared" ref="L194:L257" si="39">L193+J194</f>
        <v>22315091.05999998</v>
      </c>
      <c r="M194">
        <f t="shared" ref="M194:M257" si="40">L194/$K$2</f>
        <v>0.72542202647154541</v>
      </c>
      <c r="N194" t="str">
        <f t="shared" ref="N194:N257" si="41">IF(M194&lt;=0.75,"Yes","No")</f>
        <v>Yes</v>
      </c>
      <c r="O194">
        <f t="shared" ref="O194:O257" si="42">MEDIAN($J$2:$J$501)</f>
        <v>47894.68</v>
      </c>
      <c r="P194">
        <f t="shared" ref="P194:P257" si="43">MEDIAN($I$2:$I$501)</f>
        <v>5</v>
      </c>
      <c r="Q194">
        <f t="shared" ref="Q194:Q257" si="44">MEDIAN($H$2:$H$501)</f>
        <v>172.5</v>
      </c>
      <c r="R194" t="str">
        <f t="shared" ref="R194:R257" si="45">IF(I194&gt;$P$2,"High",IF(I194&lt;$P$2,"Low","Medium"))</f>
        <v>Low</v>
      </c>
      <c r="S194" t="str">
        <f t="shared" ref="S194:S257" si="46">IF(H194&gt;$Q$2,"High",IF(H194&lt;$Q$2,"Low","Medium"))</f>
        <v>High</v>
      </c>
      <c r="T194" t="str">
        <f t="shared" ref="T194:T257" si="47">IF(J194&gt;$O$2,"High",IF(J194&lt;$O$2,"Low","Medium"))</f>
        <v>High</v>
      </c>
      <c r="U194" t="str">
        <f t="shared" ref="U194:U257" si="48">IF(AND(J194&lt;$O$1, I194&gt;=$P$2),"Yes","No")</f>
        <v>No</v>
      </c>
      <c r="V194" t="str">
        <f t="shared" ref="V194:V257" si="49">IF(AND(J194&gt;=$O$2, I194&lt;$P$2),"Yes","No")</f>
        <v>Yes</v>
      </c>
      <c r="W194" t="str">
        <f t="shared" ref="W194:W257" si="50">IF(AND(J194&gt;=$O$2, I194&gt;=$P$2),"Yes","No")</f>
        <v>No</v>
      </c>
      <c r="X194" t="str">
        <f t="shared" ref="X194:X257" si="51">IF(AND(J194&lt;$O$2, I194&lt;$P$2),"Yes","No")</f>
        <v>No</v>
      </c>
    </row>
    <row r="195" spans="1:24" x14ac:dyDescent="0.3">
      <c r="A195" t="s">
        <v>445</v>
      </c>
      <c r="B195">
        <v>63</v>
      </c>
      <c r="C195" t="s">
        <v>510</v>
      </c>
      <c r="D195">
        <v>76942</v>
      </c>
      <c r="E195" t="s">
        <v>515</v>
      </c>
      <c r="F195">
        <v>21</v>
      </c>
      <c r="G195">
        <v>3032.8</v>
      </c>
      <c r="H195">
        <v>275</v>
      </c>
      <c r="I195">
        <v>5</v>
      </c>
      <c r="J195">
        <v>63688.800000000003</v>
      </c>
      <c r="K195">
        <f>SUM(Table3[Total_Revenue])</f>
        <v>30761529.489999965</v>
      </c>
      <c r="L195">
        <f t="shared" si="39"/>
        <v>22378779.859999981</v>
      </c>
      <c r="M195">
        <f t="shared" si="40"/>
        <v>0.72749243067627478</v>
      </c>
      <c r="N195" t="str">
        <f t="shared" si="41"/>
        <v>Yes</v>
      </c>
      <c r="O195">
        <f t="shared" si="42"/>
        <v>47894.68</v>
      </c>
      <c r="P195">
        <f t="shared" si="43"/>
        <v>5</v>
      </c>
      <c r="Q195">
        <f t="shared" si="44"/>
        <v>172.5</v>
      </c>
      <c r="R195" t="str">
        <f t="shared" si="45"/>
        <v>Medium</v>
      </c>
      <c r="S195" t="str">
        <f t="shared" si="46"/>
        <v>High</v>
      </c>
      <c r="T195" t="str">
        <f t="shared" si="47"/>
        <v>High</v>
      </c>
      <c r="U195" t="str">
        <f t="shared" si="48"/>
        <v>Yes</v>
      </c>
      <c r="V195" t="str">
        <f t="shared" si="49"/>
        <v>No</v>
      </c>
      <c r="W195" t="str">
        <f t="shared" si="50"/>
        <v>Yes</v>
      </c>
      <c r="X195" t="str">
        <f t="shared" si="51"/>
        <v>No</v>
      </c>
    </row>
    <row r="196" spans="1:24" x14ac:dyDescent="0.3">
      <c r="A196" t="s">
        <v>276</v>
      </c>
      <c r="B196">
        <v>20</v>
      </c>
      <c r="C196" t="s">
        <v>510</v>
      </c>
      <c r="D196">
        <v>21342</v>
      </c>
      <c r="E196" t="s">
        <v>514</v>
      </c>
      <c r="F196">
        <v>20</v>
      </c>
      <c r="G196">
        <v>3176.96</v>
      </c>
      <c r="H196">
        <v>307</v>
      </c>
      <c r="I196">
        <v>7</v>
      </c>
      <c r="J196">
        <v>63539.199999999997</v>
      </c>
      <c r="K196">
        <f>SUM(Table3[Total_Revenue])</f>
        <v>30761529.489999965</v>
      </c>
      <c r="L196">
        <f t="shared" si="39"/>
        <v>22442319.05999998</v>
      </c>
      <c r="M196">
        <f t="shared" si="40"/>
        <v>0.72955797166378167</v>
      </c>
      <c r="N196" t="str">
        <f t="shared" si="41"/>
        <v>Yes</v>
      </c>
      <c r="O196">
        <f t="shared" si="42"/>
        <v>47894.68</v>
      </c>
      <c r="P196">
        <f t="shared" si="43"/>
        <v>5</v>
      </c>
      <c r="Q196">
        <f t="shared" si="44"/>
        <v>172.5</v>
      </c>
      <c r="R196" t="str">
        <f t="shared" si="45"/>
        <v>High</v>
      </c>
      <c r="S196" t="str">
        <f t="shared" si="46"/>
        <v>High</v>
      </c>
      <c r="T196" t="str">
        <f t="shared" si="47"/>
        <v>High</v>
      </c>
      <c r="U196" t="str">
        <f t="shared" si="48"/>
        <v>Yes</v>
      </c>
      <c r="V196" t="str">
        <f t="shared" si="49"/>
        <v>No</v>
      </c>
      <c r="W196" t="str">
        <f t="shared" si="50"/>
        <v>Yes</v>
      </c>
      <c r="X196" t="str">
        <f t="shared" si="51"/>
        <v>No</v>
      </c>
    </row>
    <row r="197" spans="1:24" x14ac:dyDescent="0.3">
      <c r="A197" t="s">
        <v>176</v>
      </c>
      <c r="B197">
        <v>56</v>
      </c>
      <c r="C197" t="s">
        <v>510</v>
      </c>
      <c r="D197">
        <v>104659</v>
      </c>
      <c r="E197" t="s">
        <v>512</v>
      </c>
      <c r="F197">
        <v>29</v>
      </c>
      <c r="G197">
        <v>2177.33</v>
      </c>
      <c r="H197">
        <v>7</v>
      </c>
      <c r="I197">
        <v>1</v>
      </c>
      <c r="J197">
        <v>63142.57</v>
      </c>
      <c r="K197">
        <f>SUM(Table3[Total_Revenue])</f>
        <v>30761529.489999965</v>
      </c>
      <c r="L197">
        <f t="shared" si="39"/>
        <v>22505461.62999998</v>
      </c>
      <c r="M197">
        <f t="shared" si="40"/>
        <v>0.73161061894910373</v>
      </c>
      <c r="N197" t="str">
        <f t="shared" si="41"/>
        <v>Yes</v>
      </c>
      <c r="O197">
        <f t="shared" si="42"/>
        <v>47894.68</v>
      </c>
      <c r="P197">
        <f t="shared" si="43"/>
        <v>5</v>
      </c>
      <c r="Q197">
        <f t="shared" si="44"/>
        <v>172.5</v>
      </c>
      <c r="R197" t="str">
        <f t="shared" si="45"/>
        <v>Low</v>
      </c>
      <c r="S197" t="str">
        <f t="shared" si="46"/>
        <v>Low</v>
      </c>
      <c r="T197" t="str">
        <f t="shared" si="47"/>
        <v>High</v>
      </c>
      <c r="U197" t="str">
        <f t="shared" si="48"/>
        <v>No</v>
      </c>
      <c r="V197" t="str">
        <f t="shared" si="49"/>
        <v>Yes</v>
      </c>
      <c r="W197" t="str">
        <f t="shared" si="50"/>
        <v>No</v>
      </c>
      <c r="X197" t="str">
        <f t="shared" si="51"/>
        <v>No</v>
      </c>
    </row>
    <row r="198" spans="1:24" x14ac:dyDescent="0.3">
      <c r="A198" t="s">
        <v>85</v>
      </c>
      <c r="B198">
        <v>43</v>
      </c>
      <c r="C198" t="s">
        <v>511</v>
      </c>
      <c r="D198">
        <v>25240</v>
      </c>
      <c r="E198" t="s">
        <v>513</v>
      </c>
      <c r="F198">
        <v>38</v>
      </c>
      <c r="G198">
        <v>1654.26</v>
      </c>
      <c r="H198">
        <v>313</v>
      </c>
      <c r="I198">
        <v>7</v>
      </c>
      <c r="J198">
        <v>62861.88</v>
      </c>
      <c r="K198">
        <f>SUM(Table3[Total_Revenue])</f>
        <v>30761529.489999965</v>
      </c>
      <c r="L198">
        <f t="shared" si="39"/>
        <v>22568323.509999979</v>
      </c>
      <c r="M198">
        <f t="shared" si="40"/>
        <v>0.73365414152558783</v>
      </c>
      <c r="N198" t="str">
        <f t="shared" si="41"/>
        <v>Yes</v>
      </c>
      <c r="O198">
        <f t="shared" si="42"/>
        <v>47894.68</v>
      </c>
      <c r="P198">
        <f t="shared" si="43"/>
        <v>5</v>
      </c>
      <c r="Q198">
        <f t="shared" si="44"/>
        <v>172.5</v>
      </c>
      <c r="R198" t="str">
        <f t="shared" si="45"/>
        <v>High</v>
      </c>
      <c r="S198" t="str">
        <f t="shared" si="46"/>
        <v>High</v>
      </c>
      <c r="T198" t="str">
        <f t="shared" si="47"/>
        <v>High</v>
      </c>
      <c r="U198" t="str">
        <f t="shared" si="48"/>
        <v>Yes</v>
      </c>
      <c r="V198" t="str">
        <f t="shared" si="49"/>
        <v>No</v>
      </c>
      <c r="W198" t="str">
        <f t="shared" si="50"/>
        <v>Yes</v>
      </c>
      <c r="X198" t="str">
        <f t="shared" si="51"/>
        <v>No</v>
      </c>
    </row>
    <row r="199" spans="1:24" x14ac:dyDescent="0.3">
      <c r="A199" t="s">
        <v>473</v>
      </c>
      <c r="B199">
        <v>22</v>
      </c>
      <c r="C199" t="s">
        <v>511</v>
      </c>
      <c r="D199">
        <v>33718</v>
      </c>
      <c r="E199" t="s">
        <v>514</v>
      </c>
      <c r="F199">
        <v>17</v>
      </c>
      <c r="G199">
        <v>3666.94</v>
      </c>
      <c r="H199">
        <v>183</v>
      </c>
      <c r="I199">
        <v>5</v>
      </c>
      <c r="J199">
        <v>62337.98</v>
      </c>
      <c r="K199">
        <f>SUM(Table3[Total_Revenue])</f>
        <v>30761529.489999965</v>
      </c>
      <c r="L199">
        <f t="shared" si="39"/>
        <v>22630661.48999998</v>
      </c>
      <c r="M199">
        <f t="shared" si="40"/>
        <v>0.73568063308935316</v>
      </c>
      <c r="N199" t="str">
        <f t="shared" si="41"/>
        <v>Yes</v>
      </c>
      <c r="O199">
        <f t="shared" si="42"/>
        <v>47894.68</v>
      </c>
      <c r="P199">
        <f t="shared" si="43"/>
        <v>5</v>
      </c>
      <c r="Q199">
        <f t="shared" si="44"/>
        <v>172.5</v>
      </c>
      <c r="R199" t="str">
        <f t="shared" si="45"/>
        <v>Medium</v>
      </c>
      <c r="S199" t="str">
        <f t="shared" si="46"/>
        <v>High</v>
      </c>
      <c r="T199" t="str">
        <f t="shared" si="47"/>
        <v>High</v>
      </c>
      <c r="U199" t="str">
        <f t="shared" si="48"/>
        <v>Yes</v>
      </c>
      <c r="V199" t="str">
        <f t="shared" si="49"/>
        <v>No</v>
      </c>
      <c r="W199" t="str">
        <f t="shared" si="50"/>
        <v>Yes</v>
      </c>
      <c r="X199" t="str">
        <f t="shared" si="51"/>
        <v>No</v>
      </c>
    </row>
    <row r="200" spans="1:24" x14ac:dyDescent="0.3">
      <c r="A200" t="s">
        <v>254</v>
      </c>
      <c r="B200">
        <v>28</v>
      </c>
      <c r="C200" t="s">
        <v>511</v>
      </c>
      <c r="D200">
        <v>21828</v>
      </c>
      <c r="E200" t="s">
        <v>512</v>
      </c>
      <c r="F200">
        <v>24</v>
      </c>
      <c r="G200">
        <v>2583.5100000000002</v>
      </c>
      <c r="H200">
        <v>79</v>
      </c>
      <c r="I200">
        <v>8</v>
      </c>
      <c r="J200">
        <v>62004.24</v>
      </c>
      <c r="K200">
        <f>SUM(Table3[Total_Revenue])</f>
        <v>30761529.489999965</v>
      </c>
      <c r="L200">
        <f t="shared" si="39"/>
        <v>22692665.729999978</v>
      </c>
      <c r="M200">
        <f t="shared" si="40"/>
        <v>0.73769627538763849</v>
      </c>
      <c r="N200" t="str">
        <f t="shared" si="41"/>
        <v>Yes</v>
      </c>
      <c r="O200">
        <f t="shared" si="42"/>
        <v>47894.68</v>
      </c>
      <c r="P200">
        <f t="shared" si="43"/>
        <v>5</v>
      </c>
      <c r="Q200">
        <f t="shared" si="44"/>
        <v>172.5</v>
      </c>
      <c r="R200" t="str">
        <f t="shared" si="45"/>
        <v>High</v>
      </c>
      <c r="S200" t="str">
        <f t="shared" si="46"/>
        <v>Low</v>
      </c>
      <c r="T200" t="str">
        <f t="shared" si="47"/>
        <v>High</v>
      </c>
      <c r="U200" t="str">
        <f t="shared" si="48"/>
        <v>Yes</v>
      </c>
      <c r="V200" t="str">
        <f t="shared" si="49"/>
        <v>No</v>
      </c>
      <c r="W200" t="str">
        <f t="shared" si="50"/>
        <v>Yes</v>
      </c>
      <c r="X200" t="str">
        <f t="shared" si="51"/>
        <v>No</v>
      </c>
    </row>
    <row r="201" spans="1:24" x14ac:dyDescent="0.3">
      <c r="A201" t="s">
        <v>198</v>
      </c>
      <c r="B201">
        <v>28</v>
      </c>
      <c r="C201" t="s">
        <v>511</v>
      </c>
      <c r="D201">
        <v>138205</v>
      </c>
      <c r="E201" t="s">
        <v>513</v>
      </c>
      <c r="F201">
        <v>35</v>
      </c>
      <c r="G201">
        <v>1771.34</v>
      </c>
      <c r="H201">
        <v>341</v>
      </c>
      <c r="I201">
        <v>8</v>
      </c>
      <c r="J201">
        <v>61996.9</v>
      </c>
      <c r="K201">
        <f>SUM(Table3[Total_Revenue])</f>
        <v>30761529.489999965</v>
      </c>
      <c r="L201">
        <f t="shared" si="39"/>
        <v>22754662.629999977</v>
      </c>
      <c r="M201">
        <f t="shared" si="40"/>
        <v>0.73971167907620194</v>
      </c>
      <c r="N201" t="str">
        <f t="shared" si="41"/>
        <v>Yes</v>
      </c>
      <c r="O201">
        <f t="shared" si="42"/>
        <v>47894.68</v>
      </c>
      <c r="P201">
        <f t="shared" si="43"/>
        <v>5</v>
      </c>
      <c r="Q201">
        <f t="shared" si="44"/>
        <v>172.5</v>
      </c>
      <c r="R201" t="str">
        <f t="shared" si="45"/>
        <v>High</v>
      </c>
      <c r="S201" t="str">
        <f t="shared" si="46"/>
        <v>High</v>
      </c>
      <c r="T201" t="str">
        <f t="shared" si="47"/>
        <v>High</v>
      </c>
      <c r="U201" t="str">
        <f t="shared" si="48"/>
        <v>Yes</v>
      </c>
      <c r="V201" t="str">
        <f t="shared" si="49"/>
        <v>No</v>
      </c>
      <c r="W201" t="str">
        <f t="shared" si="50"/>
        <v>Yes</v>
      </c>
      <c r="X201" t="str">
        <f t="shared" si="51"/>
        <v>No</v>
      </c>
    </row>
    <row r="202" spans="1:24" x14ac:dyDescent="0.3">
      <c r="A202" t="s">
        <v>325</v>
      </c>
      <c r="B202">
        <v>25</v>
      </c>
      <c r="C202" t="s">
        <v>511</v>
      </c>
      <c r="D202">
        <v>125881</v>
      </c>
      <c r="E202" t="s">
        <v>514</v>
      </c>
      <c r="F202">
        <v>28</v>
      </c>
      <c r="G202">
        <v>2208.65</v>
      </c>
      <c r="H202">
        <v>59</v>
      </c>
      <c r="I202">
        <v>6</v>
      </c>
      <c r="J202">
        <v>61842.2</v>
      </c>
      <c r="K202">
        <f>SUM(Table3[Total_Revenue])</f>
        <v>30761529.489999965</v>
      </c>
      <c r="L202">
        <f t="shared" si="39"/>
        <v>22816504.829999976</v>
      </c>
      <c r="M202">
        <f t="shared" si="40"/>
        <v>0.74172205375604694</v>
      </c>
      <c r="N202" t="str">
        <f t="shared" si="41"/>
        <v>Yes</v>
      </c>
      <c r="O202">
        <f t="shared" si="42"/>
        <v>47894.68</v>
      </c>
      <c r="P202">
        <f t="shared" si="43"/>
        <v>5</v>
      </c>
      <c r="Q202">
        <f t="shared" si="44"/>
        <v>172.5</v>
      </c>
      <c r="R202" t="str">
        <f t="shared" si="45"/>
        <v>High</v>
      </c>
      <c r="S202" t="str">
        <f t="shared" si="46"/>
        <v>Low</v>
      </c>
      <c r="T202" t="str">
        <f t="shared" si="47"/>
        <v>High</v>
      </c>
      <c r="U202" t="str">
        <f t="shared" si="48"/>
        <v>Yes</v>
      </c>
      <c r="V202" t="str">
        <f t="shared" si="49"/>
        <v>No</v>
      </c>
      <c r="W202" t="str">
        <f t="shared" si="50"/>
        <v>Yes</v>
      </c>
      <c r="X202" t="str">
        <f t="shared" si="51"/>
        <v>No</v>
      </c>
    </row>
    <row r="203" spans="1:24" x14ac:dyDescent="0.3">
      <c r="A203" t="s">
        <v>173</v>
      </c>
      <c r="B203">
        <v>47</v>
      </c>
      <c r="C203" t="s">
        <v>511</v>
      </c>
      <c r="D203">
        <v>120776</v>
      </c>
      <c r="E203" t="s">
        <v>513</v>
      </c>
      <c r="F203">
        <v>15</v>
      </c>
      <c r="G203">
        <v>4066.7</v>
      </c>
      <c r="H203">
        <v>21</v>
      </c>
      <c r="I203">
        <v>4</v>
      </c>
      <c r="J203">
        <v>61000.5</v>
      </c>
      <c r="K203">
        <f>SUM(Table3[Total_Revenue])</f>
        <v>30761529.489999965</v>
      </c>
      <c r="L203">
        <f t="shared" si="39"/>
        <v>22877505.329999976</v>
      </c>
      <c r="M203">
        <f t="shared" si="40"/>
        <v>0.74370506633738909</v>
      </c>
      <c r="N203" t="str">
        <f t="shared" si="41"/>
        <v>Yes</v>
      </c>
      <c r="O203">
        <f t="shared" si="42"/>
        <v>47894.68</v>
      </c>
      <c r="P203">
        <f t="shared" si="43"/>
        <v>5</v>
      </c>
      <c r="Q203">
        <f t="shared" si="44"/>
        <v>172.5</v>
      </c>
      <c r="R203" t="str">
        <f t="shared" si="45"/>
        <v>Low</v>
      </c>
      <c r="S203" t="str">
        <f t="shared" si="46"/>
        <v>Low</v>
      </c>
      <c r="T203" t="str">
        <f t="shared" si="47"/>
        <v>High</v>
      </c>
      <c r="U203" t="str">
        <f t="shared" si="48"/>
        <v>No</v>
      </c>
      <c r="V203" t="str">
        <f t="shared" si="49"/>
        <v>Yes</v>
      </c>
      <c r="W203" t="str">
        <f t="shared" si="50"/>
        <v>No</v>
      </c>
      <c r="X203" t="str">
        <f t="shared" si="51"/>
        <v>No</v>
      </c>
    </row>
    <row r="204" spans="1:24" x14ac:dyDescent="0.3">
      <c r="A204" t="s">
        <v>144</v>
      </c>
      <c r="B204">
        <v>57</v>
      </c>
      <c r="C204" t="s">
        <v>510</v>
      </c>
      <c r="D204">
        <v>70448</v>
      </c>
      <c r="E204" t="s">
        <v>515</v>
      </c>
      <c r="F204">
        <v>14</v>
      </c>
      <c r="G204">
        <v>4311.1400000000003</v>
      </c>
      <c r="H204">
        <v>31</v>
      </c>
      <c r="I204">
        <v>9</v>
      </c>
      <c r="J204">
        <v>60355.96</v>
      </c>
      <c r="K204">
        <f>SUM(Table3[Total_Revenue])</f>
        <v>30761529.489999965</v>
      </c>
      <c r="L204">
        <f t="shared" si="39"/>
        <v>22937861.289999977</v>
      </c>
      <c r="M204">
        <f t="shared" si="40"/>
        <v>0.74566712612442354</v>
      </c>
      <c r="N204" t="str">
        <f t="shared" si="41"/>
        <v>Yes</v>
      </c>
      <c r="O204">
        <f t="shared" si="42"/>
        <v>47894.68</v>
      </c>
      <c r="P204">
        <f t="shared" si="43"/>
        <v>5</v>
      </c>
      <c r="Q204">
        <f t="shared" si="44"/>
        <v>172.5</v>
      </c>
      <c r="R204" t="str">
        <f t="shared" si="45"/>
        <v>High</v>
      </c>
      <c r="S204" t="str">
        <f t="shared" si="46"/>
        <v>Low</v>
      </c>
      <c r="T204" t="str">
        <f t="shared" si="47"/>
        <v>High</v>
      </c>
      <c r="U204" t="str">
        <f t="shared" si="48"/>
        <v>Yes</v>
      </c>
      <c r="V204" t="str">
        <f t="shared" si="49"/>
        <v>No</v>
      </c>
      <c r="W204" t="str">
        <f t="shared" si="50"/>
        <v>Yes</v>
      </c>
      <c r="X204" t="str">
        <f t="shared" si="51"/>
        <v>No</v>
      </c>
    </row>
    <row r="205" spans="1:24" x14ac:dyDescent="0.3">
      <c r="A205" t="s">
        <v>74</v>
      </c>
      <c r="B205">
        <v>34</v>
      </c>
      <c r="C205" t="s">
        <v>511</v>
      </c>
      <c r="D205">
        <v>113229</v>
      </c>
      <c r="E205" t="s">
        <v>512</v>
      </c>
      <c r="F205">
        <v>12</v>
      </c>
      <c r="G205">
        <v>4967.3500000000004</v>
      </c>
      <c r="H205">
        <v>350</v>
      </c>
      <c r="I205">
        <v>9</v>
      </c>
      <c r="J205">
        <v>59608.2</v>
      </c>
      <c r="K205">
        <f>SUM(Table3[Total_Revenue])</f>
        <v>30761529.489999965</v>
      </c>
      <c r="L205">
        <f t="shared" si="39"/>
        <v>22997469.489999976</v>
      </c>
      <c r="M205">
        <f t="shared" si="40"/>
        <v>0.7476048776272991</v>
      </c>
      <c r="N205" t="str">
        <f t="shared" si="41"/>
        <v>Yes</v>
      </c>
      <c r="O205">
        <f t="shared" si="42"/>
        <v>47894.68</v>
      </c>
      <c r="P205">
        <f t="shared" si="43"/>
        <v>5</v>
      </c>
      <c r="Q205">
        <f t="shared" si="44"/>
        <v>172.5</v>
      </c>
      <c r="R205" t="str">
        <f t="shared" si="45"/>
        <v>High</v>
      </c>
      <c r="S205" t="str">
        <f t="shared" si="46"/>
        <v>High</v>
      </c>
      <c r="T205" t="str">
        <f t="shared" si="47"/>
        <v>High</v>
      </c>
      <c r="U205" t="str">
        <f t="shared" si="48"/>
        <v>Yes</v>
      </c>
      <c r="V205" t="str">
        <f t="shared" si="49"/>
        <v>No</v>
      </c>
      <c r="W205" t="str">
        <f t="shared" si="50"/>
        <v>Yes</v>
      </c>
      <c r="X205" t="str">
        <f t="shared" si="51"/>
        <v>No</v>
      </c>
    </row>
    <row r="206" spans="1:24" x14ac:dyDescent="0.3">
      <c r="A206" t="s">
        <v>108</v>
      </c>
      <c r="B206">
        <v>46</v>
      </c>
      <c r="C206" t="s">
        <v>511</v>
      </c>
      <c r="D206">
        <v>28717</v>
      </c>
      <c r="E206" t="s">
        <v>515</v>
      </c>
      <c r="F206">
        <v>13</v>
      </c>
      <c r="G206">
        <v>4579.76</v>
      </c>
      <c r="H206">
        <v>113</v>
      </c>
      <c r="I206">
        <v>3</v>
      </c>
      <c r="J206">
        <v>59536.88</v>
      </c>
      <c r="K206">
        <f>SUM(Table3[Total_Revenue])</f>
        <v>30761529.489999965</v>
      </c>
      <c r="L206">
        <f t="shared" si="39"/>
        <v>23057006.369999975</v>
      </c>
      <c r="M206">
        <f t="shared" si="40"/>
        <v>0.74954031064987858</v>
      </c>
      <c r="N206" t="str">
        <f t="shared" si="41"/>
        <v>Yes</v>
      </c>
      <c r="O206">
        <f t="shared" si="42"/>
        <v>47894.68</v>
      </c>
      <c r="P206">
        <f t="shared" si="43"/>
        <v>5</v>
      </c>
      <c r="Q206">
        <f t="shared" si="44"/>
        <v>172.5</v>
      </c>
      <c r="R206" t="str">
        <f t="shared" si="45"/>
        <v>Low</v>
      </c>
      <c r="S206" t="str">
        <f t="shared" si="46"/>
        <v>Low</v>
      </c>
      <c r="T206" t="str">
        <f t="shared" si="47"/>
        <v>High</v>
      </c>
      <c r="U206" t="str">
        <f t="shared" si="48"/>
        <v>No</v>
      </c>
      <c r="V206" t="str">
        <f t="shared" si="49"/>
        <v>Yes</v>
      </c>
      <c r="W206" t="str">
        <f t="shared" si="50"/>
        <v>No</v>
      </c>
      <c r="X206" t="str">
        <f t="shared" si="51"/>
        <v>No</v>
      </c>
    </row>
    <row r="207" spans="1:24" x14ac:dyDescent="0.3">
      <c r="A207" t="s">
        <v>295</v>
      </c>
      <c r="B207">
        <v>47</v>
      </c>
      <c r="C207" t="s">
        <v>511</v>
      </c>
      <c r="D207">
        <v>147309</v>
      </c>
      <c r="E207" t="s">
        <v>513</v>
      </c>
      <c r="F207">
        <v>13</v>
      </c>
      <c r="G207">
        <v>4501.4799999999996</v>
      </c>
      <c r="H207">
        <v>259</v>
      </c>
      <c r="I207">
        <v>8</v>
      </c>
      <c r="J207">
        <v>58519.24</v>
      </c>
      <c r="K207">
        <f>SUM(Table3[Total_Revenue])</f>
        <v>30761529.489999965</v>
      </c>
      <c r="L207">
        <f t="shared" si="39"/>
        <v>23115525.609999973</v>
      </c>
      <c r="M207">
        <f t="shared" si="40"/>
        <v>0.75144266209241728</v>
      </c>
      <c r="N207" t="str">
        <f t="shared" si="41"/>
        <v>No</v>
      </c>
      <c r="O207">
        <f t="shared" si="42"/>
        <v>47894.68</v>
      </c>
      <c r="P207">
        <f t="shared" si="43"/>
        <v>5</v>
      </c>
      <c r="Q207">
        <f t="shared" si="44"/>
        <v>172.5</v>
      </c>
      <c r="R207" t="str">
        <f t="shared" si="45"/>
        <v>High</v>
      </c>
      <c r="S207" t="str">
        <f t="shared" si="46"/>
        <v>High</v>
      </c>
      <c r="T207" t="str">
        <f t="shared" si="47"/>
        <v>High</v>
      </c>
      <c r="U207" t="str">
        <f t="shared" si="48"/>
        <v>Yes</v>
      </c>
      <c r="V207" t="str">
        <f t="shared" si="49"/>
        <v>No</v>
      </c>
      <c r="W207" t="str">
        <f t="shared" si="50"/>
        <v>Yes</v>
      </c>
      <c r="X207" t="str">
        <f t="shared" si="51"/>
        <v>No</v>
      </c>
    </row>
    <row r="208" spans="1:24" x14ac:dyDescent="0.3">
      <c r="A208" t="s">
        <v>262</v>
      </c>
      <c r="B208">
        <v>39</v>
      </c>
      <c r="C208" t="s">
        <v>511</v>
      </c>
      <c r="D208">
        <v>143781</v>
      </c>
      <c r="E208" t="s">
        <v>513</v>
      </c>
      <c r="F208">
        <v>46</v>
      </c>
      <c r="G208">
        <v>1271.3699999999999</v>
      </c>
      <c r="H208">
        <v>26</v>
      </c>
      <c r="I208">
        <v>5</v>
      </c>
      <c r="J208">
        <v>58483.02</v>
      </c>
      <c r="K208">
        <f>SUM(Table3[Total_Revenue])</f>
        <v>30761529.489999965</v>
      </c>
      <c r="L208">
        <f t="shared" si="39"/>
        <v>23174008.629999973</v>
      </c>
      <c r="M208">
        <f t="shared" si="40"/>
        <v>0.75334383609025157</v>
      </c>
      <c r="N208" t="str">
        <f t="shared" si="41"/>
        <v>No</v>
      </c>
      <c r="O208">
        <f t="shared" si="42"/>
        <v>47894.68</v>
      </c>
      <c r="P208">
        <f t="shared" si="43"/>
        <v>5</v>
      </c>
      <c r="Q208">
        <f t="shared" si="44"/>
        <v>172.5</v>
      </c>
      <c r="R208" t="str">
        <f t="shared" si="45"/>
        <v>Medium</v>
      </c>
      <c r="S208" t="str">
        <f t="shared" si="46"/>
        <v>Low</v>
      </c>
      <c r="T208" t="str">
        <f t="shared" si="47"/>
        <v>High</v>
      </c>
      <c r="U208" t="str">
        <f t="shared" si="48"/>
        <v>Yes</v>
      </c>
      <c r="V208" t="str">
        <f t="shared" si="49"/>
        <v>No</v>
      </c>
      <c r="W208" t="str">
        <f t="shared" si="50"/>
        <v>Yes</v>
      </c>
      <c r="X208" t="str">
        <f t="shared" si="51"/>
        <v>No</v>
      </c>
    </row>
    <row r="209" spans="1:24" x14ac:dyDescent="0.3">
      <c r="A209" t="s">
        <v>272</v>
      </c>
      <c r="B209">
        <v>37</v>
      </c>
      <c r="C209" t="s">
        <v>511</v>
      </c>
      <c r="D209">
        <v>25287</v>
      </c>
      <c r="E209" t="s">
        <v>513</v>
      </c>
      <c r="F209">
        <v>29</v>
      </c>
      <c r="G209">
        <v>2016.11</v>
      </c>
      <c r="H209">
        <v>279</v>
      </c>
      <c r="I209">
        <v>6</v>
      </c>
      <c r="J209">
        <v>58467.19</v>
      </c>
      <c r="K209">
        <f>SUM(Table3[Total_Revenue])</f>
        <v>30761529.489999965</v>
      </c>
      <c r="L209">
        <f t="shared" si="39"/>
        <v>23232475.819999974</v>
      </c>
      <c r="M209">
        <f t="shared" si="40"/>
        <v>0.75524449548428485</v>
      </c>
      <c r="N209" t="str">
        <f t="shared" si="41"/>
        <v>No</v>
      </c>
      <c r="O209">
        <f t="shared" si="42"/>
        <v>47894.68</v>
      </c>
      <c r="P209">
        <f t="shared" si="43"/>
        <v>5</v>
      </c>
      <c r="Q209">
        <f t="shared" si="44"/>
        <v>172.5</v>
      </c>
      <c r="R209" t="str">
        <f t="shared" si="45"/>
        <v>High</v>
      </c>
      <c r="S209" t="str">
        <f t="shared" si="46"/>
        <v>High</v>
      </c>
      <c r="T209" t="str">
        <f t="shared" si="47"/>
        <v>High</v>
      </c>
      <c r="U209" t="str">
        <f t="shared" si="48"/>
        <v>Yes</v>
      </c>
      <c r="V209" t="str">
        <f t="shared" si="49"/>
        <v>No</v>
      </c>
      <c r="W209" t="str">
        <f t="shared" si="50"/>
        <v>Yes</v>
      </c>
      <c r="X209" t="str">
        <f t="shared" si="51"/>
        <v>No</v>
      </c>
    </row>
    <row r="210" spans="1:24" x14ac:dyDescent="0.3">
      <c r="A210" t="s">
        <v>454</v>
      </c>
      <c r="B210">
        <v>19</v>
      </c>
      <c r="C210" t="s">
        <v>510</v>
      </c>
      <c r="D210">
        <v>84644</v>
      </c>
      <c r="E210" t="s">
        <v>513</v>
      </c>
      <c r="F210">
        <v>23</v>
      </c>
      <c r="G210">
        <v>2530.63</v>
      </c>
      <c r="H210">
        <v>89</v>
      </c>
      <c r="I210">
        <v>2</v>
      </c>
      <c r="J210">
        <v>58204.49</v>
      </c>
      <c r="K210">
        <f>SUM(Table3[Total_Revenue])</f>
        <v>30761529.489999965</v>
      </c>
      <c r="L210">
        <f t="shared" si="39"/>
        <v>23290680.309999973</v>
      </c>
      <c r="M210">
        <f t="shared" si="40"/>
        <v>0.75713661499085616</v>
      </c>
      <c r="N210" t="str">
        <f t="shared" si="41"/>
        <v>No</v>
      </c>
      <c r="O210">
        <f t="shared" si="42"/>
        <v>47894.68</v>
      </c>
      <c r="P210">
        <f t="shared" si="43"/>
        <v>5</v>
      </c>
      <c r="Q210">
        <f t="shared" si="44"/>
        <v>172.5</v>
      </c>
      <c r="R210" t="str">
        <f t="shared" si="45"/>
        <v>Low</v>
      </c>
      <c r="S210" t="str">
        <f t="shared" si="46"/>
        <v>Low</v>
      </c>
      <c r="T210" t="str">
        <f t="shared" si="47"/>
        <v>High</v>
      </c>
      <c r="U210" t="str">
        <f t="shared" si="48"/>
        <v>No</v>
      </c>
      <c r="V210" t="str">
        <f t="shared" si="49"/>
        <v>Yes</v>
      </c>
      <c r="W210" t="str">
        <f t="shared" si="50"/>
        <v>No</v>
      </c>
      <c r="X210" t="str">
        <f t="shared" si="51"/>
        <v>No</v>
      </c>
    </row>
    <row r="211" spans="1:24" x14ac:dyDescent="0.3">
      <c r="A211" t="s">
        <v>322</v>
      </c>
      <c r="B211">
        <v>69</v>
      </c>
      <c r="C211" t="s">
        <v>511</v>
      </c>
      <c r="D211">
        <v>39282</v>
      </c>
      <c r="E211" t="s">
        <v>514</v>
      </c>
      <c r="F211">
        <v>15</v>
      </c>
      <c r="G211">
        <v>3795.84</v>
      </c>
      <c r="H211">
        <v>260</v>
      </c>
      <c r="I211">
        <v>6</v>
      </c>
      <c r="J211">
        <v>56937.599999999999</v>
      </c>
      <c r="K211">
        <f>SUM(Table3[Total_Revenue])</f>
        <v>30761529.489999965</v>
      </c>
      <c r="L211">
        <f t="shared" si="39"/>
        <v>23347617.909999974</v>
      </c>
      <c r="M211">
        <f t="shared" si="40"/>
        <v>0.75898755026436104</v>
      </c>
      <c r="N211" t="str">
        <f t="shared" si="41"/>
        <v>No</v>
      </c>
      <c r="O211">
        <f t="shared" si="42"/>
        <v>47894.68</v>
      </c>
      <c r="P211">
        <f t="shared" si="43"/>
        <v>5</v>
      </c>
      <c r="Q211">
        <f t="shared" si="44"/>
        <v>172.5</v>
      </c>
      <c r="R211" t="str">
        <f t="shared" si="45"/>
        <v>High</v>
      </c>
      <c r="S211" t="str">
        <f t="shared" si="46"/>
        <v>High</v>
      </c>
      <c r="T211" t="str">
        <f t="shared" si="47"/>
        <v>High</v>
      </c>
      <c r="U211" t="str">
        <f t="shared" si="48"/>
        <v>Yes</v>
      </c>
      <c r="V211" t="str">
        <f t="shared" si="49"/>
        <v>No</v>
      </c>
      <c r="W211" t="str">
        <f t="shared" si="50"/>
        <v>Yes</v>
      </c>
      <c r="X211" t="str">
        <f t="shared" si="51"/>
        <v>No</v>
      </c>
    </row>
    <row r="212" spans="1:24" x14ac:dyDescent="0.3">
      <c r="A212" t="s">
        <v>223</v>
      </c>
      <c r="B212">
        <v>41</v>
      </c>
      <c r="C212" t="s">
        <v>511</v>
      </c>
      <c r="D212">
        <v>132221</v>
      </c>
      <c r="E212" t="s">
        <v>513</v>
      </c>
      <c r="F212">
        <v>29</v>
      </c>
      <c r="G212">
        <v>1954.53</v>
      </c>
      <c r="H212">
        <v>5</v>
      </c>
      <c r="I212">
        <v>6</v>
      </c>
      <c r="J212">
        <v>56681.37</v>
      </c>
      <c r="K212">
        <f>SUM(Table3[Total_Revenue])</f>
        <v>30761529.489999965</v>
      </c>
      <c r="L212">
        <f t="shared" si="39"/>
        <v>23404299.279999975</v>
      </c>
      <c r="M212">
        <f t="shared" si="40"/>
        <v>0.76083015597804726</v>
      </c>
      <c r="N212" t="str">
        <f t="shared" si="41"/>
        <v>No</v>
      </c>
      <c r="O212">
        <f t="shared" si="42"/>
        <v>47894.68</v>
      </c>
      <c r="P212">
        <f t="shared" si="43"/>
        <v>5</v>
      </c>
      <c r="Q212">
        <f t="shared" si="44"/>
        <v>172.5</v>
      </c>
      <c r="R212" t="str">
        <f t="shared" si="45"/>
        <v>High</v>
      </c>
      <c r="S212" t="str">
        <f t="shared" si="46"/>
        <v>Low</v>
      </c>
      <c r="T212" t="str">
        <f t="shared" si="47"/>
        <v>High</v>
      </c>
      <c r="U212" t="str">
        <f t="shared" si="48"/>
        <v>Yes</v>
      </c>
      <c r="V212" t="str">
        <f t="shared" si="49"/>
        <v>No</v>
      </c>
      <c r="W212" t="str">
        <f t="shared" si="50"/>
        <v>Yes</v>
      </c>
      <c r="X212" t="str">
        <f t="shared" si="51"/>
        <v>No</v>
      </c>
    </row>
    <row r="213" spans="1:24" x14ac:dyDescent="0.3">
      <c r="A213" t="s">
        <v>429</v>
      </c>
      <c r="B213">
        <v>65</v>
      </c>
      <c r="C213" t="s">
        <v>511</v>
      </c>
      <c r="D213">
        <v>96325</v>
      </c>
      <c r="E213" t="s">
        <v>515</v>
      </c>
      <c r="F213">
        <v>41</v>
      </c>
      <c r="G213">
        <v>1377.5</v>
      </c>
      <c r="H213">
        <v>102</v>
      </c>
      <c r="I213">
        <v>9</v>
      </c>
      <c r="J213">
        <v>56477.5</v>
      </c>
      <c r="K213">
        <f>SUM(Table3[Total_Revenue])</f>
        <v>30761529.489999965</v>
      </c>
      <c r="L213">
        <f t="shared" si="39"/>
        <v>23460776.779999975</v>
      </c>
      <c r="M213">
        <f t="shared" si="40"/>
        <v>0.76266613425794261</v>
      </c>
      <c r="N213" t="str">
        <f t="shared" si="41"/>
        <v>No</v>
      </c>
      <c r="O213">
        <f t="shared" si="42"/>
        <v>47894.68</v>
      </c>
      <c r="P213">
        <f t="shared" si="43"/>
        <v>5</v>
      </c>
      <c r="Q213">
        <f t="shared" si="44"/>
        <v>172.5</v>
      </c>
      <c r="R213" t="str">
        <f t="shared" si="45"/>
        <v>High</v>
      </c>
      <c r="S213" t="str">
        <f t="shared" si="46"/>
        <v>Low</v>
      </c>
      <c r="T213" t="str">
        <f t="shared" si="47"/>
        <v>High</v>
      </c>
      <c r="U213" t="str">
        <f t="shared" si="48"/>
        <v>Yes</v>
      </c>
      <c r="V213" t="str">
        <f t="shared" si="49"/>
        <v>No</v>
      </c>
      <c r="W213" t="str">
        <f t="shared" si="50"/>
        <v>Yes</v>
      </c>
      <c r="X213" t="str">
        <f t="shared" si="51"/>
        <v>No</v>
      </c>
    </row>
    <row r="214" spans="1:24" x14ac:dyDescent="0.3">
      <c r="A214" t="s">
        <v>329</v>
      </c>
      <c r="B214">
        <v>37</v>
      </c>
      <c r="C214" t="s">
        <v>510</v>
      </c>
      <c r="D214">
        <v>34060</v>
      </c>
      <c r="E214" t="s">
        <v>512</v>
      </c>
      <c r="F214">
        <v>40</v>
      </c>
      <c r="G214">
        <v>1400.4</v>
      </c>
      <c r="H214">
        <v>325</v>
      </c>
      <c r="I214">
        <v>2</v>
      </c>
      <c r="J214">
        <v>56016</v>
      </c>
      <c r="K214">
        <f>SUM(Table3[Total_Revenue])</f>
        <v>30761529.489999965</v>
      </c>
      <c r="L214">
        <f t="shared" si="39"/>
        <v>23516792.779999975</v>
      </c>
      <c r="M214">
        <f t="shared" si="40"/>
        <v>0.76448711003283742</v>
      </c>
      <c r="N214" t="str">
        <f t="shared" si="41"/>
        <v>No</v>
      </c>
      <c r="O214">
        <f t="shared" si="42"/>
        <v>47894.68</v>
      </c>
      <c r="P214">
        <f t="shared" si="43"/>
        <v>5</v>
      </c>
      <c r="Q214">
        <f t="shared" si="44"/>
        <v>172.5</v>
      </c>
      <c r="R214" t="str">
        <f t="shared" si="45"/>
        <v>Low</v>
      </c>
      <c r="S214" t="str">
        <f t="shared" si="46"/>
        <v>High</v>
      </c>
      <c r="T214" t="str">
        <f t="shared" si="47"/>
        <v>High</v>
      </c>
      <c r="U214" t="str">
        <f t="shared" si="48"/>
        <v>No</v>
      </c>
      <c r="V214" t="str">
        <f t="shared" si="49"/>
        <v>Yes</v>
      </c>
      <c r="W214" t="str">
        <f t="shared" si="50"/>
        <v>No</v>
      </c>
      <c r="X214" t="str">
        <f t="shared" si="51"/>
        <v>No</v>
      </c>
    </row>
    <row r="215" spans="1:24" x14ac:dyDescent="0.3">
      <c r="A215" t="s">
        <v>62</v>
      </c>
      <c r="B215">
        <v>26</v>
      </c>
      <c r="C215" t="s">
        <v>510</v>
      </c>
      <c r="D215">
        <v>107044</v>
      </c>
      <c r="E215" t="s">
        <v>515</v>
      </c>
      <c r="F215">
        <v>14</v>
      </c>
      <c r="G215">
        <v>3998</v>
      </c>
      <c r="H215">
        <v>211</v>
      </c>
      <c r="I215">
        <v>9</v>
      </c>
      <c r="J215">
        <v>55972</v>
      </c>
      <c r="K215">
        <f>SUM(Table3[Total_Revenue])</f>
        <v>30761529.489999965</v>
      </c>
      <c r="L215">
        <f t="shared" si="39"/>
        <v>23572764.779999975</v>
      </c>
      <c r="M215">
        <f t="shared" si="40"/>
        <v>0.76630665544972554</v>
      </c>
      <c r="N215" t="str">
        <f t="shared" si="41"/>
        <v>No</v>
      </c>
      <c r="O215">
        <f t="shared" si="42"/>
        <v>47894.68</v>
      </c>
      <c r="P215">
        <f t="shared" si="43"/>
        <v>5</v>
      </c>
      <c r="Q215">
        <f t="shared" si="44"/>
        <v>172.5</v>
      </c>
      <c r="R215" t="str">
        <f t="shared" si="45"/>
        <v>High</v>
      </c>
      <c r="S215" t="str">
        <f t="shared" si="46"/>
        <v>High</v>
      </c>
      <c r="T215" t="str">
        <f t="shared" si="47"/>
        <v>High</v>
      </c>
      <c r="U215" t="str">
        <f t="shared" si="48"/>
        <v>Yes</v>
      </c>
      <c r="V215" t="str">
        <f t="shared" si="49"/>
        <v>No</v>
      </c>
      <c r="W215" t="str">
        <f t="shared" si="50"/>
        <v>Yes</v>
      </c>
      <c r="X215" t="str">
        <f t="shared" si="51"/>
        <v>No</v>
      </c>
    </row>
    <row r="216" spans="1:24" x14ac:dyDescent="0.3">
      <c r="A216" t="s">
        <v>386</v>
      </c>
      <c r="B216">
        <v>47</v>
      </c>
      <c r="C216" t="s">
        <v>510</v>
      </c>
      <c r="D216">
        <v>22336</v>
      </c>
      <c r="E216" t="s">
        <v>515</v>
      </c>
      <c r="F216">
        <v>12</v>
      </c>
      <c r="G216">
        <v>4658.5600000000004</v>
      </c>
      <c r="H216">
        <v>343</v>
      </c>
      <c r="I216">
        <v>7</v>
      </c>
      <c r="J216">
        <v>55902.720000000001</v>
      </c>
      <c r="K216">
        <f>SUM(Table3[Total_Revenue])</f>
        <v>30761529.489999965</v>
      </c>
      <c r="L216">
        <f t="shared" si="39"/>
        <v>23628667.499999974</v>
      </c>
      <c r="M216">
        <f t="shared" si="40"/>
        <v>0.76812394870291612</v>
      </c>
      <c r="N216" t="str">
        <f t="shared" si="41"/>
        <v>No</v>
      </c>
      <c r="O216">
        <f t="shared" si="42"/>
        <v>47894.68</v>
      </c>
      <c r="P216">
        <f t="shared" si="43"/>
        <v>5</v>
      </c>
      <c r="Q216">
        <f t="shared" si="44"/>
        <v>172.5</v>
      </c>
      <c r="R216" t="str">
        <f t="shared" si="45"/>
        <v>High</v>
      </c>
      <c r="S216" t="str">
        <f t="shared" si="46"/>
        <v>High</v>
      </c>
      <c r="T216" t="str">
        <f t="shared" si="47"/>
        <v>High</v>
      </c>
      <c r="U216" t="str">
        <f t="shared" si="48"/>
        <v>Yes</v>
      </c>
      <c r="V216" t="str">
        <f t="shared" si="49"/>
        <v>No</v>
      </c>
      <c r="W216" t="str">
        <f t="shared" si="50"/>
        <v>Yes</v>
      </c>
      <c r="X216" t="str">
        <f t="shared" si="51"/>
        <v>No</v>
      </c>
    </row>
    <row r="217" spans="1:24" x14ac:dyDescent="0.3">
      <c r="A217" t="s">
        <v>311</v>
      </c>
      <c r="B217">
        <v>26</v>
      </c>
      <c r="C217" t="s">
        <v>511</v>
      </c>
      <c r="D217">
        <v>28007</v>
      </c>
      <c r="E217" t="s">
        <v>512</v>
      </c>
      <c r="F217">
        <v>38</v>
      </c>
      <c r="G217">
        <v>1460.99</v>
      </c>
      <c r="H217">
        <v>137</v>
      </c>
      <c r="I217">
        <v>1</v>
      </c>
      <c r="J217">
        <v>55517.62</v>
      </c>
      <c r="K217">
        <f>SUM(Table3[Total_Revenue])</f>
        <v>30761529.489999965</v>
      </c>
      <c r="L217">
        <f t="shared" si="39"/>
        <v>23684185.119999975</v>
      </c>
      <c r="M217">
        <f t="shared" si="40"/>
        <v>0.76992872307273563</v>
      </c>
      <c r="N217" t="str">
        <f t="shared" si="41"/>
        <v>No</v>
      </c>
      <c r="O217">
        <f t="shared" si="42"/>
        <v>47894.68</v>
      </c>
      <c r="P217">
        <f t="shared" si="43"/>
        <v>5</v>
      </c>
      <c r="Q217">
        <f t="shared" si="44"/>
        <v>172.5</v>
      </c>
      <c r="R217" t="str">
        <f t="shared" si="45"/>
        <v>Low</v>
      </c>
      <c r="S217" t="str">
        <f t="shared" si="46"/>
        <v>Low</v>
      </c>
      <c r="T217" t="str">
        <f t="shared" si="47"/>
        <v>High</v>
      </c>
      <c r="U217" t="str">
        <f t="shared" si="48"/>
        <v>No</v>
      </c>
      <c r="V217" t="str">
        <f t="shared" si="49"/>
        <v>Yes</v>
      </c>
      <c r="W217" t="str">
        <f t="shared" si="50"/>
        <v>No</v>
      </c>
      <c r="X217" t="str">
        <f t="shared" si="51"/>
        <v>No</v>
      </c>
    </row>
    <row r="218" spans="1:24" x14ac:dyDescent="0.3">
      <c r="A218" t="s">
        <v>471</v>
      </c>
      <c r="B218">
        <v>61</v>
      </c>
      <c r="C218" t="s">
        <v>511</v>
      </c>
      <c r="D218">
        <v>23797</v>
      </c>
      <c r="E218" t="s">
        <v>514</v>
      </c>
      <c r="F218">
        <v>39</v>
      </c>
      <c r="G218">
        <v>1419.72</v>
      </c>
      <c r="H218">
        <v>127</v>
      </c>
      <c r="I218">
        <v>7</v>
      </c>
      <c r="J218">
        <v>55369.08</v>
      </c>
      <c r="K218">
        <f>SUM(Table3[Total_Revenue])</f>
        <v>30761529.489999965</v>
      </c>
      <c r="L218">
        <f t="shared" si="39"/>
        <v>23739554.199999973</v>
      </c>
      <c r="M218">
        <f t="shared" si="40"/>
        <v>0.77172866868395762</v>
      </c>
      <c r="N218" t="str">
        <f t="shared" si="41"/>
        <v>No</v>
      </c>
      <c r="O218">
        <f t="shared" si="42"/>
        <v>47894.68</v>
      </c>
      <c r="P218">
        <f t="shared" si="43"/>
        <v>5</v>
      </c>
      <c r="Q218">
        <f t="shared" si="44"/>
        <v>172.5</v>
      </c>
      <c r="R218" t="str">
        <f t="shared" si="45"/>
        <v>High</v>
      </c>
      <c r="S218" t="str">
        <f t="shared" si="46"/>
        <v>Low</v>
      </c>
      <c r="T218" t="str">
        <f t="shared" si="47"/>
        <v>High</v>
      </c>
      <c r="U218" t="str">
        <f t="shared" si="48"/>
        <v>Yes</v>
      </c>
      <c r="V218" t="str">
        <f t="shared" si="49"/>
        <v>No</v>
      </c>
      <c r="W218" t="str">
        <f t="shared" si="50"/>
        <v>Yes</v>
      </c>
      <c r="X218" t="str">
        <f t="shared" si="51"/>
        <v>No</v>
      </c>
    </row>
    <row r="219" spans="1:24" x14ac:dyDescent="0.3">
      <c r="A219" t="s">
        <v>350</v>
      </c>
      <c r="B219">
        <v>37</v>
      </c>
      <c r="C219" t="s">
        <v>510</v>
      </c>
      <c r="D219">
        <v>31246</v>
      </c>
      <c r="E219" t="s">
        <v>514</v>
      </c>
      <c r="F219">
        <v>42</v>
      </c>
      <c r="G219">
        <v>1318.04</v>
      </c>
      <c r="H219">
        <v>286</v>
      </c>
      <c r="I219">
        <v>5</v>
      </c>
      <c r="J219">
        <v>55357.68</v>
      </c>
      <c r="K219">
        <f>SUM(Table3[Total_Revenue])</f>
        <v>30761529.489999965</v>
      </c>
      <c r="L219">
        <f t="shared" si="39"/>
        <v>23794911.879999973</v>
      </c>
      <c r="M219">
        <f t="shared" si="40"/>
        <v>0.77352824370242323</v>
      </c>
      <c r="N219" t="str">
        <f t="shared" si="41"/>
        <v>No</v>
      </c>
      <c r="O219">
        <f t="shared" si="42"/>
        <v>47894.68</v>
      </c>
      <c r="P219">
        <f t="shared" si="43"/>
        <v>5</v>
      </c>
      <c r="Q219">
        <f t="shared" si="44"/>
        <v>172.5</v>
      </c>
      <c r="R219" t="str">
        <f t="shared" si="45"/>
        <v>Medium</v>
      </c>
      <c r="S219" t="str">
        <f t="shared" si="46"/>
        <v>High</v>
      </c>
      <c r="T219" t="str">
        <f t="shared" si="47"/>
        <v>High</v>
      </c>
      <c r="U219" t="str">
        <f t="shared" si="48"/>
        <v>Yes</v>
      </c>
      <c r="V219" t="str">
        <f t="shared" si="49"/>
        <v>No</v>
      </c>
      <c r="W219" t="str">
        <f t="shared" si="50"/>
        <v>Yes</v>
      </c>
      <c r="X219" t="str">
        <f t="shared" si="51"/>
        <v>No</v>
      </c>
    </row>
    <row r="220" spans="1:24" x14ac:dyDescent="0.3">
      <c r="A220" t="s">
        <v>339</v>
      </c>
      <c r="B220">
        <v>19</v>
      </c>
      <c r="C220" t="s">
        <v>510</v>
      </c>
      <c r="D220">
        <v>31954</v>
      </c>
      <c r="E220" t="s">
        <v>515</v>
      </c>
      <c r="F220">
        <v>13</v>
      </c>
      <c r="G220">
        <v>4255.28</v>
      </c>
      <c r="H220">
        <v>265</v>
      </c>
      <c r="I220">
        <v>10</v>
      </c>
      <c r="J220">
        <v>55318.64</v>
      </c>
      <c r="K220">
        <f>SUM(Table3[Total_Revenue])</f>
        <v>30761529.489999965</v>
      </c>
      <c r="L220">
        <f t="shared" si="39"/>
        <v>23850230.519999973</v>
      </c>
      <c r="M220">
        <f t="shared" si="40"/>
        <v>0.77532654960323955</v>
      </c>
      <c r="N220" t="str">
        <f t="shared" si="41"/>
        <v>No</v>
      </c>
      <c r="O220">
        <f t="shared" si="42"/>
        <v>47894.68</v>
      </c>
      <c r="P220">
        <f t="shared" si="43"/>
        <v>5</v>
      </c>
      <c r="Q220">
        <f t="shared" si="44"/>
        <v>172.5</v>
      </c>
      <c r="R220" t="str">
        <f t="shared" si="45"/>
        <v>High</v>
      </c>
      <c r="S220" t="str">
        <f t="shared" si="46"/>
        <v>High</v>
      </c>
      <c r="T220" t="str">
        <f t="shared" si="47"/>
        <v>High</v>
      </c>
      <c r="U220" t="str">
        <f t="shared" si="48"/>
        <v>Yes</v>
      </c>
      <c r="V220" t="str">
        <f t="shared" si="49"/>
        <v>No</v>
      </c>
      <c r="W220" t="str">
        <f t="shared" si="50"/>
        <v>Yes</v>
      </c>
      <c r="X220" t="str">
        <f t="shared" si="51"/>
        <v>No</v>
      </c>
    </row>
    <row r="221" spans="1:24" x14ac:dyDescent="0.3">
      <c r="A221" t="s">
        <v>506</v>
      </c>
      <c r="B221">
        <v>42</v>
      </c>
      <c r="C221" t="s">
        <v>510</v>
      </c>
      <c r="D221">
        <v>119929</v>
      </c>
      <c r="E221" t="s">
        <v>512</v>
      </c>
      <c r="F221">
        <v>20</v>
      </c>
      <c r="G221">
        <v>2739.61</v>
      </c>
      <c r="H221">
        <v>93</v>
      </c>
      <c r="I221">
        <v>8</v>
      </c>
      <c r="J221">
        <v>54792.2</v>
      </c>
      <c r="K221">
        <f>SUM(Table3[Total_Revenue])</f>
        <v>30761529.489999965</v>
      </c>
      <c r="L221">
        <f t="shared" si="39"/>
        <v>23905022.719999973</v>
      </c>
      <c r="M221">
        <f t="shared" si="40"/>
        <v>0.77710774192067</v>
      </c>
      <c r="N221" t="str">
        <f t="shared" si="41"/>
        <v>No</v>
      </c>
      <c r="O221">
        <f t="shared" si="42"/>
        <v>47894.68</v>
      </c>
      <c r="P221">
        <f t="shared" si="43"/>
        <v>5</v>
      </c>
      <c r="Q221">
        <f t="shared" si="44"/>
        <v>172.5</v>
      </c>
      <c r="R221" t="str">
        <f t="shared" si="45"/>
        <v>High</v>
      </c>
      <c r="S221" t="str">
        <f t="shared" si="46"/>
        <v>Low</v>
      </c>
      <c r="T221" t="str">
        <f t="shared" si="47"/>
        <v>High</v>
      </c>
      <c r="U221" t="str">
        <f t="shared" si="48"/>
        <v>Yes</v>
      </c>
      <c r="V221" t="str">
        <f t="shared" si="49"/>
        <v>No</v>
      </c>
      <c r="W221" t="str">
        <f t="shared" si="50"/>
        <v>Yes</v>
      </c>
      <c r="X221" t="str">
        <f t="shared" si="51"/>
        <v>No</v>
      </c>
    </row>
    <row r="222" spans="1:24" x14ac:dyDescent="0.3">
      <c r="A222" t="s">
        <v>393</v>
      </c>
      <c r="B222">
        <v>41</v>
      </c>
      <c r="C222" t="s">
        <v>510</v>
      </c>
      <c r="D222">
        <v>132250</v>
      </c>
      <c r="E222" t="s">
        <v>513</v>
      </c>
      <c r="F222">
        <v>45</v>
      </c>
      <c r="G222">
        <v>1212.1300000000001</v>
      </c>
      <c r="H222">
        <v>143</v>
      </c>
      <c r="I222">
        <v>1</v>
      </c>
      <c r="J222">
        <v>54545.85</v>
      </c>
      <c r="K222">
        <f>SUM(Table3[Total_Revenue])</f>
        <v>30761529.489999965</v>
      </c>
      <c r="L222">
        <f t="shared" si="39"/>
        <v>23959568.569999974</v>
      </c>
      <c r="M222">
        <f t="shared" si="40"/>
        <v>0.77888092585867064</v>
      </c>
      <c r="N222" t="str">
        <f t="shared" si="41"/>
        <v>No</v>
      </c>
      <c r="O222">
        <f t="shared" si="42"/>
        <v>47894.68</v>
      </c>
      <c r="P222">
        <f t="shared" si="43"/>
        <v>5</v>
      </c>
      <c r="Q222">
        <f t="shared" si="44"/>
        <v>172.5</v>
      </c>
      <c r="R222" t="str">
        <f t="shared" si="45"/>
        <v>Low</v>
      </c>
      <c r="S222" t="str">
        <f t="shared" si="46"/>
        <v>Low</v>
      </c>
      <c r="T222" t="str">
        <f t="shared" si="47"/>
        <v>High</v>
      </c>
      <c r="U222" t="str">
        <f t="shared" si="48"/>
        <v>No</v>
      </c>
      <c r="V222" t="str">
        <f t="shared" si="49"/>
        <v>Yes</v>
      </c>
      <c r="W222" t="str">
        <f t="shared" si="50"/>
        <v>No</v>
      </c>
      <c r="X222" t="str">
        <f t="shared" si="51"/>
        <v>No</v>
      </c>
    </row>
    <row r="223" spans="1:24" x14ac:dyDescent="0.3">
      <c r="A223" t="s">
        <v>192</v>
      </c>
      <c r="B223">
        <v>45</v>
      </c>
      <c r="C223" t="s">
        <v>511</v>
      </c>
      <c r="D223">
        <v>21605</v>
      </c>
      <c r="E223" t="s">
        <v>513</v>
      </c>
      <c r="F223">
        <v>18</v>
      </c>
      <c r="G223">
        <v>3025.53</v>
      </c>
      <c r="H223">
        <v>69</v>
      </c>
      <c r="I223">
        <v>1</v>
      </c>
      <c r="J223">
        <v>54459.54</v>
      </c>
      <c r="K223">
        <f>SUM(Table3[Total_Revenue])</f>
        <v>30761529.489999965</v>
      </c>
      <c r="L223">
        <f t="shared" si="39"/>
        <v>24014028.109999973</v>
      </c>
      <c r="M223">
        <f t="shared" si="40"/>
        <v>0.78065130401940885</v>
      </c>
      <c r="N223" t="str">
        <f t="shared" si="41"/>
        <v>No</v>
      </c>
      <c r="O223">
        <f t="shared" si="42"/>
        <v>47894.68</v>
      </c>
      <c r="P223">
        <f t="shared" si="43"/>
        <v>5</v>
      </c>
      <c r="Q223">
        <f t="shared" si="44"/>
        <v>172.5</v>
      </c>
      <c r="R223" t="str">
        <f t="shared" si="45"/>
        <v>Low</v>
      </c>
      <c r="S223" t="str">
        <f t="shared" si="46"/>
        <v>Low</v>
      </c>
      <c r="T223" t="str">
        <f t="shared" si="47"/>
        <v>High</v>
      </c>
      <c r="U223" t="str">
        <f t="shared" si="48"/>
        <v>No</v>
      </c>
      <c r="V223" t="str">
        <f t="shared" si="49"/>
        <v>Yes</v>
      </c>
      <c r="W223" t="str">
        <f t="shared" si="50"/>
        <v>No</v>
      </c>
      <c r="X223" t="str">
        <f t="shared" si="51"/>
        <v>No</v>
      </c>
    </row>
    <row r="224" spans="1:24" x14ac:dyDescent="0.3">
      <c r="A224" t="s">
        <v>120</v>
      </c>
      <c r="B224">
        <v>28</v>
      </c>
      <c r="C224" t="s">
        <v>511</v>
      </c>
      <c r="D224">
        <v>147858</v>
      </c>
      <c r="E224" t="s">
        <v>512</v>
      </c>
      <c r="F224">
        <v>13</v>
      </c>
      <c r="G224">
        <v>4129.7299999999996</v>
      </c>
      <c r="H224">
        <v>320</v>
      </c>
      <c r="I224">
        <v>9</v>
      </c>
      <c r="J224">
        <v>53686.49</v>
      </c>
      <c r="K224">
        <f>SUM(Table3[Total_Revenue])</f>
        <v>30761529.489999965</v>
      </c>
      <c r="L224">
        <f t="shared" si="39"/>
        <v>24067714.599999972</v>
      </c>
      <c r="M224">
        <f t="shared" si="40"/>
        <v>0.78239655176521583</v>
      </c>
      <c r="N224" t="str">
        <f t="shared" si="41"/>
        <v>No</v>
      </c>
      <c r="O224">
        <f t="shared" si="42"/>
        <v>47894.68</v>
      </c>
      <c r="P224">
        <f t="shared" si="43"/>
        <v>5</v>
      </c>
      <c r="Q224">
        <f t="shared" si="44"/>
        <v>172.5</v>
      </c>
      <c r="R224" t="str">
        <f t="shared" si="45"/>
        <v>High</v>
      </c>
      <c r="S224" t="str">
        <f t="shared" si="46"/>
        <v>High</v>
      </c>
      <c r="T224" t="str">
        <f t="shared" si="47"/>
        <v>High</v>
      </c>
      <c r="U224" t="str">
        <f t="shared" si="48"/>
        <v>Yes</v>
      </c>
      <c r="V224" t="str">
        <f t="shared" si="49"/>
        <v>No</v>
      </c>
      <c r="W224" t="str">
        <f t="shared" si="50"/>
        <v>Yes</v>
      </c>
      <c r="X224" t="str">
        <f t="shared" si="51"/>
        <v>No</v>
      </c>
    </row>
    <row r="225" spans="1:24" x14ac:dyDescent="0.3">
      <c r="A225" t="s">
        <v>424</v>
      </c>
      <c r="B225">
        <v>34</v>
      </c>
      <c r="C225" t="s">
        <v>511</v>
      </c>
      <c r="D225">
        <v>91315</v>
      </c>
      <c r="E225" t="s">
        <v>514</v>
      </c>
      <c r="F225">
        <v>44</v>
      </c>
      <c r="G225">
        <v>1216.43</v>
      </c>
      <c r="H225">
        <v>84</v>
      </c>
      <c r="I225">
        <v>7</v>
      </c>
      <c r="J225">
        <v>53522.92</v>
      </c>
      <c r="K225">
        <f>SUM(Table3[Total_Revenue])</f>
        <v>30761529.489999965</v>
      </c>
      <c r="L225">
        <f t="shared" si="39"/>
        <v>24121237.519999973</v>
      </c>
      <c r="M225">
        <f t="shared" si="40"/>
        <v>0.78413648215513365</v>
      </c>
      <c r="N225" t="str">
        <f t="shared" si="41"/>
        <v>No</v>
      </c>
      <c r="O225">
        <f t="shared" si="42"/>
        <v>47894.68</v>
      </c>
      <c r="P225">
        <f t="shared" si="43"/>
        <v>5</v>
      </c>
      <c r="Q225">
        <f t="shared" si="44"/>
        <v>172.5</v>
      </c>
      <c r="R225" t="str">
        <f t="shared" si="45"/>
        <v>High</v>
      </c>
      <c r="S225" t="str">
        <f t="shared" si="46"/>
        <v>Low</v>
      </c>
      <c r="T225" t="str">
        <f t="shared" si="47"/>
        <v>High</v>
      </c>
      <c r="U225" t="str">
        <f t="shared" si="48"/>
        <v>Yes</v>
      </c>
      <c r="V225" t="str">
        <f t="shared" si="49"/>
        <v>No</v>
      </c>
      <c r="W225" t="str">
        <f t="shared" si="50"/>
        <v>Yes</v>
      </c>
      <c r="X225" t="str">
        <f t="shared" si="51"/>
        <v>No</v>
      </c>
    </row>
    <row r="226" spans="1:24" x14ac:dyDescent="0.3">
      <c r="A226" t="s">
        <v>258</v>
      </c>
      <c r="B226">
        <v>22</v>
      </c>
      <c r="C226" t="s">
        <v>510</v>
      </c>
      <c r="D226">
        <v>125292</v>
      </c>
      <c r="E226" t="s">
        <v>514</v>
      </c>
      <c r="F226">
        <v>44</v>
      </c>
      <c r="G226">
        <v>1214.05</v>
      </c>
      <c r="H226">
        <v>270</v>
      </c>
      <c r="I226">
        <v>10</v>
      </c>
      <c r="J226">
        <v>53418.2</v>
      </c>
      <c r="K226">
        <f>SUM(Table3[Total_Revenue])</f>
        <v>30761529.489999965</v>
      </c>
      <c r="L226">
        <f t="shared" si="39"/>
        <v>24174655.719999973</v>
      </c>
      <c r="M226">
        <f t="shared" si="40"/>
        <v>0.78587300829299567</v>
      </c>
      <c r="N226" t="str">
        <f t="shared" si="41"/>
        <v>No</v>
      </c>
      <c r="O226">
        <f t="shared" si="42"/>
        <v>47894.68</v>
      </c>
      <c r="P226">
        <f t="shared" si="43"/>
        <v>5</v>
      </c>
      <c r="Q226">
        <f t="shared" si="44"/>
        <v>172.5</v>
      </c>
      <c r="R226" t="str">
        <f t="shared" si="45"/>
        <v>High</v>
      </c>
      <c r="S226" t="str">
        <f t="shared" si="46"/>
        <v>High</v>
      </c>
      <c r="T226" t="str">
        <f t="shared" si="47"/>
        <v>High</v>
      </c>
      <c r="U226" t="str">
        <f t="shared" si="48"/>
        <v>Yes</v>
      </c>
      <c r="V226" t="str">
        <f t="shared" si="49"/>
        <v>No</v>
      </c>
      <c r="W226" t="str">
        <f t="shared" si="50"/>
        <v>Yes</v>
      </c>
      <c r="X226" t="str">
        <f t="shared" si="51"/>
        <v>No</v>
      </c>
    </row>
    <row r="227" spans="1:24" x14ac:dyDescent="0.3">
      <c r="A227" t="s">
        <v>463</v>
      </c>
      <c r="B227">
        <v>69</v>
      </c>
      <c r="C227" t="s">
        <v>510</v>
      </c>
      <c r="D227">
        <v>129945</v>
      </c>
      <c r="E227" t="s">
        <v>512</v>
      </c>
      <c r="F227">
        <v>45</v>
      </c>
      <c r="G227">
        <v>1183.21</v>
      </c>
      <c r="H227">
        <v>68</v>
      </c>
      <c r="I227">
        <v>10</v>
      </c>
      <c r="J227">
        <v>53244.45</v>
      </c>
      <c r="K227">
        <f>SUM(Table3[Total_Revenue])</f>
        <v>30761529.489999965</v>
      </c>
      <c r="L227">
        <f t="shared" si="39"/>
        <v>24227900.169999972</v>
      </c>
      <c r="M227">
        <f t="shared" si="40"/>
        <v>0.78760388614213861</v>
      </c>
      <c r="N227" t="str">
        <f t="shared" si="41"/>
        <v>No</v>
      </c>
      <c r="O227">
        <f t="shared" si="42"/>
        <v>47894.68</v>
      </c>
      <c r="P227">
        <f t="shared" si="43"/>
        <v>5</v>
      </c>
      <c r="Q227">
        <f t="shared" si="44"/>
        <v>172.5</v>
      </c>
      <c r="R227" t="str">
        <f t="shared" si="45"/>
        <v>High</v>
      </c>
      <c r="S227" t="str">
        <f t="shared" si="46"/>
        <v>Low</v>
      </c>
      <c r="T227" t="str">
        <f t="shared" si="47"/>
        <v>High</v>
      </c>
      <c r="U227" t="str">
        <f t="shared" si="48"/>
        <v>Yes</v>
      </c>
      <c r="V227" t="str">
        <f t="shared" si="49"/>
        <v>No</v>
      </c>
      <c r="W227" t="str">
        <f t="shared" si="50"/>
        <v>Yes</v>
      </c>
      <c r="X227" t="str">
        <f t="shared" si="51"/>
        <v>No</v>
      </c>
    </row>
    <row r="228" spans="1:24" x14ac:dyDescent="0.3">
      <c r="A228" t="s">
        <v>260</v>
      </c>
      <c r="B228">
        <v>51</v>
      </c>
      <c r="C228" t="s">
        <v>511</v>
      </c>
      <c r="D228">
        <v>67362</v>
      </c>
      <c r="E228" t="s">
        <v>514</v>
      </c>
      <c r="F228">
        <v>27</v>
      </c>
      <c r="G228">
        <v>1966.46</v>
      </c>
      <c r="H228">
        <v>58</v>
      </c>
      <c r="I228">
        <v>5</v>
      </c>
      <c r="J228">
        <v>53094.42</v>
      </c>
      <c r="K228">
        <f>SUM(Table3[Total_Revenue])</f>
        <v>30761529.489999965</v>
      </c>
      <c r="L228">
        <f t="shared" si="39"/>
        <v>24280994.589999974</v>
      </c>
      <c r="M228">
        <f t="shared" si="40"/>
        <v>0.78932988679556071</v>
      </c>
      <c r="N228" t="str">
        <f t="shared" si="41"/>
        <v>No</v>
      </c>
      <c r="O228">
        <f t="shared" si="42"/>
        <v>47894.68</v>
      </c>
      <c r="P228">
        <f t="shared" si="43"/>
        <v>5</v>
      </c>
      <c r="Q228">
        <f t="shared" si="44"/>
        <v>172.5</v>
      </c>
      <c r="R228" t="str">
        <f t="shared" si="45"/>
        <v>Medium</v>
      </c>
      <c r="S228" t="str">
        <f t="shared" si="46"/>
        <v>Low</v>
      </c>
      <c r="T228" t="str">
        <f t="shared" si="47"/>
        <v>High</v>
      </c>
      <c r="U228" t="str">
        <f t="shared" si="48"/>
        <v>Yes</v>
      </c>
      <c r="V228" t="str">
        <f t="shared" si="49"/>
        <v>No</v>
      </c>
      <c r="W228" t="str">
        <f t="shared" si="50"/>
        <v>Yes</v>
      </c>
      <c r="X228" t="str">
        <f t="shared" si="51"/>
        <v>No</v>
      </c>
    </row>
    <row r="229" spans="1:24" x14ac:dyDescent="0.3">
      <c r="A229" t="s">
        <v>126</v>
      </c>
      <c r="B229">
        <v>50</v>
      </c>
      <c r="C229" t="s">
        <v>511</v>
      </c>
      <c r="D229">
        <v>75658</v>
      </c>
      <c r="E229" t="s">
        <v>514</v>
      </c>
      <c r="F229">
        <v>27</v>
      </c>
      <c r="G229">
        <v>1962.37</v>
      </c>
      <c r="H229">
        <v>70</v>
      </c>
      <c r="I229">
        <v>5</v>
      </c>
      <c r="J229">
        <v>52983.99</v>
      </c>
      <c r="K229">
        <f>SUM(Table3[Total_Revenue])</f>
        <v>30761529.489999965</v>
      </c>
      <c r="L229">
        <f t="shared" si="39"/>
        <v>24333978.579999972</v>
      </c>
      <c r="M229">
        <f t="shared" si="40"/>
        <v>0.79105229757546758</v>
      </c>
      <c r="N229" t="str">
        <f t="shared" si="41"/>
        <v>No</v>
      </c>
      <c r="O229">
        <f t="shared" si="42"/>
        <v>47894.68</v>
      </c>
      <c r="P229">
        <f t="shared" si="43"/>
        <v>5</v>
      </c>
      <c r="Q229">
        <f t="shared" si="44"/>
        <v>172.5</v>
      </c>
      <c r="R229" t="str">
        <f t="shared" si="45"/>
        <v>Medium</v>
      </c>
      <c r="S229" t="str">
        <f t="shared" si="46"/>
        <v>Low</v>
      </c>
      <c r="T229" t="str">
        <f t="shared" si="47"/>
        <v>High</v>
      </c>
      <c r="U229" t="str">
        <f t="shared" si="48"/>
        <v>Yes</v>
      </c>
      <c r="V229" t="str">
        <f t="shared" si="49"/>
        <v>No</v>
      </c>
      <c r="W229" t="str">
        <f t="shared" si="50"/>
        <v>Yes</v>
      </c>
      <c r="X229" t="str">
        <f t="shared" si="51"/>
        <v>No</v>
      </c>
    </row>
    <row r="230" spans="1:24" x14ac:dyDescent="0.3">
      <c r="A230" t="s">
        <v>373</v>
      </c>
      <c r="B230">
        <v>50</v>
      </c>
      <c r="C230" t="s">
        <v>511</v>
      </c>
      <c r="D230">
        <v>79379</v>
      </c>
      <c r="E230" t="s">
        <v>514</v>
      </c>
      <c r="F230">
        <v>16</v>
      </c>
      <c r="G230">
        <v>3293.38</v>
      </c>
      <c r="H230">
        <v>347</v>
      </c>
      <c r="I230">
        <v>1</v>
      </c>
      <c r="J230">
        <v>52694.080000000002</v>
      </c>
      <c r="K230">
        <f>SUM(Table3[Total_Revenue])</f>
        <v>30761529.489999965</v>
      </c>
      <c r="L230">
        <f t="shared" si="39"/>
        <v>24386672.65999997</v>
      </c>
      <c r="M230">
        <f t="shared" si="40"/>
        <v>0.79276528392151802</v>
      </c>
      <c r="N230" t="str">
        <f t="shared" si="41"/>
        <v>No</v>
      </c>
      <c r="O230">
        <f t="shared" si="42"/>
        <v>47894.68</v>
      </c>
      <c r="P230">
        <f t="shared" si="43"/>
        <v>5</v>
      </c>
      <c r="Q230">
        <f t="shared" si="44"/>
        <v>172.5</v>
      </c>
      <c r="R230" t="str">
        <f t="shared" si="45"/>
        <v>Low</v>
      </c>
      <c r="S230" t="str">
        <f t="shared" si="46"/>
        <v>High</v>
      </c>
      <c r="T230" t="str">
        <f t="shared" si="47"/>
        <v>High</v>
      </c>
      <c r="U230" t="str">
        <f t="shared" si="48"/>
        <v>No</v>
      </c>
      <c r="V230" t="str">
        <f t="shared" si="49"/>
        <v>Yes</v>
      </c>
      <c r="W230" t="str">
        <f t="shared" si="50"/>
        <v>No</v>
      </c>
      <c r="X230" t="str">
        <f t="shared" si="51"/>
        <v>No</v>
      </c>
    </row>
    <row r="231" spans="1:24" x14ac:dyDescent="0.3">
      <c r="A231" t="s">
        <v>377</v>
      </c>
      <c r="B231">
        <v>22</v>
      </c>
      <c r="C231" t="s">
        <v>510</v>
      </c>
      <c r="D231">
        <v>118723</v>
      </c>
      <c r="E231" t="s">
        <v>512</v>
      </c>
      <c r="F231">
        <v>26</v>
      </c>
      <c r="G231">
        <v>2022.73</v>
      </c>
      <c r="H231">
        <v>66</v>
      </c>
      <c r="I231">
        <v>6</v>
      </c>
      <c r="J231">
        <v>52590.98</v>
      </c>
      <c r="K231">
        <f>SUM(Table3[Total_Revenue])</f>
        <v>30761529.489999965</v>
      </c>
      <c r="L231">
        <f t="shared" si="39"/>
        <v>24439263.639999971</v>
      </c>
      <c r="M231">
        <f t="shared" si="40"/>
        <v>0.79447491867869402</v>
      </c>
      <c r="N231" t="str">
        <f t="shared" si="41"/>
        <v>No</v>
      </c>
      <c r="O231">
        <f t="shared" si="42"/>
        <v>47894.68</v>
      </c>
      <c r="P231">
        <f t="shared" si="43"/>
        <v>5</v>
      </c>
      <c r="Q231">
        <f t="shared" si="44"/>
        <v>172.5</v>
      </c>
      <c r="R231" t="str">
        <f t="shared" si="45"/>
        <v>High</v>
      </c>
      <c r="S231" t="str">
        <f t="shared" si="46"/>
        <v>Low</v>
      </c>
      <c r="T231" t="str">
        <f t="shared" si="47"/>
        <v>High</v>
      </c>
      <c r="U231" t="str">
        <f t="shared" si="48"/>
        <v>Yes</v>
      </c>
      <c r="V231" t="str">
        <f t="shared" si="49"/>
        <v>No</v>
      </c>
      <c r="W231" t="str">
        <f t="shared" si="50"/>
        <v>Yes</v>
      </c>
      <c r="X231" t="str">
        <f t="shared" si="51"/>
        <v>No</v>
      </c>
    </row>
    <row r="232" spans="1:24" x14ac:dyDescent="0.3">
      <c r="A232" t="s">
        <v>69</v>
      </c>
      <c r="B232">
        <v>61</v>
      </c>
      <c r="C232" t="s">
        <v>510</v>
      </c>
      <c r="D232">
        <v>59749</v>
      </c>
      <c r="E232" t="s">
        <v>514</v>
      </c>
      <c r="F232">
        <v>29</v>
      </c>
      <c r="G232">
        <v>1808.01</v>
      </c>
      <c r="H232">
        <v>356</v>
      </c>
      <c r="I232">
        <v>8</v>
      </c>
      <c r="J232">
        <v>52432.29</v>
      </c>
      <c r="K232">
        <f>SUM(Table3[Total_Revenue])</f>
        <v>30761529.489999965</v>
      </c>
      <c r="L232">
        <f t="shared" si="39"/>
        <v>24491695.92999997</v>
      </c>
      <c r="M232">
        <f t="shared" si="40"/>
        <v>0.79617939471968691</v>
      </c>
      <c r="N232" t="str">
        <f t="shared" si="41"/>
        <v>No</v>
      </c>
      <c r="O232">
        <f t="shared" si="42"/>
        <v>47894.68</v>
      </c>
      <c r="P232">
        <f t="shared" si="43"/>
        <v>5</v>
      </c>
      <c r="Q232">
        <f t="shared" si="44"/>
        <v>172.5</v>
      </c>
      <c r="R232" t="str">
        <f t="shared" si="45"/>
        <v>High</v>
      </c>
      <c r="S232" t="str">
        <f t="shared" si="46"/>
        <v>High</v>
      </c>
      <c r="T232" t="str">
        <f t="shared" si="47"/>
        <v>High</v>
      </c>
      <c r="U232" t="str">
        <f t="shared" si="48"/>
        <v>Yes</v>
      </c>
      <c r="V232" t="str">
        <f t="shared" si="49"/>
        <v>No</v>
      </c>
      <c r="W232" t="str">
        <f t="shared" si="50"/>
        <v>Yes</v>
      </c>
      <c r="X232" t="str">
        <f t="shared" si="51"/>
        <v>No</v>
      </c>
    </row>
    <row r="233" spans="1:24" x14ac:dyDescent="0.3">
      <c r="A233" t="s">
        <v>320</v>
      </c>
      <c r="B233">
        <v>50</v>
      </c>
      <c r="C233" t="s">
        <v>510</v>
      </c>
      <c r="D233">
        <v>35524</v>
      </c>
      <c r="E233" t="s">
        <v>513</v>
      </c>
      <c r="F233">
        <v>46</v>
      </c>
      <c r="G233">
        <v>1137.5999999999999</v>
      </c>
      <c r="H233">
        <v>269</v>
      </c>
      <c r="I233">
        <v>7</v>
      </c>
      <c r="J233">
        <v>52329.599999999999</v>
      </c>
      <c r="K233">
        <f>SUM(Table3[Total_Revenue])</f>
        <v>30761529.489999965</v>
      </c>
      <c r="L233">
        <f t="shared" si="39"/>
        <v>24544025.529999971</v>
      </c>
      <c r="M233">
        <f t="shared" si="40"/>
        <v>0.79788053250014124</v>
      </c>
      <c r="N233" t="str">
        <f t="shared" si="41"/>
        <v>No</v>
      </c>
      <c r="O233">
        <f t="shared" si="42"/>
        <v>47894.68</v>
      </c>
      <c r="P233">
        <f t="shared" si="43"/>
        <v>5</v>
      </c>
      <c r="Q233">
        <f t="shared" si="44"/>
        <v>172.5</v>
      </c>
      <c r="R233" t="str">
        <f t="shared" si="45"/>
        <v>High</v>
      </c>
      <c r="S233" t="str">
        <f t="shared" si="46"/>
        <v>High</v>
      </c>
      <c r="T233" t="str">
        <f t="shared" si="47"/>
        <v>High</v>
      </c>
      <c r="U233" t="str">
        <f t="shared" si="48"/>
        <v>Yes</v>
      </c>
      <c r="V233" t="str">
        <f t="shared" si="49"/>
        <v>No</v>
      </c>
      <c r="W233" t="str">
        <f t="shared" si="50"/>
        <v>Yes</v>
      </c>
      <c r="X233" t="str">
        <f t="shared" si="51"/>
        <v>No</v>
      </c>
    </row>
    <row r="234" spans="1:24" x14ac:dyDescent="0.3">
      <c r="A234" t="s">
        <v>419</v>
      </c>
      <c r="B234">
        <v>19</v>
      </c>
      <c r="C234" t="s">
        <v>511</v>
      </c>
      <c r="D234">
        <v>59666</v>
      </c>
      <c r="E234" t="s">
        <v>512</v>
      </c>
      <c r="F234">
        <v>24</v>
      </c>
      <c r="G234">
        <v>2179.0500000000002</v>
      </c>
      <c r="H234">
        <v>190</v>
      </c>
      <c r="I234">
        <v>6</v>
      </c>
      <c r="J234">
        <v>52297.2</v>
      </c>
      <c r="K234">
        <f>SUM(Table3[Total_Revenue])</f>
        <v>30761529.489999965</v>
      </c>
      <c r="L234">
        <f t="shared" si="39"/>
        <v>24596322.729999971</v>
      </c>
      <c r="M234">
        <f t="shared" si="40"/>
        <v>0.79958061701697258</v>
      </c>
      <c r="N234" t="str">
        <f t="shared" si="41"/>
        <v>No</v>
      </c>
      <c r="O234">
        <f t="shared" si="42"/>
        <v>47894.68</v>
      </c>
      <c r="P234">
        <f t="shared" si="43"/>
        <v>5</v>
      </c>
      <c r="Q234">
        <f t="shared" si="44"/>
        <v>172.5</v>
      </c>
      <c r="R234" t="str">
        <f t="shared" si="45"/>
        <v>High</v>
      </c>
      <c r="S234" t="str">
        <f t="shared" si="46"/>
        <v>High</v>
      </c>
      <c r="T234" t="str">
        <f t="shared" si="47"/>
        <v>High</v>
      </c>
      <c r="U234" t="str">
        <f t="shared" si="48"/>
        <v>Yes</v>
      </c>
      <c r="V234" t="str">
        <f t="shared" si="49"/>
        <v>No</v>
      </c>
      <c r="W234" t="str">
        <f t="shared" si="50"/>
        <v>Yes</v>
      </c>
      <c r="X234" t="str">
        <f t="shared" si="51"/>
        <v>No</v>
      </c>
    </row>
    <row r="235" spans="1:24" x14ac:dyDescent="0.3">
      <c r="A235" t="s">
        <v>145</v>
      </c>
      <c r="B235">
        <v>39</v>
      </c>
      <c r="C235" t="s">
        <v>510</v>
      </c>
      <c r="D235">
        <v>115462</v>
      </c>
      <c r="E235" t="s">
        <v>514</v>
      </c>
      <c r="F235">
        <v>13</v>
      </c>
      <c r="G235">
        <v>4018.93</v>
      </c>
      <c r="H235">
        <v>84</v>
      </c>
      <c r="I235">
        <v>6</v>
      </c>
      <c r="J235">
        <v>52246.09</v>
      </c>
      <c r="K235">
        <f>SUM(Table3[Total_Revenue])</f>
        <v>30761529.489999965</v>
      </c>
      <c r="L235">
        <f t="shared" si="39"/>
        <v>24648568.81999997</v>
      </c>
      <c r="M235">
        <f t="shared" si="40"/>
        <v>0.80127904004294681</v>
      </c>
      <c r="N235" t="str">
        <f t="shared" si="41"/>
        <v>No</v>
      </c>
      <c r="O235">
        <f t="shared" si="42"/>
        <v>47894.68</v>
      </c>
      <c r="P235">
        <f t="shared" si="43"/>
        <v>5</v>
      </c>
      <c r="Q235">
        <f t="shared" si="44"/>
        <v>172.5</v>
      </c>
      <c r="R235" t="str">
        <f t="shared" si="45"/>
        <v>High</v>
      </c>
      <c r="S235" t="str">
        <f t="shared" si="46"/>
        <v>Low</v>
      </c>
      <c r="T235" t="str">
        <f t="shared" si="47"/>
        <v>High</v>
      </c>
      <c r="U235" t="str">
        <f t="shared" si="48"/>
        <v>Yes</v>
      </c>
      <c r="V235" t="str">
        <f t="shared" si="49"/>
        <v>No</v>
      </c>
      <c r="W235" t="str">
        <f t="shared" si="50"/>
        <v>Yes</v>
      </c>
      <c r="X235" t="str">
        <f t="shared" si="51"/>
        <v>No</v>
      </c>
    </row>
    <row r="236" spans="1:24" x14ac:dyDescent="0.3">
      <c r="A236" t="s">
        <v>449</v>
      </c>
      <c r="B236">
        <v>68</v>
      </c>
      <c r="C236" t="s">
        <v>510</v>
      </c>
      <c r="D236">
        <v>105451</v>
      </c>
      <c r="E236" t="s">
        <v>513</v>
      </c>
      <c r="F236">
        <v>26</v>
      </c>
      <c r="G236">
        <v>2004.4</v>
      </c>
      <c r="H236">
        <v>286</v>
      </c>
      <c r="I236">
        <v>3</v>
      </c>
      <c r="J236">
        <v>52114.400000000001</v>
      </c>
      <c r="K236">
        <f>SUM(Table3[Total_Revenue])</f>
        <v>30761529.489999965</v>
      </c>
      <c r="L236">
        <f t="shared" si="39"/>
        <v>24700683.219999969</v>
      </c>
      <c r="M236">
        <f t="shared" si="40"/>
        <v>0.80297318207242363</v>
      </c>
      <c r="N236" t="str">
        <f t="shared" si="41"/>
        <v>No</v>
      </c>
      <c r="O236">
        <f t="shared" si="42"/>
        <v>47894.68</v>
      </c>
      <c r="P236">
        <f t="shared" si="43"/>
        <v>5</v>
      </c>
      <c r="Q236">
        <f t="shared" si="44"/>
        <v>172.5</v>
      </c>
      <c r="R236" t="str">
        <f t="shared" si="45"/>
        <v>Low</v>
      </c>
      <c r="S236" t="str">
        <f t="shared" si="46"/>
        <v>High</v>
      </c>
      <c r="T236" t="str">
        <f t="shared" si="47"/>
        <v>High</v>
      </c>
      <c r="U236" t="str">
        <f t="shared" si="48"/>
        <v>No</v>
      </c>
      <c r="V236" t="str">
        <f t="shared" si="49"/>
        <v>Yes</v>
      </c>
      <c r="W236" t="str">
        <f t="shared" si="50"/>
        <v>No</v>
      </c>
      <c r="X236" t="str">
        <f t="shared" si="51"/>
        <v>No</v>
      </c>
    </row>
    <row r="237" spans="1:24" x14ac:dyDescent="0.3">
      <c r="A237" t="s">
        <v>382</v>
      </c>
      <c r="B237">
        <v>66</v>
      </c>
      <c r="C237" t="s">
        <v>511</v>
      </c>
      <c r="D237">
        <v>64028</v>
      </c>
      <c r="E237" t="s">
        <v>513</v>
      </c>
      <c r="F237">
        <v>11</v>
      </c>
      <c r="G237">
        <v>4719.87</v>
      </c>
      <c r="H237">
        <v>148</v>
      </c>
      <c r="I237">
        <v>2</v>
      </c>
      <c r="J237">
        <v>51918.57</v>
      </c>
      <c r="K237">
        <f>SUM(Table3[Total_Revenue])</f>
        <v>30761529.489999965</v>
      </c>
      <c r="L237">
        <f t="shared" si="39"/>
        <v>24752601.789999969</v>
      </c>
      <c r="M237">
        <f t="shared" si="40"/>
        <v>0.80466095803352711</v>
      </c>
      <c r="N237" t="str">
        <f t="shared" si="41"/>
        <v>No</v>
      </c>
      <c r="O237">
        <f t="shared" si="42"/>
        <v>47894.68</v>
      </c>
      <c r="P237">
        <f t="shared" si="43"/>
        <v>5</v>
      </c>
      <c r="Q237">
        <f t="shared" si="44"/>
        <v>172.5</v>
      </c>
      <c r="R237" t="str">
        <f t="shared" si="45"/>
        <v>Low</v>
      </c>
      <c r="S237" t="str">
        <f t="shared" si="46"/>
        <v>Low</v>
      </c>
      <c r="T237" t="str">
        <f t="shared" si="47"/>
        <v>High</v>
      </c>
      <c r="U237" t="str">
        <f t="shared" si="48"/>
        <v>No</v>
      </c>
      <c r="V237" t="str">
        <f t="shared" si="49"/>
        <v>Yes</v>
      </c>
      <c r="W237" t="str">
        <f t="shared" si="50"/>
        <v>No</v>
      </c>
      <c r="X237" t="str">
        <f t="shared" si="51"/>
        <v>No</v>
      </c>
    </row>
    <row r="238" spans="1:24" x14ac:dyDescent="0.3">
      <c r="A238" t="s">
        <v>451</v>
      </c>
      <c r="B238">
        <v>32</v>
      </c>
      <c r="C238" t="s">
        <v>510</v>
      </c>
      <c r="D238">
        <v>57219</v>
      </c>
      <c r="E238" t="s">
        <v>512</v>
      </c>
      <c r="F238">
        <v>36</v>
      </c>
      <c r="G238">
        <v>1441.58</v>
      </c>
      <c r="H238">
        <v>320</v>
      </c>
      <c r="I238">
        <v>2</v>
      </c>
      <c r="J238">
        <v>51896.88</v>
      </c>
      <c r="K238">
        <f>SUM(Table3[Total_Revenue])</f>
        <v>30761529.489999965</v>
      </c>
      <c r="L238">
        <f t="shared" si="39"/>
        <v>24804498.669999968</v>
      </c>
      <c r="M238">
        <f t="shared" si="40"/>
        <v>0.80634802889314972</v>
      </c>
      <c r="N238" t="str">
        <f t="shared" si="41"/>
        <v>No</v>
      </c>
      <c r="O238">
        <f t="shared" si="42"/>
        <v>47894.68</v>
      </c>
      <c r="P238">
        <f t="shared" si="43"/>
        <v>5</v>
      </c>
      <c r="Q238">
        <f t="shared" si="44"/>
        <v>172.5</v>
      </c>
      <c r="R238" t="str">
        <f t="shared" si="45"/>
        <v>Low</v>
      </c>
      <c r="S238" t="str">
        <f t="shared" si="46"/>
        <v>High</v>
      </c>
      <c r="T238" t="str">
        <f t="shared" si="47"/>
        <v>High</v>
      </c>
      <c r="U238" t="str">
        <f t="shared" si="48"/>
        <v>No</v>
      </c>
      <c r="V238" t="str">
        <f t="shared" si="49"/>
        <v>Yes</v>
      </c>
      <c r="W238" t="str">
        <f t="shared" si="50"/>
        <v>No</v>
      </c>
      <c r="X238" t="str">
        <f t="shared" si="51"/>
        <v>No</v>
      </c>
    </row>
    <row r="239" spans="1:24" x14ac:dyDescent="0.3">
      <c r="A239" t="s">
        <v>65</v>
      </c>
      <c r="B239">
        <v>37</v>
      </c>
      <c r="C239" t="s">
        <v>510</v>
      </c>
      <c r="D239">
        <v>123081</v>
      </c>
      <c r="E239" t="s">
        <v>515</v>
      </c>
      <c r="F239">
        <v>11</v>
      </c>
      <c r="G239">
        <v>4710.29</v>
      </c>
      <c r="H239">
        <v>76</v>
      </c>
      <c r="I239">
        <v>5</v>
      </c>
      <c r="J239">
        <v>51813.19</v>
      </c>
      <c r="K239">
        <f>SUM(Table3[Total_Revenue])</f>
        <v>30761529.489999965</v>
      </c>
      <c r="L239">
        <f t="shared" si="39"/>
        <v>24856311.85999997</v>
      </c>
      <c r="M239">
        <f t="shared" si="40"/>
        <v>0.80803237914682757</v>
      </c>
      <c r="N239" t="str">
        <f t="shared" si="41"/>
        <v>No</v>
      </c>
      <c r="O239">
        <f t="shared" si="42"/>
        <v>47894.68</v>
      </c>
      <c r="P239">
        <f t="shared" si="43"/>
        <v>5</v>
      </c>
      <c r="Q239">
        <f t="shared" si="44"/>
        <v>172.5</v>
      </c>
      <c r="R239" t="str">
        <f t="shared" si="45"/>
        <v>Medium</v>
      </c>
      <c r="S239" t="str">
        <f t="shared" si="46"/>
        <v>Low</v>
      </c>
      <c r="T239" t="str">
        <f t="shared" si="47"/>
        <v>High</v>
      </c>
      <c r="U239" t="str">
        <f t="shared" si="48"/>
        <v>Yes</v>
      </c>
      <c r="V239" t="str">
        <f t="shared" si="49"/>
        <v>No</v>
      </c>
      <c r="W239" t="str">
        <f t="shared" si="50"/>
        <v>Yes</v>
      </c>
      <c r="X239" t="str">
        <f t="shared" si="51"/>
        <v>No</v>
      </c>
    </row>
    <row r="240" spans="1:24" x14ac:dyDescent="0.3">
      <c r="A240" t="s">
        <v>81</v>
      </c>
      <c r="B240">
        <v>59</v>
      </c>
      <c r="C240" t="s">
        <v>510</v>
      </c>
      <c r="D240">
        <v>43624</v>
      </c>
      <c r="E240" t="s">
        <v>513</v>
      </c>
      <c r="F240">
        <v>11</v>
      </c>
      <c r="G240">
        <v>4635.8100000000004</v>
      </c>
      <c r="H240">
        <v>113</v>
      </c>
      <c r="I240">
        <v>8</v>
      </c>
      <c r="J240">
        <v>50993.91</v>
      </c>
      <c r="K240">
        <f>SUM(Table3[Total_Revenue])</f>
        <v>30761529.489999965</v>
      </c>
      <c r="L240">
        <f t="shared" si="39"/>
        <v>24907305.76999997</v>
      </c>
      <c r="M240">
        <f t="shared" si="40"/>
        <v>0.80969009613442333</v>
      </c>
      <c r="N240" t="str">
        <f t="shared" si="41"/>
        <v>No</v>
      </c>
      <c r="O240">
        <f t="shared" si="42"/>
        <v>47894.68</v>
      </c>
      <c r="P240">
        <f t="shared" si="43"/>
        <v>5</v>
      </c>
      <c r="Q240">
        <f t="shared" si="44"/>
        <v>172.5</v>
      </c>
      <c r="R240" t="str">
        <f t="shared" si="45"/>
        <v>High</v>
      </c>
      <c r="S240" t="str">
        <f t="shared" si="46"/>
        <v>Low</v>
      </c>
      <c r="T240" t="str">
        <f t="shared" si="47"/>
        <v>High</v>
      </c>
      <c r="U240" t="str">
        <f t="shared" si="48"/>
        <v>Yes</v>
      </c>
      <c r="V240" t="str">
        <f t="shared" si="49"/>
        <v>No</v>
      </c>
      <c r="W240" t="str">
        <f t="shared" si="50"/>
        <v>Yes</v>
      </c>
      <c r="X240" t="str">
        <f t="shared" si="51"/>
        <v>No</v>
      </c>
    </row>
    <row r="241" spans="1:24" x14ac:dyDescent="0.3">
      <c r="A241" t="s">
        <v>335</v>
      </c>
      <c r="B241">
        <v>46</v>
      </c>
      <c r="C241" t="s">
        <v>511</v>
      </c>
      <c r="D241">
        <v>95046</v>
      </c>
      <c r="E241" t="s">
        <v>512</v>
      </c>
      <c r="F241">
        <v>41</v>
      </c>
      <c r="G241">
        <v>1239.96</v>
      </c>
      <c r="H241">
        <v>154</v>
      </c>
      <c r="I241">
        <v>3</v>
      </c>
      <c r="J241">
        <v>50838.36</v>
      </c>
      <c r="K241">
        <f>SUM(Table3[Total_Revenue])</f>
        <v>30761529.489999965</v>
      </c>
      <c r="L241">
        <f t="shared" si="39"/>
        <v>24958144.129999969</v>
      </c>
      <c r="M241">
        <f t="shared" si="40"/>
        <v>0.81134275648138454</v>
      </c>
      <c r="N241" t="str">
        <f t="shared" si="41"/>
        <v>No</v>
      </c>
      <c r="O241">
        <f t="shared" si="42"/>
        <v>47894.68</v>
      </c>
      <c r="P241">
        <f t="shared" si="43"/>
        <v>5</v>
      </c>
      <c r="Q241">
        <f t="shared" si="44"/>
        <v>172.5</v>
      </c>
      <c r="R241" t="str">
        <f t="shared" si="45"/>
        <v>Low</v>
      </c>
      <c r="S241" t="str">
        <f t="shared" si="46"/>
        <v>Low</v>
      </c>
      <c r="T241" t="str">
        <f t="shared" si="47"/>
        <v>High</v>
      </c>
      <c r="U241" t="str">
        <f t="shared" si="48"/>
        <v>No</v>
      </c>
      <c r="V241" t="str">
        <f t="shared" si="49"/>
        <v>Yes</v>
      </c>
      <c r="W241" t="str">
        <f t="shared" si="50"/>
        <v>No</v>
      </c>
      <c r="X241" t="str">
        <f t="shared" si="51"/>
        <v>No</v>
      </c>
    </row>
    <row r="242" spans="1:24" x14ac:dyDescent="0.3">
      <c r="A242" t="s">
        <v>201</v>
      </c>
      <c r="B242">
        <v>56</v>
      </c>
      <c r="C242" t="s">
        <v>511</v>
      </c>
      <c r="D242">
        <v>105655</v>
      </c>
      <c r="E242" t="s">
        <v>513</v>
      </c>
      <c r="F242">
        <v>29</v>
      </c>
      <c r="G242">
        <v>1752.41</v>
      </c>
      <c r="H242">
        <v>117</v>
      </c>
      <c r="I242">
        <v>10</v>
      </c>
      <c r="J242">
        <v>50819.89</v>
      </c>
      <c r="K242">
        <f>SUM(Table3[Total_Revenue])</f>
        <v>30761529.489999965</v>
      </c>
      <c r="L242">
        <f t="shared" si="39"/>
        <v>25008964.01999997</v>
      </c>
      <c r="M242">
        <f t="shared" si="40"/>
        <v>0.81299481640306426</v>
      </c>
      <c r="N242" t="str">
        <f t="shared" si="41"/>
        <v>No</v>
      </c>
      <c r="O242">
        <f t="shared" si="42"/>
        <v>47894.68</v>
      </c>
      <c r="P242">
        <f t="shared" si="43"/>
        <v>5</v>
      </c>
      <c r="Q242">
        <f t="shared" si="44"/>
        <v>172.5</v>
      </c>
      <c r="R242" t="str">
        <f t="shared" si="45"/>
        <v>High</v>
      </c>
      <c r="S242" t="str">
        <f t="shared" si="46"/>
        <v>Low</v>
      </c>
      <c r="T242" t="str">
        <f t="shared" si="47"/>
        <v>High</v>
      </c>
      <c r="U242" t="str">
        <f t="shared" si="48"/>
        <v>Yes</v>
      </c>
      <c r="V242" t="str">
        <f t="shared" si="49"/>
        <v>No</v>
      </c>
      <c r="W242" t="str">
        <f t="shared" si="50"/>
        <v>Yes</v>
      </c>
      <c r="X242" t="str">
        <f t="shared" si="51"/>
        <v>No</v>
      </c>
    </row>
    <row r="243" spans="1:24" x14ac:dyDescent="0.3">
      <c r="A243" t="s">
        <v>460</v>
      </c>
      <c r="B243">
        <v>39</v>
      </c>
      <c r="C243" t="s">
        <v>510</v>
      </c>
      <c r="D243">
        <v>47632</v>
      </c>
      <c r="E243" t="s">
        <v>513</v>
      </c>
      <c r="F243">
        <v>37</v>
      </c>
      <c r="G243">
        <v>1366.31</v>
      </c>
      <c r="H243">
        <v>222</v>
      </c>
      <c r="I243">
        <v>3</v>
      </c>
      <c r="J243">
        <v>50553.47</v>
      </c>
      <c r="K243">
        <f>SUM(Table3[Total_Revenue])</f>
        <v>30761529.489999965</v>
      </c>
      <c r="L243">
        <f t="shared" si="39"/>
        <v>25059517.489999969</v>
      </c>
      <c r="M243">
        <f t="shared" si="40"/>
        <v>0.81463821550701432</v>
      </c>
      <c r="N243" t="str">
        <f t="shared" si="41"/>
        <v>No</v>
      </c>
      <c r="O243">
        <f t="shared" si="42"/>
        <v>47894.68</v>
      </c>
      <c r="P243">
        <f t="shared" si="43"/>
        <v>5</v>
      </c>
      <c r="Q243">
        <f t="shared" si="44"/>
        <v>172.5</v>
      </c>
      <c r="R243" t="str">
        <f t="shared" si="45"/>
        <v>Low</v>
      </c>
      <c r="S243" t="str">
        <f t="shared" si="46"/>
        <v>High</v>
      </c>
      <c r="T243" t="str">
        <f t="shared" si="47"/>
        <v>High</v>
      </c>
      <c r="U243" t="str">
        <f t="shared" si="48"/>
        <v>No</v>
      </c>
      <c r="V243" t="str">
        <f t="shared" si="49"/>
        <v>Yes</v>
      </c>
      <c r="W243" t="str">
        <f t="shared" si="50"/>
        <v>No</v>
      </c>
      <c r="X243" t="str">
        <f t="shared" si="51"/>
        <v>No</v>
      </c>
    </row>
    <row r="244" spans="1:24" x14ac:dyDescent="0.3">
      <c r="A244" t="s">
        <v>219</v>
      </c>
      <c r="B244">
        <v>41</v>
      </c>
      <c r="C244" t="s">
        <v>511</v>
      </c>
      <c r="D244">
        <v>107886</v>
      </c>
      <c r="E244" t="s">
        <v>512</v>
      </c>
      <c r="F244">
        <v>41</v>
      </c>
      <c r="G244">
        <v>1231.06</v>
      </c>
      <c r="H244">
        <v>98</v>
      </c>
      <c r="I244">
        <v>9</v>
      </c>
      <c r="J244">
        <v>50473.46</v>
      </c>
      <c r="K244">
        <f>SUM(Table3[Total_Revenue])</f>
        <v>30761529.489999965</v>
      </c>
      <c r="L244">
        <f t="shared" si="39"/>
        <v>25109990.949999969</v>
      </c>
      <c r="M244">
        <f t="shared" si="40"/>
        <v>0.81627901363496214</v>
      </c>
      <c r="N244" t="str">
        <f t="shared" si="41"/>
        <v>No</v>
      </c>
      <c r="O244">
        <f t="shared" si="42"/>
        <v>47894.68</v>
      </c>
      <c r="P244">
        <f t="shared" si="43"/>
        <v>5</v>
      </c>
      <c r="Q244">
        <f t="shared" si="44"/>
        <v>172.5</v>
      </c>
      <c r="R244" t="str">
        <f t="shared" si="45"/>
        <v>High</v>
      </c>
      <c r="S244" t="str">
        <f t="shared" si="46"/>
        <v>Low</v>
      </c>
      <c r="T244" t="str">
        <f t="shared" si="47"/>
        <v>High</v>
      </c>
      <c r="U244" t="str">
        <f t="shared" si="48"/>
        <v>Yes</v>
      </c>
      <c r="V244" t="str">
        <f t="shared" si="49"/>
        <v>No</v>
      </c>
      <c r="W244" t="str">
        <f t="shared" si="50"/>
        <v>Yes</v>
      </c>
      <c r="X244" t="str">
        <f t="shared" si="51"/>
        <v>No</v>
      </c>
    </row>
    <row r="245" spans="1:24" x14ac:dyDescent="0.3">
      <c r="A245" t="s">
        <v>323</v>
      </c>
      <c r="B245">
        <v>28</v>
      </c>
      <c r="C245" t="s">
        <v>511</v>
      </c>
      <c r="D245">
        <v>43930</v>
      </c>
      <c r="E245" t="s">
        <v>514</v>
      </c>
      <c r="F245">
        <v>16</v>
      </c>
      <c r="G245">
        <v>3135.54</v>
      </c>
      <c r="H245">
        <v>102</v>
      </c>
      <c r="I245">
        <v>6</v>
      </c>
      <c r="J245">
        <v>50168.639999999999</v>
      </c>
      <c r="K245">
        <f>SUM(Table3[Total_Revenue])</f>
        <v>30761529.489999965</v>
      </c>
      <c r="L245">
        <f t="shared" si="39"/>
        <v>25160159.58999997</v>
      </c>
      <c r="M245">
        <f t="shared" si="40"/>
        <v>0.817909902632738</v>
      </c>
      <c r="N245" t="str">
        <f t="shared" si="41"/>
        <v>No</v>
      </c>
      <c r="O245">
        <f t="shared" si="42"/>
        <v>47894.68</v>
      </c>
      <c r="P245">
        <f t="shared" si="43"/>
        <v>5</v>
      </c>
      <c r="Q245">
        <f t="shared" si="44"/>
        <v>172.5</v>
      </c>
      <c r="R245" t="str">
        <f t="shared" si="45"/>
        <v>High</v>
      </c>
      <c r="S245" t="str">
        <f t="shared" si="46"/>
        <v>Low</v>
      </c>
      <c r="T245" t="str">
        <f t="shared" si="47"/>
        <v>High</v>
      </c>
      <c r="U245" t="str">
        <f t="shared" si="48"/>
        <v>Yes</v>
      </c>
      <c r="V245" t="str">
        <f t="shared" si="49"/>
        <v>No</v>
      </c>
      <c r="W245" t="str">
        <f t="shared" si="50"/>
        <v>Yes</v>
      </c>
      <c r="X245" t="str">
        <f t="shared" si="51"/>
        <v>No</v>
      </c>
    </row>
    <row r="246" spans="1:24" x14ac:dyDescent="0.3">
      <c r="A246" t="s">
        <v>47</v>
      </c>
      <c r="B246">
        <v>68</v>
      </c>
      <c r="C246" t="s">
        <v>510</v>
      </c>
      <c r="D246">
        <v>145827</v>
      </c>
      <c r="E246" t="s">
        <v>513</v>
      </c>
      <c r="F246">
        <v>49</v>
      </c>
      <c r="G246">
        <v>1022.91</v>
      </c>
      <c r="H246">
        <v>216</v>
      </c>
      <c r="I246">
        <v>8</v>
      </c>
      <c r="J246">
        <v>50122.59</v>
      </c>
      <c r="K246">
        <f>SUM(Table3[Total_Revenue])</f>
        <v>30761529.489999965</v>
      </c>
      <c r="L246">
        <f t="shared" si="39"/>
        <v>25210282.17999997</v>
      </c>
      <c r="M246">
        <f t="shared" si="40"/>
        <v>0.81953929463082753</v>
      </c>
      <c r="N246" t="str">
        <f t="shared" si="41"/>
        <v>No</v>
      </c>
      <c r="O246">
        <f t="shared" si="42"/>
        <v>47894.68</v>
      </c>
      <c r="P246">
        <f t="shared" si="43"/>
        <v>5</v>
      </c>
      <c r="Q246">
        <f t="shared" si="44"/>
        <v>172.5</v>
      </c>
      <c r="R246" t="str">
        <f t="shared" si="45"/>
        <v>High</v>
      </c>
      <c r="S246" t="str">
        <f t="shared" si="46"/>
        <v>High</v>
      </c>
      <c r="T246" t="str">
        <f t="shared" si="47"/>
        <v>High</v>
      </c>
      <c r="U246" t="str">
        <f t="shared" si="48"/>
        <v>Yes</v>
      </c>
      <c r="V246" t="str">
        <f t="shared" si="49"/>
        <v>No</v>
      </c>
      <c r="W246" t="str">
        <f t="shared" si="50"/>
        <v>Yes</v>
      </c>
      <c r="X246" t="str">
        <f t="shared" si="51"/>
        <v>No</v>
      </c>
    </row>
    <row r="247" spans="1:24" x14ac:dyDescent="0.3">
      <c r="A247" t="s">
        <v>202</v>
      </c>
      <c r="B247">
        <v>50</v>
      </c>
      <c r="C247" t="s">
        <v>511</v>
      </c>
      <c r="D247">
        <v>47446</v>
      </c>
      <c r="E247" t="s">
        <v>512</v>
      </c>
      <c r="F247">
        <v>11</v>
      </c>
      <c r="G247">
        <v>4537.07</v>
      </c>
      <c r="H247">
        <v>196</v>
      </c>
      <c r="I247">
        <v>6</v>
      </c>
      <c r="J247">
        <v>49907.77</v>
      </c>
      <c r="K247">
        <f>SUM(Table3[Total_Revenue])</f>
        <v>30761529.489999965</v>
      </c>
      <c r="L247">
        <f t="shared" si="39"/>
        <v>25260189.949999969</v>
      </c>
      <c r="M247">
        <f t="shared" si="40"/>
        <v>0.82116170323103133</v>
      </c>
      <c r="N247" t="str">
        <f t="shared" si="41"/>
        <v>No</v>
      </c>
      <c r="O247">
        <f t="shared" si="42"/>
        <v>47894.68</v>
      </c>
      <c r="P247">
        <f t="shared" si="43"/>
        <v>5</v>
      </c>
      <c r="Q247">
        <f t="shared" si="44"/>
        <v>172.5</v>
      </c>
      <c r="R247" t="str">
        <f t="shared" si="45"/>
        <v>High</v>
      </c>
      <c r="S247" t="str">
        <f t="shared" si="46"/>
        <v>High</v>
      </c>
      <c r="T247" t="str">
        <f t="shared" si="47"/>
        <v>High</v>
      </c>
      <c r="U247" t="str">
        <f t="shared" si="48"/>
        <v>Yes</v>
      </c>
      <c r="V247" t="str">
        <f t="shared" si="49"/>
        <v>No</v>
      </c>
      <c r="W247" t="str">
        <f t="shared" si="50"/>
        <v>Yes</v>
      </c>
      <c r="X247" t="str">
        <f t="shared" si="51"/>
        <v>No</v>
      </c>
    </row>
    <row r="248" spans="1:24" x14ac:dyDescent="0.3">
      <c r="A248" t="s">
        <v>199</v>
      </c>
      <c r="B248">
        <v>45</v>
      </c>
      <c r="C248" t="s">
        <v>511</v>
      </c>
      <c r="D248">
        <v>96125</v>
      </c>
      <c r="E248" t="s">
        <v>515</v>
      </c>
      <c r="F248">
        <v>12</v>
      </c>
      <c r="G248">
        <v>4111.66</v>
      </c>
      <c r="H248">
        <v>161</v>
      </c>
      <c r="I248">
        <v>3</v>
      </c>
      <c r="J248">
        <v>49339.92</v>
      </c>
      <c r="K248">
        <f>SUM(Table3[Total_Revenue])</f>
        <v>30761529.489999965</v>
      </c>
      <c r="L248">
        <f t="shared" si="39"/>
        <v>25309529.869999971</v>
      </c>
      <c r="M248">
        <f t="shared" si="40"/>
        <v>0.82276565208591645</v>
      </c>
      <c r="N248" t="str">
        <f t="shared" si="41"/>
        <v>No</v>
      </c>
      <c r="O248">
        <f t="shared" si="42"/>
        <v>47894.68</v>
      </c>
      <c r="P248">
        <f t="shared" si="43"/>
        <v>5</v>
      </c>
      <c r="Q248">
        <f t="shared" si="44"/>
        <v>172.5</v>
      </c>
      <c r="R248" t="str">
        <f t="shared" si="45"/>
        <v>Low</v>
      </c>
      <c r="S248" t="str">
        <f t="shared" si="46"/>
        <v>Low</v>
      </c>
      <c r="T248" t="str">
        <f t="shared" si="47"/>
        <v>High</v>
      </c>
      <c r="U248" t="str">
        <f t="shared" si="48"/>
        <v>No</v>
      </c>
      <c r="V248" t="str">
        <f t="shared" si="49"/>
        <v>Yes</v>
      </c>
      <c r="W248" t="str">
        <f t="shared" si="50"/>
        <v>No</v>
      </c>
      <c r="X248" t="str">
        <f t="shared" si="51"/>
        <v>No</v>
      </c>
    </row>
    <row r="249" spans="1:24" x14ac:dyDescent="0.3">
      <c r="A249" t="s">
        <v>274</v>
      </c>
      <c r="B249">
        <v>36</v>
      </c>
      <c r="C249" t="s">
        <v>511</v>
      </c>
      <c r="D249">
        <v>54387</v>
      </c>
      <c r="E249" t="s">
        <v>513</v>
      </c>
      <c r="F249">
        <v>24</v>
      </c>
      <c r="G249">
        <v>2046.18</v>
      </c>
      <c r="H249">
        <v>178</v>
      </c>
      <c r="I249">
        <v>5</v>
      </c>
      <c r="J249">
        <v>49108.32</v>
      </c>
      <c r="K249">
        <f>SUM(Table3[Total_Revenue])</f>
        <v>30761529.489999965</v>
      </c>
      <c r="L249">
        <f t="shared" si="39"/>
        <v>25358638.189999972</v>
      </c>
      <c r="M249">
        <f t="shared" si="40"/>
        <v>0.82436207205638523</v>
      </c>
      <c r="N249" t="str">
        <f t="shared" si="41"/>
        <v>No</v>
      </c>
      <c r="O249">
        <f t="shared" si="42"/>
        <v>47894.68</v>
      </c>
      <c r="P249">
        <f t="shared" si="43"/>
        <v>5</v>
      </c>
      <c r="Q249">
        <f t="shared" si="44"/>
        <v>172.5</v>
      </c>
      <c r="R249" t="str">
        <f t="shared" si="45"/>
        <v>Medium</v>
      </c>
      <c r="S249" t="str">
        <f t="shared" si="46"/>
        <v>High</v>
      </c>
      <c r="T249" t="str">
        <f t="shared" si="47"/>
        <v>High</v>
      </c>
      <c r="U249" t="str">
        <f t="shared" si="48"/>
        <v>Yes</v>
      </c>
      <c r="V249" t="str">
        <f t="shared" si="49"/>
        <v>No</v>
      </c>
      <c r="W249" t="str">
        <f t="shared" si="50"/>
        <v>Yes</v>
      </c>
      <c r="X249" t="str">
        <f t="shared" si="51"/>
        <v>No</v>
      </c>
    </row>
    <row r="250" spans="1:24" x14ac:dyDescent="0.3">
      <c r="A250" t="s">
        <v>318</v>
      </c>
      <c r="B250">
        <v>37</v>
      </c>
      <c r="C250" t="s">
        <v>510</v>
      </c>
      <c r="D250">
        <v>144194</v>
      </c>
      <c r="E250" t="s">
        <v>514</v>
      </c>
      <c r="F250">
        <v>17</v>
      </c>
      <c r="G250">
        <v>2865.76</v>
      </c>
      <c r="H250">
        <v>21</v>
      </c>
      <c r="I250">
        <v>3</v>
      </c>
      <c r="J250">
        <v>48717.919999999998</v>
      </c>
      <c r="K250">
        <f>SUM(Table3[Total_Revenue])</f>
        <v>30761529.489999965</v>
      </c>
      <c r="L250">
        <f t="shared" si="39"/>
        <v>25407356.109999973</v>
      </c>
      <c r="M250">
        <f t="shared" si="40"/>
        <v>0.82594580085035951</v>
      </c>
      <c r="N250" t="str">
        <f t="shared" si="41"/>
        <v>No</v>
      </c>
      <c r="O250">
        <f t="shared" si="42"/>
        <v>47894.68</v>
      </c>
      <c r="P250">
        <f t="shared" si="43"/>
        <v>5</v>
      </c>
      <c r="Q250">
        <f t="shared" si="44"/>
        <v>172.5</v>
      </c>
      <c r="R250" t="str">
        <f t="shared" si="45"/>
        <v>Low</v>
      </c>
      <c r="S250" t="str">
        <f t="shared" si="46"/>
        <v>Low</v>
      </c>
      <c r="T250" t="str">
        <f t="shared" si="47"/>
        <v>High</v>
      </c>
      <c r="U250" t="str">
        <f t="shared" si="48"/>
        <v>No</v>
      </c>
      <c r="V250" t="str">
        <f t="shared" si="49"/>
        <v>Yes</v>
      </c>
      <c r="W250" t="str">
        <f t="shared" si="50"/>
        <v>No</v>
      </c>
      <c r="X250" t="str">
        <f t="shared" si="51"/>
        <v>No</v>
      </c>
    </row>
    <row r="251" spans="1:24" x14ac:dyDescent="0.3">
      <c r="A251" t="s">
        <v>390</v>
      </c>
      <c r="B251">
        <v>52</v>
      </c>
      <c r="C251" t="s">
        <v>511</v>
      </c>
      <c r="D251">
        <v>79201</v>
      </c>
      <c r="E251" t="s">
        <v>513</v>
      </c>
      <c r="F251">
        <v>19</v>
      </c>
      <c r="G251">
        <v>2527.7199999999998</v>
      </c>
      <c r="H251">
        <v>4</v>
      </c>
      <c r="I251">
        <v>7</v>
      </c>
      <c r="J251">
        <v>48026.68</v>
      </c>
      <c r="K251">
        <f>SUM(Table3[Total_Revenue])</f>
        <v>30761529.489999965</v>
      </c>
      <c r="L251">
        <f t="shared" si="39"/>
        <v>25455382.789999973</v>
      </c>
      <c r="M251">
        <f t="shared" si="40"/>
        <v>0.8275070587200507</v>
      </c>
      <c r="N251" t="str">
        <f t="shared" si="41"/>
        <v>No</v>
      </c>
      <c r="O251">
        <f t="shared" si="42"/>
        <v>47894.68</v>
      </c>
      <c r="P251">
        <f t="shared" si="43"/>
        <v>5</v>
      </c>
      <c r="Q251">
        <f t="shared" si="44"/>
        <v>172.5</v>
      </c>
      <c r="R251" t="str">
        <f t="shared" si="45"/>
        <v>High</v>
      </c>
      <c r="S251" t="str">
        <f t="shared" si="46"/>
        <v>Low</v>
      </c>
      <c r="T251" t="str">
        <f t="shared" si="47"/>
        <v>High</v>
      </c>
      <c r="U251" t="str">
        <f t="shared" si="48"/>
        <v>Yes</v>
      </c>
      <c r="V251" t="str">
        <f t="shared" si="49"/>
        <v>No</v>
      </c>
      <c r="W251" t="str">
        <f t="shared" si="50"/>
        <v>Yes</v>
      </c>
      <c r="X251" t="str">
        <f t="shared" si="51"/>
        <v>No</v>
      </c>
    </row>
    <row r="252" spans="1:24" x14ac:dyDescent="0.3">
      <c r="A252" t="s">
        <v>193</v>
      </c>
      <c r="B252">
        <v>45</v>
      </c>
      <c r="C252" t="s">
        <v>511</v>
      </c>
      <c r="D252">
        <v>91158</v>
      </c>
      <c r="E252" t="s">
        <v>513</v>
      </c>
      <c r="F252">
        <v>14</v>
      </c>
      <c r="G252">
        <v>3411.62</v>
      </c>
      <c r="H252">
        <v>131</v>
      </c>
      <c r="I252">
        <v>4</v>
      </c>
      <c r="J252">
        <v>47762.68</v>
      </c>
      <c r="K252">
        <f>SUM(Table3[Total_Revenue])</f>
        <v>30761529.489999965</v>
      </c>
      <c r="L252">
        <f t="shared" si="39"/>
        <v>25503145.469999973</v>
      </c>
      <c r="M252">
        <f t="shared" si="40"/>
        <v>0.82905973444170256</v>
      </c>
      <c r="N252" t="str">
        <f t="shared" si="41"/>
        <v>No</v>
      </c>
      <c r="O252">
        <f t="shared" si="42"/>
        <v>47894.68</v>
      </c>
      <c r="P252">
        <f t="shared" si="43"/>
        <v>5</v>
      </c>
      <c r="Q252">
        <f t="shared" si="44"/>
        <v>172.5</v>
      </c>
      <c r="R252" t="str">
        <f t="shared" si="45"/>
        <v>Low</v>
      </c>
      <c r="S252" t="str">
        <f t="shared" si="46"/>
        <v>Low</v>
      </c>
      <c r="T252" t="str">
        <f t="shared" si="47"/>
        <v>Low</v>
      </c>
      <c r="U252" t="str">
        <f t="shared" si="48"/>
        <v>No</v>
      </c>
      <c r="V252" t="str">
        <f t="shared" si="49"/>
        <v>No</v>
      </c>
      <c r="W252" t="str">
        <f t="shared" si="50"/>
        <v>No</v>
      </c>
      <c r="X252" t="str">
        <f t="shared" si="51"/>
        <v>Yes</v>
      </c>
    </row>
    <row r="253" spans="1:24" x14ac:dyDescent="0.3">
      <c r="A253" t="s">
        <v>371</v>
      </c>
      <c r="B253">
        <v>38</v>
      </c>
      <c r="C253" t="s">
        <v>510</v>
      </c>
      <c r="D253">
        <v>91324</v>
      </c>
      <c r="E253" t="s">
        <v>513</v>
      </c>
      <c r="F253">
        <v>11</v>
      </c>
      <c r="G253">
        <v>4336.84</v>
      </c>
      <c r="H253">
        <v>350</v>
      </c>
      <c r="I253">
        <v>2</v>
      </c>
      <c r="J253">
        <v>47705.24</v>
      </c>
      <c r="K253">
        <f>SUM(Table3[Total_Revenue])</f>
        <v>30761529.489999965</v>
      </c>
      <c r="L253">
        <f t="shared" si="39"/>
        <v>25550850.709999971</v>
      </c>
      <c r="M253">
        <f t="shared" si="40"/>
        <v>0.83061054289599301</v>
      </c>
      <c r="N253" t="str">
        <f t="shared" si="41"/>
        <v>No</v>
      </c>
      <c r="O253">
        <f t="shared" si="42"/>
        <v>47894.68</v>
      </c>
      <c r="P253">
        <f t="shared" si="43"/>
        <v>5</v>
      </c>
      <c r="Q253">
        <f t="shared" si="44"/>
        <v>172.5</v>
      </c>
      <c r="R253" t="str">
        <f t="shared" si="45"/>
        <v>Low</v>
      </c>
      <c r="S253" t="str">
        <f t="shared" si="46"/>
        <v>High</v>
      </c>
      <c r="T253" t="str">
        <f t="shared" si="47"/>
        <v>Low</v>
      </c>
      <c r="U253" t="str">
        <f t="shared" si="48"/>
        <v>No</v>
      </c>
      <c r="V253" t="str">
        <f t="shared" si="49"/>
        <v>No</v>
      </c>
      <c r="W253" t="str">
        <f t="shared" si="50"/>
        <v>No</v>
      </c>
      <c r="X253" t="str">
        <f t="shared" si="51"/>
        <v>Yes</v>
      </c>
    </row>
    <row r="254" spans="1:24" x14ac:dyDescent="0.3">
      <c r="A254" t="s">
        <v>457</v>
      </c>
      <c r="B254">
        <v>39</v>
      </c>
      <c r="C254" t="s">
        <v>510</v>
      </c>
      <c r="D254">
        <v>124263</v>
      </c>
      <c r="E254" t="s">
        <v>512</v>
      </c>
      <c r="F254">
        <v>14</v>
      </c>
      <c r="G254">
        <v>3390.13</v>
      </c>
      <c r="H254">
        <v>309</v>
      </c>
      <c r="I254">
        <v>1</v>
      </c>
      <c r="J254">
        <v>47461.82</v>
      </c>
      <c r="K254">
        <f>SUM(Table3[Total_Revenue])</f>
        <v>30761529.489999965</v>
      </c>
      <c r="L254">
        <f t="shared" si="39"/>
        <v>25598312.529999971</v>
      </c>
      <c r="M254">
        <f t="shared" si="40"/>
        <v>0.83215343821969368</v>
      </c>
      <c r="N254" t="str">
        <f t="shared" si="41"/>
        <v>No</v>
      </c>
      <c r="O254">
        <f t="shared" si="42"/>
        <v>47894.68</v>
      </c>
      <c r="P254">
        <f t="shared" si="43"/>
        <v>5</v>
      </c>
      <c r="Q254">
        <f t="shared" si="44"/>
        <v>172.5</v>
      </c>
      <c r="R254" t="str">
        <f t="shared" si="45"/>
        <v>Low</v>
      </c>
      <c r="S254" t="str">
        <f t="shared" si="46"/>
        <v>High</v>
      </c>
      <c r="T254" t="str">
        <f t="shared" si="47"/>
        <v>Low</v>
      </c>
      <c r="U254" t="str">
        <f t="shared" si="48"/>
        <v>No</v>
      </c>
      <c r="V254" t="str">
        <f t="shared" si="49"/>
        <v>No</v>
      </c>
      <c r="W254" t="str">
        <f t="shared" si="50"/>
        <v>No</v>
      </c>
      <c r="X254" t="str">
        <f t="shared" si="51"/>
        <v>Yes</v>
      </c>
    </row>
    <row r="255" spans="1:24" x14ac:dyDescent="0.3">
      <c r="A255" t="s">
        <v>12</v>
      </c>
      <c r="B255">
        <v>46</v>
      </c>
      <c r="C255" t="s">
        <v>511</v>
      </c>
      <c r="D255">
        <v>136868</v>
      </c>
      <c r="E255" t="s">
        <v>512</v>
      </c>
      <c r="F255">
        <v>12</v>
      </c>
      <c r="G255">
        <v>3930.77</v>
      </c>
      <c r="H255">
        <v>14</v>
      </c>
      <c r="I255">
        <v>9</v>
      </c>
      <c r="J255">
        <v>47169.24</v>
      </c>
      <c r="K255">
        <f>SUM(Table3[Total_Revenue])</f>
        <v>30761529.489999965</v>
      </c>
      <c r="L255">
        <f t="shared" si="39"/>
        <v>25645481.76999997</v>
      </c>
      <c r="M255">
        <f t="shared" si="40"/>
        <v>0.83368682231281344</v>
      </c>
      <c r="N255" t="str">
        <f t="shared" si="41"/>
        <v>No</v>
      </c>
      <c r="O255">
        <f t="shared" si="42"/>
        <v>47894.68</v>
      </c>
      <c r="P255">
        <f t="shared" si="43"/>
        <v>5</v>
      </c>
      <c r="Q255">
        <f t="shared" si="44"/>
        <v>172.5</v>
      </c>
      <c r="R255" t="str">
        <f t="shared" si="45"/>
        <v>High</v>
      </c>
      <c r="S255" t="str">
        <f t="shared" si="46"/>
        <v>Low</v>
      </c>
      <c r="T255" t="str">
        <f t="shared" si="47"/>
        <v>Low</v>
      </c>
      <c r="U255" t="str">
        <f t="shared" si="48"/>
        <v>Yes</v>
      </c>
      <c r="V255" t="str">
        <f t="shared" si="49"/>
        <v>No</v>
      </c>
      <c r="W255" t="str">
        <f t="shared" si="50"/>
        <v>No</v>
      </c>
      <c r="X255" t="str">
        <f t="shared" si="51"/>
        <v>No</v>
      </c>
    </row>
    <row r="256" spans="1:24" x14ac:dyDescent="0.3">
      <c r="A256" t="s">
        <v>381</v>
      </c>
      <c r="B256">
        <v>52</v>
      </c>
      <c r="C256" t="s">
        <v>511</v>
      </c>
      <c r="D256">
        <v>86656</v>
      </c>
      <c r="E256" t="s">
        <v>514</v>
      </c>
      <c r="F256">
        <v>14</v>
      </c>
      <c r="G256">
        <v>3327.59</v>
      </c>
      <c r="H256">
        <v>201</v>
      </c>
      <c r="I256">
        <v>8</v>
      </c>
      <c r="J256">
        <v>46586.26</v>
      </c>
      <c r="K256">
        <f>SUM(Table3[Total_Revenue])</f>
        <v>30761529.489999965</v>
      </c>
      <c r="L256">
        <f t="shared" si="39"/>
        <v>25692068.029999971</v>
      </c>
      <c r="M256">
        <f t="shared" si="40"/>
        <v>0.83520125481250906</v>
      </c>
      <c r="N256" t="str">
        <f t="shared" si="41"/>
        <v>No</v>
      </c>
      <c r="O256">
        <f t="shared" si="42"/>
        <v>47894.68</v>
      </c>
      <c r="P256">
        <f t="shared" si="43"/>
        <v>5</v>
      </c>
      <c r="Q256">
        <f t="shared" si="44"/>
        <v>172.5</v>
      </c>
      <c r="R256" t="str">
        <f t="shared" si="45"/>
        <v>High</v>
      </c>
      <c r="S256" t="str">
        <f t="shared" si="46"/>
        <v>High</v>
      </c>
      <c r="T256" t="str">
        <f t="shared" si="47"/>
        <v>Low</v>
      </c>
      <c r="U256" t="str">
        <f t="shared" si="48"/>
        <v>Yes</v>
      </c>
      <c r="V256" t="str">
        <f t="shared" si="49"/>
        <v>No</v>
      </c>
      <c r="W256" t="str">
        <f t="shared" si="50"/>
        <v>No</v>
      </c>
      <c r="X256" t="str">
        <f t="shared" si="51"/>
        <v>No</v>
      </c>
    </row>
    <row r="257" spans="1:24" x14ac:dyDescent="0.3">
      <c r="A257" t="s">
        <v>250</v>
      </c>
      <c r="B257">
        <v>49</v>
      </c>
      <c r="C257" t="s">
        <v>510</v>
      </c>
      <c r="D257">
        <v>124537</v>
      </c>
      <c r="E257" t="s">
        <v>512</v>
      </c>
      <c r="F257">
        <v>34</v>
      </c>
      <c r="G257">
        <v>1359.53</v>
      </c>
      <c r="H257">
        <v>214</v>
      </c>
      <c r="I257">
        <v>3</v>
      </c>
      <c r="J257">
        <v>46224.02</v>
      </c>
      <c r="K257">
        <f>SUM(Table3[Total_Revenue])</f>
        <v>30761529.489999965</v>
      </c>
      <c r="L257">
        <f t="shared" si="39"/>
        <v>25738292.049999971</v>
      </c>
      <c r="M257">
        <f t="shared" si="40"/>
        <v>0.83670391156483426</v>
      </c>
      <c r="N257" t="str">
        <f t="shared" si="41"/>
        <v>No</v>
      </c>
      <c r="O257">
        <f t="shared" si="42"/>
        <v>47894.68</v>
      </c>
      <c r="P257">
        <f t="shared" si="43"/>
        <v>5</v>
      </c>
      <c r="Q257">
        <f t="shared" si="44"/>
        <v>172.5</v>
      </c>
      <c r="R257" t="str">
        <f t="shared" si="45"/>
        <v>Low</v>
      </c>
      <c r="S257" t="str">
        <f t="shared" si="46"/>
        <v>High</v>
      </c>
      <c r="T257" t="str">
        <f t="shared" si="47"/>
        <v>Low</v>
      </c>
      <c r="U257" t="str">
        <f t="shared" si="48"/>
        <v>No</v>
      </c>
      <c r="V257" t="str">
        <f t="shared" si="49"/>
        <v>No</v>
      </c>
      <c r="W257" t="str">
        <f t="shared" si="50"/>
        <v>No</v>
      </c>
      <c r="X257" t="str">
        <f t="shared" si="51"/>
        <v>Yes</v>
      </c>
    </row>
    <row r="258" spans="1:24" x14ac:dyDescent="0.3">
      <c r="A258" t="s">
        <v>163</v>
      </c>
      <c r="B258">
        <v>43</v>
      </c>
      <c r="C258" t="s">
        <v>510</v>
      </c>
      <c r="D258">
        <v>138894</v>
      </c>
      <c r="E258" t="s">
        <v>515</v>
      </c>
      <c r="F258">
        <v>48</v>
      </c>
      <c r="G258">
        <v>956.39</v>
      </c>
      <c r="H258">
        <v>44</v>
      </c>
      <c r="I258">
        <v>9</v>
      </c>
      <c r="J258">
        <v>45906.720000000001</v>
      </c>
      <c r="K258">
        <f>SUM(Table3[Total_Revenue])</f>
        <v>30761529.489999965</v>
      </c>
      <c r="L258">
        <f t="shared" ref="L258:L321" si="52">L257+J258</f>
        <v>25784198.76999997</v>
      </c>
      <c r="M258">
        <f t="shared" ref="M258:M321" si="53">L258/$K$2</f>
        <v>0.83819625348544391</v>
      </c>
      <c r="N258" t="str">
        <f t="shared" ref="N258:N321" si="54">IF(M258&lt;=0.75,"Yes","No")</f>
        <v>No</v>
      </c>
      <c r="O258">
        <f t="shared" ref="O258:O321" si="55">MEDIAN($J$2:$J$501)</f>
        <v>47894.68</v>
      </c>
      <c r="P258">
        <f t="shared" ref="P258:P321" si="56">MEDIAN($I$2:$I$501)</f>
        <v>5</v>
      </c>
      <c r="Q258">
        <f t="shared" ref="Q258:Q321" si="57">MEDIAN($H$2:$H$501)</f>
        <v>172.5</v>
      </c>
      <c r="R258" t="str">
        <f t="shared" ref="R258:R321" si="58">IF(I258&gt;$P$2,"High",IF(I258&lt;$P$2,"Low","Medium"))</f>
        <v>High</v>
      </c>
      <c r="S258" t="str">
        <f t="shared" ref="S258:S321" si="59">IF(H258&gt;$Q$2,"High",IF(H258&lt;$Q$2,"Low","Medium"))</f>
        <v>Low</v>
      </c>
      <c r="T258" t="str">
        <f t="shared" ref="T258:T321" si="60">IF(J258&gt;$O$2,"High",IF(J258&lt;$O$2,"Low","Medium"))</f>
        <v>Low</v>
      </c>
      <c r="U258" t="str">
        <f t="shared" ref="U258:U321" si="61">IF(AND(J258&lt;$O$1, I258&gt;=$P$2),"Yes","No")</f>
        <v>Yes</v>
      </c>
      <c r="V258" t="str">
        <f t="shared" ref="V258:V321" si="62">IF(AND(J258&gt;=$O$2, I258&lt;$P$2),"Yes","No")</f>
        <v>No</v>
      </c>
      <c r="W258" t="str">
        <f t="shared" ref="W258:W321" si="63">IF(AND(J258&gt;=$O$2, I258&gt;=$P$2),"Yes","No")</f>
        <v>No</v>
      </c>
      <c r="X258" t="str">
        <f t="shared" ref="X258:X321" si="64">IF(AND(J258&lt;$O$2, I258&lt;$P$2),"Yes","No")</f>
        <v>No</v>
      </c>
    </row>
    <row r="259" spans="1:24" x14ac:dyDescent="0.3">
      <c r="A259" t="s">
        <v>482</v>
      </c>
      <c r="B259">
        <v>52</v>
      </c>
      <c r="C259" t="s">
        <v>510</v>
      </c>
      <c r="D259">
        <v>137718</v>
      </c>
      <c r="E259" t="s">
        <v>513</v>
      </c>
      <c r="F259">
        <v>12</v>
      </c>
      <c r="G259">
        <v>3815.11</v>
      </c>
      <c r="H259">
        <v>255</v>
      </c>
      <c r="I259">
        <v>4</v>
      </c>
      <c r="J259">
        <v>45781.32</v>
      </c>
      <c r="K259">
        <f>SUM(Table3[Total_Revenue])</f>
        <v>30761529.489999965</v>
      </c>
      <c r="L259">
        <f t="shared" si="52"/>
        <v>25829980.08999997</v>
      </c>
      <c r="M259">
        <f t="shared" si="53"/>
        <v>0.83968451888573503</v>
      </c>
      <c r="N259" t="str">
        <f t="shared" si="54"/>
        <v>No</v>
      </c>
      <c r="O259">
        <f t="shared" si="55"/>
        <v>47894.68</v>
      </c>
      <c r="P259">
        <f t="shared" si="56"/>
        <v>5</v>
      </c>
      <c r="Q259">
        <f t="shared" si="57"/>
        <v>172.5</v>
      </c>
      <c r="R259" t="str">
        <f t="shared" si="58"/>
        <v>Low</v>
      </c>
      <c r="S259" t="str">
        <f t="shared" si="59"/>
        <v>High</v>
      </c>
      <c r="T259" t="str">
        <f t="shared" si="60"/>
        <v>Low</v>
      </c>
      <c r="U259" t="str">
        <f t="shared" si="61"/>
        <v>No</v>
      </c>
      <c r="V259" t="str">
        <f t="shared" si="62"/>
        <v>No</v>
      </c>
      <c r="W259" t="str">
        <f t="shared" si="63"/>
        <v>No</v>
      </c>
      <c r="X259" t="str">
        <f t="shared" si="64"/>
        <v>Yes</v>
      </c>
    </row>
    <row r="260" spans="1:24" x14ac:dyDescent="0.3">
      <c r="A260" t="s">
        <v>492</v>
      </c>
      <c r="B260">
        <v>36</v>
      </c>
      <c r="C260" t="s">
        <v>510</v>
      </c>
      <c r="D260">
        <v>31694</v>
      </c>
      <c r="E260" t="s">
        <v>514</v>
      </c>
      <c r="F260">
        <v>16</v>
      </c>
      <c r="G260">
        <v>2834.41</v>
      </c>
      <c r="H260">
        <v>216</v>
      </c>
      <c r="I260">
        <v>3</v>
      </c>
      <c r="J260">
        <v>45350.559999999998</v>
      </c>
      <c r="K260">
        <f>SUM(Table3[Total_Revenue])</f>
        <v>30761529.489999965</v>
      </c>
      <c r="L260">
        <f t="shared" si="52"/>
        <v>25875330.649999969</v>
      </c>
      <c r="M260">
        <f t="shared" si="53"/>
        <v>0.84115878108114184</v>
      </c>
      <c r="N260" t="str">
        <f t="shared" si="54"/>
        <v>No</v>
      </c>
      <c r="O260">
        <f t="shared" si="55"/>
        <v>47894.68</v>
      </c>
      <c r="P260">
        <f t="shared" si="56"/>
        <v>5</v>
      </c>
      <c r="Q260">
        <f t="shared" si="57"/>
        <v>172.5</v>
      </c>
      <c r="R260" t="str">
        <f t="shared" si="58"/>
        <v>Low</v>
      </c>
      <c r="S260" t="str">
        <f t="shared" si="59"/>
        <v>High</v>
      </c>
      <c r="T260" t="str">
        <f t="shared" si="60"/>
        <v>Low</v>
      </c>
      <c r="U260" t="str">
        <f t="shared" si="61"/>
        <v>No</v>
      </c>
      <c r="V260" t="str">
        <f t="shared" si="62"/>
        <v>No</v>
      </c>
      <c r="W260" t="str">
        <f t="shared" si="63"/>
        <v>No</v>
      </c>
      <c r="X260" t="str">
        <f t="shared" si="64"/>
        <v>Yes</v>
      </c>
    </row>
    <row r="261" spans="1:24" x14ac:dyDescent="0.3">
      <c r="A261" t="s">
        <v>316</v>
      </c>
      <c r="B261">
        <v>33</v>
      </c>
      <c r="C261" t="s">
        <v>511</v>
      </c>
      <c r="D261">
        <v>50523</v>
      </c>
      <c r="E261" t="s">
        <v>512</v>
      </c>
      <c r="F261">
        <v>24</v>
      </c>
      <c r="G261">
        <v>1887.51</v>
      </c>
      <c r="H261">
        <v>63</v>
      </c>
      <c r="I261">
        <v>3</v>
      </c>
      <c r="J261">
        <v>45300.24</v>
      </c>
      <c r="K261">
        <f>SUM(Table3[Total_Revenue])</f>
        <v>30761529.489999965</v>
      </c>
      <c r="L261">
        <f t="shared" si="52"/>
        <v>25920630.889999967</v>
      </c>
      <c r="M261">
        <f t="shared" si="53"/>
        <v>0.84263140746711929</v>
      </c>
      <c r="N261" t="str">
        <f t="shared" si="54"/>
        <v>No</v>
      </c>
      <c r="O261">
        <f t="shared" si="55"/>
        <v>47894.68</v>
      </c>
      <c r="P261">
        <f t="shared" si="56"/>
        <v>5</v>
      </c>
      <c r="Q261">
        <f t="shared" si="57"/>
        <v>172.5</v>
      </c>
      <c r="R261" t="str">
        <f t="shared" si="58"/>
        <v>Low</v>
      </c>
      <c r="S261" t="str">
        <f t="shared" si="59"/>
        <v>Low</v>
      </c>
      <c r="T261" t="str">
        <f t="shared" si="60"/>
        <v>Low</v>
      </c>
      <c r="U261" t="str">
        <f t="shared" si="61"/>
        <v>No</v>
      </c>
      <c r="V261" t="str">
        <f t="shared" si="62"/>
        <v>No</v>
      </c>
      <c r="W261" t="str">
        <f t="shared" si="63"/>
        <v>No</v>
      </c>
      <c r="X261" t="str">
        <f t="shared" si="64"/>
        <v>Yes</v>
      </c>
    </row>
    <row r="262" spans="1:24" x14ac:dyDescent="0.3">
      <c r="A262" t="s">
        <v>206</v>
      </c>
      <c r="B262">
        <v>30</v>
      </c>
      <c r="C262" t="s">
        <v>511</v>
      </c>
      <c r="D262">
        <v>44818</v>
      </c>
      <c r="E262" t="s">
        <v>513</v>
      </c>
      <c r="F262">
        <v>15</v>
      </c>
      <c r="G262">
        <v>3019.18</v>
      </c>
      <c r="H262">
        <v>81</v>
      </c>
      <c r="I262">
        <v>6</v>
      </c>
      <c r="J262">
        <v>45287.7</v>
      </c>
      <c r="K262">
        <f>SUM(Table3[Total_Revenue])</f>
        <v>30761529.489999965</v>
      </c>
      <c r="L262">
        <f t="shared" si="52"/>
        <v>25965918.589999966</v>
      </c>
      <c r="M262">
        <f t="shared" si="53"/>
        <v>0.84410362620106494</v>
      </c>
      <c r="N262" t="str">
        <f t="shared" si="54"/>
        <v>No</v>
      </c>
      <c r="O262">
        <f t="shared" si="55"/>
        <v>47894.68</v>
      </c>
      <c r="P262">
        <f t="shared" si="56"/>
        <v>5</v>
      </c>
      <c r="Q262">
        <f t="shared" si="57"/>
        <v>172.5</v>
      </c>
      <c r="R262" t="str">
        <f t="shared" si="58"/>
        <v>High</v>
      </c>
      <c r="S262" t="str">
        <f t="shared" si="59"/>
        <v>Low</v>
      </c>
      <c r="T262" t="str">
        <f t="shared" si="60"/>
        <v>Low</v>
      </c>
      <c r="U262" t="str">
        <f t="shared" si="61"/>
        <v>Yes</v>
      </c>
      <c r="V262" t="str">
        <f t="shared" si="62"/>
        <v>No</v>
      </c>
      <c r="W262" t="str">
        <f t="shared" si="63"/>
        <v>No</v>
      </c>
      <c r="X262" t="str">
        <f t="shared" si="64"/>
        <v>No</v>
      </c>
    </row>
    <row r="263" spans="1:24" x14ac:dyDescent="0.3">
      <c r="A263" t="s">
        <v>218</v>
      </c>
      <c r="B263">
        <v>61</v>
      </c>
      <c r="C263" t="s">
        <v>511</v>
      </c>
      <c r="D263">
        <v>142883</v>
      </c>
      <c r="E263" t="s">
        <v>513</v>
      </c>
      <c r="F263">
        <v>13</v>
      </c>
      <c r="G263">
        <v>3432.65</v>
      </c>
      <c r="H263">
        <v>198</v>
      </c>
      <c r="I263">
        <v>2</v>
      </c>
      <c r="J263">
        <v>44624.45</v>
      </c>
      <c r="K263">
        <f>SUM(Table3[Total_Revenue])</f>
        <v>30761529.489999965</v>
      </c>
      <c r="L263">
        <f t="shared" si="52"/>
        <v>26010543.039999966</v>
      </c>
      <c r="M263">
        <f t="shared" si="53"/>
        <v>0.84555428391346854</v>
      </c>
      <c r="N263" t="str">
        <f t="shared" si="54"/>
        <v>No</v>
      </c>
      <c r="O263">
        <f t="shared" si="55"/>
        <v>47894.68</v>
      </c>
      <c r="P263">
        <f t="shared" si="56"/>
        <v>5</v>
      </c>
      <c r="Q263">
        <f t="shared" si="57"/>
        <v>172.5</v>
      </c>
      <c r="R263" t="str">
        <f t="shared" si="58"/>
        <v>Low</v>
      </c>
      <c r="S263" t="str">
        <f t="shared" si="59"/>
        <v>High</v>
      </c>
      <c r="T263" t="str">
        <f t="shared" si="60"/>
        <v>Low</v>
      </c>
      <c r="U263" t="str">
        <f t="shared" si="61"/>
        <v>No</v>
      </c>
      <c r="V263" t="str">
        <f t="shared" si="62"/>
        <v>No</v>
      </c>
      <c r="W263" t="str">
        <f t="shared" si="63"/>
        <v>No</v>
      </c>
      <c r="X263" t="str">
        <f t="shared" si="64"/>
        <v>Yes</v>
      </c>
    </row>
    <row r="264" spans="1:24" x14ac:dyDescent="0.3">
      <c r="A264" t="s">
        <v>347</v>
      </c>
      <c r="B264">
        <v>31</v>
      </c>
      <c r="C264" t="s">
        <v>510</v>
      </c>
      <c r="D264">
        <v>39096</v>
      </c>
      <c r="E264" t="s">
        <v>515</v>
      </c>
      <c r="F264">
        <v>46</v>
      </c>
      <c r="G264">
        <v>966.75</v>
      </c>
      <c r="H264">
        <v>226</v>
      </c>
      <c r="I264">
        <v>9</v>
      </c>
      <c r="J264">
        <v>44470.5</v>
      </c>
      <c r="K264">
        <f>SUM(Table3[Total_Revenue])</f>
        <v>30761529.489999965</v>
      </c>
      <c r="L264">
        <f t="shared" si="52"/>
        <v>26055013.539999966</v>
      </c>
      <c r="M264">
        <f t="shared" si="53"/>
        <v>0.84699993699825604</v>
      </c>
      <c r="N264" t="str">
        <f t="shared" si="54"/>
        <v>No</v>
      </c>
      <c r="O264">
        <f t="shared" si="55"/>
        <v>47894.68</v>
      </c>
      <c r="P264">
        <f t="shared" si="56"/>
        <v>5</v>
      </c>
      <c r="Q264">
        <f t="shared" si="57"/>
        <v>172.5</v>
      </c>
      <c r="R264" t="str">
        <f t="shared" si="58"/>
        <v>High</v>
      </c>
      <c r="S264" t="str">
        <f t="shared" si="59"/>
        <v>High</v>
      </c>
      <c r="T264" t="str">
        <f t="shared" si="60"/>
        <v>Low</v>
      </c>
      <c r="U264" t="str">
        <f t="shared" si="61"/>
        <v>Yes</v>
      </c>
      <c r="V264" t="str">
        <f t="shared" si="62"/>
        <v>No</v>
      </c>
      <c r="W264" t="str">
        <f t="shared" si="63"/>
        <v>No</v>
      </c>
      <c r="X264" t="str">
        <f t="shared" si="64"/>
        <v>No</v>
      </c>
    </row>
    <row r="265" spans="1:24" x14ac:dyDescent="0.3">
      <c r="A265" t="s">
        <v>10</v>
      </c>
      <c r="B265">
        <v>56</v>
      </c>
      <c r="C265" t="s">
        <v>510</v>
      </c>
      <c r="D265">
        <v>142418</v>
      </c>
      <c r="E265" t="s">
        <v>512</v>
      </c>
      <c r="F265">
        <v>24</v>
      </c>
      <c r="G265">
        <v>1847.99</v>
      </c>
      <c r="H265">
        <v>12</v>
      </c>
      <c r="I265">
        <v>6</v>
      </c>
      <c r="J265">
        <v>44351.76</v>
      </c>
      <c r="K265">
        <f>SUM(Table3[Total_Revenue])</f>
        <v>30761529.489999965</v>
      </c>
      <c r="L265">
        <f t="shared" si="52"/>
        <v>26099365.299999967</v>
      </c>
      <c r="M265">
        <f t="shared" si="53"/>
        <v>0.84844173006691403</v>
      </c>
      <c r="N265" t="str">
        <f t="shared" si="54"/>
        <v>No</v>
      </c>
      <c r="O265">
        <f t="shared" si="55"/>
        <v>47894.68</v>
      </c>
      <c r="P265">
        <f t="shared" si="56"/>
        <v>5</v>
      </c>
      <c r="Q265">
        <f t="shared" si="57"/>
        <v>172.5</v>
      </c>
      <c r="R265" t="str">
        <f t="shared" si="58"/>
        <v>High</v>
      </c>
      <c r="S265" t="str">
        <f t="shared" si="59"/>
        <v>Low</v>
      </c>
      <c r="T265" t="str">
        <f t="shared" si="60"/>
        <v>Low</v>
      </c>
      <c r="U265" t="str">
        <f t="shared" si="61"/>
        <v>Yes</v>
      </c>
      <c r="V265" t="str">
        <f t="shared" si="62"/>
        <v>No</v>
      </c>
      <c r="W265" t="str">
        <f t="shared" si="63"/>
        <v>No</v>
      </c>
      <c r="X265" t="str">
        <f t="shared" si="64"/>
        <v>No</v>
      </c>
    </row>
    <row r="266" spans="1:24" x14ac:dyDescent="0.3">
      <c r="A266" t="s">
        <v>495</v>
      </c>
      <c r="B266">
        <v>54</v>
      </c>
      <c r="C266" t="s">
        <v>511</v>
      </c>
      <c r="D266">
        <v>117416</v>
      </c>
      <c r="E266" t="s">
        <v>513</v>
      </c>
      <c r="F266">
        <v>10</v>
      </c>
      <c r="G266">
        <v>4419.1099999999997</v>
      </c>
      <c r="H266">
        <v>301</v>
      </c>
      <c r="I266">
        <v>9</v>
      </c>
      <c r="J266">
        <v>44191.1</v>
      </c>
      <c r="K266">
        <f>SUM(Table3[Total_Revenue])</f>
        <v>30761529.489999965</v>
      </c>
      <c r="L266">
        <f t="shared" si="52"/>
        <v>26143556.399999969</v>
      </c>
      <c r="M266">
        <f t="shared" si="53"/>
        <v>0.84987830037835999</v>
      </c>
      <c r="N266" t="str">
        <f t="shared" si="54"/>
        <v>No</v>
      </c>
      <c r="O266">
        <f t="shared" si="55"/>
        <v>47894.68</v>
      </c>
      <c r="P266">
        <f t="shared" si="56"/>
        <v>5</v>
      </c>
      <c r="Q266">
        <f t="shared" si="57"/>
        <v>172.5</v>
      </c>
      <c r="R266" t="str">
        <f t="shared" si="58"/>
        <v>High</v>
      </c>
      <c r="S266" t="str">
        <f t="shared" si="59"/>
        <v>High</v>
      </c>
      <c r="T266" t="str">
        <f t="shared" si="60"/>
        <v>Low</v>
      </c>
      <c r="U266" t="str">
        <f t="shared" si="61"/>
        <v>Yes</v>
      </c>
      <c r="V266" t="str">
        <f t="shared" si="62"/>
        <v>No</v>
      </c>
      <c r="W266" t="str">
        <f t="shared" si="63"/>
        <v>No</v>
      </c>
      <c r="X266" t="str">
        <f t="shared" si="64"/>
        <v>No</v>
      </c>
    </row>
    <row r="267" spans="1:24" x14ac:dyDescent="0.3">
      <c r="A267" t="s">
        <v>183</v>
      </c>
      <c r="B267">
        <v>49</v>
      </c>
      <c r="C267" t="s">
        <v>510</v>
      </c>
      <c r="D267">
        <v>37260</v>
      </c>
      <c r="E267" t="s">
        <v>513</v>
      </c>
      <c r="F267">
        <v>27</v>
      </c>
      <c r="G267">
        <v>1630.13</v>
      </c>
      <c r="H267">
        <v>143</v>
      </c>
      <c r="I267">
        <v>1</v>
      </c>
      <c r="J267">
        <v>44013.51</v>
      </c>
      <c r="K267">
        <f>SUM(Table3[Total_Revenue])</f>
        <v>30761529.489999965</v>
      </c>
      <c r="L267">
        <f t="shared" si="52"/>
        <v>26187569.90999997</v>
      </c>
      <c r="M267">
        <f t="shared" si="53"/>
        <v>0.85130909756984263</v>
      </c>
      <c r="N267" t="str">
        <f t="shared" si="54"/>
        <v>No</v>
      </c>
      <c r="O267">
        <f t="shared" si="55"/>
        <v>47894.68</v>
      </c>
      <c r="P267">
        <f t="shared" si="56"/>
        <v>5</v>
      </c>
      <c r="Q267">
        <f t="shared" si="57"/>
        <v>172.5</v>
      </c>
      <c r="R267" t="str">
        <f t="shared" si="58"/>
        <v>Low</v>
      </c>
      <c r="S267" t="str">
        <f t="shared" si="59"/>
        <v>Low</v>
      </c>
      <c r="T267" t="str">
        <f t="shared" si="60"/>
        <v>Low</v>
      </c>
      <c r="U267" t="str">
        <f t="shared" si="61"/>
        <v>No</v>
      </c>
      <c r="V267" t="str">
        <f t="shared" si="62"/>
        <v>No</v>
      </c>
      <c r="W267" t="str">
        <f t="shared" si="63"/>
        <v>No</v>
      </c>
      <c r="X267" t="str">
        <f t="shared" si="64"/>
        <v>Yes</v>
      </c>
    </row>
    <row r="268" spans="1:24" x14ac:dyDescent="0.3">
      <c r="A268" t="s">
        <v>489</v>
      </c>
      <c r="B268">
        <v>47</v>
      </c>
      <c r="C268" t="s">
        <v>510</v>
      </c>
      <c r="D268">
        <v>139719</v>
      </c>
      <c r="E268" t="s">
        <v>513</v>
      </c>
      <c r="F268">
        <v>10</v>
      </c>
      <c r="G268">
        <v>4397.9799999999996</v>
      </c>
      <c r="H268">
        <v>201</v>
      </c>
      <c r="I268">
        <v>6</v>
      </c>
      <c r="J268">
        <v>43979.8</v>
      </c>
      <c r="K268">
        <f>SUM(Table3[Total_Revenue])</f>
        <v>30761529.489999965</v>
      </c>
      <c r="L268">
        <f t="shared" si="52"/>
        <v>26231549.709999971</v>
      </c>
      <c r="M268">
        <f t="shared" si="53"/>
        <v>0.85273879891204329</v>
      </c>
      <c r="N268" t="str">
        <f t="shared" si="54"/>
        <v>No</v>
      </c>
      <c r="O268">
        <f t="shared" si="55"/>
        <v>47894.68</v>
      </c>
      <c r="P268">
        <f t="shared" si="56"/>
        <v>5</v>
      </c>
      <c r="Q268">
        <f t="shared" si="57"/>
        <v>172.5</v>
      </c>
      <c r="R268" t="str">
        <f t="shared" si="58"/>
        <v>High</v>
      </c>
      <c r="S268" t="str">
        <f t="shared" si="59"/>
        <v>High</v>
      </c>
      <c r="T268" t="str">
        <f t="shared" si="60"/>
        <v>Low</v>
      </c>
      <c r="U268" t="str">
        <f t="shared" si="61"/>
        <v>Yes</v>
      </c>
      <c r="V268" t="str">
        <f t="shared" si="62"/>
        <v>No</v>
      </c>
      <c r="W268" t="str">
        <f t="shared" si="63"/>
        <v>No</v>
      </c>
      <c r="X268" t="str">
        <f t="shared" si="64"/>
        <v>No</v>
      </c>
    </row>
    <row r="269" spans="1:24" x14ac:dyDescent="0.3">
      <c r="A269" t="s">
        <v>196</v>
      </c>
      <c r="B269">
        <v>37</v>
      </c>
      <c r="C269" t="s">
        <v>511</v>
      </c>
      <c r="D269">
        <v>97149</v>
      </c>
      <c r="E269" t="s">
        <v>514</v>
      </c>
      <c r="F269">
        <v>12</v>
      </c>
      <c r="G269">
        <v>3650.13</v>
      </c>
      <c r="H269">
        <v>305</v>
      </c>
      <c r="I269">
        <v>5</v>
      </c>
      <c r="J269">
        <v>43801.56</v>
      </c>
      <c r="K269">
        <f>SUM(Table3[Total_Revenue])</f>
        <v>30761529.489999965</v>
      </c>
      <c r="L269">
        <f t="shared" si="52"/>
        <v>26275351.26999997</v>
      </c>
      <c r="M269">
        <f t="shared" si="53"/>
        <v>0.85416270600399202</v>
      </c>
      <c r="N269" t="str">
        <f t="shared" si="54"/>
        <v>No</v>
      </c>
      <c r="O269">
        <f t="shared" si="55"/>
        <v>47894.68</v>
      </c>
      <c r="P269">
        <f t="shared" si="56"/>
        <v>5</v>
      </c>
      <c r="Q269">
        <f t="shared" si="57"/>
        <v>172.5</v>
      </c>
      <c r="R269" t="str">
        <f t="shared" si="58"/>
        <v>Medium</v>
      </c>
      <c r="S269" t="str">
        <f t="shared" si="59"/>
        <v>High</v>
      </c>
      <c r="T269" t="str">
        <f t="shared" si="60"/>
        <v>Low</v>
      </c>
      <c r="U269" t="str">
        <f t="shared" si="61"/>
        <v>Yes</v>
      </c>
      <c r="V269" t="str">
        <f t="shared" si="62"/>
        <v>No</v>
      </c>
      <c r="W269" t="str">
        <f t="shared" si="63"/>
        <v>No</v>
      </c>
      <c r="X269" t="str">
        <f t="shared" si="64"/>
        <v>No</v>
      </c>
    </row>
    <row r="270" spans="1:24" x14ac:dyDescent="0.3">
      <c r="A270" t="s">
        <v>34</v>
      </c>
      <c r="B270">
        <v>38</v>
      </c>
      <c r="C270" t="s">
        <v>510</v>
      </c>
      <c r="D270">
        <v>136594</v>
      </c>
      <c r="E270" t="s">
        <v>512</v>
      </c>
      <c r="F270">
        <v>26</v>
      </c>
      <c r="G270">
        <v>1683.34</v>
      </c>
      <c r="H270">
        <v>202</v>
      </c>
      <c r="I270">
        <v>1</v>
      </c>
      <c r="J270">
        <v>43766.84</v>
      </c>
      <c r="K270">
        <f>SUM(Table3[Total_Revenue])</f>
        <v>30761529.489999965</v>
      </c>
      <c r="L270">
        <f t="shared" si="52"/>
        <v>26319118.10999997</v>
      </c>
      <c r="M270">
        <f t="shared" si="53"/>
        <v>0.85558548441344096</v>
      </c>
      <c r="N270" t="str">
        <f t="shared" si="54"/>
        <v>No</v>
      </c>
      <c r="O270">
        <f t="shared" si="55"/>
        <v>47894.68</v>
      </c>
      <c r="P270">
        <f t="shared" si="56"/>
        <v>5</v>
      </c>
      <c r="Q270">
        <f t="shared" si="57"/>
        <v>172.5</v>
      </c>
      <c r="R270" t="str">
        <f t="shared" si="58"/>
        <v>Low</v>
      </c>
      <c r="S270" t="str">
        <f t="shared" si="59"/>
        <v>High</v>
      </c>
      <c r="T270" t="str">
        <f t="shared" si="60"/>
        <v>Low</v>
      </c>
      <c r="U270" t="str">
        <f t="shared" si="61"/>
        <v>No</v>
      </c>
      <c r="V270" t="str">
        <f t="shared" si="62"/>
        <v>No</v>
      </c>
      <c r="W270" t="str">
        <f t="shared" si="63"/>
        <v>No</v>
      </c>
      <c r="X270" t="str">
        <f t="shared" si="64"/>
        <v>Yes</v>
      </c>
    </row>
    <row r="271" spans="1:24" x14ac:dyDescent="0.3">
      <c r="A271" t="s">
        <v>428</v>
      </c>
      <c r="B271">
        <v>60</v>
      </c>
      <c r="C271" t="s">
        <v>511</v>
      </c>
      <c r="D271">
        <v>129415</v>
      </c>
      <c r="E271" t="s">
        <v>512</v>
      </c>
      <c r="F271">
        <v>32</v>
      </c>
      <c r="G271">
        <v>1351.53</v>
      </c>
      <c r="H271">
        <v>154</v>
      </c>
      <c r="I271">
        <v>2</v>
      </c>
      <c r="J271">
        <v>43248.959999999999</v>
      </c>
      <c r="K271">
        <f>SUM(Table3[Total_Revenue])</f>
        <v>30761529.489999965</v>
      </c>
      <c r="L271">
        <f t="shared" si="52"/>
        <v>26362367.06999997</v>
      </c>
      <c r="M271">
        <f t="shared" si="53"/>
        <v>0.8569914275091528</v>
      </c>
      <c r="N271" t="str">
        <f t="shared" si="54"/>
        <v>No</v>
      </c>
      <c r="O271">
        <f t="shared" si="55"/>
        <v>47894.68</v>
      </c>
      <c r="P271">
        <f t="shared" si="56"/>
        <v>5</v>
      </c>
      <c r="Q271">
        <f t="shared" si="57"/>
        <v>172.5</v>
      </c>
      <c r="R271" t="str">
        <f t="shared" si="58"/>
        <v>Low</v>
      </c>
      <c r="S271" t="str">
        <f t="shared" si="59"/>
        <v>Low</v>
      </c>
      <c r="T271" t="str">
        <f t="shared" si="60"/>
        <v>Low</v>
      </c>
      <c r="U271" t="str">
        <f t="shared" si="61"/>
        <v>No</v>
      </c>
      <c r="V271" t="str">
        <f t="shared" si="62"/>
        <v>No</v>
      </c>
      <c r="W271" t="str">
        <f t="shared" si="63"/>
        <v>No</v>
      </c>
      <c r="X271" t="str">
        <f t="shared" si="64"/>
        <v>Yes</v>
      </c>
    </row>
    <row r="272" spans="1:24" x14ac:dyDescent="0.3">
      <c r="A272" t="s">
        <v>287</v>
      </c>
      <c r="B272">
        <v>57</v>
      </c>
      <c r="C272" t="s">
        <v>511</v>
      </c>
      <c r="D272">
        <v>113789</v>
      </c>
      <c r="E272" t="s">
        <v>515</v>
      </c>
      <c r="F272">
        <v>9</v>
      </c>
      <c r="G272">
        <v>4790.88</v>
      </c>
      <c r="H272">
        <v>238</v>
      </c>
      <c r="I272">
        <v>10</v>
      </c>
      <c r="J272">
        <v>43117.919999999998</v>
      </c>
      <c r="K272">
        <f>SUM(Table3[Total_Revenue])</f>
        <v>30761529.489999965</v>
      </c>
      <c r="L272">
        <f t="shared" si="52"/>
        <v>26405484.989999972</v>
      </c>
      <c r="M272">
        <f t="shared" si="53"/>
        <v>0.85839311073865598</v>
      </c>
      <c r="N272" t="str">
        <f t="shared" si="54"/>
        <v>No</v>
      </c>
      <c r="O272">
        <f t="shared" si="55"/>
        <v>47894.68</v>
      </c>
      <c r="P272">
        <f t="shared" si="56"/>
        <v>5</v>
      </c>
      <c r="Q272">
        <f t="shared" si="57"/>
        <v>172.5</v>
      </c>
      <c r="R272" t="str">
        <f t="shared" si="58"/>
        <v>High</v>
      </c>
      <c r="S272" t="str">
        <f t="shared" si="59"/>
        <v>High</v>
      </c>
      <c r="T272" t="str">
        <f t="shared" si="60"/>
        <v>Low</v>
      </c>
      <c r="U272" t="str">
        <f t="shared" si="61"/>
        <v>Yes</v>
      </c>
      <c r="V272" t="str">
        <f t="shared" si="62"/>
        <v>No</v>
      </c>
      <c r="W272" t="str">
        <f t="shared" si="63"/>
        <v>No</v>
      </c>
      <c r="X272" t="str">
        <f t="shared" si="64"/>
        <v>No</v>
      </c>
    </row>
    <row r="273" spans="1:24" x14ac:dyDescent="0.3">
      <c r="A273" t="s">
        <v>286</v>
      </c>
      <c r="B273">
        <v>35</v>
      </c>
      <c r="C273" t="s">
        <v>511</v>
      </c>
      <c r="D273">
        <v>56258</v>
      </c>
      <c r="E273" t="s">
        <v>512</v>
      </c>
      <c r="F273">
        <v>36</v>
      </c>
      <c r="G273">
        <v>1195.71</v>
      </c>
      <c r="H273">
        <v>47</v>
      </c>
      <c r="I273">
        <v>3</v>
      </c>
      <c r="J273">
        <v>43045.56</v>
      </c>
      <c r="K273">
        <f>SUM(Table3[Total_Revenue])</f>
        <v>30761529.489999965</v>
      </c>
      <c r="L273">
        <f t="shared" si="52"/>
        <v>26448530.549999971</v>
      </c>
      <c r="M273">
        <f t="shared" si="53"/>
        <v>0.85979244167940105</v>
      </c>
      <c r="N273" t="str">
        <f t="shared" si="54"/>
        <v>No</v>
      </c>
      <c r="O273">
        <f t="shared" si="55"/>
        <v>47894.68</v>
      </c>
      <c r="P273">
        <f t="shared" si="56"/>
        <v>5</v>
      </c>
      <c r="Q273">
        <f t="shared" si="57"/>
        <v>172.5</v>
      </c>
      <c r="R273" t="str">
        <f t="shared" si="58"/>
        <v>Low</v>
      </c>
      <c r="S273" t="str">
        <f t="shared" si="59"/>
        <v>Low</v>
      </c>
      <c r="T273" t="str">
        <f t="shared" si="60"/>
        <v>Low</v>
      </c>
      <c r="U273" t="str">
        <f t="shared" si="61"/>
        <v>No</v>
      </c>
      <c r="V273" t="str">
        <f t="shared" si="62"/>
        <v>No</v>
      </c>
      <c r="W273" t="str">
        <f t="shared" si="63"/>
        <v>No</v>
      </c>
      <c r="X273" t="str">
        <f t="shared" si="64"/>
        <v>Yes</v>
      </c>
    </row>
    <row r="274" spans="1:24" x14ac:dyDescent="0.3">
      <c r="A274" t="s">
        <v>265</v>
      </c>
      <c r="B274">
        <v>33</v>
      </c>
      <c r="C274" t="s">
        <v>511</v>
      </c>
      <c r="D274">
        <v>85545</v>
      </c>
      <c r="E274" t="s">
        <v>513</v>
      </c>
      <c r="F274">
        <v>29</v>
      </c>
      <c r="G274">
        <v>1470.55</v>
      </c>
      <c r="H274">
        <v>254</v>
      </c>
      <c r="I274">
        <v>1</v>
      </c>
      <c r="J274">
        <v>42645.95</v>
      </c>
      <c r="K274">
        <f>SUM(Table3[Total_Revenue])</f>
        <v>30761529.489999965</v>
      </c>
      <c r="L274">
        <f t="shared" si="52"/>
        <v>26491176.49999997</v>
      </c>
      <c r="M274">
        <f t="shared" si="53"/>
        <v>0.86117878204371434</v>
      </c>
      <c r="N274" t="str">
        <f t="shared" si="54"/>
        <v>No</v>
      </c>
      <c r="O274">
        <f t="shared" si="55"/>
        <v>47894.68</v>
      </c>
      <c r="P274">
        <f t="shared" si="56"/>
        <v>5</v>
      </c>
      <c r="Q274">
        <f t="shared" si="57"/>
        <v>172.5</v>
      </c>
      <c r="R274" t="str">
        <f t="shared" si="58"/>
        <v>Low</v>
      </c>
      <c r="S274" t="str">
        <f t="shared" si="59"/>
        <v>High</v>
      </c>
      <c r="T274" t="str">
        <f t="shared" si="60"/>
        <v>Low</v>
      </c>
      <c r="U274" t="str">
        <f t="shared" si="61"/>
        <v>No</v>
      </c>
      <c r="V274" t="str">
        <f t="shared" si="62"/>
        <v>No</v>
      </c>
      <c r="W274" t="str">
        <f t="shared" si="63"/>
        <v>No</v>
      </c>
      <c r="X274" t="str">
        <f t="shared" si="64"/>
        <v>Yes</v>
      </c>
    </row>
    <row r="275" spans="1:24" x14ac:dyDescent="0.3">
      <c r="A275" t="s">
        <v>44</v>
      </c>
      <c r="B275">
        <v>33</v>
      </c>
      <c r="C275" t="s">
        <v>511</v>
      </c>
      <c r="D275">
        <v>44071</v>
      </c>
      <c r="E275" t="s">
        <v>514</v>
      </c>
      <c r="F275">
        <v>9</v>
      </c>
      <c r="G275">
        <v>4705.12</v>
      </c>
      <c r="H275">
        <v>221</v>
      </c>
      <c r="I275">
        <v>8</v>
      </c>
      <c r="J275">
        <v>42346.080000000002</v>
      </c>
      <c r="K275">
        <f>SUM(Table3[Total_Revenue])</f>
        <v>30761529.489999965</v>
      </c>
      <c r="L275">
        <f t="shared" si="52"/>
        <v>26533522.579999968</v>
      </c>
      <c r="M275">
        <f t="shared" si="53"/>
        <v>0.86255537419313144</v>
      </c>
      <c r="N275" t="str">
        <f t="shared" si="54"/>
        <v>No</v>
      </c>
      <c r="O275">
        <f t="shared" si="55"/>
        <v>47894.68</v>
      </c>
      <c r="P275">
        <f t="shared" si="56"/>
        <v>5</v>
      </c>
      <c r="Q275">
        <f t="shared" si="57"/>
        <v>172.5</v>
      </c>
      <c r="R275" t="str">
        <f t="shared" si="58"/>
        <v>High</v>
      </c>
      <c r="S275" t="str">
        <f t="shared" si="59"/>
        <v>High</v>
      </c>
      <c r="T275" t="str">
        <f t="shared" si="60"/>
        <v>Low</v>
      </c>
      <c r="U275" t="str">
        <f t="shared" si="61"/>
        <v>Yes</v>
      </c>
      <c r="V275" t="str">
        <f t="shared" si="62"/>
        <v>No</v>
      </c>
      <c r="W275" t="str">
        <f t="shared" si="63"/>
        <v>No</v>
      </c>
      <c r="X275" t="str">
        <f t="shared" si="64"/>
        <v>No</v>
      </c>
    </row>
    <row r="276" spans="1:24" x14ac:dyDescent="0.3">
      <c r="A276" t="s">
        <v>504</v>
      </c>
      <c r="B276">
        <v>49</v>
      </c>
      <c r="C276" t="s">
        <v>510</v>
      </c>
      <c r="D276">
        <v>83731</v>
      </c>
      <c r="E276" t="s">
        <v>514</v>
      </c>
      <c r="F276">
        <v>12</v>
      </c>
      <c r="G276">
        <v>3470.63</v>
      </c>
      <c r="H276">
        <v>26</v>
      </c>
      <c r="I276">
        <v>6</v>
      </c>
      <c r="J276">
        <v>41647.56</v>
      </c>
      <c r="K276">
        <f>SUM(Table3[Total_Revenue])</f>
        <v>30761529.489999965</v>
      </c>
      <c r="L276">
        <f t="shared" si="52"/>
        <v>26575170.139999967</v>
      </c>
      <c r="M276">
        <f t="shared" si="53"/>
        <v>0.8639092587590318</v>
      </c>
      <c r="N276" t="str">
        <f t="shared" si="54"/>
        <v>No</v>
      </c>
      <c r="O276">
        <f t="shared" si="55"/>
        <v>47894.68</v>
      </c>
      <c r="P276">
        <f t="shared" si="56"/>
        <v>5</v>
      </c>
      <c r="Q276">
        <f t="shared" si="57"/>
        <v>172.5</v>
      </c>
      <c r="R276" t="str">
        <f t="shared" si="58"/>
        <v>High</v>
      </c>
      <c r="S276" t="str">
        <f t="shared" si="59"/>
        <v>Low</v>
      </c>
      <c r="T276" t="str">
        <f t="shared" si="60"/>
        <v>Low</v>
      </c>
      <c r="U276" t="str">
        <f t="shared" si="61"/>
        <v>Yes</v>
      </c>
      <c r="V276" t="str">
        <f t="shared" si="62"/>
        <v>No</v>
      </c>
      <c r="W276" t="str">
        <f t="shared" si="63"/>
        <v>No</v>
      </c>
      <c r="X276" t="str">
        <f t="shared" si="64"/>
        <v>No</v>
      </c>
    </row>
    <row r="277" spans="1:24" x14ac:dyDescent="0.3">
      <c r="A277" t="s">
        <v>72</v>
      </c>
      <c r="B277">
        <v>52</v>
      </c>
      <c r="C277" t="s">
        <v>511</v>
      </c>
      <c r="D277">
        <v>36907</v>
      </c>
      <c r="E277" t="s">
        <v>515</v>
      </c>
      <c r="F277">
        <v>25</v>
      </c>
      <c r="G277">
        <v>1658.75</v>
      </c>
      <c r="H277">
        <v>173</v>
      </c>
      <c r="I277">
        <v>7</v>
      </c>
      <c r="J277">
        <v>41468.75</v>
      </c>
      <c r="K277">
        <f>SUM(Table3[Total_Revenue])</f>
        <v>30761529.489999965</v>
      </c>
      <c r="L277">
        <f t="shared" si="52"/>
        <v>26616638.889999967</v>
      </c>
      <c r="M277">
        <f t="shared" si="53"/>
        <v>0.86525733054504228</v>
      </c>
      <c r="N277" t="str">
        <f t="shared" si="54"/>
        <v>No</v>
      </c>
      <c r="O277">
        <f t="shared" si="55"/>
        <v>47894.68</v>
      </c>
      <c r="P277">
        <f t="shared" si="56"/>
        <v>5</v>
      </c>
      <c r="Q277">
        <f t="shared" si="57"/>
        <v>172.5</v>
      </c>
      <c r="R277" t="str">
        <f t="shared" si="58"/>
        <v>High</v>
      </c>
      <c r="S277" t="str">
        <f t="shared" si="59"/>
        <v>High</v>
      </c>
      <c r="T277" t="str">
        <f t="shared" si="60"/>
        <v>Low</v>
      </c>
      <c r="U277" t="str">
        <f t="shared" si="61"/>
        <v>Yes</v>
      </c>
      <c r="V277" t="str">
        <f t="shared" si="62"/>
        <v>No</v>
      </c>
      <c r="W277" t="str">
        <f t="shared" si="63"/>
        <v>No</v>
      </c>
      <c r="X277" t="str">
        <f t="shared" si="64"/>
        <v>No</v>
      </c>
    </row>
    <row r="278" spans="1:24" x14ac:dyDescent="0.3">
      <c r="A278" t="s">
        <v>228</v>
      </c>
      <c r="B278">
        <v>69</v>
      </c>
      <c r="C278" t="s">
        <v>511</v>
      </c>
      <c r="D278">
        <v>123864</v>
      </c>
      <c r="E278" t="s">
        <v>514</v>
      </c>
      <c r="F278">
        <v>14</v>
      </c>
      <c r="G278">
        <v>2944.33</v>
      </c>
      <c r="H278">
        <v>66</v>
      </c>
      <c r="I278">
        <v>1</v>
      </c>
      <c r="J278">
        <v>41220.620000000003</v>
      </c>
      <c r="K278">
        <f>SUM(Table3[Total_Revenue])</f>
        <v>30761529.489999965</v>
      </c>
      <c r="L278">
        <f t="shared" si="52"/>
        <v>26657859.509999968</v>
      </c>
      <c r="M278">
        <f t="shared" si="53"/>
        <v>0.86659733608713996</v>
      </c>
      <c r="N278" t="str">
        <f t="shared" si="54"/>
        <v>No</v>
      </c>
      <c r="O278">
        <f t="shared" si="55"/>
        <v>47894.68</v>
      </c>
      <c r="P278">
        <f t="shared" si="56"/>
        <v>5</v>
      </c>
      <c r="Q278">
        <f t="shared" si="57"/>
        <v>172.5</v>
      </c>
      <c r="R278" t="str">
        <f t="shared" si="58"/>
        <v>Low</v>
      </c>
      <c r="S278" t="str">
        <f t="shared" si="59"/>
        <v>Low</v>
      </c>
      <c r="T278" t="str">
        <f t="shared" si="60"/>
        <v>Low</v>
      </c>
      <c r="U278" t="str">
        <f t="shared" si="61"/>
        <v>No</v>
      </c>
      <c r="V278" t="str">
        <f t="shared" si="62"/>
        <v>No</v>
      </c>
      <c r="W278" t="str">
        <f t="shared" si="63"/>
        <v>No</v>
      </c>
      <c r="X278" t="str">
        <f t="shared" si="64"/>
        <v>Yes</v>
      </c>
    </row>
    <row r="279" spans="1:24" x14ac:dyDescent="0.3">
      <c r="A279" t="s">
        <v>209</v>
      </c>
      <c r="B279">
        <v>56</v>
      </c>
      <c r="C279" t="s">
        <v>510</v>
      </c>
      <c r="D279">
        <v>24324</v>
      </c>
      <c r="E279" t="s">
        <v>513</v>
      </c>
      <c r="F279">
        <v>23</v>
      </c>
      <c r="G279">
        <v>1783.45</v>
      </c>
      <c r="H279">
        <v>61</v>
      </c>
      <c r="I279">
        <v>5</v>
      </c>
      <c r="J279">
        <v>41019.35</v>
      </c>
      <c r="K279">
        <f>SUM(Table3[Total_Revenue])</f>
        <v>30761529.489999965</v>
      </c>
      <c r="L279">
        <f t="shared" si="52"/>
        <v>26698878.85999997</v>
      </c>
      <c r="M279">
        <f t="shared" si="53"/>
        <v>0.86793079871660184</v>
      </c>
      <c r="N279" t="str">
        <f t="shared" si="54"/>
        <v>No</v>
      </c>
      <c r="O279">
        <f t="shared" si="55"/>
        <v>47894.68</v>
      </c>
      <c r="P279">
        <f t="shared" si="56"/>
        <v>5</v>
      </c>
      <c r="Q279">
        <f t="shared" si="57"/>
        <v>172.5</v>
      </c>
      <c r="R279" t="str">
        <f t="shared" si="58"/>
        <v>Medium</v>
      </c>
      <c r="S279" t="str">
        <f t="shared" si="59"/>
        <v>Low</v>
      </c>
      <c r="T279" t="str">
        <f t="shared" si="60"/>
        <v>Low</v>
      </c>
      <c r="U279" t="str">
        <f t="shared" si="61"/>
        <v>Yes</v>
      </c>
      <c r="V279" t="str">
        <f t="shared" si="62"/>
        <v>No</v>
      </c>
      <c r="W279" t="str">
        <f t="shared" si="63"/>
        <v>No</v>
      </c>
      <c r="X279" t="str">
        <f t="shared" si="64"/>
        <v>No</v>
      </c>
    </row>
    <row r="280" spans="1:24" x14ac:dyDescent="0.3">
      <c r="A280" t="s">
        <v>493</v>
      </c>
      <c r="B280">
        <v>45</v>
      </c>
      <c r="C280" t="s">
        <v>510</v>
      </c>
      <c r="D280">
        <v>76264</v>
      </c>
      <c r="E280" t="s">
        <v>513</v>
      </c>
      <c r="F280">
        <v>10</v>
      </c>
      <c r="G280">
        <v>4077.59</v>
      </c>
      <c r="H280">
        <v>65</v>
      </c>
      <c r="I280">
        <v>2</v>
      </c>
      <c r="J280">
        <v>40775.9</v>
      </c>
      <c r="K280">
        <f>SUM(Table3[Total_Revenue])</f>
        <v>30761529.489999965</v>
      </c>
      <c r="L280">
        <f t="shared" si="52"/>
        <v>26739654.759999968</v>
      </c>
      <c r="M280">
        <f t="shared" si="53"/>
        <v>0.86925634724022949</v>
      </c>
      <c r="N280" t="str">
        <f t="shared" si="54"/>
        <v>No</v>
      </c>
      <c r="O280">
        <f t="shared" si="55"/>
        <v>47894.68</v>
      </c>
      <c r="P280">
        <f t="shared" si="56"/>
        <v>5</v>
      </c>
      <c r="Q280">
        <f t="shared" si="57"/>
        <v>172.5</v>
      </c>
      <c r="R280" t="str">
        <f t="shared" si="58"/>
        <v>Low</v>
      </c>
      <c r="S280" t="str">
        <f t="shared" si="59"/>
        <v>Low</v>
      </c>
      <c r="T280" t="str">
        <f t="shared" si="60"/>
        <v>Low</v>
      </c>
      <c r="U280" t="str">
        <f t="shared" si="61"/>
        <v>No</v>
      </c>
      <c r="V280" t="str">
        <f t="shared" si="62"/>
        <v>No</v>
      </c>
      <c r="W280" t="str">
        <f t="shared" si="63"/>
        <v>No</v>
      </c>
      <c r="X280" t="str">
        <f t="shared" si="64"/>
        <v>Yes</v>
      </c>
    </row>
    <row r="281" spans="1:24" x14ac:dyDescent="0.3">
      <c r="A281" t="s">
        <v>278</v>
      </c>
      <c r="B281">
        <v>37</v>
      </c>
      <c r="C281" t="s">
        <v>510</v>
      </c>
      <c r="D281">
        <v>128872</v>
      </c>
      <c r="E281" t="s">
        <v>514</v>
      </c>
      <c r="F281">
        <v>15</v>
      </c>
      <c r="G281">
        <v>2709.16</v>
      </c>
      <c r="H281">
        <v>268</v>
      </c>
      <c r="I281">
        <v>1</v>
      </c>
      <c r="J281">
        <v>40637.4</v>
      </c>
      <c r="K281">
        <f>SUM(Table3[Total_Revenue])</f>
        <v>30761529.489999965</v>
      </c>
      <c r="L281">
        <f t="shared" si="52"/>
        <v>26780292.159999967</v>
      </c>
      <c r="M281">
        <f t="shared" si="53"/>
        <v>0.87057739338695017</v>
      </c>
      <c r="N281" t="str">
        <f t="shared" si="54"/>
        <v>No</v>
      </c>
      <c r="O281">
        <f t="shared" si="55"/>
        <v>47894.68</v>
      </c>
      <c r="P281">
        <f t="shared" si="56"/>
        <v>5</v>
      </c>
      <c r="Q281">
        <f t="shared" si="57"/>
        <v>172.5</v>
      </c>
      <c r="R281" t="str">
        <f t="shared" si="58"/>
        <v>Low</v>
      </c>
      <c r="S281" t="str">
        <f t="shared" si="59"/>
        <v>High</v>
      </c>
      <c r="T281" t="str">
        <f t="shared" si="60"/>
        <v>Low</v>
      </c>
      <c r="U281" t="str">
        <f t="shared" si="61"/>
        <v>No</v>
      </c>
      <c r="V281" t="str">
        <f t="shared" si="62"/>
        <v>No</v>
      </c>
      <c r="W281" t="str">
        <f t="shared" si="63"/>
        <v>No</v>
      </c>
      <c r="X281" t="str">
        <f t="shared" si="64"/>
        <v>Yes</v>
      </c>
    </row>
    <row r="282" spans="1:24" x14ac:dyDescent="0.3">
      <c r="A282" t="s">
        <v>127</v>
      </c>
      <c r="B282">
        <v>22</v>
      </c>
      <c r="C282" t="s">
        <v>511</v>
      </c>
      <c r="D282">
        <v>58638</v>
      </c>
      <c r="E282" t="s">
        <v>512</v>
      </c>
      <c r="F282">
        <v>38</v>
      </c>
      <c r="G282">
        <v>1066.06</v>
      </c>
      <c r="H282">
        <v>90</v>
      </c>
      <c r="I282">
        <v>2</v>
      </c>
      <c r="J282">
        <v>40510.28</v>
      </c>
      <c r="K282">
        <f>SUM(Table3[Total_Revenue])</f>
        <v>30761529.489999965</v>
      </c>
      <c r="L282">
        <f t="shared" si="52"/>
        <v>26820802.439999968</v>
      </c>
      <c r="M282">
        <f t="shared" si="53"/>
        <v>0.87189430709935734</v>
      </c>
      <c r="N282" t="str">
        <f t="shared" si="54"/>
        <v>No</v>
      </c>
      <c r="O282">
        <f t="shared" si="55"/>
        <v>47894.68</v>
      </c>
      <c r="P282">
        <f t="shared" si="56"/>
        <v>5</v>
      </c>
      <c r="Q282">
        <f t="shared" si="57"/>
        <v>172.5</v>
      </c>
      <c r="R282" t="str">
        <f t="shared" si="58"/>
        <v>Low</v>
      </c>
      <c r="S282" t="str">
        <f t="shared" si="59"/>
        <v>Low</v>
      </c>
      <c r="T282" t="str">
        <f t="shared" si="60"/>
        <v>Low</v>
      </c>
      <c r="U282" t="str">
        <f t="shared" si="61"/>
        <v>No</v>
      </c>
      <c r="V282" t="str">
        <f t="shared" si="62"/>
        <v>No</v>
      </c>
      <c r="W282" t="str">
        <f t="shared" si="63"/>
        <v>No</v>
      </c>
      <c r="X282" t="str">
        <f t="shared" si="64"/>
        <v>Yes</v>
      </c>
    </row>
    <row r="283" spans="1:24" x14ac:dyDescent="0.3">
      <c r="A283" t="s">
        <v>334</v>
      </c>
      <c r="B283">
        <v>42</v>
      </c>
      <c r="C283" t="s">
        <v>511</v>
      </c>
      <c r="D283">
        <v>79207</v>
      </c>
      <c r="E283" t="s">
        <v>512</v>
      </c>
      <c r="F283">
        <v>33</v>
      </c>
      <c r="G283">
        <v>1221.58</v>
      </c>
      <c r="H283">
        <v>281</v>
      </c>
      <c r="I283">
        <v>9</v>
      </c>
      <c r="J283">
        <v>40312.14</v>
      </c>
      <c r="K283">
        <f>SUM(Table3[Total_Revenue])</f>
        <v>30761529.489999965</v>
      </c>
      <c r="L283">
        <f t="shared" si="52"/>
        <v>26861114.579999968</v>
      </c>
      <c r="M283">
        <f t="shared" si="53"/>
        <v>0.87320477964959597</v>
      </c>
      <c r="N283" t="str">
        <f t="shared" si="54"/>
        <v>No</v>
      </c>
      <c r="O283">
        <f t="shared" si="55"/>
        <v>47894.68</v>
      </c>
      <c r="P283">
        <f t="shared" si="56"/>
        <v>5</v>
      </c>
      <c r="Q283">
        <f t="shared" si="57"/>
        <v>172.5</v>
      </c>
      <c r="R283" t="str">
        <f t="shared" si="58"/>
        <v>High</v>
      </c>
      <c r="S283" t="str">
        <f t="shared" si="59"/>
        <v>High</v>
      </c>
      <c r="T283" t="str">
        <f t="shared" si="60"/>
        <v>Low</v>
      </c>
      <c r="U283" t="str">
        <f t="shared" si="61"/>
        <v>Yes</v>
      </c>
      <c r="V283" t="str">
        <f t="shared" si="62"/>
        <v>No</v>
      </c>
      <c r="W283" t="str">
        <f t="shared" si="63"/>
        <v>No</v>
      </c>
      <c r="X283" t="str">
        <f t="shared" si="64"/>
        <v>No</v>
      </c>
    </row>
    <row r="284" spans="1:24" x14ac:dyDescent="0.3">
      <c r="A284" t="s">
        <v>466</v>
      </c>
      <c r="B284">
        <v>32</v>
      </c>
      <c r="C284" t="s">
        <v>510</v>
      </c>
      <c r="D284">
        <v>106066</v>
      </c>
      <c r="E284" t="s">
        <v>513</v>
      </c>
      <c r="F284">
        <v>14</v>
      </c>
      <c r="G284">
        <v>2833.28</v>
      </c>
      <c r="H284">
        <v>361</v>
      </c>
      <c r="I284">
        <v>1</v>
      </c>
      <c r="J284">
        <v>39665.919999999998</v>
      </c>
      <c r="K284">
        <f>SUM(Table3[Total_Revenue])</f>
        <v>30761529.489999965</v>
      </c>
      <c r="L284">
        <f t="shared" si="52"/>
        <v>26900780.49999997</v>
      </c>
      <c r="M284">
        <f t="shared" si="53"/>
        <v>0.87449424479185744</v>
      </c>
      <c r="N284" t="str">
        <f t="shared" si="54"/>
        <v>No</v>
      </c>
      <c r="O284">
        <f t="shared" si="55"/>
        <v>47894.68</v>
      </c>
      <c r="P284">
        <f t="shared" si="56"/>
        <v>5</v>
      </c>
      <c r="Q284">
        <f t="shared" si="57"/>
        <v>172.5</v>
      </c>
      <c r="R284" t="str">
        <f t="shared" si="58"/>
        <v>Low</v>
      </c>
      <c r="S284" t="str">
        <f t="shared" si="59"/>
        <v>High</v>
      </c>
      <c r="T284" t="str">
        <f t="shared" si="60"/>
        <v>Low</v>
      </c>
      <c r="U284" t="str">
        <f t="shared" si="61"/>
        <v>No</v>
      </c>
      <c r="V284" t="str">
        <f t="shared" si="62"/>
        <v>No</v>
      </c>
      <c r="W284" t="str">
        <f t="shared" si="63"/>
        <v>No</v>
      </c>
      <c r="X284" t="str">
        <f t="shared" si="64"/>
        <v>Yes</v>
      </c>
    </row>
    <row r="285" spans="1:24" x14ac:dyDescent="0.3">
      <c r="A285" t="s">
        <v>486</v>
      </c>
      <c r="B285">
        <v>30</v>
      </c>
      <c r="C285" t="s">
        <v>510</v>
      </c>
      <c r="D285">
        <v>73173</v>
      </c>
      <c r="E285" t="s">
        <v>515</v>
      </c>
      <c r="F285">
        <v>47</v>
      </c>
      <c r="G285">
        <v>842.69</v>
      </c>
      <c r="H285">
        <v>276</v>
      </c>
      <c r="I285">
        <v>10</v>
      </c>
      <c r="J285">
        <v>39606.43</v>
      </c>
      <c r="K285">
        <f>SUM(Table3[Total_Revenue])</f>
        <v>30761529.489999965</v>
      </c>
      <c r="L285">
        <f t="shared" si="52"/>
        <v>26940386.92999997</v>
      </c>
      <c r="M285">
        <f t="shared" si="53"/>
        <v>0.87578177602507767</v>
      </c>
      <c r="N285" t="str">
        <f t="shared" si="54"/>
        <v>No</v>
      </c>
      <c r="O285">
        <f t="shared" si="55"/>
        <v>47894.68</v>
      </c>
      <c r="P285">
        <f t="shared" si="56"/>
        <v>5</v>
      </c>
      <c r="Q285">
        <f t="shared" si="57"/>
        <v>172.5</v>
      </c>
      <c r="R285" t="str">
        <f t="shared" si="58"/>
        <v>High</v>
      </c>
      <c r="S285" t="str">
        <f t="shared" si="59"/>
        <v>High</v>
      </c>
      <c r="T285" t="str">
        <f t="shared" si="60"/>
        <v>Low</v>
      </c>
      <c r="U285" t="str">
        <f t="shared" si="61"/>
        <v>Yes</v>
      </c>
      <c r="V285" t="str">
        <f t="shared" si="62"/>
        <v>No</v>
      </c>
      <c r="W285" t="str">
        <f t="shared" si="63"/>
        <v>No</v>
      </c>
      <c r="X285" t="str">
        <f t="shared" si="64"/>
        <v>No</v>
      </c>
    </row>
    <row r="286" spans="1:24" x14ac:dyDescent="0.3">
      <c r="A286" t="s">
        <v>43</v>
      </c>
      <c r="B286">
        <v>45</v>
      </c>
      <c r="C286" t="s">
        <v>511</v>
      </c>
      <c r="D286">
        <v>42415</v>
      </c>
      <c r="E286" t="s">
        <v>515</v>
      </c>
      <c r="F286">
        <v>49</v>
      </c>
      <c r="G286">
        <v>803.36</v>
      </c>
      <c r="H286">
        <v>4</v>
      </c>
      <c r="I286">
        <v>3</v>
      </c>
      <c r="J286">
        <v>39364.639999999999</v>
      </c>
      <c r="K286">
        <f>SUM(Table3[Total_Revenue])</f>
        <v>30761529.489999965</v>
      </c>
      <c r="L286">
        <f t="shared" si="52"/>
        <v>26979751.56999997</v>
      </c>
      <c r="M286">
        <f t="shared" si="53"/>
        <v>0.87706144711597045</v>
      </c>
      <c r="N286" t="str">
        <f t="shared" si="54"/>
        <v>No</v>
      </c>
      <c r="O286">
        <f t="shared" si="55"/>
        <v>47894.68</v>
      </c>
      <c r="P286">
        <f t="shared" si="56"/>
        <v>5</v>
      </c>
      <c r="Q286">
        <f t="shared" si="57"/>
        <v>172.5</v>
      </c>
      <c r="R286" t="str">
        <f t="shared" si="58"/>
        <v>Low</v>
      </c>
      <c r="S286" t="str">
        <f t="shared" si="59"/>
        <v>Low</v>
      </c>
      <c r="T286" t="str">
        <f t="shared" si="60"/>
        <v>Low</v>
      </c>
      <c r="U286" t="str">
        <f t="shared" si="61"/>
        <v>No</v>
      </c>
      <c r="V286" t="str">
        <f t="shared" si="62"/>
        <v>No</v>
      </c>
      <c r="W286" t="str">
        <f t="shared" si="63"/>
        <v>No</v>
      </c>
      <c r="X286" t="str">
        <f t="shared" si="64"/>
        <v>Yes</v>
      </c>
    </row>
    <row r="287" spans="1:24" x14ac:dyDescent="0.3">
      <c r="A287" t="s">
        <v>328</v>
      </c>
      <c r="B287">
        <v>57</v>
      </c>
      <c r="C287" t="s">
        <v>511</v>
      </c>
      <c r="D287">
        <v>36984</v>
      </c>
      <c r="E287" t="s">
        <v>514</v>
      </c>
      <c r="F287">
        <v>10</v>
      </c>
      <c r="G287">
        <v>3935.21</v>
      </c>
      <c r="H287">
        <v>283</v>
      </c>
      <c r="I287">
        <v>5</v>
      </c>
      <c r="J287">
        <v>39352.1</v>
      </c>
      <c r="K287">
        <f>SUM(Table3[Total_Revenue])</f>
        <v>30761529.489999965</v>
      </c>
      <c r="L287">
        <f t="shared" si="52"/>
        <v>27019103.669999972</v>
      </c>
      <c r="M287">
        <f t="shared" si="53"/>
        <v>0.87834071055483143</v>
      </c>
      <c r="N287" t="str">
        <f t="shared" si="54"/>
        <v>No</v>
      </c>
      <c r="O287">
        <f t="shared" si="55"/>
        <v>47894.68</v>
      </c>
      <c r="P287">
        <f t="shared" si="56"/>
        <v>5</v>
      </c>
      <c r="Q287">
        <f t="shared" si="57"/>
        <v>172.5</v>
      </c>
      <c r="R287" t="str">
        <f t="shared" si="58"/>
        <v>Medium</v>
      </c>
      <c r="S287" t="str">
        <f t="shared" si="59"/>
        <v>High</v>
      </c>
      <c r="T287" t="str">
        <f t="shared" si="60"/>
        <v>Low</v>
      </c>
      <c r="U287" t="str">
        <f t="shared" si="61"/>
        <v>Yes</v>
      </c>
      <c r="V287" t="str">
        <f t="shared" si="62"/>
        <v>No</v>
      </c>
      <c r="W287" t="str">
        <f t="shared" si="63"/>
        <v>No</v>
      </c>
      <c r="X287" t="str">
        <f t="shared" si="64"/>
        <v>No</v>
      </c>
    </row>
    <row r="288" spans="1:24" x14ac:dyDescent="0.3">
      <c r="A288" t="s">
        <v>130</v>
      </c>
      <c r="B288">
        <v>58</v>
      </c>
      <c r="C288" t="s">
        <v>510</v>
      </c>
      <c r="D288">
        <v>138033</v>
      </c>
      <c r="E288" t="s">
        <v>515</v>
      </c>
      <c r="F288">
        <v>43</v>
      </c>
      <c r="G288">
        <v>915.02</v>
      </c>
      <c r="H288">
        <v>231</v>
      </c>
      <c r="I288">
        <v>8</v>
      </c>
      <c r="J288">
        <v>39345.86</v>
      </c>
      <c r="K288">
        <f>SUM(Table3[Total_Revenue])</f>
        <v>30761529.489999965</v>
      </c>
      <c r="L288">
        <f t="shared" si="52"/>
        <v>27058449.529999971</v>
      </c>
      <c r="M288">
        <f t="shared" si="53"/>
        <v>0.87961977114292056</v>
      </c>
      <c r="N288" t="str">
        <f t="shared" si="54"/>
        <v>No</v>
      </c>
      <c r="O288">
        <f t="shared" si="55"/>
        <v>47894.68</v>
      </c>
      <c r="P288">
        <f t="shared" si="56"/>
        <v>5</v>
      </c>
      <c r="Q288">
        <f t="shared" si="57"/>
        <v>172.5</v>
      </c>
      <c r="R288" t="str">
        <f t="shared" si="58"/>
        <v>High</v>
      </c>
      <c r="S288" t="str">
        <f t="shared" si="59"/>
        <v>High</v>
      </c>
      <c r="T288" t="str">
        <f t="shared" si="60"/>
        <v>Low</v>
      </c>
      <c r="U288" t="str">
        <f t="shared" si="61"/>
        <v>Yes</v>
      </c>
      <c r="V288" t="str">
        <f t="shared" si="62"/>
        <v>No</v>
      </c>
      <c r="W288" t="str">
        <f t="shared" si="63"/>
        <v>No</v>
      </c>
      <c r="X288" t="str">
        <f t="shared" si="64"/>
        <v>No</v>
      </c>
    </row>
    <row r="289" spans="1:24" x14ac:dyDescent="0.3">
      <c r="A289" t="s">
        <v>292</v>
      </c>
      <c r="B289">
        <v>67</v>
      </c>
      <c r="C289" t="s">
        <v>511</v>
      </c>
      <c r="D289">
        <v>32219</v>
      </c>
      <c r="E289" t="s">
        <v>515</v>
      </c>
      <c r="F289">
        <v>24</v>
      </c>
      <c r="G289">
        <v>1637.27</v>
      </c>
      <c r="H289">
        <v>268</v>
      </c>
      <c r="I289">
        <v>4</v>
      </c>
      <c r="J289">
        <v>39294.480000000003</v>
      </c>
      <c r="K289">
        <f>SUM(Table3[Total_Revenue])</f>
        <v>30761529.489999965</v>
      </c>
      <c r="L289">
        <f t="shared" si="52"/>
        <v>27097744.009999972</v>
      </c>
      <c r="M289">
        <f t="shared" si="53"/>
        <v>0.88089716146295571</v>
      </c>
      <c r="N289" t="str">
        <f t="shared" si="54"/>
        <v>No</v>
      </c>
      <c r="O289">
        <f t="shared" si="55"/>
        <v>47894.68</v>
      </c>
      <c r="P289">
        <f t="shared" si="56"/>
        <v>5</v>
      </c>
      <c r="Q289">
        <f t="shared" si="57"/>
        <v>172.5</v>
      </c>
      <c r="R289" t="str">
        <f t="shared" si="58"/>
        <v>Low</v>
      </c>
      <c r="S289" t="str">
        <f t="shared" si="59"/>
        <v>High</v>
      </c>
      <c r="T289" t="str">
        <f t="shared" si="60"/>
        <v>Low</v>
      </c>
      <c r="U289" t="str">
        <f t="shared" si="61"/>
        <v>No</v>
      </c>
      <c r="V289" t="str">
        <f t="shared" si="62"/>
        <v>No</v>
      </c>
      <c r="W289" t="str">
        <f t="shared" si="63"/>
        <v>No</v>
      </c>
      <c r="X289" t="str">
        <f t="shared" si="64"/>
        <v>Yes</v>
      </c>
    </row>
    <row r="290" spans="1:24" x14ac:dyDescent="0.3">
      <c r="A290" t="s">
        <v>369</v>
      </c>
      <c r="B290">
        <v>44</v>
      </c>
      <c r="C290" t="s">
        <v>511</v>
      </c>
      <c r="D290">
        <v>100910</v>
      </c>
      <c r="E290" t="s">
        <v>513</v>
      </c>
      <c r="F290">
        <v>47</v>
      </c>
      <c r="G290">
        <v>831.27</v>
      </c>
      <c r="H290">
        <v>108</v>
      </c>
      <c r="I290">
        <v>3</v>
      </c>
      <c r="J290">
        <v>39069.69</v>
      </c>
      <c r="K290">
        <f>SUM(Table3[Total_Revenue])</f>
        <v>30761529.489999965</v>
      </c>
      <c r="L290">
        <f t="shared" si="52"/>
        <v>27136813.699999973</v>
      </c>
      <c r="M290">
        <f t="shared" si="53"/>
        <v>0.88216724427898419</v>
      </c>
      <c r="N290" t="str">
        <f t="shared" si="54"/>
        <v>No</v>
      </c>
      <c r="O290">
        <f t="shared" si="55"/>
        <v>47894.68</v>
      </c>
      <c r="P290">
        <f t="shared" si="56"/>
        <v>5</v>
      </c>
      <c r="Q290">
        <f t="shared" si="57"/>
        <v>172.5</v>
      </c>
      <c r="R290" t="str">
        <f t="shared" si="58"/>
        <v>Low</v>
      </c>
      <c r="S290" t="str">
        <f t="shared" si="59"/>
        <v>Low</v>
      </c>
      <c r="T290" t="str">
        <f t="shared" si="60"/>
        <v>Low</v>
      </c>
      <c r="U290" t="str">
        <f t="shared" si="61"/>
        <v>No</v>
      </c>
      <c r="V290" t="str">
        <f t="shared" si="62"/>
        <v>No</v>
      </c>
      <c r="W290" t="str">
        <f t="shared" si="63"/>
        <v>No</v>
      </c>
      <c r="X290" t="str">
        <f t="shared" si="64"/>
        <v>Yes</v>
      </c>
    </row>
    <row r="291" spans="1:24" x14ac:dyDescent="0.3">
      <c r="A291" t="s">
        <v>442</v>
      </c>
      <c r="B291">
        <v>37</v>
      </c>
      <c r="C291" t="s">
        <v>511</v>
      </c>
      <c r="D291">
        <v>129777</v>
      </c>
      <c r="E291" t="s">
        <v>514</v>
      </c>
      <c r="F291">
        <v>45</v>
      </c>
      <c r="G291">
        <v>867.53</v>
      </c>
      <c r="H291">
        <v>251</v>
      </c>
      <c r="I291">
        <v>8</v>
      </c>
      <c r="J291">
        <v>39038.85</v>
      </c>
      <c r="K291">
        <f>SUM(Table3[Total_Revenue])</f>
        <v>30761529.489999965</v>
      </c>
      <c r="L291">
        <f t="shared" si="52"/>
        <v>27175852.549999975</v>
      </c>
      <c r="M291">
        <f t="shared" si="53"/>
        <v>0.8834363245440825</v>
      </c>
      <c r="N291" t="str">
        <f t="shared" si="54"/>
        <v>No</v>
      </c>
      <c r="O291">
        <f t="shared" si="55"/>
        <v>47894.68</v>
      </c>
      <c r="P291">
        <f t="shared" si="56"/>
        <v>5</v>
      </c>
      <c r="Q291">
        <f t="shared" si="57"/>
        <v>172.5</v>
      </c>
      <c r="R291" t="str">
        <f t="shared" si="58"/>
        <v>High</v>
      </c>
      <c r="S291" t="str">
        <f t="shared" si="59"/>
        <v>High</v>
      </c>
      <c r="T291" t="str">
        <f t="shared" si="60"/>
        <v>Low</v>
      </c>
      <c r="U291" t="str">
        <f t="shared" si="61"/>
        <v>Yes</v>
      </c>
      <c r="V291" t="str">
        <f t="shared" si="62"/>
        <v>No</v>
      </c>
      <c r="W291" t="str">
        <f t="shared" si="63"/>
        <v>No</v>
      </c>
      <c r="X291" t="str">
        <f t="shared" si="64"/>
        <v>No</v>
      </c>
    </row>
    <row r="292" spans="1:24" x14ac:dyDescent="0.3">
      <c r="A292" t="s">
        <v>114</v>
      </c>
      <c r="B292">
        <v>26</v>
      </c>
      <c r="C292" t="s">
        <v>510</v>
      </c>
      <c r="D292">
        <v>134049</v>
      </c>
      <c r="E292" t="s">
        <v>514</v>
      </c>
      <c r="F292">
        <v>16</v>
      </c>
      <c r="G292">
        <v>2435.81</v>
      </c>
      <c r="H292">
        <v>51</v>
      </c>
      <c r="I292">
        <v>2</v>
      </c>
      <c r="J292">
        <v>38972.959999999999</v>
      </c>
      <c r="K292">
        <f>SUM(Table3[Total_Revenue])</f>
        <v>30761529.489999965</v>
      </c>
      <c r="L292">
        <f t="shared" si="52"/>
        <v>27214825.509999976</v>
      </c>
      <c r="M292">
        <f t="shared" si="53"/>
        <v>0.88470326284806611</v>
      </c>
      <c r="N292" t="str">
        <f t="shared" si="54"/>
        <v>No</v>
      </c>
      <c r="O292">
        <f t="shared" si="55"/>
        <v>47894.68</v>
      </c>
      <c r="P292">
        <f t="shared" si="56"/>
        <v>5</v>
      </c>
      <c r="Q292">
        <f t="shared" si="57"/>
        <v>172.5</v>
      </c>
      <c r="R292" t="str">
        <f t="shared" si="58"/>
        <v>Low</v>
      </c>
      <c r="S292" t="str">
        <f t="shared" si="59"/>
        <v>Low</v>
      </c>
      <c r="T292" t="str">
        <f t="shared" si="60"/>
        <v>Low</v>
      </c>
      <c r="U292" t="str">
        <f t="shared" si="61"/>
        <v>No</v>
      </c>
      <c r="V292" t="str">
        <f t="shared" si="62"/>
        <v>No</v>
      </c>
      <c r="W292" t="str">
        <f t="shared" si="63"/>
        <v>No</v>
      </c>
      <c r="X292" t="str">
        <f t="shared" si="64"/>
        <v>Yes</v>
      </c>
    </row>
    <row r="293" spans="1:24" x14ac:dyDescent="0.3">
      <c r="A293" t="s">
        <v>240</v>
      </c>
      <c r="B293">
        <v>45</v>
      </c>
      <c r="C293" t="s">
        <v>511</v>
      </c>
      <c r="D293">
        <v>62101</v>
      </c>
      <c r="E293" t="s">
        <v>514</v>
      </c>
      <c r="F293">
        <v>16</v>
      </c>
      <c r="G293">
        <v>2426.94</v>
      </c>
      <c r="H293">
        <v>99</v>
      </c>
      <c r="I293">
        <v>5</v>
      </c>
      <c r="J293">
        <v>38831.040000000001</v>
      </c>
      <c r="K293">
        <f>SUM(Table3[Total_Revenue])</f>
        <v>30761529.489999965</v>
      </c>
      <c r="L293">
        <f t="shared" si="52"/>
        <v>27253656.549999975</v>
      </c>
      <c r="M293">
        <f t="shared" si="53"/>
        <v>0.8859655875973157</v>
      </c>
      <c r="N293" t="str">
        <f t="shared" si="54"/>
        <v>No</v>
      </c>
      <c r="O293">
        <f t="shared" si="55"/>
        <v>47894.68</v>
      </c>
      <c r="P293">
        <f t="shared" si="56"/>
        <v>5</v>
      </c>
      <c r="Q293">
        <f t="shared" si="57"/>
        <v>172.5</v>
      </c>
      <c r="R293" t="str">
        <f t="shared" si="58"/>
        <v>Medium</v>
      </c>
      <c r="S293" t="str">
        <f t="shared" si="59"/>
        <v>Low</v>
      </c>
      <c r="T293" t="str">
        <f t="shared" si="60"/>
        <v>Low</v>
      </c>
      <c r="U293" t="str">
        <f t="shared" si="61"/>
        <v>Yes</v>
      </c>
      <c r="V293" t="str">
        <f t="shared" si="62"/>
        <v>No</v>
      </c>
      <c r="W293" t="str">
        <f t="shared" si="63"/>
        <v>No</v>
      </c>
      <c r="X293" t="str">
        <f t="shared" si="64"/>
        <v>No</v>
      </c>
    </row>
    <row r="294" spans="1:24" x14ac:dyDescent="0.3">
      <c r="A294" t="s">
        <v>98</v>
      </c>
      <c r="B294">
        <v>38</v>
      </c>
      <c r="C294" t="s">
        <v>510</v>
      </c>
      <c r="D294">
        <v>79399</v>
      </c>
      <c r="E294" t="s">
        <v>513</v>
      </c>
      <c r="F294">
        <v>17</v>
      </c>
      <c r="G294">
        <v>2277.66</v>
      </c>
      <c r="H294">
        <v>75</v>
      </c>
      <c r="I294">
        <v>1</v>
      </c>
      <c r="J294">
        <v>38720.22</v>
      </c>
      <c r="K294">
        <f>SUM(Table3[Total_Revenue])</f>
        <v>30761529.489999965</v>
      </c>
      <c r="L294">
        <f t="shared" si="52"/>
        <v>27292376.769999973</v>
      </c>
      <c r="M294">
        <f t="shared" si="53"/>
        <v>0.88722430979487699</v>
      </c>
      <c r="N294" t="str">
        <f t="shared" si="54"/>
        <v>No</v>
      </c>
      <c r="O294">
        <f t="shared" si="55"/>
        <v>47894.68</v>
      </c>
      <c r="P294">
        <f t="shared" si="56"/>
        <v>5</v>
      </c>
      <c r="Q294">
        <f t="shared" si="57"/>
        <v>172.5</v>
      </c>
      <c r="R294" t="str">
        <f t="shared" si="58"/>
        <v>Low</v>
      </c>
      <c r="S294" t="str">
        <f t="shared" si="59"/>
        <v>Low</v>
      </c>
      <c r="T294" t="str">
        <f t="shared" si="60"/>
        <v>Low</v>
      </c>
      <c r="U294" t="str">
        <f t="shared" si="61"/>
        <v>No</v>
      </c>
      <c r="V294" t="str">
        <f t="shared" si="62"/>
        <v>No</v>
      </c>
      <c r="W294" t="str">
        <f t="shared" si="63"/>
        <v>No</v>
      </c>
      <c r="X294" t="str">
        <f t="shared" si="64"/>
        <v>Yes</v>
      </c>
    </row>
    <row r="295" spans="1:24" x14ac:dyDescent="0.3">
      <c r="A295" t="s">
        <v>304</v>
      </c>
      <c r="B295">
        <v>19</v>
      </c>
      <c r="C295" t="s">
        <v>510</v>
      </c>
      <c r="D295">
        <v>137248</v>
      </c>
      <c r="E295" t="s">
        <v>513</v>
      </c>
      <c r="F295">
        <v>31</v>
      </c>
      <c r="G295">
        <v>1239.5</v>
      </c>
      <c r="H295">
        <v>176</v>
      </c>
      <c r="I295">
        <v>3</v>
      </c>
      <c r="J295">
        <v>38424.5</v>
      </c>
      <c r="K295">
        <f>SUM(Table3[Total_Revenue])</f>
        <v>30761529.489999965</v>
      </c>
      <c r="L295">
        <f t="shared" si="52"/>
        <v>27330801.269999973</v>
      </c>
      <c r="M295">
        <f t="shared" si="53"/>
        <v>0.8884734186863088</v>
      </c>
      <c r="N295" t="str">
        <f t="shared" si="54"/>
        <v>No</v>
      </c>
      <c r="O295">
        <f t="shared" si="55"/>
        <v>47894.68</v>
      </c>
      <c r="P295">
        <f t="shared" si="56"/>
        <v>5</v>
      </c>
      <c r="Q295">
        <f t="shared" si="57"/>
        <v>172.5</v>
      </c>
      <c r="R295" t="str">
        <f t="shared" si="58"/>
        <v>Low</v>
      </c>
      <c r="S295" t="str">
        <f t="shared" si="59"/>
        <v>High</v>
      </c>
      <c r="T295" t="str">
        <f t="shared" si="60"/>
        <v>Low</v>
      </c>
      <c r="U295" t="str">
        <f t="shared" si="61"/>
        <v>No</v>
      </c>
      <c r="V295" t="str">
        <f t="shared" si="62"/>
        <v>No</v>
      </c>
      <c r="W295" t="str">
        <f t="shared" si="63"/>
        <v>No</v>
      </c>
      <c r="X295" t="str">
        <f t="shared" si="64"/>
        <v>Yes</v>
      </c>
    </row>
    <row r="296" spans="1:24" x14ac:dyDescent="0.3">
      <c r="A296" t="s">
        <v>467</v>
      </c>
      <c r="B296">
        <v>60</v>
      </c>
      <c r="C296" t="s">
        <v>510</v>
      </c>
      <c r="D296">
        <v>125500</v>
      </c>
      <c r="E296" t="s">
        <v>515</v>
      </c>
      <c r="F296">
        <v>39</v>
      </c>
      <c r="G296">
        <v>984.91</v>
      </c>
      <c r="H296">
        <v>125</v>
      </c>
      <c r="I296">
        <v>9</v>
      </c>
      <c r="J296">
        <v>38411.49</v>
      </c>
      <c r="K296">
        <f>SUM(Table3[Total_Revenue])</f>
        <v>30761529.489999965</v>
      </c>
      <c r="L296">
        <f t="shared" si="52"/>
        <v>27369212.759999972</v>
      </c>
      <c r="M296">
        <f t="shared" si="53"/>
        <v>0.8897221046468845</v>
      </c>
      <c r="N296" t="str">
        <f t="shared" si="54"/>
        <v>No</v>
      </c>
      <c r="O296">
        <f t="shared" si="55"/>
        <v>47894.68</v>
      </c>
      <c r="P296">
        <f t="shared" si="56"/>
        <v>5</v>
      </c>
      <c r="Q296">
        <f t="shared" si="57"/>
        <v>172.5</v>
      </c>
      <c r="R296" t="str">
        <f t="shared" si="58"/>
        <v>High</v>
      </c>
      <c r="S296" t="str">
        <f t="shared" si="59"/>
        <v>Low</v>
      </c>
      <c r="T296" t="str">
        <f t="shared" si="60"/>
        <v>Low</v>
      </c>
      <c r="U296" t="str">
        <f t="shared" si="61"/>
        <v>Yes</v>
      </c>
      <c r="V296" t="str">
        <f t="shared" si="62"/>
        <v>No</v>
      </c>
      <c r="W296" t="str">
        <f t="shared" si="63"/>
        <v>No</v>
      </c>
      <c r="X296" t="str">
        <f t="shared" si="64"/>
        <v>No</v>
      </c>
    </row>
    <row r="297" spans="1:24" x14ac:dyDescent="0.3">
      <c r="A297" t="s">
        <v>266</v>
      </c>
      <c r="B297">
        <v>50</v>
      </c>
      <c r="C297" t="s">
        <v>511</v>
      </c>
      <c r="D297">
        <v>102180</v>
      </c>
      <c r="E297" t="s">
        <v>514</v>
      </c>
      <c r="F297">
        <v>8</v>
      </c>
      <c r="G297">
        <v>4717.7</v>
      </c>
      <c r="H297">
        <v>44</v>
      </c>
      <c r="I297">
        <v>5</v>
      </c>
      <c r="J297">
        <v>37741.599999999999</v>
      </c>
      <c r="K297">
        <f>SUM(Table3[Total_Revenue])</f>
        <v>30761529.489999965</v>
      </c>
      <c r="L297">
        <f t="shared" si="52"/>
        <v>27406954.359999973</v>
      </c>
      <c r="M297">
        <f t="shared" si="53"/>
        <v>0.89094901373189184</v>
      </c>
      <c r="N297" t="str">
        <f t="shared" si="54"/>
        <v>No</v>
      </c>
      <c r="O297">
        <f t="shared" si="55"/>
        <v>47894.68</v>
      </c>
      <c r="P297">
        <f t="shared" si="56"/>
        <v>5</v>
      </c>
      <c r="Q297">
        <f t="shared" si="57"/>
        <v>172.5</v>
      </c>
      <c r="R297" t="str">
        <f t="shared" si="58"/>
        <v>Medium</v>
      </c>
      <c r="S297" t="str">
        <f t="shared" si="59"/>
        <v>Low</v>
      </c>
      <c r="T297" t="str">
        <f t="shared" si="60"/>
        <v>Low</v>
      </c>
      <c r="U297" t="str">
        <f t="shared" si="61"/>
        <v>Yes</v>
      </c>
      <c r="V297" t="str">
        <f t="shared" si="62"/>
        <v>No</v>
      </c>
      <c r="W297" t="str">
        <f t="shared" si="63"/>
        <v>No</v>
      </c>
      <c r="X297" t="str">
        <f t="shared" si="64"/>
        <v>No</v>
      </c>
    </row>
    <row r="298" spans="1:24" x14ac:dyDescent="0.3">
      <c r="A298" t="s">
        <v>359</v>
      </c>
      <c r="B298">
        <v>39</v>
      </c>
      <c r="C298" t="s">
        <v>510</v>
      </c>
      <c r="D298">
        <v>87506</v>
      </c>
      <c r="E298" t="s">
        <v>513</v>
      </c>
      <c r="F298">
        <v>9</v>
      </c>
      <c r="G298">
        <v>4188.09</v>
      </c>
      <c r="H298">
        <v>41</v>
      </c>
      <c r="I298">
        <v>8</v>
      </c>
      <c r="J298">
        <v>37692.81</v>
      </c>
      <c r="K298">
        <f>SUM(Table3[Total_Revenue])</f>
        <v>30761529.489999965</v>
      </c>
      <c r="L298">
        <f t="shared" si="52"/>
        <v>27444647.169999972</v>
      </c>
      <c r="M298">
        <f t="shared" si="53"/>
        <v>0.89217433674491853</v>
      </c>
      <c r="N298" t="str">
        <f t="shared" si="54"/>
        <v>No</v>
      </c>
      <c r="O298">
        <f t="shared" si="55"/>
        <v>47894.68</v>
      </c>
      <c r="P298">
        <f t="shared" si="56"/>
        <v>5</v>
      </c>
      <c r="Q298">
        <f t="shared" si="57"/>
        <v>172.5</v>
      </c>
      <c r="R298" t="str">
        <f t="shared" si="58"/>
        <v>High</v>
      </c>
      <c r="S298" t="str">
        <f t="shared" si="59"/>
        <v>Low</v>
      </c>
      <c r="T298" t="str">
        <f t="shared" si="60"/>
        <v>Low</v>
      </c>
      <c r="U298" t="str">
        <f t="shared" si="61"/>
        <v>Yes</v>
      </c>
      <c r="V298" t="str">
        <f t="shared" si="62"/>
        <v>No</v>
      </c>
      <c r="W298" t="str">
        <f t="shared" si="63"/>
        <v>No</v>
      </c>
      <c r="X298" t="str">
        <f t="shared" si="64"/>
        <v>No</v>
      </c>
    </row>
    <row r="299" spans="1:24" x14ac:dyDescent="0.3">
      <c r="A299" t="s">
        <v>191</v>
      </c>
      <c r="B299">
        <v>23</v>
      </c>
      <c r="C299" t="s">
        <v>510</v>
      </c>
      <c r="D299">
        <v>136421</v>
      </c>
      <c r="E299" t="s">
        <v>515</v>
      </c>
      <c r="F299">
        <v>26</v>
      </c>
      <c r="G299">
        <v>1445.25</v>
      </c>
      <c r="H299">
        <v>82</v>
      </c>
      <c r="I299">
        <v>6</v>
      </c>
      <c r="J299">
        <v>37576.5</v>
      </c>
      <c r="K299">
        <f>SUM(Table3[Total_Revenue])</f>
        <v>30761529.489999965</v>
      </c>
      <c r="L299">
        <f t="shared" si="52"/>
        <v>27482223.669999972</v>
      </c>
      <c r="M299">
        <f t="shared" si="53"/>
        <v>0.89339587873658755</v>
      </c>
      <c r="N299" t="str">
        <f t="shared" si="54"/>
        <v>No</v>
      </c>
      <c r="O299">
        <f t="shared" si="55"/>
        <v>47894.68</v>
      </c>
      <c r="P299">
        <f t="shared" si="56"/>
        <v>5</v>
      </c>
      <c r="Q299">
        <f t="shared" si="57"/>
        <v>172.5</v>
      </c>
      <c r="R299" t="str">
        <f t="shared" si="58"/>
        <v>High</v>
      </c>
      <c r="S299" t="str">
        <f t="shared" si="59"/>
        <v>Low</v>
      </c>
      <c r="T299" t="str">
        <f t="shared" si="60"/>
        <v>Low</v>
      </c>
      <c r="U299" t="str">
        <f t="shared" si="61"/>
        <v>Yes</v>
      </c>
      <c r="V299" t="str">
        <f t="shared" si="62"/>
        <v>No</v>
      </c>
      <c r="W299" t="str">
        <f t="shared" si="63"/>
        <v>No</v>
      </c>
      <c r="X299" t="str">
        <f t="shared" si="64"/>
        <v>No</v>
      </c>
    </row>
    <row r="300" spans="1:24" x14ac:dyDescent="0.3">
      <c r="A300" t="s">
        <v>97</v>
      </c>
      <c r="B300">
        <v>57</v>
      </c>
      <c r="C300" t="s">
        <v>511</v>
      </c>
      <c r="D300">
        <v>99104</v>
      </c>
      <c r="E300" t="s">
        <v>515</v>
      </c>
      <c r="F300">
        <v>13</v>
      </c>
      <c r="G300">
        <v>2773.87</v>
      </c>
      <c r="H300">
        <v>124</v>
      </c>
      <c r="I300">
        <v>4</v>
      </c>
      <c r="J300">
        <v>36060.31</v>
      </c>
      <c r="K300">
        <f>SUM(Table3[Total_Revenue])</f>
        <v>30761529.489999965</v>
      </c>
      <c r="L300">
        <f t="shared" si="52"/>
        <v>27518283.979999971</v>
      </c>
      <c r="M300">
        <f t="shared" si="53"/>
        <v>0.89456813221675746</v>
      </c>
      <c r="N300" t="str">
        <f t="shared" si="54"/>
        <v>No</v>
      </c>
      <c r="O300">
        <f t="shared" si="55"/>
        <v>47894.68</v>
      </c>
      <c r="P300">
        <f t="shared" si="56"/>
        <v>5</v>
      </c>
      <c r="Q300">
        <f t="shared" si="57"/>
        <v>172.5</v>
      </c>
      <c r="R300" t="str">
        <f t="shared" si="58"/>
        <v>Low</v>
      </c>
      <c r="S300" t="str">
        <f t="shared" si="59"/>
        <v>Low</v>
      </c>
      <c r="T300" t="str">
        <f t="shared" si="60"/>
        <v>Low</v>
      </c>
      <c r="U300" t="str">
        <f t="shared" si="61"/>
        <v>No</v>
      </c>
      <c r="V300" t="str">
        <f t="shared" si="62"/>
        <v>No</v>
      </c>
      <c r="W300" t="str">
        <f t="shared" si="63"/>
        <v>No</v>
      </c>
      <c r="X300" t="str">
        <f t="shared" si="64"/>
        <v>Yes</v>
      </c>
    </row>
    <row r="301" spans="1:24" x14ac:dyDescent="0.3">
      <c r="A301" t="s">
        <v>234</v>
      </c>
      <c r="B301">
        <v>54</v>
      </c>
      <c r="C301" t="s">
        <v>510</v>
      </c>
      <c r="D301">
        <v>66514</v>
      </c>
      <c r="E301" t="s">
        <v>513</v>
      </c>
      <c r="F301">
        <v>17</v>
      </c>
      <c r="G301">
        <v>2106.44</v>
      </c>
      <c r="H301">
        <v>86</v>
      </c>
      <c r="I301">
        <v>3</v>
      </c>
      <c r="J301">
        <v>35809.480000000003</v>
      </c>
      <c r="K301">
        <f>SUM(Table3[Total_Revenue])</f>
        <v>30761529.489999965</v>
      </c>
      <c r="L301">
        <f t="shared" si="52"/>
        <v>27554093.459999971</v>
      </c>
      <c r="M301">
        <f t="shared" si="53"/>
        <v>0.89573223168104577</v>
      </c>
      <c r="N301" t="str">
        <f t="shared" si="54"/>
        <v>No</v>
      </c>
      <c r="O301">
        <f t="shared" si="55"/>
        <v>47894.68</v>
      </c>
      <c r="P301">
        <f t="shared" si="56"/>
        <v>5</v>
      </c>
      <c r="Q301">
        <f t="shared" si="57"/>
        <v>172.5</v>
      </c>
      <c r="R301" t="str">
        <f t="shared" si="58"/>
        <v>Low</v>
      </c>
      <c r="S301" t="str">
        <f t="shared" si="59"/>
        <v>Low</v>
      </c>
      <c r="T301" t="str">
        <f t="shared" si="60"/>
        <v>Low</v>
      </c>
      <c r="U301" t="str">
        <f t="shared" si="61"/>
        <v>No</v>
      </c>
      <c r="V301" t="str">
        <f t="shared" si="62"/>
        <v>No</v>
      </c>
      <c r="W301" t="str">
        <f t="shared" si="63"/>
        <v>No</v>
      </c>
      <c r="X301" t="str">
        <f t="shared" si="64"/>
        <v>Yes</v>
      </c>
    </row>
    <row r="302" spans="1:24" x14ac:dyDescent="0.3">
      <c r="A302" t="s">
        <v>394</v>
      </c>
      <c r="B302">
        <v>46</v>
      </c>
      <c r="C302" t="s">
        <v>511</v>
      </c>
      <c r="D302">
        <v>136553</v>
      </c>
      <c r="E302" t="s">
        <v>512</v>
      </c>
      <c r="F302">
        <v>8</v>
      </c>
      <c r="G302">
        <v>4458.0200000000004</v>
      </c>
      <c r="H302">
        <v>191</v>
      </c>
      <c r="I302">
        <v>1</v>
      </c>
      <c r="J302">
        <v>35664.160000000003</v>
      </c>
      <c r="K302">
        <f>SUM(Table3[Total_Revenue])</f>
        <v>30761529.489999965</v>
      </c>
      <c r="L302">
        <f t="shared" si="52"/>
        <v>27589757.619999971</v>
      </c>
      <c r="M302">
        <f t="shared" si="53"/>
        <v>0.89689160706293614</v>
      </c>
      <c r="N302" t="str">
        <f t="shared" si="54"/>
        <v>No</v>
      </c>
      <c r="O302">
        <f t="shared" si="55"/>
        <v>47894.68</v>
      </c>
      <c r="P302">
        <f t="shared" si="56"/>
        <v>5</v>
      </c>
      <c r="Q302">
        <f t="shared" si="57"/>
        <v>172.5</v>
      </c>
      <c r="R302" t="str">
        <f t="shared" si="58"/>
        <v>Low</v>
      </c>
      <c r="S302" t="str">
        <f t="shared" si="59"/>
        <v>High</v>
      </c>
      <c r="T302" t="str">
        <f t="shared" si="60"/>
        <v>Low</v>
      </c>
      <c r="U302" t="str">
        <f t="shared" si="61"/>
        <v>No</v>
      </c>
      <c r="V302" t="str">
        <f t="shared" si="62"/>
        <v>No</v>
      </c>
      <c r="W302" t="str">
        <f t="shared" si="63"/>
        <v>No</v>
      </c>
      <c r="X302" t="str">
        <f t="shared" si="64"/>
        <v>Yes</v>
      </c>
    </row>
    <row r="303" spans="1:24" x14ac:dyDescent="0.3">
      <c r="A303" t="s">
        <v>231</v>
      </c>
      <c r="B303">
        <v>19</v>
      </c>
      <c r="C303" t="s">
        <v>510</v>
      </c>
      <c r="D303">
        <v>30954</v>
      </c>
      <c r="E303" t="s">
        <v>513</v>
      </c>
      <c r="F303">
        <v>11</v>
      </c>
      <c r="G303">
        <v>3211.3</v>
      </c>
      <c r="H303">
        <v>144</v>
      </c>
      <c r="I303">
        <v>5</v>
      </c>
      <c r="J303">
        <v>35324.300000000003</v>
      </c>
      <c r="K303">
        <f>SUM(Table3[Total_Revenue])</f>
        <v>30761529.489999965</v>
      </c>
      <c r="L303">
        <f t="shared" si="52"/>
        <v>27625081.919999972</v>
      </c>
      <c r="M303">
        <f t="shared" si="53"/>
        <v>0.89803993422955131</v>
      </c>
      <c r="N303" t="str">
        <f t="shared" si="54"/>
        <v>No</v>
      </c>
      <c r="O303">
        <f t="shared" si="55"/>
        <v>47894.68</v>
      </c>
      <c r="P303">
        <f t="shared" si="56"/>
        <v>5</v>
      </c>
      <c r="Q303">
        <f t="shared" si="57"/>
        <v>172.5</v>
      </c>
      <c r="R303" t="str">
        <f t="shared" si="58"/>
        <v>Medium</v>
      </c>
      <c r="S303" t="str">
        <f t="shared" si="59"/>
        <v>Low</v>
      </c>
      <c r="T303" t="str">
        <f t="shared" si="60"/>
        <v>Low</v>
      </c>
      <c r="U303" t="str">
        <f t="shared" si="61"/>
        <v>Yes</v>
      </c>
      <c r="V303" t="str">
        <f t="shared" si="62"/>
        <v>No</v>
      </c>
      <c r="W303" t="str">
        <f t="shared" si="63"/>
        <v>No</v>
      </c>
      <c r="X303" t="str">
        <f t="shared" si="64"/>
        <v>No</v>
      </c>
    </row>
    <row r="304" spans="1:24" x14ac:dyDescent="0.3">
      <c r="A304" t="s">
        <v>86</v>
      </c>
      <c r="B304">
        <v>61</v>
      </c>
      <c r="C304" t="s">
        <v>511</v>
      </c>
      <c r="D304">
        <v>63221</v>
      </c>
      <c r="E304" t="s">
        <v>513</v>
      </c>
      <c r="F304">
        <v>8</v>
      </c>
      <c r="G304">
        <v>4357.6099999999997</v>
      </c>
      <c r="H304">
        <v>118</v>
      </c>
      <c r="I304">
        <v>10</v>
      </c>
      <c r="J304">
        <v>34860.879999999997</v>
      </c>
      <c r="K304">
        <f>SUM(Table3[Total_Revenue])</f>
        <v>30761529.489999965</v>
      </c>
      <c r="L304">
        <f t="shared" si="52"/>
        <v>27659942.799999971</v>
      </c>
      <c r="M304">
        <f t="shared" si="53"/>
        <v>0.89917319647554372</v>
      </c>
      <c r="N304" t="str">
        <f t="shared" si="54"/>
        <v>No</v>
      </c>
      <c r="O304">
        <f t="shared" si="55"/>
        <v>47894.68</v>
      </c>
      <c r="P304">
        <f t="shared" si="56"/>
        <v>5</v>
      </c>
      <c r="Q304">
        <f t="shared" si="57"/>
        <v>172.5</v>
      </c>
      <c r="R304" t="str">
        <f t="shared" si="58"/>
        <v>High</v>
      </c>
      <c r="S304" t="str">
        <f t="shared" si="59"/>
        <v>Low</v>
      </c>
      <c r="T304" t="str">
        <f t="shared" si="60"/>
        <v>Low</v>
      </c>
      <c r="U304" t="str">
        <f t="shared" si="61"/>
        <v>Yes</v>
      </c>
      <c r="V304" t="str">
        <f t="shared" si="62"/>
        <v>No</v>
      </c>
      <c r="W304" t="str">
        <f t="shared" si="63"/>
        <v>No</v>
      </c>
      <c r="X304" t="str">
        <f t="shared" si="64"/>
        <v>No</v>
      </c>
    </row>
    <row r="305" spans="1:24" x14ac:dyDescent="0.3">
      <c r="A305" t="s">
        <v>60</v>
      </c>
      <c r="B305">
        <v>31</v>
      </c>
      <c r="C305" t="s">
        <v>510</v>
      </c>
      <c r="D305">
        <v>43954</v>
      </c>
      <c r="E305" t="s">
        <v>512</v>
      </c>
      <c r="F305">
        <v>9</v>
      </c>
      <c r="G305">
        <v>3865.74</v>
      </c>
      <c r="H305">
        <v>305</v>
      </c>
      <c r="I305">
        <v>10</v>
      </c>
      <c r="J305">
        <v>34791.660000000003</v>
      </c>
      <c r="K305">
        <f>SUM(Table3[Total_Revenue])</f>
        <v>30761529.489999965</v>
      </c>
      <c r="L305">
        <f t="shared" si="52"/>
        <v>27694734.459999971</v>
      </c>
      <c r="M305">
        <f t="shared" si="53"/>
        <v>0.90030420850832682</v>
      </c>
      <c r="N305" t="str">
        <f t="shared" si="54"/>
        <v>No</v>
      </c>
      <c r="O305">
        <f t="shared" si="55"/>
        <v>47894.68</v>
      </c>
      <c r="P305">
        <f t="shared" si="56"/>
        <v>5</v>
      </c>
      <c r="Q305">
        <f t="shared" si="57"/>
        <v>172.5</v>
      </c>
      <c r="R305" t="str">
        <f t="shared" si="58"/>
        <v>High</v>
      </c>
      <c r="S305" t="str">
        <f t="shared" si="59"/>
        <v>High</v>
      </c>
      <c r="T305" t="str">
        <f t="shared" si="60"/>
        <v>Low</v>
      </c>
      <c r="U305" t="str">
        <f t="shared" si="61"/>
        <v>Yes</v>
      </c>
      <c r="V305" t="str">
        <f t="shared" si="62"/>
        <v>No</v>
      </c>
      <c r="W305" t="str">
        <f t="shared" si="63"/>
        <v>No</v>
      </c>
      <c r="X305" t="str">
        <f t="shared" si="64"/>
        <v>No</v>
      </c>
    </row>
    <row r="306" spans="1:24" x14ac:dyDescent="0.3">
      <c r="A306" t="s">
        <v>324</v>
      </c>
      <c r="B306">
        <v>66</v>
      </c>
      <c r="C306" t="s">
        <v>510</v>
      </c>
      <c r="D306">
        <v>20077</v>
      </c>
      <c r="E306" t="s">
        <v>515</v>
      </c>
      <c r="F306">
        <v>22</v>
      </c>
      <c r="G306">
        <v>1557.04</v>
      </c>
      <c r="H306">
        <v>223</v>
      </c>
      <c r="I306">
        <v>3</v>
      </c>
      <c r="J306">
        <v>34254.879999999997</v>
      </c>
      <c r="K306">
        <f>SUM(Table3[Total_Revenue])</f>
        <v>30761529.489999965</v>
      </c>
      <c r="L306">
        <f t="shared" si="52"/>
        <v>27728989.33999997</v>
      </c>
      <c r="M306">
        <f t="shared" si="53"/>
        <v>0.90141777082359253</v>
      </c>
      <c r="N306" t="str">
        <f t="shared" si="54"/>
        <v>No</v>
      </c>
      <c r="O306">
        <f t="shared" si="55"/>
        <v>47894.68</v>
      </c>
      <c r="P306">
        <f t="shared" si="56"/>
        <v>5</v>
      </c>
      <c r="Q306">
        <f t="shared" si="57"/>
        <v>172.5</v>
      </c>
      <c r="R306" t="str">
        <f t="shared" si="58"/>
        <v>Low</v>
      </c>
      <c r="S306" t="str">
        <f t="shared" si="59"/>
        <v>High</v>
      </c>
      <c r="T306" t="str">
        <f t="shared" si="60"/>
        <v>Low</v>
      </c>
      <c r="U306" t="str">
        <f t="shared" si="61"/>
        <v>No</v>
      </c>
      <c r="V306" t="str">
        <f t="shared" si="62"/>
        <v>No</v>
      </c>
      <c r="W306" t="str">
        <f t="shared" si="63"/>
        <v>No</v>
      </c>
      <c r="X306" t="str">
        <f t="shared" si="64"/>
        <v>Yes</v>
      </c>
    </row>
    <row r="307" spans="1:24" x14ac:dyDescent="0.3">
      <c r="A307" t="s">
        <v>385</v>
      </c>
      <c r="B307">
        <v>45</v>
      </c>
      <c r="C307" t="s">
        <v>510</v>
      </c>
      <c r="D307">
        <v>102870</v>
      </c>
      <c r="E307" t="s">
        <v>513</v>
      </c>
      <c r="F307">
        <v>23</v>
      </c>
      <c r="G307">
        <v>1468.9</v>
      </c>
      <c r="H307">
        <v>247</v>
      </c>
      <c r="I307">
        <v>8</v>
      </c>
      <c r="J307">
        <v>33784.699999999997</v>
      </c>
      <c r="K307">
        <f>SUM(Table3[Total_Revenue])</f>
        <v>30761529.489999965</v>
      </c>
      <c r="L307">
        <f t="shared" si="52"/>
        <v>27762774.039999969</v>
      </c>
      <c r="M307">
        <f t="shared" si="53"/>
        <v>0.90251604846323263</v>
      </c>
      <c r="N307" t="str">
        <f t="shared" si="54"/>
        <v>No</v>
      </c>
      <c r="O307">
        <f t="shared" si="55"/>
        <v>47894.68</v>
      </c>
      <c r="P307">
        <f t="shared" si="56"/>
        <v>5</v>
      </c>
      <c r="Q307">
        <f t="shared" si="57"/>
        <v>172.5</v>
      </c>
      <c r="R307" t="str">
        <f t="shared" si="58"/>
        <v>High</v>
      </c>
      <c r="S307" t="str">
        <f t="shared" si="59"/>
        <v>High</v>
      </c>
      <c r="T307" t="str">
        <f t="shared" si="60"/>
        <v>Low</v>
      </c>
      <c r="U307" t="str">
        <f t="shared" si="61"/>
        <v>Yes</v>
      </c>
      <c r="V307" t="str">
        <f t="shared" si="62"/>
        <v>No</v>
      </c>
      <c r="W307" t="str">
        <f t="shared" si="63"/>
        <v>No</v>
      </c>
      <c r="X307" t="str">
        <f t="shared" si="64"/>
        <v>No</v>
      </c>
    </row>
    <row r="308" spans="1:24" x14ac:dyDescent="0.3">
      <c r="A308" t="s">
        <v>41</v>
      </c>
      <c r="B308">
        <v>44</v>
      </c>
      <c r="C308" t="s">
        <v>510</v>
      </c>
      <c r="D308">
        <v>26090</v>
      </c>
      <c r="E308" t="s">
        <v>512</v>
      </c>
      <c r="F308">
        <v>47</v>
      </c>
      <c r="G308">
        <v>716.13</v>
      </c>
      <c r="H308">
        <v>119</v>
      </c>
      <c r="I308">
        <v>9</v>
      </c>
      <c r="J308">
        <v>33658.11</v>
      </c>
      <c r="K308">
        <f>SUM(Table3[Total_Revenue])</f>
        <v>30761529.489999965</v>
      </c>
      <c r="L308">
        <f t="shared" si="52"/>
        <v>27796432.149999969</v>
      </c>
      <c r="M308">
        <f t="shared" si="53"/>
        <v>0.90361021089787175</v>
      </c>
      <c r="N308" t="str">
        <f t="shared" si="54"/>
        <v>No</v>
      </c>
      <c r="O308">
        <f t="shared" si="55"/>
        <v>47894.68</v>
      </c>
      <c r="P308">
        <f t="shared" si="56"/>
        <v>5</v>
      </c>
      <c r="Q308">
        <f t="shared" si="57"/>
        <v>172.5</v>
      </c>
      <c r="R308" t="str">
        <f t="shared" si="58"/>
        <v>High</v>
      </c>
      <c r="S308" t="str">
        <f t="shared" si="59"/>
        <v>Low</v>
      </c>
      <c r="T308" t="str">
        <f t="shared" si="60"/>
        <v>Low</v>
      </c>
      <c r="U308" t="str">
        <f t="shared" si="61"/>
        <v>Yes</v>
      </c>
      <c r="V308" t="str">
        <f t="shared" si="62"/>
        <v>No</v>
      </c>
      <c r="W308" t="str">
        <f t="shared" si="63"/>
        <v>No</v>
      </c>
      <c r="X308" t="str">
        <f t="shared" si="64"/>
        <v>No</v>
      </c>
    </row>
    <row r="309" spans="1:24" x14ac:dyDescent="0.3">
      <c r="A309" t="s">
        <v>469</v>
      </c>
      <c r="B309">
        <v>50</v>
      </c>
      <c r="C309" t="s">
        <v>510</v>
      </c>
      <c r="D309">
        <v>64327</v>
      </c>
      <c r="E309" t="s">
        <v>513</v>
      </c>
      <c r="F309">
        <v>20</v>
      </c>
      <c r="G309">
        <v>1668.29</v>
      </c>
      <c r="H309">
        <v>86</v>
      </c>
      <c r="I309">
        <v>7</v>
      </c>
      <c r="J309">
        <v>33365.800000000003</v>
      </c>
      <c r="K309">
        <f>SUM(Table3[Total_Revenue])</f>
        <v>30761529.489999965</v>
      </c>
      <c r="L309">
        <f t="shared" si="52"/>
        <v>27829797.949999969</v>
      </c>
      <c r="M309">
        <f t="shared" si="53"/>
        <v>0.90469487087912681</v>
      </c>
      <c r="N309" t="str">
        <f t="shared" si="54"/>
        <v>No</v>
      </c>
      <c r="O309">
        <f t="shared" si="55"/>
        <v>47894.68</v>
      </c>
      <c r="P309">
        <f t="shared" si="56"/>
        <v>5</v>
      </c>
      <c r="Q309">
        <f t="shared" si="57"/>
        <v>172.5</v>
      </c>
      <c r="R309" t="str">
        <f t="shared" si="58"/>
        <v>High</v>
      </c>
      <c r="S309" t="str">
        <f t="shared" si="59"/>
        <v>Low</v>
      </c>
      <c r="T309" t="str">
        <f t="shared" si="60"/>
        <v>Low</v>
      </c>
      <c r="U309" t="str">
        <f t="shared" si="61"/>
        <v>Yes</v>
      </c>
      <c r="V309" t="str">
        <f t="shared" si="62"/>
        <v>No</v>
      </c>
      <c r="W309" t="str">
        <f t="shared" si="63"/>
        <v>No</v>
      </c>
      <c r="X309" t="str">
        <f t="shared" si="64"/>
        <v>No</v>
      </c>
    </row>
    <row r="310" spans="1:24" x14ac:dyDescent="0.3">
      <c r="A310" t="s">
        <v>361</v>
      </c>
      <c r="B310">
        <v>63</v>
      </c>
      <c r="C310" t="s">
        <v>511</v>
      </c>
      <c r="D310">
        <v>74917</v>
      </c>
      <c r="E310" t="s">
        <v>515</v>
      </c>
      <c r="F310">
        <v>31</v>
      </c>
      <c r="G310">
        <v>1074.4000000000001</v>
      </c>
      <c r="H310">
        <v>338</v>
      </c>
      <c r="I310">
        <v>9</v>
      </c>
      <c r="J310">
        <v>33306.400000000001</v>
      </c>
      <c r="K310">
        <f>SUM(Table3[Total_Revenue])</f>
        <v>30761529.489999965</v>
      </c>
      <c r="L310">
        <f t="shared" si="52"/>
        <v>27863104.349999968</v>
      </c>
      <c r="M310">
        <f t="shared" si="53"/>
        <v>0.90577759987707296</v>
      </c>
      <c r="N310" t="str">
        <f t="shared" si="54"/>
        <v>No</v>
      </c>
      <c r="O310">
        <f t="shared" si="55"/>
        <v>47894.68</v>
      </c>
      <c r="P310">
        <f t="shared" si="56"/>
        <v>5</v>
      </c>
      <c r="Q310">
        <f t="shared" si="57"/>
        <v>172.5</v>
      </c>
      <c r="R310" t="str">
        <f t="shared" si="58"/>
        <v>High</v>
      </c>
      <c r="S310" t="str">
        <f t="shared" si="59"/>
        <v>High</v>
      </c>
      <c r="T310" t="str">
        <f t="shared" si="60"/>
        <v>Low</v>
      </c>
      <c r="U310" t="str">
        <f t="shared" si="61"/>
        <v>Yes</v>
      </c>
      <c r="V310" t="str">
        <f t="shared" si="62"/>
        <v>No</v>
      </c>
      <c r="W310" t="str">
        <f t="shared" si="63"/>
        <v>No</v>
      </c>
      <c r="X310" t="str">
        <f t="shared" si="64"/>
        <v>No</v>
      </c>
    </row>
    <row r="311" spans="1:24" x14ac:dyDescent="0.3">
      <c r="A311" t="s">
        <v>351</v>
      </c>
      <c r="B311">
        <v>25</v>
      </c>
      <c r="C311" t="s">
        <v>510</v>
      </c>
      <c r="D311">
        <v>65558</v>
      </c>
      <c r="E311" t="s">
        <v>514</v>
      </c>
      <c r="F311">
        <v>44</v>
      </c>
      <c r="G311">
        <v>755.64</v>
      </c>
      <c r="H311">
        <v>277</v>
      </c>
      <c r="I311">
        <v>8</v>
      </c>
      <c r="J311">
        <v>33248.160000000003</v>
      </c>
      <c r="K311">
        <f>SUM(Table3[Total_Revenue])</f>
        <v>30761529.489999965</v>
      </c>
      <c r="L311">
        <f t="shared" si="52"/>
        <v>27896352.509999968</v>
      </c>
      <c r="M311">
        <f t="shared" si="53"/>
        <v>0.90685843560114865</v>
      </c>
      <c r="N311" t="str">
        <f t="shared" si="54"/>
        <v>No</v>
      </c>
      <c r="O311">
        <f t="shared" si="55"/>
        <v>47894.68</v>
      </c>
      <c r="P311">
        <f t="shared" si="56"/>
        <v>5</v>
      </c>
      <c r="Q311">
        <f t="shared" si="57"/>
        <v>172.5</v>
      </c>
      <c r="R311" t="str">
        <f t="shared" si="58"/>
        <v>High</v>
      </c>
      <c r="S311" t="str">
        <f t="shared" si="59"/>
        <v>High</v>
      </c>
      <c r="T311" t="str">
        <f t="shared" si="60"/>
        <v>Low</v>
      </c>
      <c r="U311" t="str">
        <f t="shared" si="61"/>
        <v>Yes</v>
      </c>
      <c r="V311" t="str">
        <f t="shared" si="62"/>
        <v>No</v>
      </c>
      <c r="W311" t="str">
        <f t="shared" si="63"/>
        <v>No</v>
      </c>
      <c r="X311" t="str">
        <f t="shared" si="64"/>
        <v>No</v>
      </c>
    </row>
    <row r="312" spans="1:24" x14ac:dyDescent="0.3">
      <c r="A312" t="s">
        <v>238</v>
      </c>
      <c r="B312">
        <v>19</v>
      </c>
      <c r="C312" t="s">
        <v>510</v>
      </c>
      <c r="D312">
        <v>26469</v>
      </c>
      <c r="E312" t="s">
        <v>513</v>
      </c>
      <c r="F312">
        <v>21</v>
      </c>
      <c r="G312">
        <v>1574.18</v>
      </c>
      <c r="H312">
        <v>59</v>
      </c>
      <c r="I312">
        <v>10</v>
      </c>
      <c r="J312">
        <v>33057.78</v>
      </c>
      <c r="K312">
        <f>SUM(Table3[Total_Revenue])</f>
        <v>30761529.489999965</v>
      </c>
      <c r="L312">
        <f t="shared" si="52"/>
        <v>27929410.289999969</v>
      </c>
      <c r="M312">
        <f t="shared" si="53"/>
        <v>0.90793308242619508</v>
      </c>
      <c r="N312" t="str">
        <f t="shared" si="54"/>
        <v>No</v>
      </c>
      <c r="O312">
        <f t="shared" si="55"/>
        <v>47894.68</v>
      </c>
      <c r="P312">
        <f t="shared" si="56"/>
        <v>5</v>
      </c>
      <c r="Q312">
        <f t="shared" si="57"/>
        <v>172.5</v>
      </c>
      <c r="R312" t="str">
        <f t="shared" si="58"/>
        <v>High</v>
      </c>
      <c r="S312" t="str">
        <f t="shared" si="59"/>
        <v>Low</v>
      </c>
      <c r="T312" t="str">
        <f t="shared" si="60"/>
        <v>Low</v>
      </c>
      <c r="U312" t="str">
        <f t="shared" si="61"/>
        <v>Yes</v>
      </c>
      <c r="V312" t="str">
        <f t="shared" si="62"/>
        <v>No</v>
      </c>
      <c r="W312" t="str">
        <f t="shared" si="63"/>
        <v>No</v>
      </c>
      <c r="X312" t="str">
        <f t="shared" si="64"/>
        <v>No</v>
      </c>
    </row>
    <row r="313" spans="1:24" x14ac:dyDescent="0.3">
      <c r="A313" t="s">
        <v>502</v>
      </c>
      <c r="B313">
        <v>64</v>
      </c>
      <c r="C313" t="s">
        <v>510</v>
      </c>
      <c r="D313">
        <v>60738</v>
      </c>
      <c r="E313" t="s">
        <v>515</v>
      </c>
      <c r="F313">
        <v>8</v>
      </c>
      <c r="G313">
        <v>4094.08</v>
      </c>
      <c r="H313">
        <v>361</v>
      </c>
      <c r="I313">
        <v>9</v>
      </c>
      <c r="J313">
        <v>32752.639999999999</v>
      </c>
      <c r="K313">
        <f>SUM(Table3[Total_Revenue])</f>
        <v>30761529.489999965</v>
      </c>
      <c r="L313">
        <f t="shared" si="52"/>
        <v>27962162.92999997</v>
      </c>
      <c r="M313">
        <f t="shared" si="53"/>
        <v>0.908997809718466</v>
      </c>
      <c r="N313" t="str">
        <f t="shared" si="54"/>
        <v>No</v>
      </c>
      <c r="O313">
        <f t="shared" si="55"/>
        <v>47894.68</v>
      </c>
      <c r="P313">
        <f t="shared" si="56"/>
        <v>5</v>
      </c>
      <c r="Q313">
        <f t="shared" si="57"/>
        <v>172.5</v>
      </c>
      <c r="R313" t="str">
        <f t="shared" si="58"/>
        <v>High</v>
      </c>
      <c r="S313" t="str">
        <f t="shared" si="59"/>
        <v>High</v>
      </c>
      <c r="T313" t="str">
        <f t="shared" si="60"/>
        <v>Low</v>
      </c>
      <c r="U313" t="str">
        <f t="shared" si="61"/>
        <v>Yes</v>
      </c>
      <c r="V313" t="str">
        <f t="shared" si="62"/>
        <v>No</v>
      </c>
      <c r="W313" t="str">
        <f t="shared" si="63"/>
        <v>No</v>
      </c>
      <c r="X313" t="str">
        <f t="shared" si="64"/>
        <v>No</v>
      </c>
    </row>
    <row r="314" spans="1:24" x14ac:dyDescent="0.3">
      <c r="A314" t="s">
        <v>354</v>
      </c>
      <c r="B314">
        <v>34</v>
      </c>
      <c r="C314" t="s">
        <v>510</v>
      </c>
      <c r="D314">
        <v>147796</v>
      </c>
      <c r="E314" t="s">
        <v>514</v>
      </c>
      <c r="F314">
        <v>11</v>
      </c>
      <c r="G314">
        <v>2952.53</v>
      </c>
      <c r="H314">
        <v>218</v>
      </c>
      <c r="I314">
        <v>9</v>
      </c>
      <c r="J314">
        <v>32477.83</v>
      </c>
      <c r="K314">
        <f>SUM(Table3[Total_Revenue])</f>
        <v>30761529.489999965</v>
      </c>
      <c r="L314">
        <f t="shared" si="52"/>
        <v>27994640.759999968</v>
      </c>
      <c r="M314">
        <f t="shared" si="53"/>
        <v>0.91005360344974184</v>
      </c>
      <c r="N314" t="str">
        <f t="shared" si="54"/>
        <v>No</v>
      </c>
      <c r="O314">
        <f t="shared" si="55"/>
        <v>47894.68</v>
      </c>
      <c r="P314">
        <f t="shared" si="56"/>
        <v>5</v>
      </c>
      <c r="Q314">
        <f t="shared" si="57"/>
        <v>172.5</v>
      </c>
      <c r="R314" t="str">
        <f t="shared" si="58"/>
        <v>High</v>
      </c>
      <c r="S314" t="str">
        <f t="shared" si="59"/>
        <v>High</v>
      </c>
      <c r="T314" t="str">
        <f t="shared" si="60"/>
        <v>Low</v>
      </c>
      <c r="U314" t="str">
        <f t="shared" si="61"/>
        <v>Yes</v>
      </c>
      <c r="V314" t="str">
        <f t="shared" si="62"/>
        <v>No</v>
      </c>
      <c r="W314" t="str">
        <f t="shared" si="63"/>
        <v>No</v>
      </c>
      <c r="X314" t="str">
        <f t="shared" si="64"/>
        <v>No</v>
      </c>
    </row>
    <row r="315" spans="1:24" x14ac:dyDescent="0.3">
      <c r="A315" t="s">
        <v>52</v>
      </c>
      <c r="B315">
        <v>68</v>
      </c>
      <c r="C315" t="s">
        <v>510</v>
      </c>
      <c r="D315">
        <v>121570</v>
      </c>
      <c r="E315" t="s">
        <v>515</v>
      </c>
      <c r="F315">
        <v>24</v>
      </c>
      <c r="G315">
        <v>1351</v>
      </c>
      <c r="H315">
        <v>254</v>
      </c>
      <c r="I315">
        <v>8</v>
      </c>
      <c r="J315">
        <v>32424</v>
      </c>
      <c r="K315">
        <f>SUM(Table3[Total_Revenue])</f>
        <v>30761529.489999965</v>
      </c>
      <c r="L315">
        <f t="shared" si="52"/>
        <v>28027064.759999968</v>
      </c>
      <c r="M315">
        <f t="shared" si="53"/>
        <v>0.91110764726802929</v>
      </c>
      <c r="N315" t="str">
        <f t="shared" si="54"/>
        <v>No</v>
      </c>
      <c r="O315">
        <f t="shared" si="55"/>
        <v>47894.68</v>
      </c>
      <c r="P315">
        <f t="shared" si="56"/>
        <v>5</v>
      </c>
      <c r="Q315">
        <f t="shared" si="57"/>
        <v>172.5</v>
      </c>
      <c r="R315" t="str">
        <f t="shared" si="58"/>
        <v>High</v>
      </c>
      <c r="S315" t="str">
        <f t="shared" si="59"/>
        <v>High</v>
      </c>
      <c r="T315" t="str">
        <f t="shared" si="60"/>
        <v>Low</v>
      </c>
      <c r="U315" t="str">
        <f t="shared" si="61"/>
        <v>Yes</v>
      </c>
      <c r="V315" t="str">
        <f t="shared" si="62"/>
        <v>No</v>
      </c>
      <c r="W315" t="str">
        <f t="shared" si="63"/>
        <v>No</v>
      </c>
      <c r="X315" t="str">
        <f t="shared" si="64"/>
        <v>No</v>
      </c>
    </row>
    <row r="316" spans="1:24" x14ac:dyDescent="0.3">
      <c r="A316" t="s">
        <v>488</v>
      </c>
      <c r="B316">
        <v>59</v>
      </c>
      <c r="C316" t="s">
        <v>510</v>
      </c>
      <c r="D316">
        <v>59282</v>
      </c>
      <c r="E316" t="s">
        <v>514</v>
      </c>
      <c r="F316">
        <v>11</v>
      </c>
      <c r="G316">
        <v>2928.15</v>
      </c>
      <c r="H316">
        <v>172</v>
      </c>
      <c r="I316">
        <v>5</v>
      </c>
      <c r="J316">
        <v>32209.65</v>
      </c>
      <c r="K316">
        <f>SUM(Table3[Total_Revenue])</f>
        <v>30761529.489999965</v>
      </c>
      <c r="L316">
        <f t="shared" si="52"/>
        <v>28059274.409999967</v>
      </c>
      <c r="M316">
        <f t="shared" si="53"/>
        <v>0.91215472296725508</v>
      </c>
      <c r="N316" t="str">
        <f t="shared" si="54"/>
        <v>No</v>
      </c>
      <c r="O316">
        <f t="shared" si="55"/>
        <v>47894.68</v>
      </c>
      <c r="P316">
        <f t="shared" si="56"/>
        <v>5</v>
      </c>
      <c r="Q316">
        <f t="shared" si="57"/>
        <v>172.5</v>
      </c>
      <c r="R316" t="str">
        <f t="shared" si="58"/>
        <v>Medium</v>
      </c>
      <c r="S316" t="str">
        <f t="shared" si="59"/>
        <v>Low</v>
      </c>
      <c r="T316" t="str">
        <f t="shared" si="60"/>
        <v>Low</v>
      </c>
      <c r="U316" t="str">
        <f t="shared" si="61"/>
        <v>Yes</v>
      </c>
      <c r="V316" t="str">
        <f t="shared" si="62"/>
        <v>No</v>
      </c>
      <c r="W316" t="str">
        <f t="shared" si="63"/>
        <v>No</v>
      </c>
      <c r="X316" t="str">
        <f t="shared" si="64"/>
        <v>No</v>
      </c>
    </row>
    <row r="317" spans="1:24" x14ac:dyDescent="0.3">
      <c r="A317" t="s">
        <v>188</v>
      </c>
      <c r="B317">
        <v>19</v>
      </c>
      <c r="C317" t="s">
        <v>511</v>
      </c>
      <c r="D317">
        <v>136148</v>
      </c>
      <c r="E317" t="s">
        <v>514</v>
      </c>
      <c r="F317">
        <v>10</v>
      </c>
      <c r="G317">
        <v>3196.88</v>
      </c>
      <c r="H317">
        <v>165</v>
      </c>
      <c r="I317">
        <v>2</v>
      </c>
      <c r="J317">
        <v>31968.799999999999</v>
      </c>
      <c r="K317">
        <f>SUM(Table3[Total_Revenue])</f>
        <v>30761529.489999965</v>
      </c>
      <c r="L317">
        <f t="shared" si="52"/>
        <v>28091243.209999967</v>
      </c>
      <c r="M317">
        <f t="shared" si="53"/>
        <v>0.91319396908180195</v>
      </c>
      <c r="N317" t="str">
        <f t="shared" si="54"/>
        <v>No</v>
      </c>
      <c r="O317">
        <f t="shared" si="55"/>
        <v>47894.68</v>
      </c>
      <c r="P317">
        <f t="shared" si="56"/>
        <v>5</v>
      </c>
      <c r="Q317">
        <f t="shared" si="57"/>
        <v>172.5</v>
      </c>
      <c r="R317" t="str">
        <f t="shared" si="58"/>
        <v>Low</v>
      </c>
      <c r="S317" t="str">
        <f t="shared" si="59"/>
        <v>Low</v>
      </c>
      <c r="T317" t="str">
        <f t="shared" si="60"/>
        <v>Low</v>
      </c>
      <c r="U317" t="str">
        <f t="shared" si="61"/>
        <v>No</v>
      </c>
      <c r="V317" t="str">
        <f t="shared" si="62"/>
        <v>No</v>
      </c>
      <c r="W317" t="str">
        <f t="shared" si="63"/>
        <v>No</v>
      </c>
      <c r="X317" t="str">
        <f t="shared" si="64"/>
        <v>Yes</v>
      </c>
    </row>
    <row r="318" spans="1:24" x14ac:dyDescent="0.3">
      <c r="A318" t="s">
        <v>440</v>
      </c>
      <c r="B318">
        <v>53</v>
      </c>
      <c r="C318" t="s">
        <v>510</v>
      </c>
      <c r="D318">
        <v>93319</v>
      </c>
      <c r="E318" t="s">
        <v>513</v>
      </c>
      <c r="F318">
        <v>12</v>
      </c>
      <c r="G318">
        <v>2651.76</v>
      </c>
      <c r="H318">
        <v>63</v>
      </c>
      <c r="I318">
        <v>8</v>
      </c>
      <c r="J318">
        <v>31821.119999999999</v>
      </c>
      <c r="K318">
        <f>SUM(Table3[Total_Revenue])</f>
        <v>30761529.489999965</v>
      </c>
      <c r="L318">
        <f t="shared" si="52"/>
        <v>28123064.329999968</v>
      </c>
      <c r="M318">
        <f t="shared" si="53"/>
        <v>0.91422841439474867</v>
      </c>
      <c r="N318" t="str">
        <f t="shared" si="54"/>
        <v>No</v>
      </c>
      <c r="O318">
        <f t="shared" si="55"/>
        <v>47894.68</v>
      </c>
      <c r="P318">
        <f t="shared" si="56"/>
        <v>5</v>
      </c>
      <c r="Q318">
        <f t="shared" si="57"/>
        <v>172.5</v>
      </c>
      <c r="R318" t="str">
        <f t="shared" si="58"/>
        <v>High</v>
      </c>
      <c r="S318" t="str">
        <f t="shared" si="59"/>
        <v>Low</v>
      </c>
      <c r="T318" t="str">
        <f t="shared" si="60"/>
        <v>Low</v>
      </c>
      <c r="U318" t="str">
        <f t="shared" si="61"/>
        <v>Yes</v>
      </c>
      <c r="V318" t="str">
        <f t="shared" si="62"/>
        <v>No</v>
      </c>
      <c r="W318" t="str">
        <f t="shared" si="63"/>
        <v>No</v>
      </c>
      <c r="X318" t="str">
        <f t="shared" si="64"/>
        <v>No</v>
      </c>
    </row>
    <row r="319" spans="1:24" x14ac:dyDescent="0.3">
      <c r="A319" t="s">
        <v>497</v>
      </c>
      <c r="B319">
        <v>40</v>
      </c>
      <c r="C319" t="s">
        <v>511</v>
      </c>
      <c r="D319">
        <v>138195</v>
      </c>
      <c r="E319" t="s">
        <v>515</v>
      </c>
      <c r="F319">
        <v>30</v>
      </c>
      <c r="G319">
        <v>1050.3699999999999</v>
      </c>
      <c r="H319">
        <v>332</v>
      </c>
      <c r="I319">
        <v>9</v>
      </c>
      <c r="J319">
        <v>31511.1</v>
      </c>
      <c r="K319">
        <f>SUM(Table3[Total_Revenue])</f>
        <v>30761529.489999965</v>
      </c>
      <c r="L319">
        <f t="shared" si="52"/>
        <v>28154575.42999997</v>
      </c>
      <c r="M319">
        <f t="shared" si="53"/>
        <v>0.91525278153521361</v>
      </c>
      <c r="N319" t="str">
        <f t="shared" si="54"/>
        <v>No</v>
      </c>
      <c r="O319">
        <f t="shared" si="55"/>
        <v>47894.68</v>
      </c>
      <c r="P319">
        <f t="shared" si="56"/>
        <v>5</v>
      </c>
      <c r="Q319">
        <f t="shared" si="57"/>
        <v>172.5</v>
      </c>
      <c r="R319" t="str">
        <f t="shared" si="58"/>
        <v>High</v>
      </c>
      <c r="S319" t="str">
        <f t="shared" si="59"/>
        <v>High</v>
      </c>
      <c r="T319" t="str">
        <f t="shared" si="60"/>
        <v>Low</v>
      </c>
      <c r="U319" t="str">
        <f t="shared" si="61"/>
        <v>Yes</v>
      </c>
      <c r="V319" t="str">
        <f t="shared" si="62"/>
        <v>No</v>
      </c>
      <c r="W319" t="str">
        <f t="shared" si="63"/>
        <v>No</v>
      </c>
      <c r="X319" t="str">
        <f t="shared" si="64"/>
        <v>No</v>
      </c>
    </row>
    <row r="320" spans="1:24" x14ac:dyDescent="0.3">
      <c r="A320" t="s">
        <v>330</v>
      </c>
      <c r="B320">
        <v>52</v>
      </c>
      <c r="C320" t="s">
        <v>510</v>
      </c>
      <c r="D320">
        <v>102985</v>
      </c>
      <c r="E320" t="s">
        <v>515</v>
      </c>
      <c r="F320">
        <v>32</v>
      </c>
      <c r="G320">
        <v>971.06</v>
      </c>
      <c r="H320">
        <v>25</v>
      </c>
      <c r="I320">
        <v>9</v>
      </c>
      <c r="J320">
        <v>31073.919999999998</v>
      </c>
      <c r="K320">
        <f>SUM(Table3[Total_Revenue])</f>
        <v>30761529.489999965</v>
      </c>
      <c r="L320">
        <f t="shared" si="52"/>
        <v>28185649.349999972</v>
      </c>
      <c r="M320">
        <f t="shared" si="53"/>
        <v>0.91626293676855808</v>
      </c>
      <c r="N320" t="str">
        <f t="shared" si="54"/>
        <v>No</v>
      </c>
      <c r="O320">
        <f t="shared" si="55"/>
        <v>47894.68</v>
      </c>
      <c r="P320">
        <f t="shared" si="56"/>
        <v>5</v>
      </c>
      <c r="Q320">
        <f t="shared" si="57"/>
        <v>172.5</v>
      </c>
      <c r="R320" t="str">
        <f t="shared" si="58"/>
        <v>High</v>
      </c>
      <c r="S320" t="str">
        <f t="shared" si="59"/>
        <v>Low</v>
      </c>
      <c r="T320" t="str">
        <f t="shared" si="60"/>
        <v>Low</v>
      </c>
      <c r="U320" t="str">
        <f t="shared" si="61"/>
        <v>Yes</v>
      </c>
      <c r="V320" t="str">
        <f t="shared" si="62"/>
        <v>No</v>
      </c>
      <c r="W320" t="str">
        <f t="shared" si="63"/>
        <v>No</v>
      </c>
      <c r="X320" t="str">
        <f t="shared" si="64"/>
        <v>No</v>
      </c>
    </row>
    <row r="321" spans="1:24" x14ac:dyDescent="0.3">
      <c r="A321" t="s">
        <v>379</v>
      </c>
      <c r="B321">
        <v>36</v>
      </c>
      <c r="C321" t="s">
        <v>511</v>
      </c>
      <c r="D321">
        <v>30789</v>
      </c>
      <c r="E321" t="s">
        <v>513</v>
      </c>
      <c r="F321">
        <v>41</v>
      </c>
      <c r="G321">
        <v>752.41</v>
      </c>
      <c r="H321">
        <v>156</v>
      </c>
      <c r="I321">
        <v>2</v>
      </c>
      <c r="J321">
        <v>30848.81</v>
      </c>
      <c r="K321">
        <f>SUM(Table3[Total_Revenue])</f>
        <v>30761529.489999965</v>
      </c>
      <c r="L321">
        <f t="shared" si="52"/>
        <v>28216498.15999997</v>
      </c>
      <c r="M321">
        <f t="shared" si="53"/>
        <v>0.91726577409529197</v>
      </c>
      <c r="N321" t="str">
        <f t="shared" si="54"/>
        <v>No</v>
      </c>
      <c r="O321">
        <f t="shared" si="55"/>
        <v>47894.68</v>
      </c>
      <c r="P321">
        <f t="shared" si="56"/>
        <v>5</v>
      </c>
      <c r="Q321">
        <f t="shared" si="57"/>
        <v>172.5</v>
      </c>
      <c r="R321" t="str">
        <f t="shared" si="58"/>
        <v>Low</v>
      </c>
      <c r="S321" t="str">
        <f t="shared" si="59"/>
        <v>Low</v>
      </c>
      <c r="T321" t="str">
        <f t="shared" si="60"/>
        <v>Low</v>
      </c>
      <c r="U321" t="str">
        <f t="shared" si="61"/>
        <v>No</v>
      </c>
      <c r="V321" t="str">
        <f t="shared" si="62"/>
        <v>No</v>
      </c>
      <c r="W321" t="str">
        <f t="shared" si="63"/>
        <v>No</v>
      </c>
      <c r="X321" t="str">
        <f t="shared" si="64"/>
        <v>Yes</v>
      </c>
    </row>
    <row r="322" spans="1:24" x14ac:dyDescent="0.3">
      <c r="A322" t="s">
        <v>175</v>
      </c>
      <c r="B322">
        <v>40</v>
      </c>
      <c r="C322" t="s">
        <v>510</v>
      </c>
      <c r="D322">
        <v>82981</v>
      </c>
      <c r="E322" t="s">
        <v>513</v>
      </c>
      <c r="F322">
        <v>37</v>
      </c>
      <c r="G322">
        <v>833.55</v>
      </c>
      <c r="H322">
        <v>178</v>
      </c>
      <c r="I322">
        <v>8</v>
      </c>
      <c r="J322">
        <v>30841.35</v>
      </c>
      <c r="K322">
        <f>SUM(Table3[Total_Revenue])</f>
        <v>30761529.489999965</v>
      </c>
      <c r="L322">
        <f t="shared" ref="L322:L385" si="65">L321+J322</f>
        <v>28247339.509999972</v>
      </c>
      <c r="M322">
        <f t="shared" ref="M322:M385" si="66">L322/$K$2</f>
        <v>0.91826836891132768</v>
      </c>
      <c r="N322" t="str">
        <f t="shared" ref="N322:N385" si="67">IF(M322&lt;=0.75,"Yes","No")</f>
        <v>No</v>
      </c>
      <c r="O322">
        <f t="shared" ref="O322:O385" si="68">MEDIAN($J$2:$J$501)</f>
        <v>47894.68</v>
      </c>
      <c r="P322">
        <f t="shared" ref="P322:P385" si="69">MEDIAN($I$2:$I$501)</f>
        <v>5</v>
      </c>
      <c r="Q322">
        <f t="shared" ref="Q322:Q385" si="70">MEDIAN($H$2:$H$501)</f>
        <v>172.5</v>
      </c>
      <c r="R322" t="str">
        <f t="shared" ref="R322:R385" si="71">IF(I322&gt;$P$2,"High",IF(I322&lt;$P$2,"Low","Medium"))</f>
        <v>High</v>
      </c>
      <c r="S322" t="str">
        <f t="shared" ref="S322:S385" si="72">IF(H322&gt;$Q$2,"High",IF(H322&lt;$Q$2,"Low","Medium"))</f>
        <v>High</v>
      </c>
      <c r="T322" t="str">
        <f t="shared" ref="T322:T385" si="73">IF(J322&gt;$O$2,"High",IF(J322&lt;$O$2,"Low","Medium"))</f>
        <v>Low</v>
      </c>
      <c r="U322" t="str">
        <f t="shared" ref="U322:U385" si="74">IF(AND(J322&lt;$O$1, I322&gt;=$P$2),"Yes","No")</f>
        <v>Yes</v>
      </c>
      <c r="V322" t="str">
        <f t="shared" ref="V322:V385" si="75">IF(AND(J322&gt;=$O$2, I322&lt;$P$2),"Yes","No")</f>
        <v>No</v>
      </c>
      <c r="W322" t="str">
        <f t="shared" ref="W322:W385" si="76">IF(AND(J322&gt;=$O$2, I322&gt;=$P$2),"Yes","No")</f>
        <v>No</v>
      </c>
      <c r="X322" t="str">
        <f t="shared" ref="X322:X385" si="77">IF(AND(J322&lt;$O$2, I322&lt;$P$2),"Yes","No")</f>
        <v>No</v>
      </c>
    </row>
    <row r="323" spans="1:24" x14ac:dyDescent="0.3">
      <c r="A323" t="s">
        <v>90</v>
      </c>
      <c r="B323">
        <v>31</v>
      </c>
      <c r="C323" t="s">
        <v>511</v>
      </c>
      <c r="D323">
        <v>130698</v>
      </c>
      <c r="E323" t="s">
        <v>515</v>
      </c>
      <c r="F323">
        <v>18</v>
      </c>
      <c r="G323">
        <v>1709.07</v>
      </c>
      <c r="H323">
        <v>260</v>
      </c>
      <c r="I323">
        <v>7</v>
      </c>
      <c r="J323">
        <v>30763.26</v>
      </c>
      <c r="K323">
        <f>SUM(Table3[Total_Revenue])</f>
        <v>30761529.489999965</v>
      </c>
      <c r="L323">
        <f t="shared" si="65"/>
        <v>28278102.769999973</v>
      </c>
      <c r="M323">
        <f t="shared" si="66"/>
        <v>0.91926842516698304</v>
      </c>
      <c r="N323" t="str">
        <f t="shared" si="67"/>
        <v>No</v>
      </c>
      <c r="O323">
        <f t="shared" si="68"/>
        <v>47894.68</v>
      </c>
      <c r="P323">
        <f t="shared" si="69"/>
        <v>5</v>
      </c>
      <c r="Q323">
        <f t="shared" si="70"/>
        <v>172.5</v>
      </c>
      <c r="R323" t="str">
        <f t="shared" si="71"/>
        <v>High</v>
      </c>
      <c r="S323" t="str">
        <f t="shared" si="72"/>
        <v>High</v>
      </c>
      <c r="T323" t="str">
        <f t="shared" si="73"/>
        <v>Low</v>
      </c>
      <c r="U323" t="str">
        <f t="shared" si="74"/>
        <v>Yes</v>
      </c>
      <c r="V323" t="str">
        <f t="shared" si="75"/>
        <v>No</v>
      </c>
      <c r="W323" t="str">
        <f t="shared" si="76"/>
        <v>No</v>
      </c>
      <c r="X323" t="str">
        <f t="shared" si="77"/>
        <v>No</v>
      </c>
    </row>
    <row r="324" spans="1:24" x14ac:dyDescent="0.3">
      <c r="A324" t="s">
        <v>49</v>
      </c>
      <c r="B324">
        <v>69</v>
      </c>
      <c r="C324" t="s">
        <v>511</v>
      </c>
      <c r="D324">
        <v>61240</v>
      </c>
      <c r="E324" t="s">
        <v>515</v>
      </c>
      <c r="F324">
        <v>35</v>
      </c>
      <c r="G324">
        <v>865.2</v>
      </c>
      <c r="H324">
        <v>336</v>
      </c>
      <c r="I324">
        <v>6</v>
      </c>
      <c r="J324">
        <v>30282</v>
      </c>
      <c r="K324">
        <f>SUM(Table3[Total_Revenue])</f>
        <v>30761529.489999965</v>
      </c>
      <c r="L324">
        <f t="shared" si="65"/>
        <v>28308384.769999973</v>
      </c>
      <c r="M324">
        <f t="shared" si="66"/>
        <v>0.92025283655686019</v>
      </c>
      <c r="N324" t="str">
        <f t="shared" si="67"/>
        <v>No</v>
      </c>
      <c r="O324">
        <f t="shared" si="68"/>
        <v>47894.68</v>
      </c>
      <c r="P324">
        <f t="shared" si="69"/>
        <v>5</v>
      </c>
      <c r="Q324">
        <f t="shared" si="70"/>
        <v>172.5</v>
      </c>
      <c r="R324" t="str">
        <f t="shared" si="71"/>
        <v>High</v>
      </c>
      <c r="S324" t="str">
        <f t="shared" si="72"/>
        <v>High</v>
      </c>
      <c r="T324" t="str">
        <f t="shared" si="73"/>
        <v>Low</v>
      </c>
      <c r="U324" t="str">
        <f t="shared" si="74"/>
        <v>Yes</v>
      </c>
      <c r="V324" t="str">
        <f t="shared" si="75"/>
        <v>No</v>
      </c>
      <c r="W324" t="str">
        <f t="shared" si="76"/>
        <v>No</v>
      </c>
      <c r="X324" t="str">
        <f t="shared" si="77"/>
        <v>No</v>
      </c>
    </row>
    <row r="325" spans="1:24" x14ac:dyDescent="0.3">
      <c r="A325" t="s">
        <v>348</v>
      </c>
      <c r="B325">
        <v>38</v>
      </c>
      <c r="C325" t="s">
        <v>510</v>
      </c>
      <c r="D325">
        <v>87728</v>
      </c>
      <c r="E325" t="s">
        <v>512</v>
      </c>
      <c r="F325">
        <v>15</v>
      </c>
      <c r="G325">
        <v>1996.69</v>
      </c>
      <c r="H325">
        <v>131</v>
      </c>
      <c r="I325">
        <v>5</v>
      </c>
      <c r="J325">
        <v>29950.35</v>
      </c>
      <c r="K325">
        <f>SUM(Table3[Total_Revenue])</f>
        <v>30761529.489999965</v>
      </c>
      <c r="L325">
        <f t="shared" si="65"/>
        <v>28338335.119999975</v>
      </c>
      <c r="M325">
        <f t="shared" si="66"/>
        <v>0.92122646662326302</v>
      </c>
      <c r="N325" t="str">
        <f t="shared" si="67"/>
        <v>No</v>
      </c>
      <c r="O325">
        <f t="shared" si="68"/>
        <v>47894.68</v>
      </c>
      <c r="P325">
        <f t="shared" si="69"/>
        <v>5</v>
      </c>
      <c r="Q325">
        <f t="shared" si="70"/>
        <v>172.5</v>
      </c>
      <c r="R325" t="str">
        <f t="shared" si="71"/>
        <v>Medium</v>
      </c>
      <c r="S325" t="str">
        <f t="shared" si="72"/>
        <v>Low</v>
      </c>
      <c r="T325" t="str">
        <f t="shared" si="73"/>
        <v>Low</v>
      </c>
      <c r="U325" t="str">
        <f t="shared" si="74"/>
        <v>Yes</v>
      </c>
      <c r="V325" t="str">
        <f t="shared" si="75"/>
        <v>No</v>
      </c>
      <c r="W325" t="str">
        <f t="shared" si="76"/>
        <v>No</v>
      </c>
      <c r="X325" t="str">
        <f t="shared" si="77"/>
        <v>No</v>
      </c>
    </row>
    <row r="326" spans="1:24" x14ac:dyDescent="0.3">
      <c r="A326" t="s">
        <v>101</v>
      </c>
      <c r="B326">
        <v>35</v>
      </c>
      <c r="C326" t="s">
        <v>510</v>
      </c>
      <c r="D326">
        <v>70428</v>
      </c>
      <c r="E326" t="s">
        <v>513</v>
      </c>
      <c r="F326">
        <v>32</v>
      </c>
      <c r="G326">
        <v>925.38</v>
      </c>
      <c r="H326">
        <v>90</v>
      </c>
      <c r="I326">
        <v>5</v>
      </c>
      <c r="J326">
        <v>29612.16</v>
      </c>
      <c r="K326">
        <f>SUM(Table3[Total_Revenue])</f>
        <v>30761529.489999965</v>
      </c>
      <c r="L326">
        <f t="shared" si="65"/>
        <v>28367947.279999975</v>
      </c>
      <c r="M326">
        <f t="shared" si="66"/>
        <v>0.92218910276297861</v>
      </c>
      <c r="N326" t="str">
        <f t="shared" si="67"/>
        <v>No</v>
      </c>
      <c r="O326">
        <f t="shared" si="68"/>
        <v>47894.68</v>
      </c>
      <c r="P326">
        <f t="shared" si="69"/>
        <v>5</v>
      </c>
      <c r="Q326">
        <f t="shared" si="70"/>
        <v>172.5</v>
      </c>
      <c r="R326" t="str">
        <f t="shared" si="71"/>
        <v>Medium</v>
      </c>
      <c r="S326" t="str">
        <f t="shared" si="72"/>
        <v>Low</v>
      </c>
      <c r="T326" t="str">
        <f t="shared" si="73"/>
        <v>Low</v>
      </c>
      <c r="U326" t="str">
        <f t="shared" si="74"/>
        <v>Yes</v>
      </c>
      <c r="V326" t="str">
        <f t="shared" si="75"/>
        <v>No</v>
      </c>
      <c r="W326" t="str">
        <f t="shared" si="76"/>
        <v>No</v>
      </c>
      <c r="X326" t="str">
        <f t="shared" si="77"/>
        <v>No</v>
      </c>
    </row>
    <row r="327" spans="1:24" x14ac:dyDescent="0.3">
      <c r="A327" t="s">
        <v>243</v>
      </c>
      <c r="B327">
        <v>49</v>
      </c>
      <c r="C327" t="s">
        <v>510</v>
      </c>
      <c r="D327">
        <v>78067</v>
      </c>
      <c r="E327" t="s">
        <v>513</v>
      </c>
      <c r="F327">
        <v>6</v>
      </c>
      <c r="G327">
        <v>4873.41</v>
      </c>
      <c r="H327">
        <v>319</v>
      </c>
      <c r="I327">
        <v>4</v>
      </c>
      <c r="J327">
        <v>29240.46</v>
      </c>
      <c r="K327">
        <f>SUM(Table3[Total_Revenue])</f>
        <v>30761529.489999965</v>
      </c>
      <c r="L327">
        <f t="shared" si="65"/>
        <v>28397187.739999976</v>
      </c>
      <c r="M327">
        <f t="shared" si="66"/>
        <v>0.92313965562835243</v>
      </c>
      <c r="N327" t="str">
        <f t="shared" si="67"/>
        <v>No</v>
      </c>
      <c r="O327">
        <f t="shared" si="68"/>
        <v>47894.68</v>
      </c>
      <c r="P327">
        <f t="shared" si="69"/>
        <v>5</v>
      </c>
      <c r="Q327">
        <f t="shared" si="70"/>
        <v>172.5</v>
      </c>
      <c r="R327" t="str">
        <f t="shared" si="71"/>
        <v>Low</v>
      </c>
      <c r="S327" t="str">
        <f t="shared" si="72"/>
        <v>High</v>
      </c>
      <c r="T327" t="str">
        <f t="shared" si="73"/>
        <v>Low</v>
      </c>
      <c r="U327" t="str">
        <f t="shared" si="74"/>
        <v>No</v>
      </c>
      <c r="V327" t="str">
        <f t="shared" si="75"/>
        <v>No</v>
      </c>
      <c r="W327" t="str">
        <f t="shared" si="76"/>
        <v>No</v>
      </c>
      <c r="X327" t="str">
        <f t="shared" si="77"/>
        <v>Yes</v>
      </c>
    </row>
    <row r="328" spans="1:24" x14ac:dyDescent="0.3">
      <c r="A328" t="s">
        <v>146</v>
      </c>
      <c r="B328">
        <v>44</v>
      </c>
      <c r="C328" t="s">
        <v>510</v>
      </c>
      <c r="D328">
        <v>26229</v>
      </c>
      <c r="E328" t="s">
        <v>513</v>
      </c>
      <c r="F328">
        <v>29</v>
      </c>
      <c r="G328">
        <v>1004.47</v>
      </c>
      <c r="H328">
        <v>152</v>
      </c>
      <c r="I328">
        <v>5</v>
      </c>
      <c r="J328">
        <v>29129.63</v>
      </c>
      <c r="K328">
        <f>SUM(Table3[Total_Revenue])</f>
        <v>30761529.489999965</v>
      </c>
      <c r="L328">
        <f t="shared" si="65"/>
        <v>28426317.369999975</v>
      </c>
      <c r="M328">
        <f t="shared" si="66"/>
        <v>0.92408660561695655</v>
      </c>
      <c r="N328" t="str">
        <f t="shared" si="67"/>
        <v>No</v>
      </c>
      <c r="O328">
        <f t="shared" si="68"/>
        <v>47894.68</v>
      </c>
      <c r="P328">
        <f t="shared" si="69"/>
        <v>5</v>
      </c>
      <c r="Q328">
        <f t="shared" si="70"/>
        <v>172.5</v>
      </c>
      <c r="R328" t="str">
        <f t="shared" si="71"/>
        <v>Medium</v>
      </c>
      <c r="S328" t="str">
        <f t="shared" si="72"/>
        <v>Low</v>
      </c>
      <c r="T328" t="str">
        <f t="shared" si="73"/>
        <v>Low</v>
      </c>
      <c r="U328" t="str">
        <f t="shared" si="74"/>
        <v>Yes</v>
      </c>
      <c r="V328" t="str">
        <f t="shared" si="75"/>
        <v>No</v>
      </c>
      <c r="W328" t="str">
        <f t="shared" si="76"/>
        <v>No</v>
      </c>
      <c r="X328" t="str">
        <f t="shared" si="77"/>
        <v>No</v>
      </c>
    </row>
    <row r="329" spans="1:24" x14ac:dyDescent="0.3">
      <c r="A329" t="s">
        <v>282</v>
      </c>
      <c r="B329">
        <v>58</v>
      </c>
      <c r="C329" t="s">
        <v>511</v>
      </c>
      <c r="D329">
        <v>113070</v>
      </c>
      <c r="E329" t="s">
        <v>514</v>
      </c>
      <c r="F329">
        <v>7</v>
      </c>
      <c r="G329">
        <v>4111.8</v>
      </c>
      <c r="H329">
        <v>164</v>
      </c>
      <c r="I329">
        <v>10</v>
      </c>
      <c r="J329">
        <v>28782.6</v>
      </c>
      <c r="K329">
        <f>SUM(Table3[Total_Revenue])</f>
        <v>30761529.489999965</v>
      </c>
      <c r="L329">
        <f t="shared" si="65"/>
        <v>28455099.969999976</v>
      </c>
      <c r="M329">
        <f t="shared" si="66"/>
        <v>0.92502227430694661</v>
      </c>
      <c r="N329" t="str">
        <f t="shared" si="67"/>
        <v>No</v>
      </c>
      <c r="O329">
        <f t="shared" si="68"/>
        <v>47894.68</v>
      </c>
      <c r="P329">
        <f t="shared" si="69"/>
        <v>5</v>
      </c>
      <c r="Q329">
        <f t="shared" si="70"/>
        <v>172.5</v>
      </c>
      <c r="R329" t="str">
        <f t="shared" si="71"/>
        <v>High</v>
      </c>
      <c r="S329" t="str">
        <f t="shared" si="72"/>
        <v>Low</v>
      </c>
      <c r="T329" t="str">
        <f t="shared" si="73"/>
        <v>Low</v>
      </c>
      <c r="U329" t="str">
        <f t="shared" si="74"/>
        <v>Yes</v>
      </c>
      <c r="V329" t="str">
        <f t="shared" si="75"/>
        <v>No</v>
      </c>
      <c r="W329" t="str">
        <f t="shared" si="76"/>
        <v>No</v>
      </c>
      <c r="X329" t="str">
        <f t="shared" si="77"/>
        <v>No</v>
      </c>
    </row>
    <row r="330" spans="1:24" x14ac:dyDescent="0.3">
      <c r="A330" t="s">
        <v>283</v>
      </c>
      <c r="B330">
        <v>50</v>
      </c>
      <c r="C330" t="s">
        <v>511</v>
      </c>
      <c r="D330">
        <v>99767</v>
      </c>
      <c r="E330" t="s">
        <v>514</v>
      </c>
      <c r="F330">
        <v>17</v>
      </c>
      <c r="G330">
        <v>1680.39</v>
      </c>
      <c r="H330">
        <v>85</v>
      </c>
      <c r="I330">
        <v>6</v>
      </c>
      <c r="J330">
        <v>28566.63</v>
      </c>
      <c r="K330">
        <f>SUM(Table3[Total_Revenue])</f>
        <v>30761529.489999965</v>
      </c>
      <c r="L330">
        <f t="shared" si="65"/>
        <v>28483666.599999975</v>
      </c>
      <c r="M330">
        <f t="shared" si="66"/>
        <v>0.92595092221469411</v>
      </c>
      <c r="N330" t="str">
        <f t="shared" si="67"/>
        <v>No</v>
      </c>
      <c r="O330">
        <f t="shared" si="68"/>
        <v>47894.68</v>
      </c>
      <c r="P330">
        <f t="shared" si="69"/>
        <v>5</v>
      </c>
      <c r="Q330">
        <f t="shared" si="70"/>
        <v>172.5</v>
      </c>
      <c r="R330" t="str">
        <f t="shared" si="71"/>
        <v>High</v>
      </c>
      <c r="S330" t="str">
        <f t="shared" si="72"/>
        <v>Low</v>
      </c>
      <c r="T330" t="str">
        <f t="shared" si="73"/>
        <v>Low</v>
      </c>
      <c r="U330" t="str">
        <f t="shared" si="74"/>
        <v>Yes</v>
      </c>
      <c r="V330" t="str">
        <f t="shared" si="75"/>
        <v>No</v>
      </c>
      <c r="W330" t="str">
        <f t="shared" si="76"/>
        <v>No</v>
      </c>
      <c r="X330" t="str">
        <f t="shared" si="77"/>
        <v>No</v>
      </c>
    </row>
    <row r="331" spans="1:24" x14ac:dyDescent="0.3">
      <c r="A331" t="s">
        <v>337</v>
      </c>
      <c r="B331">
        <v>63</v>
      </c>
      <c r="C331" t="s">
        <v>510</v>
      </c>
      <c r="D331">
        <v>113709</v>
      </c>
      <c r="E331" t="s">
        <v>514</v>
      </c>
      <c r="F331">
        <v>30</v>
      </c>
      <c r="G331">
        <v>951.39</v>
      </c>
      <c r="H331">
        <v>227</v>
      </c>
      <c r="I331">
        <v>2</v>
      </c>
      <c r="J331">
        <v>28541.7</v>
      </c>
      <c r="K331">
        <f>SUM(Table3[Total_Revenue])</f>
        <v>30761529.489999965</v>
      </c>
      <c r="L331">
        <f t="shared" si="65"/>
        <v>28512208.299999975</v>
      </c>
      <c r="M331">
        <f t="shared" si="66"/>
        <v>0.92687875969459821</v>
      </c>
      <c r="N331" t="str">
        <f t="shared" si="67"/>
        <v>No</v>
      </c>
      <c r="O331">
        <f t="shared" si="68"/>
        <v>47894.68</v>
      </c>
      <c r="P331">
        <f t="shared" si="69"/>
        <v>5</v>
      </c>
      <c r="Q331">
        <f t="shared" si="70"/>
        <v>172.5</v>
      </c>
      <c r="R331" t="str">
        <f t="shared" si="71"/>
        <v>Low</v>
      </c>
      <c r="S331" t="str">
        <f t="shared" si="72"/>
        <v>High</v>
      </c>
      <c r="T331" t="str">
        <f t="shared" si="73"/>
        <v>Low</v>
      </c>
      <c r="U331" t="str">
        <f t="shared" si="74"/>
        <v>No</v>
      </c>
      <c r="V331" t="str">
        <f t="shared" si="75"/>
        <v>No</v>
      </c>
      <c r="W331" t="str">
        <f t="shared" si="76"/>
        <v>No</v>
      </c>
      <c r="X331" t="str">
        <f t="shared" si="77"/>
        <v>Yes</v>
      </c>
    </row>
    <row r="332" spans="1:24" x14ac:dyDescent="0.3">
      <c r="A332" t="s">
        <v>259</v>
      </c>
      <c r="B332">
        <v>69</v>
      </c>
      <c r="C332" t="s">
        <v>510</v>
      </c>
      <c r="D332">
        <v>136714</v>
      </c>
      <c r="E332" t="s">
        <v>514</v>
      </c>
      <c r="F332">
        <v>16</v>
      </c>
      <c r="G332">
        <v>1774.21</v>
      </c>
      <c r="H332">
        <v>168</v>
      </c>
      <c r="I332">
        <v>3</v>
      </c>
      <c r="J332">
        <v>28387.360000000001</v>
      </c>
      <c r="K332">
        <f>SUM(Table3[Total_Revenue])</f>
        <v>30761529.489999965</v>
      </c>
      <c r="L332">
        <f t="shared" si="65"/>
        <v>28540595.659999974</v>
      </c>
      <c r="M332">
        <f t="shared" si="66"/>
        <v>0.92780157986871303</v>
      </c>
      <c r="N332" t="str">
        <f t="shared" si="67"/>
        <v>No</v>
      </c>
      <c r="O332">
        <f t="shared" si="68"/>
        <v>47894.68</v>
      </c>
      <c r="P332">
        <f t="shared" si="69"/>
        <v>5</v>
      </c>
      <c r="Q332">
        <f t="shared" si="70"/>
        <v>172.5</v>
      </c>
      <c r="R332" t="str">
        <f t="shared" si="71"/>
        <v>Low</v>
      </c>
      <c r="S332" t="str">
        <f t="shared" si="72"/>
        <v>Low</v>
      </c>
      <c r="T332" t="str">
        <f t="shared" si="73"/>
        <v>Low</v>
      </c>
      <c r="U332" t="str">
        <f t="shared" si="74"/>
        <v>No</v>
      </c>
      <c r="V332" t="str">
        <f t="shared" si="75"/>
        <v>No</v>
      </c>
      <c r="W332" t="str">
        <f t="shared" si="76"/>
        <v>No</v>
      </c>
      <c r="X332" t="str">
        <f t="shared" si="77"/>
        <v>Yes</v>
      </c>
    </row>
    <row r="333" spans="1:24" x14ac:dyDescent="0.3">
      <c r="A333" t="s">
        <v>151</v>
      </c>
      <c r="B333">
        <v>64</v>
      </c>
      <c r="C333" t="s">
        <v>511</v>
      </c>
      <c r="D333">
        <v>124592</v>
      </c>
      <c r="E333" t="s">
        <v>515</v>
      </c>
      <c r="F333">
        <v>13</v>
      </c>
      <c r="G333">
        <v>2180.1799999999998</v>
      </c>
      <c r="H333">
        <v>342</v>
      </c>
      <c r="I333">
        <v>7</v>
      </c>
      <c r="J333">
        <v>28342.34</v>
      </c>
      <c r="K333">
        <f>SUM(Table3[Total_Revenue])</f>
        <v>30761529.489999965</v>
      </c>
      <c r="L333">
        <f t="shared" si="65"/>
        <v>28568937.999999974</v>
      </c>
      <c r="M333">
        <f t="shared" si="66"/>
        <v>0.92872293652652205</v>
      </c>
      <c r="N333" t="str">
        <f t="shared" si="67"/>
        <v>No</v>
      </c>
      <c r="O333">
        <f t="shared" si="68"/>
        <v>47894.68</v>
      </c>
      <c r="P333">
        <f t="shared" si="69"/>
        <v>5</v>
      </c>
      <c r="Q333">
        <f t="shared" si="70"/>
        <v>172.5</v>
      </c>
      <c r="R333" t="str">
        <f t="shared" si="71"/>
        <v>High</v>
      </c>
      <c r="S333" t="str">
        <f t="shared" si="72"/>
        <v>High</v>
      </c>
      <c r="T333" t="str">
        <f t="shared" si="73"/>
        <v>Low</v>
      </c>
      <c r="U333" t="str">
        <f t="shared" si="74"/>
        <v>Yes</v>
      </c>
      <c r="V333" t="str">
        <f t="shared" si="75"/>
        <v>No</v>
      </c>
      <c r="W333" t="str">
        <f t="shared" si="76"/>
        <v>No</v>
      </c>
      <c r="X333" t="str">
        <f t="shared" si="77"/>
        <v>No</v>
      </c>
    </row>
    <row r="334" spans="1:24" x14ac:dyDescent="0.3">
      <c r="A334" t="s">
        <v>357</v>
      </c>
      <c r="B334">
        <v>29</v>
      </c>
      <c r="C334" t="s">
        <v>511</v>
      </c>
      <c r="D334">
        <v>24018</v>
      </c>
      <c r="E334" t="s">
        <v>512</v>
      </c>
      <c r="F334">
        <v>9</v>
      </c>
      <c r="G334">
        <v>3132.85</v>
      </c>
      <c r="H334">
        <v>180</v>
      </c>
      <c r="I334">
        <v>3</v>
      </c>
      <c r="J334">
        <v>28195.65</v>
      </c>
      <c r="K334">
        <f>SUM(Table3[Total_Revenue])</f>
        <v>30761529.489999965</v>
      </c>
      <c r="L334">
        <f t="shared" si="65"/>
        <v>28597133.649999972</v>
      </c>
      <c r="M334">
        <f t="shared" si="66"/>
        <v>0.92963952456578602</v>
      </c>
      <c r="N334" t="str">
        <f t="shared" si="67"/>
        <v>No</v>
      </c>
      <c r="O334">
        <f t="shared" si="68"/>
        <v>47894.68</v>
      </c>
      <c r="P334">
        <f t="shared" si="69"/>
        <v>5</v>
      </c>
      <c r="Q334">
        <f t="shared" si="70"/>
        <v>172.5</v>
      </c>
      <c r="R334" t="str">
        <f t="shared" si="71"/>
        <v>Low</v>
      </c>
      <c r="S334" t="str">
        <f t="shared" si="72"/>
        <v>High</v>
      </c>
      <c r="T334" t="str">
        <f t="shared" si="73"/>
        <v>Low</v>
      </c>
      <c r="U334" t="str">
        <f t="shared" si="74"/>
        <v>No</v>
      </c>
      <c r="V334" t="str">
        <f t="shared" si="75"/>
        <v>No</v>
      </c>
      <c r="W334" t="str">
        <f t="shared" si="76"/>
        <v>No</v>
      </c>
      <c r="X334" t="str">
        <f t="shared" si="77"/>
        <v>Yes</v>
      </c>
    </row>
    <row r="335" spans="1:24" x14ac:dyDescent="0.3">
      <c r="A335" t="s">
        <v>368</v>
      </c>
      <c r="B335">
        <v>44</v>
      </c>
      <c r="C335" t="s">
        <v>510</v>
      </c>
      <c r="D335">
        <v>76819</v>
      </c>
      <c r="E335" t="s">
        <v>514</v>
      </c>
      <c r="F335">
        <v>20</v>
      </c>
      <c r="G335">
        <v>1403.49</v>
      </c>
      <c r="H335">
        <v>325</v>
      </c>
      <c r="I335">
        <v>2</v>
      </c>
      <c r="J335">
        <v>28069.8</v>
      </c>
      <c r="K335">
        <f>SUM(Table3[Total_Revenue])</f>
        <v>30761529.489999965</v>
      </c>
      <c r="L335">
        <f t="shared" si="65"/>
        <v>28625203.449999973</v>
      </c>
      <c r="M335">
        <f t="shared" si="66"/>
        <v>0.93055202145606986</v>
      </c>
      <c r="N335" t="str">
        <f t="shared" si="67"/>
        <v>No</v>
      </c>
      <c r="O335">
        <f t="shared" si="68"/>
        <v>47894.68</v>
      </c>
      <c r="P335">
        <f t="shared" si="69"/>
        <v>5</v>
      </c>
      <c r="Q335">
        <f t="shared" si="70"/>
        <v>172.5</v>
      </c>
      <c r="R335" t="str">
        <f t="shared" si="71"/>
        <v>Low</v>
      </c>
      <c r="S335" t="str">
        <f t="shared" si="72"/>
        <v>High</v>
      </c>
      <c r="T335" t="str">
        <f t="shared" si="73"/>
        <v>Low</v>
      </c>
      <c r="U335" t="str">
        <f t="shared" si="74"/>
        <v>No</v>
      </c>
      <c r="V335" t="str">
        <f t="shared" si="75"/>
        <v>No</v>
      </c>
      <c r="W335" t="str">
        <f t="shared" si="76"/>
        <v>No</v>
      </c>
      <c r="X335" t="str">
        <f t="shared" si="77"/>
        <v>Yes</v>
      </c>
    </row>
    <row r="336" spans="1:24" x14ac:dyDescent="0.3">
      <c r="A336" t="s">
        <v>413</v>
      </c>
      <c r="B336">
        <v>41</v>
      </c>
      <c r="C336" t="s">
        <v>511</v>
      </c>
      <c r="D336">
        <v>121195</v>
      </c>
      <c r="E336" t="s">
        <v>513</v>
      </c>
      <c r="F336">
        <v>7</v>
      </c>
      <c r="G336">
        <v>3940.83</v>
      </c>
      <c r="H336">
        <v>354</v>
      </c>
      <c r="I336">
        <v>4</v>
      </c>
      <c r="J336">
        <v>27585.81</v>
      </c>
      <c r="K336">
        <f>SUM(Table3[Total_Revenue])</f>
        <v>30761529.489999965</v>
      </c>
      <c r="L336">
        <f t="shared" si="65"/>
        <v>28652789.259999972</v>
      </c>
      <c r="M336">
        <f t="shared" si="66"/>
        <v>0.9314487847333629</v>
      </c>
      <c r="N336" t="str">
        <f t="shared" si="67"/>
        <v>No</v>
      </c>
      <c r="O336">
        <f t="shared" si="68"/>
        <v>47894.68</v>
      </c>
      <c r="P336">
        <f t="shared" si="69"/>
        <v>5</v>
      </c>
      <c r="Q336">
        <f t="shared" si="70"/>
        <v>172.5</v>
      </c>
      <c r="R336" t="str">
        <f t="shared" si="71"/>
        <v>Low</v>
      </c>
      <c r="S336" t="str">
        <f t="shared" si="72"/>
        <v>High</v>
      </c>
      <c r="T336" t="str">
        <f t="shared" si="73"/>
        <v>Low</v>
      </c>
      <c r="U336" t="str">
        <f t="shared" si="74"/>
        <v>No</v>
      </c>
      <c r="V336" t="str">
        <f t="shared" si="75"/>
        <v>No</v>
      </c>
      <c r="W336" t="str">
        <f t="shared" si="76"/>
        <v>No</v>
      </c>
      <c r="X336" t="str">
        <f t="shared" si="77"/>
        <v>Yes</v>
      </c>
    </row>
    <row r="337" spans="1:24" x14ac:dyDescent="0.3">
      <c r="A337" t="s">
        <v>397</v>
      </c>
      <c r="B337">
        <v>48</v>
      </c>
      <c r="C337" t="s">
        <v>510</v>
      </c>
      <c r="D337">
        <v>145733</v>
      </c>
      <c r="E337" t="s">
        <v>514</v>
      </c>
      <c r="F337">
        <v>44</v>
      </c>
      <c r="G337">
        <v>617.9</v>
      </c>
      <c r="H337">
        <v>313</v>
      </c>
      <c r="I337">
        <v>5</v>
      </c>
      <c r="J337">
        <v>27187.599999999999</v>
      </c>
      <c r="K337">
        <f>SUM(Table3[Total_Revenue])</f>
        <v>30761529.489999965</v>
      </c>
      <c r="L337">
        <f t="shared" si="65"/>
        <v>28679976.859999973</v>
      </c>
      <c r="M337">
        <f t="shared" si="66"/>
        <v>0.93233260294561526</v>
      </c>
      <c r="N337" t="str">
        <f t="shared" si="67"/>
        <v>No</v>
      </c>
      <c r="O337">
        <f t="shared" si="68"/>
        <v>47894.68</v>
      </c>
      <c r="P337">
        <f t="shared" si="69"/>
        <v>5</v>
      </c>
      <c r="Q337">
        <f t="shared" si="70"/>
        <v>172.5</v>
      </c>
      <c r="R337" t="str">
        <f t="shared" si="71"/>
        <v>Medium</v>
      </c>
      <c r="S337" t="str">
        <f t="shared" si="72"/>
        <v>High</v>
      </c>
      <c r="T337" t="str">
        <f t="shared" si="73"/>
        <v>Low</v>
      </c>
      <c r="U337" t="str">
        <f t="shared" si="74"/>
        <v>Yes</v>
      </c>
      <c r="V337" t="str">
        <f t="shared" si="75"/>
        <v>No</v>
      </c>
      <c r="W337" t="str">
        <f t="shared" si="76"/>
        <v>No</v>
      </c>
      <c r="X337" t="str">
        <f t="shared" si="77"/>
        <v>No</v>
      </c>
    </row>
    <row r="338" spans="1:24" x14ac:dyDescent="0.3">
      <c r="A338" t="s">
        <v>135</v>
      </c>
      <c r="B338">
        <v>29</v>
      </c>
      <c r="C338" t="s">
        <v>510</v>
      </c>
      <c r="D338">
        <v>55854</v>
      </c>
      <c r="E338" t="s">
        <v>515</v>
      </c>
      <c r="F338">
        <v>10</v>
      </c>
      <c r="G338">
        <v>2708.08</v>
      </c>
      <c r="H338">
        <v>100</v>
      </c>
      <c r="I338">
        <v>1</v>
      </c>
      <c r="J338">
        <v>27080.799999999999</v>
      </c>
      <c r="K338">
        <f>SUM(Table3[Total_Revenue])</f>
        <v>30761529.489999965</v>
      </c>
      <c r="L338">
        <f t="shared" si="65"/>
        <v>28707057.659999974</v>
      </c>
      <c r="M338">
        <f t="shared" si="66"/>
        <v>0.93321294928888809</v>
      </c>
      <c r="N338" t="str">
        <f t="shared" si="67"/>
        <v>No</v>
      </c>
      <c r="O338">
        <f t="shared" si="68"/>
        <v>47894.68</v>
      </c>
      <c r="P338">
        <f t="shared" si="69"/>
        <v>5</v>
      </c>
      <c r="Q338">
        <f t="shared" si="70"/>
        <v>172.5</v>
      </c>
      <c r="R338" t="str">
        <f t="shared" si="71"/>
        <v>Low</v>
      </c>
      <c r="S338" t="str">
        <f t="shared" si="72"/>
        <v>Low</v>
      </c>
      <c r="T338" t="str">
        <f t="shared" si="73"/>
        <v>Low</v>
      </c>
      <c r="U338" t="str">
        <f t="shared" si="74"/>
        <v>No</v>
      </c>
      <c r="V338" t="str">
        <f t="shared" si="75"/>
        <v>No</v>
      </c>
      <c r="W338" t="str">
        <f t="shared" si="76"/>
        <v>No</v>
      </c>
      <c r="X338" t="str">
        <f t="shared" si="77"/>
        <v>Yes</v>
      </c>
    </row>
    <row r="339" spans="1:24" x14ac:dyDescent="0.3">
      <c r="A339" t="s">
        <v>366</v>
      </c>
      <c r="B339">
        <v>68</v>
      </c>
      <c r="C339" t="s">
        <v>511</v>
      </c>
      <c r="D339">
        <v>116809</v>
      </c>
      <c r="E339" t="s">
        <v>514</v>
      </c>
      <c r="F339">
        <v>8</v>
      </c>
      <c r="G339">
        <v>3265.84</v>
      </c>
      <c r="H339">
        <v>150</v>
      </c>
      <c r="I339">
        <v>8</v>
      </c>
      <c r="J339">
        <v>26126.720000000001</v>
      </c>
      <c r="K339">
        <f>SUM(Table3[Total_Revenue])</f>
        <v>30761529.489999965</v>
      </c>
      <c r="L339">
        <f t="shared" si="65"/>
        <v>28733184.379999973</v>
      </c>
      <c r="M339">
        <f t="shared" si="66"/>
        <v>0.93406228026927685</v>
      </c>
      <c r="N339" t="str">
        <f t="shared" si="67"/>
        <v>No</v>
      </c>
      <c r="O339">
        <f t="shared" si="68"/>
        <v>47894.68</v>
      </c>
      <c r="P339">
        <f t="shared" si="69"/>
        <v>5</v>
      </c>
      <c r="Q339">
        <f t="shared" si="70"/>
        <v>172.5</v>
      </c>
      <c r="R339" t="str">
        <f t="shared" si="71"/>
        <v>High</v>
      </c>
      <c r="S339" t="str">
        <f t="shared" si="72"/>
        <v>Low</v>
      </c>
      <c r="T339" t="str">
        <f t="shared" si="73"/>
        <v>Low</v>
      </c>
      <c r="U339" t="str">
        <f t="shared" si="74"/>
        <v>Yes</v>
      </c>
      <c r="V339" t="str">
        <f t="shared" si="75"/>
        <v>No</v>
      </c>
      <c r="W339" t="str">
        <f t="shared" si="76"/>
        <v>No</v>
      </c>
      <c r="X339" t="str">
        <f t="shared" si="77"/>
        <v>No</v>
      </c>
    </row>
    <row r="340" spans="1:24" x14ac:dyDescent="0.3">
      <c r="A340" t="s">
        <v>372</v>
      </c>
      <c r="B340">
        <v>47</v>
      </c>
      <c r="C340" t="s">
        <v>511</v>
      </c>
      <c r="D340">
        <v>25408</v>
      </c>
      <c r="E340" t="s">
        <v>515</v>
      </c>
      <c r="F340">
        <v>20</v>
      </c>
      <c r="G340">
        <v>1293.04</v>
      </c>
      <c r="H340">
        <v>271</v>
      </c>
      <c r="I340">
        <v>8</v>
      </c>
      <c r="J340">
        <v>25860.799999999999</v>
      </c>
      <c r="K340">
        <f>SUM(Table3[Total_Revenue])</f>
        <v>30761529.489999965</v>
      </c>
      <c r="L340">
        <f t="shared" si="65"/>
        <v>28759045.179999974</v>
      </c>
      <c r="M340">
        <f t="shared" si="66"/>
        <v>0.93490296668600426</v>
      </c>
      <c r="N340" t="str">
        <f t="shared" si="67"/>
        <v>No</v>
      </c>
      <c r="O340">
        <f t="shared" si="68"/>
        <v>47894.68</v>
      </c>
      <c r="P340">
        <f t="shared" si="69"/>
        <v>5</v>
      </c>
      <c r="Q340">
        <f t="shared" si="70"/>
        <v>172.5</v>
      </c>
      <c r="R340" t="str">
        <f t="shared" si="71"/>
        <v>High</v>
      </c>
      <c r="S340" t="str">
        <f t="shared" si="72"/>
        <v>High</v>
      </c>
      <c r="T340" t="str">
        <f t="shared" si="73"/>
        <v>Low</v>
      </c>
      <c r="U340" t="str">
        <f t="shared" si="74"/>
        <v>Yes</v>
      </c>
      <c r="V340" t="str">
        <f t="shared" si="75"/>
        <v>No</v>
      </c>
      <c r="W340" t="str">
        <f t="shared" si="76"/>
        <v>No</v>
      </c>
      <c r="X340" t="str">
        <f t="shared" si="77"/>
        <v>No</v>
      </c>
    </row>
    <row r="341" spans="1:24" x14ac:dyDescent="0.3">
      <c r="A341" t="s">
        <v>444</v>
      </c>
      <c r="B341">
        <v>25</v>
      </c>
      <c r="C341" t="s">
        <v>511</v>
      </c>
      <c r="D341">
        <v>35328</v>
      </c>
      <c r="E341" t="s">
        <v>514</v>
      </c>
      <c r="F341">
        <v>40</v>
      </c>
      <c r="G341">
        <v>642.96</v>
      </c>
      <c r="H341">
        <v>121</v>
      </c>
      <c r="I341">
        <v>6</v>
      </c>
      <c r="J341">
        <v>25718.400000000001</v>
      </c>
      <c r="K341">
        <f>SUM(Table3[Total_Revenue])</f>
        <v>30761529.489999965</v>
      </c>
      <c r="L341">
        <f t="shared" si="65"/>
        <v>28784763.579999972</v>
      </c>
      <c r="M341">
        <f t="shared" si="66"/>
        <v>0.93573902394409214</v>
      </c>
      <c r="N341" t="str">
        <f t="shared" si="67"/>
        <v>No</v>
      </c>
      <c r="O341">
        <f t="shared" si="68"/>
        <v>47894.68</v>
      </c>
      <c r="P341">
        <f t="shared" si="69"/>
        <v>5</v>
      </c>
      <c r="Q341">
        <f t="shared" si="70"/>
        <v>172.5</v>
      </c>
      <c r="R341" t="str">
        <f t="shared" si="71"/>
        <v>High</v>
      </c>
      <c r="S341" t="str">
        <f t="shared" si="72"/>
        <v>Low</v>
      </c>
      <c r="T341" t="str">
        <f t="shared" si="73"/>
        <v>Low</v>
      </c>
      <c r="U341" t="str">
        <f t="shared" si="74"/>
        <v>Yes</v>
      </c>
      <c r="V341" t="str">
        <f t="shared" si="75"/>
        <v>No</v>
      </c>
      <c r="W341" t="str">
        <f t="shared" si="76"/>
        <v>No</v>
      </c>
      <c r="X341" t="str">
        <f t="shared" si="77"/>
        <v>No</v>
      </c>
    </row>
    <row r="342" spans="1:24" x14ac:dyDescent="0.3">
      <c r="A342" t="s">
        <v>94</v>
      </c>
      <c r="B342">
        <v>25</v>
      </c>
      <c r="C342" t="s">
        <v>511</v>
      </c>
      <c r="D342">
        <v>24432</v>
      </c>
      <c r="E342" t="s">
        <v>512</v>
      </c>
      <c r="F342">
        <v>13</v>
      </c>
      <c r="G342">
        <v>1964.06</v>
      </c>
      <c r="H342">
        <v>198</v>
      </c>
      <c r="I342">
        <v>2</v>
      </c>
      <c r="J342">
        <v>25532.78</v>
      </c>
      <c r="K342">
        <f>SUM(Table3[Total_Revenue])</f>
        <v>30761529.489999965</v>
      </c>
      <c r="L342">
        <f t="shared" si="65"/>
        <v>28810296.359999973</v>
      </c>
      <c r="M342">
        <f t="shared" si="66"/>
        <v>0.9365690470418806</v>
      </c>
      <c r="N342" t="str">
        <f t="shared" si="67"/>
        <v>No</v>
      </c>
      <c r="O342">
        <f t="shared" si="68"/>
        <v>47894.68</v>
      </c>
      <c r="P342">
        <f t="shared" si="69"/>
        <v>5</v>
      </c>
      <c r="Q342">
        <f t="shared" si="70"/>
        <v>172.5</v>
      </c>
      <c r="R342" t="str">
        <f t="shared" si="71"/>
        <v>Low</v>
      </c>
      <c r="S342" t="str">
        <f t="shared" si="72"/>
        <v>High</v>
      </c>
      <c r="T342" t="str">
        <f t="shared" si="73"/>
        <v>Low</v>
      </c>
      <c r="U342" t="str">
        <f t="shared" si="74"/>
        <v>No</v>
      </c>
      <c r="V342" t="str">
        <f t="shared" si="75"/>
        <v>No</v>
      </c>
      <c r="W342" t="str">
        <f t="shared" si="76"/>
        <v>No</v>
      </c>
      <c r="X342" t="str">
        <f t="shared" si="77"/>
        <v>Yes</v>
      </c>
    </row>
    <row r="343" spans="1:24" x14ac:dyDescent="0.3">
      <c r="A343" t="s">
        <v>78</v>
      </c>
      <c r="B343">
        <v>21</v>
      </c>
      <c r="C343" t="s">
        <v>511</v>
      </c>
      <c r="D343">
        <v>111865</v>
      </c>
      <c r="E343" t="s">
        <v>512</v>
      </c>
      <c r="F343">
        <v>40</v>
      </c>
      <c r="G343">
        <v>634.64</v>
      </c>
      <c r="H343">
        <v>146</v>
      </c>
      <c r="I343">
        <v>8</v>
      </c>
      <c r="J343">
        <v>25385.599999999999</v>
      </c>
      <c r="K343">
        <f>SUM(Table3[Total_Revenue])</f>
        <v>30761529.489999965</v>
      </c>
      <c r="L343">
        <f t="shared" si="65"/>
        <v>28835681.959999975</v>
      </c>
      <c r="M343">
        <f t="shared" si="66"/>
        <v>0.93739428559213711</v>
      </c>
      <c r="N343" t="str">
        <f t="shared" si="67"/>
        <v>No</v>
      </c>
      <c r="O343">
        <f t="shared" si="68"/>
        <v>47894.68</v>
      </c>
      <c r="P343">
        <f t="shared" si="69"/>
        <v>5</v>
      </c>
      <c r="Q343">
        <f t="shared" si="70"/>
        <v>172.5</v>
      </c>
      <c r="R343" t="str">
        <f t="shared" si="71"/>
        <v>High</v>
      </c>
      <c r="S343" t="str">
        <f t="shared" si="72"/>
        <v>Low</v>
      </c>
      <c r="T343" t="str">
        <f t="shared" si="73"/>
        <v>Low</v>
      </c>
      <c r="U343" t="str">
        <f t="shared" si="74"/>
        <v>Yes</v>
      </c>
      <c r="V343" t="str">
        <f t="shared" si="75"/>
        <v>No</v>
      </c>
      <c r="W343" t="str">
        <f t="shared" si="76"/>
        <v>No</v>
      </c>
      <c r="X343" t="str">
        <f t="shared" si="77"/>
        <v>No</v>
      </c>
    </row>
    <row r="344" spans="1:24" x14ac:dyDescent="0.3">
      <c r="A344" t="s">
        <v>405</v>
      </c>
      <c r="B344">
        <v>20</v>
      </c>
      <c r="C344" t="s">
        <v>511</v>
      </c>
      <c r="D344">
        <v>60631</v>
      </c>
      <c r="E344" t="s">
        <v>512</v>
      </c>
      <c r="F344">
        <v>41</v>
      </c>
      <c r="G344">
        <v>616.29999999999995</v>
      </c>
      <c r="H344">
        <v>207</v>
      </c>
      <c r="I344">
        <v>7</v>
      </c>
      <c r="J344">
        <v>25268.3</v>
      </c>
      <c r="K344">
        <f>SUM(Table3[Total_Revenue])</f>
        <v>30761529.489999965</v>
      </c>
      <c r="L344">
        <f t="shared" si="65"/>
        <v>28860950.259999976</v>
      </c>
      <c r="M344">
        <f t="shared" si="66"/>
        <v>0.93821571093798073</v>
      </c>
      <c r="N344" t="str">
        <f t="shared" si="67"/>
        <v>No</v>
      </c>
      <c r="O344">
        <f t="shared" si="68"/>
        <v>47894.68</v>
      </c>
      <c r="P344">
        <f t="shared" si="69"/>
        <v>5</v>
      </c>
      <c r="Q344">
        <f t="shared" si="70"/>
        <v>172.5</v>
      </c>
      <c r="R344" t="str">
        <f t="shared" si="71"/>
        <v>High</v>
      </c>
      <c r="S344" t="str">
        <f t="shared" si="72"/>
        <v>High</v>
      </c>
      <c r="T344" t="str">
        <f t="shared" si="73"/>
        <v>Low</v>
      </c>
      <c r="U344" t="str">
        <f t="shared" si="74"/>
        <v>Yes</v>
      </c>
      <c r="V344" t="str">
        <f t="shared" si="75"/>
        <v>No</v>
      </c>
      <c r="W344" t="str">
        <f t="shared" si="76"/>
        <v>No</v>
      </c>
      <c r="X344" t="str">
        <f t="shared" si="77"/>
        <v>No</v>
      </c>
    </row>
    <row r="345" spans="1:24" x14ac:dyDescent="0.3">
      <c r="A345" t="s">
        <v>380</v>
      </c>
      <c r="B345">
        <v>21</v>
      </c>
      <c r="C345" t="s">
        <v>510</v>
      </c>
      <c r="D345">
        <v>117720</v>
      </c>
      <c r="E345" t="s">
        <v>514</v>
      </c>
      <c r="F345">
        <v>42</v>
      </c>
      <c r="G345">
        <v>600.53</v>
      </c>
      <c r="H345">
        <v>47</v>
      </c>
      <c r="I345">
        <v>10</v>
      </c>
      <c r="J345">
        <v>25222.26</v>
      </c>
      <c r="K345">
        <f>SUM(Table3[Total_Revenue])</f>
        <v>30761529.489999965</v>
      </c>
      <c r="L345">
        <f t="shared" si="65"/>
        <v>28886172.519999977</v>
      </c>
      <c r="M345">
        <f t="shared" si="66"/>
        <v>0.93903563960921921</v>
      </c>
      <c r="N345" t="str">
        <f t="shared" si="67"/>
        <v>No</v>
      </c>
      <c r="O345">
        <f t="shared" si="68"/>
        <v>47894.68</v>
      </c>
      <c r="P345">
        <f t="shared" si="69"/>
        <v>5</v>
      </c>
      <c r="Q345">
        <f t="shared" si="70"/>
        <v>172.5</v>
      </c>
      <c r="R345" t="str">
        <f t="shared" si="71"/>
        <v>High</v>
      </c>
      <c r="S345" t="str">
        <f t="shared" si="72"/>
        <v>Low</v>
      </c>
      <c r="T345" t="str">
        <f t="shared" si="73"/>
        <v>Low</v>
      </c>
      <c r="U345" t="str">
        <f t="shared" si="74"/>
        <v>Yes</v>
      </c>
      <c r="V345" t="str">
        <f t="shared" si="75"/>
        <v>No</v>
      </c>
      <c r="W345" t="str">
        <f t="shared" si="76"/>
        <v>No</v>
      </c>
      <c r="X345" t="str">
        <f t="shared" si="77"/>
        <v>No</v>
      </c>
    </row>
    <row r="346" spans="1:24" x14ac:dyDescent="0.3">
      <c r="A346" t="s">
        <v>434</v>
      </c>
      <c r="B346">
        <v>52</v>
      </c>
      <c r="C346" t="s">
        <v>510</v>
      </c>
      <c r="D346">
        <v>135033</v>
      </c>
      <c r="E346" t="s">
        <v>512</v>
      </c>
      <c r="F346">
        <v>15</v>
      </c>
      <c r="G346">
        <v>1678.86</v>
      </c>
      <c r="H346">
        <v>275</v>
      </c>
      <c r="I346">
        <v>10</v>
      </c>
      <c r="J346">
        <v>25182.9</v>
      </c>
      <c r="K346">
        <f>SUM(Table3[Total_Revenue])</f>
        <v>30761529.489999965</v>
      </c>
      <c r="L346">
        <f t="shared" si="65"/>
        <v>28911355.419999976</v>
      </c>
      <c r="M346">
        <f t="shared" si="66"/>
        <v>0.9398542887602046</v>
      </c>
      <c r="N346" t="str">
        <f t="shared" si="67"/>
        <v>No</v>
      </c>
      <c r="O346">
        <f t="shared" si="68"/>
        <v>47894.68</v>
      </c>
      <c r="P346">
        <f t="shared" si="69"/>
        <v>5</v>
      </c>
      <c r="Q346">
        <f t="shared" si="70"/>
        <v>172.5</v>
      </c>
      <c r="R346" t="str">
        <f t="shared" si="71"/>
        <v>High</v>
      </c>
      <c r="S346" t="str">
        <f t="shared" si="72"/>
        <v>High</v>
      </c>
      <c r="T346" t="str">
        <f t="shared" si="73"/>
        <v>Low</v>
      </c>
      <c r="U346" t="str">
        <f t="shared" si="74"/>
        <v>Yes</v>
      </c>
      <c r="V346" t="str">
        <f t="shared" si="75"/>
        <v>No</v>
      </c>
      <c r="W346" t="str">
        <f t="shared" si="76"/>
        <v>No</v>
      </c>
      <c r="X346" t="str">
        <f t="shared" si="77"/>
        <v>No</v>
      </c>
    </row>
    <row r="347" spans="1:24" x14ac:dyDescent="0.3">
      <c r="A347" t="s">
        <v>113</v>
      </c>
      <c r="B347">
        <v>24</v>
      </c>
      <c r="C347" t="s">
        <v>511</v>
      </c>
      <c r="D347">
        <v>64247</v>
      </c>
      <c r="E347" t="s">
        <v>514</v>
      </c>
      <c r="F347">
        <v>19</v>
      </c>
      <c r="G347">
        <v>1305.74</v>
      </c>
      <c r="H347">
        <v>337</v>
      </c>
      <c r="I347">
        <v>10</v>
      </c>
      <c r="J347">
        <v>24809.06</v>
      </c>
      <c r="K347">
        <f>SUM(Table3[Total_Revenue])</f>
        <v>30761529.489999965</v>
      </c>
      <c r="L347">
        <f t="shared" si="65"/>
        <v>28936164.479999974</v>
      </c>
      <c r="M347">
        <f t="shared" si="66"/>
        <v>0.94066078506943596</v>
      </c>
      <c r="N347" t="str">
        <f t="shared" si="67"/>
        <v>No</v>
      </c>
      <c r="O347">
        <f t="shared" si="68"/>
        <v>47894.68</v>
      </c>
      <c r="P347">
        <f t="shared" si="69"/>
        <v>5</v>
      </c>
      <c r="Q347">
        <f t="shared" si="70"/>
        <v>172.5</v>
      </c>
      <c r="R347" t="str">
        <f t="shared" si="71"/>
        <v>High</v>
      </c>
      <c r="S347" t="str">
        <f t="shared" si="72"/>
        <v>High</v>
      </c>
      <c r="T347" t="str">
        <f t="shared" si="73"/>
        <v>Low</v>
      </c>
      <c r="U347" t="str">
        <f t="shared" si="74"/>
        <v>Yes</v>
      </c>
      <c r="V347" t="str">
        <f t="shared" si="75"/>
        <v>No</v>
      </c>
      <c r="W347" t="str">
        <f t="shared" si="76"/>
        <v>No</v>
      </c>
      <c r="X347" t="str">
        <f t="shared" si="77"/>
        <v>No</v>
      </c>
    </row>
    <row r="348" spans="1:24" x14ac:dyDescent="0.3">
      <c r="A348" t="s">
        <v>293</v>
      </c>
      <c r="B348">
        <v>40</v>
      </c>
      <c r="C348" t="s">
        <v>510</v>
      </c>
      <c r="D348">
        <v>20235</v>
      </c>
      <c r="E348" t="s">
        <v>512</v>
      </c>
      <c r="F348">
        <v>8</v>
      </c>
      <c r="G348">
        <v>3071.22</v>
      </c>
      <c r="H348">
        <v>263</v>
      </c>
      <c r="I348">
        <v>6</v>
      </c>
      <c r="J348">
        <v>24569.759999999998</v>
      </c>
      <c r="K348">
        <f>SUM(Table3[Total_Revenue])</f>
        <v>30761529.489999965</v>
      </c>
      <c r="L348">
        <f t="shared" si="65"/>
        <v>28960734.239999976</v>
      </c>
      <c r="M348">
        <f t="shared" si="66"/>
        <v>0.94145950218160002</v>
      </c>
      <c r="N348" t="str">
        <f t="shared" si="67"/>
        <v>No</v>
      </c>
      <c r="O348">
        <f t="shared" si="68"/>
        <v>47894.68</v>
      </c>
      <c r="P348">
        <f t="shared" si="69"/>
        <v>5</v>
      </c>
      <c r="Q348">
        <f t="shared" si="70"/>
        <v>172.5</v>
      </c>
      <c r="R348" t="str">
        <f t="shared" si="71"/>
        <v>High</v>
      </c>
      <c r="S348" t="str">
        <f t="shared" si="72"/>
        <v>High</v>
      </c>
      <c r="T348" t="str">
        <f t="shared" si="73"/>
        <v>Low</v>
      </c>
      <c r="U348" t="str">
        <f t="shared" si="74"/>
        <v>Yes</v>
      </c>
      <c r="V348" t="str">
        <f t="shared" si="75"/>
        <v>No</v>
      </c>
      <c r="W348" t="str">
        <f t="shared" si="76"/>
        <v>No</v>
      </c>
      <c r="X348" t="str">
        <f t="shared" si="77"/>
        <v>No</v>
      </c>
    </row>
    <row r="349" spans="1:24" x14ac:dyDescent="0.3">
      <c r="A349" t="s">
        <v>31</v>
      </c>
      <c r="B349">
        <v>47</v>
      </c>
      <c r="C349" t="s">
        <v>511</v>
      </c>
      <c r="D349">
        <v>147018</v>
      </c>
      <c r="E349" t="s">
        <v>514</v>
      </c>
      <c r="F349">
        <v>10</v>
      </c>
      <c r="G349">
        <v>2451.5</v>
      </c>
      <c r="H349">
        <v>230</v>
      </c>
      <c r="I349">
        <v>6</v>
      </c>
      <c r="J349">
        <v>24515</v>
      </c>
      <c r="K349">
        <f>SUM(Table3[Total_Revenue])</f>
        <v>30761529.489999965</v>
      </c>
      <c r="L349">
        <f t="shared" si="65"/>
        <v>28985249.239999976</v>
      </c>
      <c r="M349">
        <f t="shared" si="66"/>
        <v>0.94225643914820856</v>
      </c>
      <c r="N349" t="str">
        <f t="shared" si="67"/>
        <v>No</v>
      </c>
      <c r="O349">
        <f t="shared" si="68"/>
        <v>47894.68</v>
      </c>
      <c r="P349">
        <f t="shared" si="69"/>
        <v>5</v>
      </c>
      <c r="Q349">
        <f t="shared" si="70"/>
        <v>172.5</v>
      </c>
      <c r="R349" t="str">
        <f t="shared" si="71"/>
        <v>High</v>
      </c>
      <c r="S349" t="str">
        <f t="shared" si="72"/>
        <v>High</v>
      </c>
      <c r="T349" t="str">
        <f t="shared" si="73"/>
        <v>Low</v>
      </c>
      <c r="U349" t="str">
        <f t="shared" si="74"/>
        <v>Yes</v>
      </c>
      <c r="V349" t="str">
        <f t="shared" si="75"/>
        <v>No</v>
      </c>
      <c r="W349" t="str">
        <f t="shared" si="76"/>
        <v>No</v>
      </c>
      <c r="X349" t="str">
        <f t="shared" si="77"/>
        <v>No</v>
      </c>
    </row>
    <row r="350" spans="1:24" x14ac:dyDescent="0.3">
      <c r="A350" t="s">
        <v>216</v>
      </c>
      <c r="B350">
        <v>68</v>
      </c>
      <c r="C350" t="s">
        <v>511</v>
      </c>
      <c r="D350">
        <v>99579</v>
      </c>
      <c r="E350" t="s">
        <v>514</v>
      </c>
      <c r="F350">
        <v>17</v>
      </c>
      <c r="G350">
        <v>1428.62</v>
      </c>
      <c r="H350">
        <v>17</v>
      </c>
      <c r="I350">
        <v>6</v>
      </c>
      <c r="J350">
        <v>24286.54</v>
      </c>
      <c r="K350">
        <f>SUM(Table3[Total_Revenue])</f>
        <v>30761529.489999965</v>
      </c>
      <c r="L350">
        <f t="shared" si="65"/>
        <v>29009535.779999975</v>
      </c>
      <c r="M350">
        <f t="shared" si="66"/>
        <v>0.94304594930594943</v>
      </c>
      <c r="N350" t="str">
        <f t="shared" si="67"/>
        <v>No</v>
      </c>
      <c r="O350">
        <f t="shared" si="68"/>
        <v>47894.68</v>
      </c>
      <c r="P350">
        <f t="shared" si="69"/>
        <v>5</v>
      </c>
      <c r="Q350">
        <f t="shared" si="70"/>
        <v>172.5</v>
      </c>
      <c r="R350" t="str">
        <f t="shared" si="71"/>
        <v>High</v>
      </c>
      <c r="S350" t="str">
        <f t="shared" si="72"/>
        <v>Low</v>
      </c>
      <c r="T350" t="str">
        <f t="shared" si="73"/>
        <v>Low</v>
      </c>
      <c r="U350" t="str">
        <f t="shared" si="74"/>
        <v>Yes</v>
      </c>
      <c r="V350" t="str">
        <f t="shared" si="75"/>
        <v>No</v>
      </c>
      <c r="W350" t="str">
        <f t="shared" si="76"/>
        <v>No</v>
      </c>
      <c r="X350" t="str">
        <f t="shared" si="77"/>
        <v>No</v>
      </c>
    </row>
    <row r="351" spans="1:24" x14ac:dyDescent="0.3">
      <c r="A351" t="s">
        <v>435</v>
      </c>
      <c r="B351">
        <v>67</v>
      </c>
      <c r="C351" t="s">
        <v>511</v>
      </c>
      <c r="D351">
        <v>96077</v>
      </c>
      <c r="E351" t="s">
        <v>512</v>
      </c>
      <c r="F351">
        <v>34</v>
      </c>
      <c r="G351">
        <v>713.64</v>
      </c>
      <c r="H351">
        <v>201</v>
      </c>
      <c r="I351">
        <v>2</v>
      </c>
      <c r="J351">
        <v>24263.759999999998</v>
      </c>
      <c r="K351">
        <f>SUM(Table3[Total_Revenue])</f>
        <v>30761529.489999965</v>
      </c>
      <c r="L351">
        <f t="shared" si="65"/>
        <v>29033799.539999977</v>
      </c>
      <c r="M351">
        <f t="shared" si="66"/>
        <v>0.94383471892834059</v>
      </c>
      <c r="N351" t="str">
        <f t="shared" si="67"/>
        <v>No</v>
      </c>
      <c r="O351">
        <f t="shared" si="68"/>
        <v>47894.68</v>
      </c>
      <c r="P351">
        <f t="shared" si="69"/>
        <v>5</v>
      </c>
      <c r="Q351">
        <f t="shared" si="70"/>
        <v>172.5</v>
      </c>
      <c r="R351" t="str">
        <f t="shared" si="71"/>
        <v>Low</v>
      </c>
      <c r="S351" t="str">
        <f t="shared" si="72"/>
        <v>High</v>
      </c>
      <c r="T351" t="str">
        <f t="shared" si="73"/>
        <v>Low</v>
      </c>
      <c r="U351" t="str">
        <f t="shared" si="74"/>
        <v>No</v>
      </c>
      <c r="V351" t="str">
        <f t="shared" si="75"/>
        <v>No</v>
      </c>
      <c r="W351" t="str">
        <f t="shared" si="76"/>
        <v>No</v>
      </c>
      <c r="X351" t="str">
        <f t="shared" si="77"/>
        <v>Yes</v>
      </c>
    </row>
    <row r="352" spans="1:24" x14ac:dyDescent="0.3">
      <c r="A352" t="s">
        <v>152</v>
      </c>
      <c r="B352">
        <v>31</v>
      </c>
      <c r="C352" t="s">
        <v>510</v>
      </c>
      <c r="D352">
        <v>23596</v>
      </c>
      <c r="E352" t="s">
        <v>513</v>
      </c>
      <c r="F352">
        <v>46</v>
      </c>
      <c r="G352">
        <v>526.49</v>
      </c>
      <c r="H352">
        <v>220</v>
      </c>
      <c r="I352">
        <v>9</v>
      </c>
      <c r="J352">
        <v>24218.54</v>
      </c>
      <c r="K352">
        <f>SUM(Table3[Total_Revenue])</f>
        <v>30761529.489999965</v>
      </c>
      <c r="L352">
        <f t="shared" si="65"/>
        <v>29058018.079999976</v>
      </c>
      <c r="M352">
        <f t="shared" si="66"/>
        <v>0.94462201853279859</v>
      </c>
      <c r="N352" t="str">
        <f t="shared" si="67"/>
        <v>No</v>
      </c>
      <c r="O352">
        <f t="shared" si="68"/>
        <v>47894.68</v>
      </c>
      <c r="P352">
        <f t="shared" si="69"/>
        <v>5</v>
      </c>
      <c r="Q352">
        <f t="shared" si="70"/>
        <v>172.5</v>
      </c>
      <c r="R352" t="str">
        <f t="shared" si="71"/>
        <v>High</v>
      </c>
      <c r="S352" t="str">
        <f t="shared" si="72"/>
        <v>High</v>
      </c>
      <c r="T352" t="str">
        <f t="shared" si="73"/>
        <v>Low</v>
      </c>
      <c r="U352" t="str">
        <f t="shared" si="74"/>
        <v>Yes</v>
      </c>
      <c r="V352" t="str">
        <f t="shared" si="75"/>
        <v>No</v>
      </c>
      <c r="W352" t="str">
        <f t="shared" si="76"/>
        <v>No</v>
      </c>
      <c r="X352" t="str">
        <f t="shared" si="77"/>
        <v>No</v>
      </c>
    </row>
    <row r="353" spans="1:24" x14ac:dyDescent="0.3">
      <c r="A353" t="s">
        <v>268</v>
      </c>
      <c r="B353">
        <v>23</v>
      </c>
      <c r="C353" t="s">
        <v>510</v>
      </c>
      <c r="D353">
        <v>29865</v>
      </c>
      <c r="E353" t="s">
        <v>513</v>
      </c>
      <c r="F353">
        <v>27</v>
      </c>
      <c r="G353">
        <v>892.64</v>
      </c>
      <c r="H353">
        <v>42</v>
      </c>
      <c r="I353">
        <v>6</v>
      </c>
      <c r="J353">
        <v>24101.279999999999</v>
      </c>
      <c r="K353">
        <f>SUM(Table3[Total_Revenue])</f>
        <v>30761529.489999965</v>
      </c>
      <c r="L353">
        <f t="shared" si="65"/>
        <v>29082119.359999977</v>
      </c>
      <c r="M353">
        <f t="shared" si="66"/>
        <v>0.9454055062331691</v>
      </c>
      <c r="N353" t="str">
        <f t="shared" si="67"/>
        <v>No</v>
      </c>
      <c r="O353">
        <f t="shared" si="68"/>
        <v>47894.68</v>
      </c>
      <c r="P353">
        <f t="shared" si="69"/>
        <v>5</v>
      </c>
      <c r="Q353">
        <f t="shared" si="70"/>
        <v>172.5</v>
      </c>
      <c r="R353" t="str">
        <f t="shared" si="71"/>
        <v>High</v>
      </c>
      <c r="S353" t="str">
        <f t="shared" si="72"/>
        <v>Low</v>
      </c>
      <c r="T353" t="str">
        <f t="shared" si="73"/>
        <v>Low</v>
      </c>
      <c r="U353" t="str">
        <f t="shared" si="74"/>
        <v>Yes</v>
      </c>
      <c r="V353" t="str">
        <f t="shared" si="75"/>
        <v>No</v>
      </c>
      <c r="W353" t="str">
        <f t="shared" si="76"/>
        <v>No</v>
      </c>
      <c r="X353" t="str">
        <f t="shared" si="77"/>
        <v>No</v>
      </c>
    </row>
    <row r="354" spans="1:24" x14ac:dyDescent="0.3">
      <c r="A354" t="s">
        <v>280</v>
      </c>
      <c r="B354">
        <v>24</v>
      </c>
      <c r="C354" t="s">
        <v>510</v>
      </c>
      <c r="D354">
        <v>137512</v>
      </c>
      <c r="E354" t="s">
        <v>512</v>
      </c>
      <c r="F354">
        <v>30</v>
      </c>
      <c r="G354">
        <v>792.26</v>
      </c>
      <c r="H354">
        <v>8</v>
      </c>
      <c r="I354">
        <v>4</v>
      </c>
      <c r="J354">
        <v>23767.8</v>
      </c>
      <c r="K354">
        <f>SUM(Table3[Total_Revenue])</f>
        <v>30761529.489999965</v>
      </c>
      <c r="L354">
        <f t="shared" si="65"/>
        <v>29105887.159999978</v>
      </c>
      <c r="M354">
        <f t="shared" si="66"/>
        <v>0.94617815312017539</v>
      </c>
      <c r="N354" t="str">
        <f t="shared" si="67"/>
        <v>No</v>
      </c>
      <c r="O354">
        <f t="shared" si="68"/>
        <v>47894.68</v>
      </c>
      <c r="P354">
        <f t="shared" si="69"/>
        <v>5</v>
      </c>
      <c r="Q354">
        <f t="shared" si="70"/>
        <v>172.5</v>
      </c>
      <c r="R354" t="str">
        <f t="shared" si="71"/>
        <v>Low</v>
      </c>
      <c r="S354" t="str">
        <f t="shared" si="72"/>
        <v>Low</v>
      </c>
      <c r="T354" t="str">
        <f t="shared" si="73"/>
        <v>Low</v>
      </c>
      <c r="U354" t="str">
        <f t="shared" si="74"/>
        <v>No</v>
      </c>
      <c r="V354" t="str">
        <f t="shared" si="75"/>
        <v>No</v>
      </c>
      <c r="W354" t="str">
        <f t="shared" si="76"/>
        <v>No</v>
      </c>
      <c r="X354" t="str">
        <f t="shared" si="77"/>
        <v>Yes</v>
      </c>
    </row>
    <row r="355" spans="1:24" x14ac:dyDescent="0.3">
      <c r="A355" t="s">
        <v>137</v>
      </c>
      <c r="B355">
        <v>50</v>
      </c>
      <c r="C355" t="s">
        <v>511</v>
      </c>
      <c r="D355">
        <v>93688</v>
      </c>
      <c r="E355" t="s">
        <v>513</v>
      </c>
      <c r="F355">
        <v>43</v>
      </c>
      <c r="G355">
        <v>539.16999999999996</v>
      </c>
      <c r="H355">
        <v>297</v>
      </c>
      <c r="I355">
        <v>10</v>
      </c>
      <c r="J355">
        <v>23184.31</v>
      </c>
      <c r="K355">
        <f>SUM(Table3[Total_Revenue])</f>
        <v>30761529.489999965</v>
      </c>
      <c r="L355">
        <f t="shared" si="65"/>
        <v>29129071.469999976</v>
      </c>
      <c r="M355">
        <f t="shared" si="66"/>
        <v>0.94693183183460783</v>
      </c>
      <c r="N355" t="str">
        <f t="shared" si="67"/>
        <v>No</v>
      </c>
      <c r="O355">
        <f t="shared" si="68"/>
        <v>47894.68</v>
      </c>
      <c r="P355">
        <f t="shared" si="69"/>
        <v>5</v>
      </c>
      <c r="Q355">
        <f t="shared" si="70"/>
        <v>172.5</v>
      </c>
      <c r="R355" t="str">
        <f t="shared" si="71"/>
        <v>High</v>
      </c>
      <c r="S355" t="str">
        <f t="shared" si="72"/>
        <v>High</v>
      </c>
      <c r="T355" t="str">
        <f t="shared" si="73"/>
        <v>Low</v>
      </c>
      <c r="U355" t="str">
        <f t="shared" si="74"/>
        <v>Yes</v>
      </c>
      <c r="V355" t="str">
        <f t="shared" si="75"/>
        <v>No</v>
      </c>
      <c r="W355" t="str">
        <f t="shared" si="76"/>
        <v>No</v>
      </c>
      <c r="X355" t="str">
        <f t="shared" si="77"/>
        <v>No</v>
      </c>
    </row>
    <row r="356" spans="1:24" x14ac:dyDescent="0.3">
      <c r="A356" t="s">
        <v>458</v>
      </c>
      <c r="B356">
        <v>68</v>
      </c>
      <c r="C356" t="s">
        <v>510</v>
      </c>
      <c r="D356">
        <v>20126</v>
      </c>
      <c r="E356" t="s">
        <v>514</v>
      </c>
      <c r="F356">
        <v>14</v>
      </c>
      <c r="G356">
        <v>1652.92</v>
      </c>
      <c r="H356">
        <v>227</v>
      </c>
      <c r="I356">
        <v>6</v>
      </c>
      <c r="J356">
        <v>23140.880000000001</v>
      </c>
      <c r="K356">
        <f>SUM(Table3[Total_Revenue])</f>
        <v>30761529.489999965</v>
      </c>
      <c r="L356">
        <f t="shared" si="65"/>
        <v>29152212.349999975</v>
      </c>
      <c r="M356">
        <f t="shared" si="66"/>
        <v>0.9476840987206715</v>
      </c>
      <c r="N356" t="str">
        <f t="shared" si="67"/>
        <v>No</v>
      </c>
      <c r="O356">
        <f t="shared" si="68"/>
        <v>47894.68</v>
      </c>
      <c r="P356">
        <f t="shared" si="69"/>
        <v>5</v>
      </c>
      <c r="Q356">
        <f t="shared" si="70"/>
        <v>172.5</v>
      </c>
      <c r="R356" t="str">
        <f t="shared" si="71"/>
        <v>High</v>
      </c>
      <c r="S356" t="str">
        <f t="shared" si="72"/>
        <v>High</v>
      </c>
      <c r="T356" t="str">
        <f t="shared" si="73"/>
        <v>Low</v>
      </c>
      <c r="U356" t="str">
        <f t="shared" si="74"/>
        <v>Yes</v>
      </c>
      <c r="V356" t="str">
        <f t="shared" si="75"/>
        <v>No</v>
      </c>
      <c r="W356" t="str">
        <f t="shared" si="76"/>
        <v>No</v>
      </c>
      <c r="X356" t="str">
        <f t="shared" si="77"/>
        <v>No</v>
      </c>
    </row>
    <row r="357" spans="1:24" x14ac:dyDescent="0.3">
      <c r="A357" t="s">
        <v>187</v>
      </c>
      <c r="B357">
        <v>45</v>
      </c>
      <c r="C357" t="s">
        <v>510</v>
      </c>
      <c r="D357">
        <v>78656</v>
      </c>
      <c r="E357" t="s">
        <v>513</v>
      </c>
      <c r="F357">
        <v>17</v>
      </c>
      <c r="G357">
        <v>1358.73</v>
      </c>
      <c r="H357">
        <v>313</v>
      </c>
      <c r="I357">
        <v>8</v>
      </c>
      <c r="J357">
        <v>23098.41</v>
      </c>
      <c r="K357">
        <f>SUM(Table3[Total_Revenue])</f>
        <v>30761529.489999965</v>
      </c>
      <c r="L357">
        <f t="shared" si="65"/>
        <v>29175310.759999976</v>
      </c>
      <c r="M357">
        <f t="shared" si="66"/>
        <v>0.94843498498617762</v>
      </c>
      <c r="N357" t="str">
        <f t="shared" si="67"/>
        <v>No</v>
      </c>
      <c r="O357">
        <f t="shared" si="68"/>
        <v>47894.68</v>
      </c>
      <c r="P357">
        <f t="shared" si="69"/>
        <v>5</v>
      </c>
      <c r="Q357">
        <f t="shared" si="70"/>
        <v>172.5</v>
      </c>
      <c r="R357" t="str">
        <f t="shared" si="71"/>
        <v>High</v>
      </c>
      <c r="S357" t="str">
        <f t="shared" si="72"/>
        <v>High</v>
      </c>
      <c r="T357" t="str">
        <f t="shared" si="73"/>
        <v>Low</v>
      </c>
      <c r="U357" t="str">
        <f t="shared" si="74"/>
        <v>Yes</v>
      </c>
      <c r="V357" t="str">
        <f t="shared" si="75"/>
        <v>No</v>
      </c>
      <c r="W357" t="str">
        <f t="shared" si="76"/>
        <v>No</v>
      </c>
      <c r="X357" t="str">
        <f t="shared" si="77"/>
        <v>No</v>
      </c>
    </row>
    <row r="358" spans="1:24" x14ac:dyDescent="0.3">
      <c r="A358" t="s">
        <v>364</v>
      </c>
      <c r="B358">
        <v>55</v>
      </c>
      <c r="C358" t="s">
        <v>511</v>
      </c>
      <c r="D358">
        <v>103122</v>
      </c>
      <c r="E358" t="s">
        <v>512</v>
      </c>
      <c r="F358">
        <v>12</v>
      </c>
      <c r="G358">
        <v>1919.9</v>
      </c>
      <c r="H358">
        <v>279</v>
      </c>
      <c r="I358">
        <v>6</v>
      </c>
      <c r="J358">
        <v>23038.799999999999</v>
      </c>
      <c r="K358">
        <f>SUM(Table3[Total_Revenue])</f>
        <v>30761529.489999965</v>
      </c>
      <c r="L358">
        <f t="shared" si="65"/>
        <v>29198349.559999976</v>
      </c>
      <c r="M358">
        <f t="shared" si="66"/>
        <v>0.94918393344166607</v>
      </c>
      <c r="N358" t="str">
        <f t="shared" si="67"/>
        <v>No</v>
      </c>
      <c r="O358">
        <f t="shared" si="68"/>
        <v>47894.68</v>
      </c>
      <c r="P358">
        <f t="shared" si="69"/>
        <v>5</v>
      </c>
      <c r="Q358">
        <f t="shared" si="70"/>
        <v>172.5</v>
      </c>
      <c r="R358" t="str">
        <f t="shared" si="71"/>
        <v>High</v>
      </c>
      <c r="S358" t="str">
        <f t="shared" si="72"/>
        <v>High</v>
      </c>
      <c r="T358" t="str">
        <f t="shared" si="73"/>
        <v>Low</v>
      </c>
      <c r="U358" t="str">
        <f t="shared" si="74"/>
        <v>Yes</v>
      </c>
      <c r="V358" t="str">
        <f t="shared" si="75"/>
        <v>No</v>
      </c>
      <c r="W358" t="str">
        <f t="shared" si="76"/>
        <v>No</v>
      </c>
      <c r="X358" t="str">
        <f t="shared" si="77"/>
        <v>No</v>
      </c>
    </row>
    <row r="359" spans="1:24" x14ac:dyDescent="0.3">
      <c r="A359" t="s">
        <v>77</v>
      </c>
      <c r="B359">
        <v>57</v>
      </c>
      <c r="C359" t="s">
        <v>510</v>
      </c>
      <c r="D359">
        <v>148077</v>
      </c>
      <c r="E359" t="s">
        <v>513</v>
      </c>
      <c r="F359">
        <v>15</v>
      </c>
      <c r="G359">
        <v>1514.56</v>
      </c>
      <c r="H359">
        <v>183</v>
      </c>
      <c r="I359">
        <v>1</v>
      </c>
      <c r="J359">
        <v>22718.400000000001</v>
      </c>
      <c r="K359">
        <f>SUM(Table3[Total_Revenue])</f>
        <v>30761529.489999965</v>
      </c>
      <c r="L359">
        <f t="shared" si="65"/>
        <v>29221067.959999975</v>
      </c>
      <c r="M359">
        <f t="shared" si="66"/>
        <v>0.94992246629021593</v>
      </c>
      <c r="N359" t="str">
        <f t="shared" si="67"/>
        <v>No</v>
      </c>
      <c r="O359">
        <f t="shared" si="68"/>
        <v>47894.68</v>
      </c>
      <c r="P359">
        <f t="shared" si="69"/>
        <v>5</v>
      </c>
      <c r="Q359">
        <f t="shared" si="70"/>
        <v>172.5</v>
      </c>
      <c r="R359" t="str">
        <f t="shared" si="71"/>
        <v>Low</v>
      </c>
      <c r="S359" t="str">
        <f t="shared" si="72"/>
        <v>High</v>
      </c>
      <c r="T359" t="str">
        <f t="shared" si="73"/>
        <v>Low</v>
      </c>
      <c r="U359" t="str">
        <f t="shared" si="74"/>
        <v>No</v>
      </c>
      <c r="V359" t="str">
        <f t="shared" si="75"/>
        <v>No</v>
      </c>
      <c r="W359" t="str">
        <f t="shared" si="76"/>
        <v>No</v>
      </c>
      <c r="X359" t="str">
        <f t="shared" si="77"/>
        <v>Yes</v>
      </c>
    </row>
    <row r="360" spans="1:24" x14ac:dyDescent="0.3">
      <c r="A360" t="s">
        <v>50</v>
      </c>
      <c r="B360">
        <v>20</v>
      </c>
      <c r="C360" t="s">
        <v>511</v>
      </c>
      <c r="D360">
        <v>146146</v>
      </c>
      <c r="E360" t="s">
        <v>512</v>
      </c>
      <c r="F360">
        <v>18</v>
      </c>
      <c r="G360">
        <v>1249.3499999999999</v>
      </c>
      <c r="H360">
        <v>186</v>
      </c>
      <c r="I360">
        <v>1</v>
      </c>
      <c r="J360">
        <v>22488.3</v>
      </c>
      <c r="K360">
        <f>SUM(Table3[Total_Revenue])</f>
        <v>30761529.489999965</v>
      </c>
      <c r="L360">
        <f t="shared" si="65"/>
        <v>29243556.259999976</v>
      </c>
      <c r="M360">
        <f t="shared" si="66"/>
        <v>0.95065351901655426</v>
      </c>
      <c r="N360" t="str">
        <f t="shared" si="67"/>
        <v>No</v>
      </c>
      <c r="O360">
        <f t="shared" si="68"/>
        <v>47894.68</v>
      </c>
      <c r="P360">
        <f t="shared" si="69"/>
        <v>5</v>
      </c>
      <c r="Q360">
        <f t="shared" si="70"/>
        <v>172.5</v>
      </c>
      <c r="R360" t="str">
        <f t="shared" si="71"/>
        <v>Low</v>
      </c>
      <c r="S360" t="str">
        <f t="shared" si="72"/>
        <v>High</v>
      </c>
      <c r="T360" t="str">
        <f t="shared" si="73"/>
        <v>Low</v>
      </c>
      <c r="U360" t="str">
        <f t="shared" si="74"/>
        <v>No</v>
      </c>
      <c r="V360" t="str">
        <f t="shared" si="75"/>
        <v>No</v>
      </c>
      <c r="W360" t="str">
        <f t="shared" si="76"/>
        <v>No</v>
      </c>
      <c r="X360" t="str">
        <f t="shared" si="77"/>
        <v>Yes</v>
      </c>
    </row>
    <row r="361" spans="1:24" x14ac:dyDescent="0.3">
      <c r="A361" t="s">
        <v>414</v>
      </c>
      <c r="B361">
        <v>67</v>
      </c>
      <c r="C361" t="s">
        <v>511</v>
      </c>
      <c r="D361">
        <v>23756</v>
      </c>
      <c r="E361" t="s">
        <v>512</v>
      </c>
      <c r="F361">
        <v>12</v>
      </c>
      <c r="G361">
        <v>1838.72</v>
      </c>
      <c r="H361">
        <v>46</v>
      </c>
      <c r="I361">
        <v>2</v>
      </c>
      <c r="J361">
        <v>22064.639999999999</v>
      </c>
      <c r="K361">
        <f>SUM(Table3[Total_Revenue])</f>
        <v>30761529.489999965</v>
      </c>
      <c r="L361">
        <f t="shared" si="65"/>
        <v>29265620.899999976</v>
      </c>
      <c r="M361">
        <f t="shared" si="66"/>
        <v>0.95137079934577762</v>
      </c>
      <c r="N361" t="str">
        <f t="shared" si="67"/>
        <v>No</v>
      </c>
      <c r="O361">
        <f t="shared" si="68"/>
        <v>47894.68</v>
      </c>
      <c r="P361">
        <f t="shared" si="69"/>
        <v>5</v>
      </c>
      <c r="Q361">
        <f t="shared" si="70"/>
        <v>172.5</v>
      </c>
      <c r="R361" t="str">
        <f t="shared" si="71"/>
        <v>Low</v>
      </c>
      <c r="S361" t="str">
        <f t="shared" si="72"/>
        <v>Low</v>
      </c>
      <c r="T361" t="str">
        <f t="shared" si="73"/>
        <v>Low</v>
      </c>
      <c r="U361" t="str">
        <f t="shared" si="74"/>
        <v>No</v>
      </c>
      <c r="V361" t="str">
        <f t="shared" si="75"/>
        <v>No</v>
      </c>
      <c r="W361" t="str">
        <f t="shared" si="76"/>
        <v>No</v>
      </c>
      <c r="X361" t="str">
        <f t="shared" si="77"/>
        <v>Yes</v>
      </c>
    </row>
    <row r="362" spans="1:24" x14ac:dyDescent="0.3">
      <c r="A362" t="s">
        <v>200</v>
      </c>
      <c r="B362">
        <v>42</v>
      </c>
      <c r="C362" t="s">
        <v>510</v>
      </c>
      <c r="D362">
        <v>33918</v>
      </c>
      <c r="E362" t="s">
        <v>512</v>
      </c>
      <c r="F362">
        <v>7</v>
      </c>
      <c r="G362">
        <v>3055.78</v>
      </c>
      <c r="H362">
        <v>178</v>
      </c>
      <c r="I362">
        <v>4</v>
      </c>
      <c r="J362">
        <v>21390.46</v>
      </c>
      <c r="K362">
        <f>SUM(Table3[Total_Revenue])</f>
        <v>30761529.489999965</v>
      </c>
      <c r="L362">
        <f t="shared" si="65"/>
        <v>29287011.359999977</v>
      </c>
      <c r="M362">
        <f t="shared" si="66"/>
        <v>0.95206616333952676</v>
      </c>
      <c r="N362" t="str">
        <f t="shared" si="67"/>
        <v>No</v>
      </c>
      <c r="O362">
        <f t="shared" si="68"/>
        <v>47894.68</v>
      </c>
      <c r="P362">
        <f t="shared" si="69"/>
        <v>5</v>
      </c>
      <c r="Q362">
        <f t="shared" si="70"/>
        <v>172.5</v>
      </c>
      <c r="R362" t="str">
        <f t="shared" si="71"/>
        <v>Low</v>
      </c>
      <c r="S362" t="str">
        <f t="shared" si="72"/>
        <v>High</v>
      </c>
      <c r="T362" t="str">
        <f t="shared" si="73"/>
        <v>Low</v>
      </c>
      <c r="U362" t="str">
        <f t="shared" si="74"/>
        <v>No</v>
      </c>
      <c r="V362" t="str">
        <f t="shared" si="75"/>
        <v>No</v>
      </c>
      <c r="W362" t="str">
        <f t="shared" si="76"/>
        <v>No</v>
      </c>
      <c r="X362" t="str">
        <f t="shared" si="77"/>
        <v>Yes</v>
      </c>
    </row>
    <row r="363" spans="1:24" x14ac:dyDescent="0.3">
      <c r="A363" t="s">
        <v>110</v>
      </c>
      <c r="B363">
        <v>62</v>
      </c>
      <c r="C363" t="s">
        <v>511</v>
      </c>
      <c r="D363">
        <v>48699</v>
      </c>
      <c r="E363" t="s">
        <v>512</v>
      </c>
      <c r="F363">
        <v>33</v>
      </c>
      <c r="G363">
        <v>633.70000000000005</v>
      </c>
      <c r="H363">
        <v>254</v>
      </c>
      <c r="I363">
        <v>7</v>
      </c>
      <c r="J363">
        <v>20912.099999999999</v>
      </c>
      <c r="K363">
        <f>SUM(Table3[Total_Revenue])</f>
        <v>30761529.489999965</v>
      </c>
      <c r="L363">
        <f t="shared" si="65"/>
        <v>29307923.459999979</v>
      </c>
      <c r="M363">
        <f t="shared" si="66"/>
        <v>0.95274597674109385</v>
      </c>
      <c r="N363" t="str">
        <f t="shared" si="67"/>
        <v>No</v>
      </c>
      <c r="O363">
        <f t="shared" si="68"/>
        <v>47894.68</v>
      </c>
      <c r="P363">
        <f t="shared" si="69"/>
        <v>5</v>
      </c>
      <c r="Q363">
        <f t="shared" si="70"/>
        <v>172.5</v>
      </c>
      <c r="R363" t="str">
        <f t="shared" si="71"/>
        <v>High</v>
      </c>
      <c r="S363" t="str">
        <f t="shared" si="72"/>
        <v>High</v>
      </c>
      <c r="T363" t="str">
        <f t="shared" si="73"/>
        <v>Low</v>
      </c>
      <c r="U363" t="str">
        <f t="shared" si="74"/>
        <v>Yes</v>
      </c>
      <c r="V363" t="str">
        <f t="shared" si="75"/>
        <v>No</v>
      </c>
      <c r="W363" t="str">
        <f t="shared" si="76"/>
        <v>No</v>
      </c>
      <c r="X363" t="str">
        <f t="shared" si="77"/>
        <v>No</v>
      </c>
    </row>
    <row r="364" spans="1:24" x14ac:dyDescent="0.3">
      <c r="A364" t="s">
        <v>184</v>
      </c>
      <c r="B364">
        <v>24</v>
      </c>
      <c r="C364" t="s">
        <v>510</v>
      </c>
      <c r="D364">
        <v>132581</v>
      </c>
      <c r="E364" t="s">
        <v>515</v>
      </c>
      <c r="F364">
        <v>17</v>
      </c>
      <c r="G364">
        <v>1228.21</v>
      </c>
      <c r="H364">
        <v>199</v>
      </c>
      <c r="I364">
        <v>1</v>
      </c>
      <c r="J364">
        <v>20879.57</v>
      </c>
      <c r="K364">
        <f>SUM(Table3[Total_Revenue])</f>
        <v>30761529.489999965</v>
      </c>
      <c r="L364">
        <f t="shared" si="65"/>
        <v>29328803.029999979</v>
      </c>
      <c r="M364">
        <f t="shared" si="66"/>
        <v>0.95342473265298011</v>
      </c>
      <c r="N364" t="str">
        <f t="shared" si="67"/>
        <v>No</v>
      </c>
      <c r="O364">
        <f t="shared" si="68"/>
        <v>47894.68</v>
      </c>
      <c r="P364">
        <f t="shared" si="69"/>
        <v>5</v>
      </c>
      <c r="Q364">
        <f t="shared" si="70"/>
        <v>172.5</v>
      </c>
      <c r="R364" t="str">
        <f t="shared" si="71"/>
        <v>Low</v>
      </c>
      <c r="S364" t="str">
        <f t="shared" si="72"/>
        <v>High</v>
      </c>
      <c r="T364" t="str">
        <f t="shared" si="73"/>
        <v>Low</v>
      </c>
      <c r="U364" t="str">
        <f t="shared" si="74"/>
        <v>No</v>
      </c>
      <c r="V364" t="str">
        <f t="shared" si="75"/>
        <v>No</v>
      </c>
      <c r="W364" t="str">
        <f t="shared" si="76"/>
        <v>No</v>
      </c>
      <c r="X364" t="str">
        <f t="shared" si="77"/>
        <v>Yes</v>
      </c>
    </row>
    <row r="365" spans="1:24" x14ac:dyDescent="0.3">
      <c r="A365" t="s">
        <v>208</v>
      </c>
      <c r="B365">
        <v>20</v>
      </c>
      <c r="C365" t="s">
        <v>510</v>
      </c>
      <c r="D365">
        <v>135751</v>
      </c>
      <c r="E365" t="s">
        <v>514</v>
      </c>
      <c r="F365">
        <v>11</v>
      </c>
      <c r="G365">
        <v>1898.08</v>
      </c>
      <c r="H365">
        <v>61</v>
      </c>
      <c r="I365">
        <v>10</v>
      </c>
      <c r="J365">
        <v>20878.88</v>
      </c>
      <c r="K365">
        <f>SUM(Table3[Total_Revenue])</f>
        <v>30761529.489999965</v>
      </c>
      <c r="L365">
        <f t="shared" si="65"/>
        <v>29349681.909999978</v>
      </c>
      <c r="M365">
        <f t="shared" si="66"/>
        <v>0.95410346613425212</v>
      </c>
      <c r="N365" t="str">
        <f t="shared" si="67"/>
        <v>No</v>
      </c>
      <c r="O365">
        <f t="shared" si="68"/>
        <v>47894.68</v>
      </c>
      <c r="P365">
        <f t="shared" si="69"/>
        <v>5</v>
      </c>
      <c r="Q365">
        <f t="shared" si="70"/>
        <v>172.5</v>
      </c>
      <c r="R365" t="str">
        <f t="shared" si="71"/>
        <v>High</v>
      </c>
      <c r="S365" t="str">
        <f t="shared" si="72"/>
        <v>Low</v>
      </c>
      <c r="T365" t="str">
        <f t="shared" si="73"/>
        <v>Low</v>
      </c>
      <c r="U365" t="str">
        <f t="shared" si="74"/>
        <v>Yes</v>
      </c>
      <c r="V365" t="str">
        <f t="shared" si="75"/>
        <v>No</v>
      </c>
      <c r="W365" t="str">
        <f t="shared" si="76"/>
        <v>No</v>
      </c>
      <c r="X365" t="str">
        <f t="shared" si="77"/>
        <v>No</v>
      </c>
    </row>
    <row r="366" spans="1:24" x14ac:dyDescent="0.3">
      <c r="A366" t="s">
        <v>224</v>
      </c>
      <c r="B366">
        <v>58</v>
      </c>
      <c r="C366" t="s">
        <v>510</v>
      </c>
      <c r="D366">
        <v>104471</v>
      </c>
      <c r="E366" t="s">
        <v>514</v>
      </c>
      <c r="F366">
        <v>11</v>
      </c>
      <c r="G366">
        <v>1878.43</v>
      </c>
      <c r="H366">
        <v>2</v>
      </c>
      <c r="I366">
        <v>4</v>
      </c>
      <c r="J366">
        <v>20662.73</v>
      </c>
      <c r="K366">
        <f>SUM(Table3[Total_Revenue])</f>
        <v>30761529.489999965</v>
      </c>
      <c r="L366">
        <f t="shared" si="65"/>
        <v>29370344.639999978</v>
      </c>
      <c r="M366">
        <f t="shared" si="66"/>
        <v>0.95477517298181691</v>
      </c>
      <c r="N366" t="str">
        <f t="shared" si="67"/>
        <v>No</v>
      </c>
      <c r="O366">
        <f t="shared" si="68"/>
        <v>47894.68</v>
      </c>
      <c r="P366">
        <f t="shared" si="69"/>
        <v>5</v>
      </c>
      <c r="Q366">
        <f t="shared" si="70"/>
        <v>172.5</v>
      </c>
      <c r="R366" t="str">
        <f t="shared" si="71"/>
        <v>Low</v>
      </c>
      <c r="S366" t="str">
        <f t="shared" si="72"/>
        <v>Low</v>
      </c>
      <c r="T366" t="str">
        <f t="shared" si="73"/>
        <v>Low</v>
      </c>
      <c r="U366" t="str">
        <f t="shared" si="74"/>
        <v>No</v>
      </c>
      <c r="V366" t="str">
        <f t="shared" si="75"/>
        <v>No</v>
      </c>
      <c r="W366" t="str">
        <f t="shared" si="76"/>
        <v>No</v>
      </c>
      <c r="X366" t="str">
        <f t="shared" si="77"/>
        <v>Yes</v>
      </c>
    </row>
    <row r="367" spans="1:24" x14ac:dyDescent="0.3">
      <c r="A367" t="s">
        <v>270</v>
      </c>
      <c r="B367">
        <v>46</v>
      </c>
      <c r="C367" t="s">
        <v>511</v>
      </c>
      <c r="D367">
        <v>59809</v>
      </c>
      <c r="E367" t="s">
        <v>513</v>
      </c>
      <c r="F367">
        <v>7</v>
      </c>
      <c r="G367">
        <v>2915.48</v>
      </c>
      <c r="H367">
        <v>262</v>
      </c>
      <c r="I367">
        <v>5</v>
      </c>
      <c r="J367">
        <v>20408.36</v>
      </c>
      <c r="K367">
        <f>SUM(Table3[Total_Revenue])</f>
        <v>30761529.489999965</v>
      </c>
      <c r="L367">
        <f t="shared" si="65"/>
        <v>29390752.999999978</v>
      </c>
      <c r="M367">
        <f t="shared" si="66"/>
        <v>0.95543861073469694</v>
      </c>
      <c r="N367" t="str">
        <f t="shared" si="67"/>
        <v>No</v>
      </c>
      <c r="O367">
        <f t="shared" si="68"/>
        <v>47894.68</v>
      </c>
      <c r="P367">
        <f t="shared" si="69"/>
        <v>5</v>
      </c>
      <c r="Q367">
        <f t="shared" si="70"/>
        <v>172.5</v>
      </c>
      <c r="R367" t="str">
        <f t="shared" si="71"/>
        <v>Medium</v>
      </c>
      <c r="S367" t="str">
        <f t="shared" si="72"/>
        <v>High</v>
      </c>
      <c r="T367" t="str">
        <f t="shared" si="73"/>
        <v>Low</v>
      </c>
      <c r="U367" t="str">
        <f t="shared" si="74"/>
        <v>Yes</v>
      </c>
      <c r="V367" t="str">
        <f t="shared" si="75"/>
        <v>No</v>
      </c>
      <c r="W367" t="str">
        <f t="shared" si="76"/>
        <v>No</v>
      </c>
      <c r="X367" t="str">
        <f t="shared" si="77"/>
        <v>No</v>
      </c>
    </row>
    <row r="368" spans="1:24" x14ac:dyDescent="0.3">
      <c r="A368" t="s">
        <v>408</v>
      </c>
      <c r="B368">
        <v>59</v>
      </c>
      <c r="C368" t="s">
        <v>511</v>
      </c>
      <c r="D368">
        <v>40103</v>
      </c>
      <c r="E368" t="s">
        <v>512</v>
      </c>
      <c r="F368">
        <v>10</v>
      </c>
      <c r="G368">
        <v>1999.22</v>
      </c>
      <c r="H368">
        <v>225</v>
      </c>
      <c r="I368">
        <v>10</v>
      </c>
      <c r="J368">
        <v>19992.2</v>
      </c>
      <c r="K368">
        <f>SUM(Table3[Total_Revenue])</f>
        <v>30761529.489999965</v>
      </c>
      <c r="L368">
        <f t="shared" si="65"/>
        <v>29410745.199999977</v>
      </c>
      <c r="M368">
        <f t="shared" si="66"/>
        <v>0.95608851990148591</v>
      </c>
      <c r="N368" t="str">
        <f t="shared" si="67"/>
        <v>No</v>
      </c>
      <c r="O368">
        <f t="shared" si="68"/>
        <v>47894.68</v>
      </c>
      <c r="P368">
        <f t="shared" si="69"/>
        <v>5</v>
      </c>
      <c r="Q368">
        <f t="shared" si="70"/>
        <v>172.5</v>
      </c>
      <c r="R368" t="str">
        <f t="shared" si="71"/>
        <v>High</v>
      </c>
      <c r="S368" t="str">
        <f t="shared" si="72"/>
        <v>High</v>
      </c>
      <c r="T368" t="str">
        <f t="shared" si="73"/>
        <v>Low</v>
      </c>
      <c r="U368" t="str">
        <f t="shared" si="74"/>
        <v>Yes</v>
      </c>
      <c r="V368" t="str">
        <f t="shared" si="75"/>
        <v>No</v>
      </c>
      <c r="W368" t="str">
        <f t="shared" si="76"/>
        <v>No</v>
      </c>
      <c r="X368" t="str">
        <f t="shared" si="77"/>
        <v>No</v>
      </c>
    </row>
    <row r="369" spans="1:24" x14ac:dyDescent="0.3">
      <c r="A369" t="s">
        <v>167</v>
      </c>
      <c r="B369">
        <v>49</v>
      </c>
      <c r="C369" t="s">
        <v>510</v>
      </c>
      <c r="D369">
        <v>93479</v>
      </c>
      <c r="E369" t="s">
        <v>513</v>
      </c>
      <c r="F369">
        <v>7</v>
      </c>
      <c r="G369">
        <v>2827.52</v>
      </c>
      <c r="H369">
        <v>184</v>
      </c>
      <c r="I369">
        <v>8</v>
      </c>
      <c r="J369">
        <v>19792.64</v>
      </c>
      <c r="K369">
        <f>SUM(Table3[Total_Revenue])</f>
        <v>30761529.489999965</v>
      </c>
      <c r="L369">
        <f t="shared" si="65"/>
        <v>29430537.839999977</v>
      </c>
      <c r="M369">
        <f t="shared" si="66"/>
        <v>0.95673194174455245</v>
      </c>
      <c r="N369" t="str">
        <f t="shared" si="67"/>
        <v>No</v>
      </c>
      <c r="O369">
        <f t="shared" si="68"/>
        <v>47894.68</v>
      </c>
      <c r="P369">
        <f t="shared" si="69"/>
        <v>5</v>
      </c>
      <c r="Q369">
        <f t="shared" si="70"/>
        <v>172.5</v>
      </c>
      <c r="R369" t="str">
        <f t="shared" si="71"/>
        <v>High</v>
      </c>
      <c r="S369" t="str">
        <f t="shared" si="72"/>
        <v>High</v>
      </c>
      <c r="T369" t="str">
        <f t="shared" si="73"/>
        <v>Low</v>
      </c>
      <c r="U369" t="str">
        <f t="shared" si="74"/>
        <v>Yes</v>
      </c>
      <c r="V369" t="str">
        <f t="shared" si="75"/>
        <v>No</v>
      </c>
      <c r="W369" t="str">
        <f t="shared" si="76"/>
        <v>No</v>
      </c>
      <c r="X369" t="str">
        <f t="shared" si="77"/>
        <v>No</v>
      </c>
    </row>
    <row r="370" spans="1:24" x14ac:dyDescent="0.3">
      <c r="A370" t="s">
        <v>80</v>
      </c>
      <c r="B370">
        <v>23</v>
      </c>
      <c r="C370" t="s">
        <v>510</v>
      </c>
      <c r="D370">
        <v>101818</v>
      </c>
      <c r="E370" t="s">
        <v>513</v>
      </c>
      <c r="F370">
        <v>5</v>
      </c>
      <c r="G370">
        <v>3849.44</v>
      </c>
      <c r="H370">
        <v>116</v>
      </c>
      <c r="I370">
        <v>8</v>
      </c>
      <c r="J370">
        <v>19247.2</v>
      </c>
      <c r="K370">
        <f>SUM(Table3[Total_Revenue])</f>
        <v>30761529.489999965</v>
      </c>
      <c r="L370">
        <f t="shared" si="65"/>
        <v>29449785.039999977</v>
      </c>
      <c r="M370">
        <f t="shared" si="66"/>
        <v>0.95735763234963944</v>
      </c>
      <c r="N370" t="str">
        <f t="shared" si="67"/>
        <v>No</v>
      </c>
      <c r="O370">
        <f t="shared" si="68"/>
        <v>47894.68</v>
      </c>
      <c r="P370">
        <f t="shared" si="69"/>
        <v>5</v>
      </c>
      <c r="Q370">
        <f t="shared" si="70"/>
        <v>172.5</v>
      </c>
      <c r="R370" t="str">
        <f t="shared" si="71"/>
        <v>High</v>
      </c>
      <c r="S370" t="str">
        <f t="shared" si="72"/>
        <v>Low</v>
      </c>
      <c r="T370" t="str">
        <f t="shared" si="73"/>
        <v>Low</v>
      </c>
      <c r="U370" t="str">
        <f t="shared" si="74"/>
        <v>Yes</v>
      </c>
      <c r="V370" t="str">
        <f t="shared" si="75"/>
        <v>No</v>
      </c>
      <c r="W370" t="str">
        <f t="shared" si="76"/>
        <v>No</v>
      </c>
      <c r="X370" t="str">
        <f t="shared" si="77"/>
        <v>No</v>
      </c>
    </row>
    <row r="371" spans="1:24" x14ac:dyDescent="0.3">
      <c r="A371" t="s">
        <v>91</v>
      </c>
      <c r="B371">
        <v>48</v>
      </c>
      <c r="C371" t="s">
        <v>510</v>
      </c>
      <c r="D371">
        <v>39262</v>
      </c>
      <c r="E371" t="s">
        <v>514</v>
      </c>
      <c r="F371">
        <v>6</v>
      </c>
      <c r="G371">
        <v>3188.02</v>
      </c>
      <c r="H371">
        <v>148</v>
      </c>
      <c r="I371">
        <v>7</v>
      </c>
      <c r="J371">
        <v>19128.12</v>
      </c>
      <c r="K371">
        <f>SUM(Table3[Total_Revenue])</f>
        <v>30761529.489999965</v>
      </c>
      <c r="L371">
        <f t="shared" si="65"/>
        <v>29468913.159999978</v>
      </c>
      <c r="M371">
        <f t="shared" si="66"/>
        <v>0.95797945188583056</v>
      </c>
      <c r="N371" t="str">
        <f t="shared" si="67"/>
        <v>No</v>
      </c>
      <c r="O371">
        <f t="shared" si="68"/>
        <v>47894.68</v>
      </c>
      <c r="P371">
        <f t="shared" si="69"/>
        <v>5</v>
      </c>
      <c r="Q371">
        <f t="shared" si="70"/>
        <v>172.5</v>
      </c>
      <c r="R371" t="str">
        <f t="shared" si="71"/>
        <v>High</v>
      </c>
      <c r="S371" t="str">
        <f t="shared" si="72"/>
        <v>Low</v>
      </c>
      <c r="T371" t="str">
        <f t="shared" si="73"/>
        <v>Low</v>
      </c>
      <c r="U371" t="str">
        <f t="shared" si="74"/>
        <v>Yes</v>
      </c>
      <c r="V371" t="str">
        <f t="shared" si="75"/>
        <v>No</v>
      </c>
      <c r="W371" t="str">
        <f t="shared" si="76"/>
        <v>No</v>
      </c>
      <c r="X371" t="str">
        <f t="shared" si="77"/>
        <v>No</v>
      </c>
    </row>
    <row r="372" spans="1:24" x14ac:dyDescent="0.3">
      <c r="A372" t="s">
        <v>326</v>
      </c>
      <c r="B372">
        <v>53</v>
      </c>
      <c r="C372" t="s">
        <v>511</v>
      </c>
      <c r="D372">
        <v>145501</v>
      </c>
      <c r="E372" t="s">
        <v>514</v>
      </c>
      <c r="F372">
        <v>20</v>
      </c>
      <c r="G372">
        <v>936.26</v>
      </c>
      <c r="H372">
        <v>247</v>
      </c>
      <c r="I372">
        <v>10</v>
      </c>
      <c r="J372">
        <v>18725.2</v>
      </c>
      <c r="K372">
        <f>SUM(Table3[Total_Revenue])</f>
        <v>30761529.489999965</v>
      </c>
      <c r="L372">
        <f t="shared" si="65"/>
        <v>29487638.359999977</v>
      </c>
      <c r="M372">
        <f t="shared" si="66"/>
        <v>0.95858817324365786</v>
      </c>
      <c r="N372" t="str">
        <f t="shared" si="67"/>
        <v>No</v>
      </c>
      <c r="O372">
        <f t="shared" si="68"/>
        <v>47894.68</v>
      </c>
      <c r="P372">
        <f t="shared" si="69"/>
        <v>5</v>
      </c>
      <c r="Q372">
        <f t="shared" si="70"/>
        <v>172.5</v>
      </c>
      <c r="R372" t="str">
        <f t="shared" si="71"/>
        <v>High</v>
      </c>
      <c r="S372" t="str">
        <f t="shared" si="72"/>
        <v>High</v>
      </c>
      <c r="T372" t="str">
        <f t="shared" si="73"/>
        <v>Low</v>
      </c>
      <c r="U372" t="str">
        <f t="shared" si="74"/>
        <v>Yes</v>
      </c>
      <c r="V372" t="str">
        <f t="shared" si="75"/>
        <v>No</v>
      </c>
      <c r="W372" t="str">
        <f t="shared" si="76"/>
        <v>No</v>
      </c>
      <c r="X372" t="str">
        <f t="shared" si="77"/>
        <v>No</v>
      </c>
    </row>
    <row r="373" spans="1:24" x14ac:dyDescent="0.3">
      <c r="A373" t="s">
        <v>177</v>
      </c>
      <c r="B373">
        <v>62</v>
      </c>
      <c r="C373" t="s">
        <v>511</v>
      </c>
      <c r="D373">
        <v>74553</v>
      </c>
      <c r="E373" t="s">
        <v>512</v>
      </c>
      <c r="F373">
        <v>22</v>
      </c>
      <c r="G373">
        <v>849.62</v>
      </c>
      <c r="H373">
        <v>70</v>
      </c>
      <c r="I373">
        <v>1</v>
      </c>
      <c r="J373">
        <v>18691.64</v>
      </c>
      <c r="K373">
        <f>SUM(Table3[Total_Revenue])</f>
        <v>30761529.489999965</v>
      </c>
      <c r="L373">
        <f t="shared" si="65"/>
        <v>29506329.999999978</v>
      </c>
      <c r="M373">
        <f t="shared" si="66"/>
        <v>0.95919580362842394</v>
      </c>
      <c r="N373" t="str">
        <f t="shared" si="67"/>
        <v>No</v>
      </c>
      <c r="O373">
        <f t="shared" si="68"/>
        <v>47894.68</v>
      </c>
      <c r="P373">
        <f t="shared" si="69"/>
        <v>5</v>
      </c>
      <c r="Q373">
        <f t="shared" si="70"/>
        <v>172.5</v>
      </c>
      <c r="R373" t="str">
        <f t="shared" si="71"/>
        <v>Low</v>
      </c>
      <c r="S373" t="str">
        <f t="shared" si="72"/>
        <v>Low</v>
      </c>
      <c r="T373" t="str">
        <f t="shared" si="73"/>
        <v>Low</v>
      </c>
      <c r="U373" t="str">
        <f t="shared" si="74"/>
        <v>No</v>
      </c>
      <c r="V373" t="str">
        <f t="shared" si="75"/>
        <v>No</v>
      </c>
      <c r="W373" t="str">
        <f t="shared" si="76"/>
        <v>No</v>
      </c>
      <c r="X373" t="str">
        <f t="shared" si="77"/>
        <v>Yes</v>
      </c>
    </row>
    <row r="374" spans="1:24" x14ac:dyDescent="0.3">
      <c r="A374" t="s">
        <v>305</v>
      </c>
      <c r="B374">
        <v>18</v>
      </c>
      <c r="C374" t="s">
        <v>511</v>
      </c>
      <c r="D374">
        <v>25415</v>
      </c>
      <c r="E374" t="s">
        <v>515</v>
      </c>
      <c r="F374">
        <v>38</v>
      </c>
      <c r="G374">
        <v>491.83</v>
      </c>
      <c r="H374">
        <v>107</v>
      </c>
      <c r="I374">
        <v>4</v>
      </c>
      <c r="J374">
        <v>18689.54</v>
      </c>
      <c r="K374">
        <f>SUM(Table3[Total_Revenue])</f>
        <v>30761529.489999965</v>
      </c>
      <c r="L374">
        <f t="shared" si="65"/>
        <v>29525019.539999977</v>
      </c>
      <c r="M374">
        <f t="shared" si="66"/>
        <v>0.95980336574610325</v>
      </c>
      <c r="N374" t="str">
        <f t="shared" si="67"/>
        <v>No</v>
      </c>
      <c r="O374">
        <f t="shared" si="68"/>
        <v>47894.68</v>
      </c>
      <c r="P374">
        <f t="shared" si="69"/>
        <v>5</v>
      </c>
      <c r="Q374">
        <f t="shared" si="70"/>
        <v>172.5</v>
      </c>
      <c r="R374" t="str">
        <f t="shared" si="71"/>
        <v>Low</v>
      </c>
      <c r="S374" t="str">
        <f t="shared" si="72"/>
        <v>Low</v>
      </c>
      <c r="T374" t="str">
        <f t="shared" si="73"/>
        <v>Low</v>
      </c>
      <c r="U374" t="str">
        <f t="shared" si="74"/>
        <v>No</v>
      </c>
      <c r="V374" t="str">
        <f t="shared" si="75"/>
        <v>No</v>
      </c>
      <c r="W374" t="str">
        <f t="shared" si="76"/>
        <v>No</v>
      </c>
      <c r="X374" t="str">
        <f t="shared" si="77"/>
        <v>Yes</v>
      </c>
    </row>
    <row r="375" spans="1:24" x14ac:dyDescent="0.3">
      <c r="A375" t="s">
        <v>375</v>
      </c>
      <c r="B375">
        <v>64</v>
      </c>
      <c r="C375" t="s">
        <v>511</v>
      </c>
      <c r="D375">
        <v>29446</v>
      </c>
      <c r="E375" t="s">
        <v>514</v>
      </c>
      <c r="F375">
        <v>6</v>
      </c>
      <c r="G375">
        <v>3109</v>
      </c>
      <c r="H375">
        <v>212</v>
      </c>
      <c r="I375">
        <v>2</v>
      </c>
      <c r="J375">
        <v>18654</v>
      </c>
      <c r="K375">
        <f>SUM(Table3[Total_Revenue])</f>
        <v>30761529.489999965</v>
      </c>
      <c r="L375">
        <f t="shared" si="65"/>
        <v>29543673.539999977</v>
      </c>
      <c r="M375">
        <f t="shared" si="66"/>
        <v>0.96040977252461091</v>
      </c>
      <c r="N375" t="str">
        <f t="shared" si="67"/>
        <v>No</v>
      </c>
      <c r="O375">
        <f t="shared" si="68"/>
        <v>47894.68</v>
      </c>
      <c r="P375">
        <f t="shared" si="69"/>
        <v>5</v>
      </c>
      <c r="Q375">
        <f t="shared" si="70"/>
        <v>172.5</v>
      </c>
      <c r="R375" t="str">
        <f t="shared" si="71"/>
        <v>Low</v>
      </c>
      <c r="S375" t="str">
        <f t="shared" si="72"/>
        <v>High</v>
      </c>
      <c r="T375" t="str">
        <f t="shared" si="73"/>
        <v>Low</v>
      </c>
      <c r="U375" t="str">
        <f t="shared" si="74"/>
        <v>No</v>
      </c>
      <c r="V375" t="str">
        <f t="shared" si="75"/>
        <v>No</v>
      </c>
      <c r="W375" t="str">
        <f t="shared" si="76"/>
        <v>No</v>
      </c>
      <c r="X375" t="str">
        <f t="shared" si="77"/>
        <v>Yes</v>
      </c>
    </row>
    <row r="376" spans="1:24" x14ac:dyDescent="0.3">
      <c r="A376" t="s">
        <v>147</v>
      </c>
      <c r="B376">
        <v>52</v>
      </c>
      <c r="C376" t="s">
        <v>511</v>
      </c>
      <c r="D376">
        <v>76793</v>
      </c>
      <c r="E376" t="s">
        <v>514</v>
      </c>
      <c r="F376">
        <v>12</v>
      </c>
      <c r="G376">
        <v>1546.86</v>
      </c>
      <c r="H376">
        <v>36</v>
      </c>
      <c r="I376">
        <v>6</v>
      </c>
      <c r="J376">
        <v>18562.32</v>
      </c>
      <c r="K376">
        <f>SUM(Table3[Total_Revenue])</f>
        <v>30761529.489999965</v>
      </c>
      <c r="L376">
        <f t="shared" si="65"/>
        <v>29562235.859999977</v>
      </c>
      <c r="M376">
        <f t="shared" si="66"/>
        <v>0.96101319895716308</v>
      </c>
      <c r="N376" t="str">
        <f t="shared" si="67"/>
        <v>No</v>
      </c>
      <c r="O376">
        <f t="shared" si="68"/>
        <v>47894.68</v>
      </c>
      <c r="P376">
        <f t="shared" si="69"/>
        <v>5</v>
      </c>
      <c r="Q376">
        <f t="shared" si="70"/>
        <v>172.5</v>
      </c>
      <c r="R376" t="str">
        <f t="shared" si="71"/>
        <v>High</v>
      </c>
      <c r="S376" t="str">
        <f t="shared" si="72"/>
        <v>Low</v>
      </c>
      <c r="T376" t="str">
        <f t="shared" si="73"/>
        <v>Low</v>
      </c>
      <c r="U376" t="str">
        <f t="shared" si="74"/>
        <v>Yes</v>
      </c>
      <c r="V376" t="str">
        <f t="shared" si="75"/>
        <v>No</v>
      </c>
      <c r="W376" t="str">
        <f t="shared" si="76"/>
        <v>No</v>
      </c>
      <c r="X376" t="str">
        <f t="shared" si="77"/>
        <v>No</v>
      </c>
    </row>
    <row r="377" spans="1:24" x14ac:dyDescent="0.3">
      <c r="A377" t="s">
        <v>245</v>
      </c>
      <c r="B377">
        <v>18</v>
      </c>
      <c r="C377" t="s">
        <v>510</v>
      </c>
      <c r="D377">
        <v>65587</v>
      </c>
      <c r="E377" t="s">
        <v>512</v>
      </c>
      <c r="F377">
        <v>5</v>
      </c>
      <c r="G377">
        <v>3712.18</v>
      </c>
      <c r="H377">
        <v>32</v>
      </c>
      <c r="I377">
        <v>1</v>
      </c>
      <c r="J377">
        <v>18560.900000000001</v>
      </c>
      <c r="K377">
        <f>SUM(Table3[Total_Revenue])</f>
        <v>30761529.489999965</v>
      </c>
      <c r="L377">
        <f t="shared" si="65"/>
        <v>29580796.759999976</v>
      </c>
      <c r="M377">
        <f t="shared" si="66"/>
        <v>0.96161657922816146</v>
      </c>
      <c r="N377" t="str">
        <f t="shared" si="67"/>
        <v>No</v>
      </c>
      <c r="O377">
        <f t="shared" si="68"/>
        <v>47894.68</v>
      </c>
      <c r="P377">
        <f t="shared" si="69"/>
        <v>5</v>
      </c>
      <c r="Q377">
        <f t="shared" si="70"/>
        <v>172.5</v>
      </c>
      <c r="R377" t="str">
        <f t="shared" si="71"/>
        <v>Low</v>
      </c>
      <c r="S377" t="str">
        <f t="shared" si="72"/>
        <v>Low</v>
      </c>
      <c r="T377" t="str">
        <f t="shared" si="73"/>
        <v>Low</v>
      </c>
      <c r="U377" t="str">
        <f t="shared" si="74"/>
        <v>No</v>
      </c>
      <c r="V377" t="str">
        <f t="shared" si="75"/>
        <v>No</v>
      </c>
      <c r="W377" t="str">
        <f t="shared" si="76"/>
        <v>No</v>
      </c>
      <c r="X377" t="str">
        <f t="shared" si="77"/>
        <v>Yes</v>
      </c>
    </row>
    <row r="378" spans="1:24" x14ac:dyDescent="0.3">
      <c r="A378" t="s">
        <v>422</v>
      </c>
      <c r="B378">
        <v>19</v>
      </c>
      <c r="C378" t="s">
        <v>511</v>
      </c>
      <c r="D378">
        <v>144714</v>
      </c>
      <c r="E378" t="s">
        <v>515</v>
      </c>
      <c r="F378">
        <v>4</v>
      </c>
      <c r="G378">
        <v>4504.6099999999997</v>
      </c>
      <c r="H378">
        <v>30</v>
      </c>
      <c r="I378">
        <v>8</v>
      </c>
      <c r="J378">
        <v>18018.439999999999</v>
      </c>
      <c r="K378">
        <f>SUM(Table3[Total_Revenue])</f>
        <v>30761529.489999965</v>
      </c>
      <c r="L378">
        <f t="shared" si="65"/>
        <v>29598815.199999977</v>
      </c>
      <c r="M378">
        <f t="shared" si="66"/>
        <v>0.96220232513542714</v>
      </c>
      <c r="N378" t="str">
        <f t="shared" si="67"/>
        <v>No</v>
      </c>
      <c r="O378">
        <f t="shared" si="68"/>
        <v>47894.68</v>
      </c>
      <c r="P378">
        <f t="shared" si="69"/>
        <v>5</v>
      </c>
      <c r="Q378">
        <f t="shared" si="70"/>
        <v>172.5</v>
      </c>
      <c r="R378" t="str">
        <f t="shared" si="71"/>
        <v>High</v>
      </c>
      <c r="S378" t="str">
        <f t="shared" si="72"/>
        <v>Low</v>
      </c>
      <c r="T378" t="str">
        <f t="shared" si="73"/>
        <v>Low</v>
      </c>
      <c r="U378" t="str">
        <f t="shared" si="74"/>
        <v>Yes</v>
      </c>
      <c r="V378" t="str">
        <f t="shared" si="75"/>
        <v>No</v>
      </c>
      <c r="W378" t="str">
        <f t="shared" si="76"/>
        <v>No</v>
      </c>
      <c r="X378" t="str">
        <f t="shared" si="77"/>
        <v>No</v>
      </c>
    </row>
    <row r="379" spans="1:24" x14ac:dyDescent="0.3">
      <c r="A379" t="s">
        <v>46</v>
      </c>
      <c r="B379">
        <v>64</v>
      </c>
      <c r="C379" t="s">
        <v>511</v>
      </c>
      <c r="D379">
        <v>130951</v>
      </c>
      <c r="E379" t="s">
        <v>515</v>
      </c>
      <c r="F379">
        <v>20</v>
      </c>
      <c r="G379">
        <v>895.67</v>
      </c>
      <c r="H379">
        <v>3</v>
      </c>
      <c r="I379">
        <v>4</v>
      </c>
      <c r="J379">
        <v>17913.400000000001</v>
      </c>
      <c r="K379">
        <f>SUM(Table3[Total_Revenue])</f>
        <v>30761529.489999965</v>
      </c>
      <c r="L379">
        <f t="shared" si="65"/>
        <v>29616728.599999975</v>
      </c>
      <c r="M379">
        <f t="shared" si="66"/>
        <v>0.96278465638803346</v>
      </c>
      <c r="N379" t="str">
        <f t="shared" si="67"/>
        <v>No</v>
      </c>
      <c r="O379">
        <f t="shared" si="68"/>
        <v>47894.68</v>
      </c>
      <c r="P379">
        <f t="shared" si="69"/>
        <v>5</v>
      </c>
      <c r="Q379">
        <f t="shared" si="70"/>
        <v>172.5</v>
      </c>
      <c r="R379" t="str">
        <f t="shared" si="71"/>
        <v>Low</v>
      </c>
      <c r="S379" t="str">
        <f t="shared" si="72"/>
        <v>Low</v>
      </c>
      <c r="T379" t="str">
        <f t="shared" si="73"/>
        <v>Low</v>
      </c>
      <c r="U379" t="str">
        <f t="shared" si="74"/>
        <v>No</v>
      </c>
      <c r="V379" t="str">
        <f t="shared" si="75"/>
        <v>No</v>
      </c>
      <c r="W379" t="str">
        <f t="shared" si="76"/>
        <v>No</v>
      </c>
      <c r="X379" t="str">
        <f t="shared" si="77"/>
        <v>Yes</v>
      </c>
    </row>
    <row r="380" spans="1:24" x14ac:dyDescent="0.3">
      <c r="A380" t="s">
        <v>496</v>
      </c>
      <c r="B380">
        <v>43</v>
      </c>
      <c r="C380" t="s">
        <v>511</v>
      </c>
      <c r="D380">
        <v>77545</v>
      </c>
      <c r="E380" t="s">
        <v>513</v>
      </c>
      <c r="F380">
        <v>12</v>
      </c>
      <c r="G380">
        <v>1461.72</v>
      </c>
      <c r="H380">
        <v>343</v>
      </c>
      <c r="I380">
        <v>7</v>
      </c>
      <c r="J380">
        <v>17540.64</v>
      </c>
      <c r="K380">
        <f>SUM(Table3[Total_Revenue])</f>
        <v>30761529.489999965</v>
      </c>
      <c r="L380">
        <f t="shared" si="65"/>
        <v>29634269.239999976</v>
      </c>
      <c r="M380">
        <f t="shared" si="66"/>
        <v>0.96335486990767338</v>
      </c>
      <c r="N380" t="str">
        <f t="shared" si="67"/>
        <v>No</v>
      </c>
      <c r="O380">
        <f t="shared" si="68"/>
        <v>47894.68</v>
      </c>
      <c r="P380">
        <f t="shared" si="69"/>
        <v>5</v>
      </c>
      <c r="Q380">
        <f t="shared" si="70"/>
        <v>172.5</v>
      </c>
      <c r="R380" t="str">
        <f t="shared" si="71"/>
        <v>High</v>
      </c>
      <c r="S380" t="str">
        <f t="shared" si="72"/>
        <v>High</v>
      </c>
      <c r="T380" t="str">
        <f t="shared" si="73"/>
        <v>Low</v>
      </c>
      <c r="U380" t="str">
        <f t="shared" si="74"/>
        <v>Yes</v>
      </c>
      <c r="V380" t="str">
        <f t="shared" si="75"/>
        <v>No</v>
      </c>
      <c r="W380" t="str">
        <f t="shared" si="76"/>
        <v>No</v>
      </c>
      <c r="X380" t="str">
        <f t="shared" si="77"/>
        <v>No</v>
      </c>
    </row>
    <row r="381" spans="1:24" x14ac:dyDescent="0.3">
      <c r="A381" t="s">
        <v>190</v>
      </c>
      <c r="B381">
        <v>62</v>
      </c>
      <c r="C381" t="s">
        <v>511</v>
      </c>
      <c r="D381">
        <v>112436</v>
      </c>
      <c r="E381" t="s">
        <v>512</v>
      </c>
      <c r="F381">
        <v>22</v>
      </c>
      <c r="G381">
        <v>794.69</v>
      </c>
      <c r="H381">
        <v>21</v>
      </c>
      <c r="I381">
        <v>8</v>
      </c>
      <c r="J381">
        <v>17483.18</v>
      </c>
      <c r="K381">
        <f>SUM(Table3[Total_Revenue])</f>
        <v>30761529.489999965</v>
      </c>
      <c r="L381">
        <f t="shared" si="65"/>
        <v>29651752.419999976</v>
      </c>
      <c r="M381">
        <f t="shared" si="66"/>
        <v>0.96392321550978932</v>
      </c>
      <c r="N381" t="str">
        <f t="shared" si="67"/>
        <v>No</v>
      </c>
      <c r="O381">
        <f t="shared" si="68"/>
        <v>47894.68</v>
      </c>
      <c r="P381">
        <f t="shared" si="69"/>
        <v>5</v>
      </c>
      <c r="Q381">
        <f t="shared" si="70"/>
        <v>172.5</v>
      </c>
      <c r="R381" t="str">
        <f t="shared" si="71"/>
        <v>High</v>
      </c>
      <c r="S381" t="str">
        <f t="shared" si="72"/>
        <v>Low</v>
      </c>
      <c r="T381" t="str">
        <f t="shared" si="73"/>
        <v>Low</v>
      </c>
      <c r="U381" t="str">
        <f t="shared" si="74"/>
        <v>Yes</v>
      </c>
      <c r="V381" t="str">
        <f t="shared" si="75"/>
        <v>No</v>
      </c>
      <c r="W381" t="str">
        <f t="shared" si="76"/>
        <v>No</v>
      </c>
      <c r="X381" t="str">
        <f t="shared" si="77"/>
        <v>No</v>
      </c>
    </row>
    <row r="382" spans="1:24" x14ac:dyDescent="0.3">
      <c r="A382" t="s">
        <v>387</v>
      </c>
      <c r="B382">
        <v>46</v>
      </c>
      <c r="C382" t="s">
        <v>510</v>
      </c>
      <c r="D382">
        <v>123677</v>
      </c>
      <c r="E382" t="s">
        <v>512</v>
      </c>
      <c r="F382">
        <v>13</v>
      </c>
      <c r="G382">
        <v>1339.99</v>
      </c>
      <c r="H382">
        <v>128</v>
      </c>
      <c r="I382">
        <v>8</v>
      </c>
      <c r="J382">
        <v>17419.87</v>
      </c>
      <c r="K382">
        <f>SUM(Table3[Total_Revenue])</f>
        <v>30761529.489999965</v>
      </c>
      <c r="L382">
        <f t="shared" si="65"/>
        <v>29669172.289999977</v>
      </c>
      <c r="M382">
        <f t="shared" si="66"/>
        <v>0.9644895030217826</v>
      </c>
      <c r="N382" t="str">
        <f t="shared" si="67"/>
        <v>No</v>
      </c>
      <c r="O382">
        <f t="shared" si="68"/>
        <v>47894.68</v>
      </c>
      <c r="P382">
        <f t="shared" si="69"/>
        <v>5</v>
      </c>
      <c r="Q382">
        <f t="shared" si="70"/>
        <v>172.5</v>
      </c>
      <c r="R382" t="str">
        <f t="shared" si="71"/>
        <v>High</v>
      </c>
      <c r="S382" t="str">
        <f t="shared" si="72"/>
        <v>Low</v>
      </c>
      <c r="T382" t="str">
        <f t="shared" si="73"/>
        <v>Low</v>
      </c>
      <c r="U382" t="str">
        <f t="shared" si="74"/>
        <v>Yes</v>
      </c>
      <c r="V382" t="str">
        <f t="shared" si="75"/>
        <v>No</v>
      </c>
      <c r="W382" t="str">
        <f t="shared" si="76"/>
        <v>No</v>
      </c>
      <c r="X382" t="str">
        <f t="shared" si="77"/>
        <v>No</v>
      </c>
    </row>
    <row r="383" spans="1:24" x14ac:dyDescent="0.3">
      <c r="A383" t="s">
        <v>487</v>
      </c>
      <c r="B383">
        <v>67</v>
      </c>
      <c r="C383" t="s">
        <v>510</v>
      </c>
      <c r="D383">
        <v>57430</v>
      </c>
      <c r="E383" t="s">
        <v>514</v>
      </c>
      <c r="F383">
        <v>31</v>
      </c>
      <c r="G383">
        <v>559.41</v>
      </c>
      <c r="H383">
        <v>357</v>
      </c>
      <c r="I383">
        <v>1</v>
      </c>
      <c r="J383">
        <v>17341.71</v>
      </c>
      <c r="K383">
        <f>SUM(Table3[Total_Revenue])</f>
        <v>30761529.489999965</v>
      </c>
      <c r="L383">
        <f t="shared" si="65"/>
        <v>29686513.999999978</v>
      </c>
      <c r="M383">
        <f t="shared" si="66"/>
        <v>0.96505324969782613</v>
      </c>
      <c r="N383" t="str">
        <f t="shared" si="67"/>
        <v>No</v>
      </c>
      <c r="O383">
        <f t="shared" si="68"/>
        <v>47894.68</v>
      </c>
      <c r="P383">
        <f t="shared" si="69"/>
        <v>5</v>
      </c>
      <c r="Q383">
        <f t="shared" si="70"/>
        <v>172.5</v>
      </c>
      <c r="R383" t="str">
        <f t="shared" si="71"/>
        <v>Low</v>
      </c>
      <c r="S383" t="str">
        <f t="shared" si="72"/>
        <v>High</v>
      </c>
      <c r="T383" t="str">
        <f t="shared" si="73"/>
        <v>Low</v>
      </c>
      <c r="U383" t="str">
        <f t="shared" si="74"/>
        <v>No</v>
      </c>
      <c r="V383" t="str">
        <f t="shared" si="75"/>
        <v>No</v>
      </c>
      <c r="W383" t="str">
        <f t="shared" si="76"/>
        <v>No</v>
      </c>
      <c r="X383" t="str">
        <f t="shared" si="77"/>
        <v>Yes</v>
      </c>
    </row>
    <row r="384" spans="1:24" x14ac:dyDescent="0.3">
      <c r="A384" t="s">
        <v>42</v>
      </c>
      <c r="B384">
        <v>59</v>
      </c>
      <c r="C384" t="s">
        <v>510</v>
      </c>
      <c r="D384">
        <v>31637</v>
      </c>
      <c r="E384" t="s">
        <v>514</v>
      </c>
      <c r="F384">
        <v>23</v>
      </c>
      <c r="G384">
        <v>750.3</v>
      </c>
      <c r="H384">
        <v>71</v>
      </c>
      <c r="I384">
        <v>1</v>
      </c>
      <c r="J384">
        <v>17256.900000000001</v>
      </c>
      <c r="K384">
        <f>SUM(Table3[Total_Revenue])</f>
        <v>30761529.489999965</v>
      </c>
      <c r="L384">
        <f t="shared" si="65"/>
        <v>29703770.899999976</v>
      </c>
      <c r="M384">
        <f t="shared" si="66"/>
        <v>0.96561423935881185</v>
      </c>
      <c r="N384" t="str">
        <f t="shared" si="67"/>
        <v>No</v>
      </c>
      <c r="O384">
        <f t="shared" si="68"/>
        <v>47894.68</v>
      </c>
      <c r="P384">
        <f t="shared" si="69"/>
        <v>5</v>
      </c>
      <c r="Q384">
        <f t="shared" si="70"/>
        <v>172.5</v>
      </c>
      <c r="R384" t="str">
        <f t="shared" si="71"/>
        <v>Low</v>
      </c>
      <c r="S384" t="str">
        <f t="shared" si="72"/>
        <v>Low</v>
      </c>
      <c r="T384" t="str">
        <f t="shared" si="73"/>
        <v>Low</v>
      </c>
      <c r="U384" t="str">
        <f t="shared" si="74"/>
        <v>No</v>
      </c>
      <c r="V384" t="str">
        <f t="shared" si="75"/>
        <v>No</v>
      </c>
      <c r="W384" t="str">
        <f t="shared" si="76"/>
        <v>No</v>
      </c>
      <c r="X384" t="str">
        <f t="shared" si="77"/>
        <v>Yes</v>
      </c>
    </row>
    <row r="385" spans="1:24" x14ac:dyDescent="0.3">
      <c r="A385" t="s">
        <v>128</v>
      </c>
      <c r="B385">
        <v>59</v>
      </c>
      <c r="C385" t="s">
        <v>511</v>
      </c>
      <c r="D385">
        <v>87067</v>
      </c>
      <c r="E385" t="s">
        <v>512</v>
      </c>
      <c r="F385">
        <v>7</v>
      </c>
      <c r="G385">
        <v>2448</v>
      </c>
      <c r="H385">
        <v>260</v>
      </c>
      <c r="I385">
        <v>6</v>
      </c>
      <c r="J385">
        <v>17136</v>
      </c>
      <c r="K385">
        <f>SUM(Table3[Total_Revenue])</f>
        <v>30761529.489999965</v>
      </c>
      <c r="L385">
        <f t="shared" si="65"/>
        <v>29720906.899999976</v>
      </c>
      <c r="M385">
        <f t="shared" si="66"/>
        <v>0.96617129878609331</v>
      </c>
      <c r="N385" t="str">
        <f t="shared" si="67"/>
        <v>No</v>
      </c>
      <c r="O385">
        <f t="shared" si="68"/>
        <v>47894.68</v>
      </c>
      <c r="P385">
        <f t="shared" si="69"/>
        <v>5</v>
      </c>
      <c r="Q385">
        <f t="shared" si="70"/>
        <v>172.5</v>
      </c>
      <c r="R385" t="str">
        <f t="shared" si="71"/>
        <v>High</v>
      </c>
      <c r="S385" t="str">
        <f t="shared" si="72"/>
        <v>High</v>
      </c>
      <c r="T385" t="str">
        <f t="shared" si="73"/>
        <v>Low</v>
      </c>
      <c r="U385" t="str">
        <f t="shared" si="74"/>
        <v>Yes</v>
      </c>
      <c r="V385" t="str">
        <f t="shared" si="75"/>
        <v>No</v>
      </c>
      <c r="W385" t="str">
        <f t="shared" si="76"/>
        <v>No</v>
      </c>
      <c r="X385" t="str">
        <f t="shared" si="77"/>
        <v>No</v>
      </c>
    </row>
    <row r="386" spans="1:24" x14ac:dyDescent="0.3">
      <c r="A386" t="s">
        <v>285</v>
      </c>
      <c r="B386">
        <v>56</v>
      </c>
      <c r="C386" t="s">
        <v>511</v>
      </c>
      <c r="D386">
        <v>46614</v>
      </c>
      <c r="E386" t="s">
        <v>515</v>
      </c>
      <c r="F386">
        <v>20</v>
      </c>
      <c r="G386">
        <v>853.58</v>
      </c>
      <c r="H386">
        <v>55</v>
      </c>
      <c r="I386">
        <v>3</v>
      </c>
      <c r="J386">
        <v>17071.599999999999</v>
      </c>
      <c r="K386">
        <f>SUM(Table3[Total_Revenue])</f>
        <v>30761529.489999965</v>
      </c>
      <c r="L386">
        <f t="shared" ref="L386:L449" si="78">L385+J386</f>
        <v>29737978.499999978</v>
      </c>
      <c r="M386">
        <f t="shared" ref="M386:M449" si="79">L386/$K$2</f>
        <v>0.96672626468938339</v>
      </c>
      <c r="N386" t="str">
        <f t="shared" ref="N386:N449" si="80">IF(M386&lt;=0.75,"Yes","No")</f>
        <v>No</v>
      </c>
      <c r="O386">
        <f t="shared" ref="O386:O449" si="81">MEDIAN($J$2:$J$501)</f>
        <v>47894.68</v>
      </c>
      <c r="P386">
        <f t="shared" ref="P386:P449" si="82">MEDIAN($I$2:$I$501)</f>
        <v>5</v>
      </c>
      <c r="Q386">
        <f t="shared" ref="Q386:Q449" si="83">MEDIAN($H$2:$H$501)</f>
        <v>172.5</v>
      </c>
      <c r="R386" t="str">
        <f t="shared" ref="R386:R449" si="84">IF(I386&gt;$P$2,"High",IF(I386&lt;$P$2,"Low","Medium"))</f>
        <v>Low</v>
      </c>
      <c r="S386" t="str">
        <f t="shared" ref="S386:S449" si="85">IF(H386&gt;$Q$2,"High",IF(H386&lt;$Q$2,"Low","Medium"))</f>
        <v>Low</v>
      </c>
      <c r="T386" t="str">
        <f t="shared" ref="T386:T449" si="86">IF(J386&gt;$O$2,"High",IF(J386&lt;$O$2,"Low","Medium"))</f>
        <v>Low</v>
      </c>
      <c r="U386" t="str">
        <f t="shared" ref="U386:U449" si="87">IF(AND(J386&lt;$O$1, I386&gt;=$P$2),"Yes","No")</f>
        <v>No</v>
      </c>
      <c r="V386" t="str">
        <f t="shared" ref="V386:V449" si="88">IF(AND(J386&gt;=$O$2, I386&lt;$P$2),"Yes","No")</f>
        <v>No</v>
      </c>
      <c r="W386" t="str">
        <f t="shared" ref="W386:W449" si="89">IF(AND(J386&gt;=$O$2, I386&gt;=$P$2),"Yes","No")</f>
        <v>No</v>
      </c>
      <c r="X386" t="str">
        <f t="shared" ref="X386:X449" si="90">IF(AND(J386&lt;$O$2, I386&lt;$P$2),"Yes","No")</f>
        <v>Yes</v>
      </c>
    </row>
    <row r="387" spans="1:24" x14ac:dyDescent="0.3">
      <c r="A387" t="s">
        <v>16</v>
      </c>
      <c r="B387">
        <v>38</v>
      </c>
      <c r="C387" t="s">
        <v>510</v>
      </c>
      <c r="D387">
        <v>75479</v>
      </c>
      <c r="E387" t="s">
        <v>515</v>
      </c>
      <c r="F387">
        <v>6</v>
      </c>
      <c r="G387">
        <v>2834.89</v>
      </c>
      <c r="H387">
        <v>243</v>
      </c>
      <c r="I387">
        <v>7</v>
      </c>
      <c r="J387">
        <v>17009.34</v>
      </c>
      <c r="K387">
        <f>SUM(Table3[Total_Revenue])</f>
        <v>30761529.489999965</v>
      </c>
      <c r="L387">
        <f t="shared" si="78"/>
        <v>29754987.839999977</v>
      </c>
      <c r="M387">
        <f t="shared" si="79"/>
        <v>0.96727920663609412</v>
      </c>
      <c r="N387" t="str">
        <f t="shared" si="80"/>
        <v>No</v>
      </c>
      <c r="O387">
        <f t="shared" si="81"/>
        <v>47894.68</v>
      </c>
      <c r="P387">
        <f t="shared" si="82"/>
        <v>5</v>
      </c>
      <c r="Q387">
        <f t="shared" si="83"/>
        <v>172.5</v>
      </c>
      <c r="R387" t="str">
        <f t="shared" si="84"/>
        <v>High</v>
      </c>
      <c r="S387" t="str">
        <f t="shared" si="85"/>
        <v>High</v>
      </c>
      <c r="T387" t="str">
        <f t="shared" si="86"/>
        <v>Low</v>
      </c>
      <c r="U387" t="str">
        <f t="shared" si="87"/>
        <v>Yes</v>
      </c>
      <c r="V387" t="str">
        <f t="shared" si="88"/>
        <v>No</v>
      </c>
      <c r="W387" t="str">
        <f t="shared" si="89"/>
        <v>No</v>
      </c>
      <c r="X387" t="str">
        <f t="shared" si="90"/>
        <v>No</v>
      </c>
    </row>
    <row r="388" spans="1:24" x14ac:dyDescent="0.3">
      <c r="A388" t="s">
        <v>57</v>
      </c>
      <c r="B388">
        <v>35</v>
      </c>
      <c r="C388" t="s">
        <v>510</v>
      </c>
      <c r="D388">
        <v>48732</v>
      </c>
      <c r="E388" t="s">
        <v>514</v>
      </c>
      <c r="F388">
        <v>13</v>
      </c>
      <c r="G388">
        <v>1296.32</v>
      </c>
      <c r="H388">
        <v>159</v>
      </c>
      <c r="I388">
        <v>5</v>
      </c>
      <c r="J388">
        <v>16852.16</v>
      </c>
      <c r="K388">
        <f>SUM(Table3[Total_Revenue])</f>
        <v>30761529.489999965</v>
      </c>
      <c r="L388">
        <f t="shared" si="78"/>
        <v>29771839.999999978</v>
      </c>
      <c r="M388">
        <f t="shared" si="79"/>
        <v>0.96782703895390776</v>
      </c>
      <c r="N388" t="str">
        <f t="shared" si="80"/>
        <v>No</v>
      </c>
      <c r="O388">
        <f t="shared" si="81"/>
        <v>47894.68</v>
      </c>
      <c r="P388">
        <f t="shared" si="82"/>
        <v>5</v>
      </c>
      <c r="Q388">
        <f t="shared" si="83"/>
        <v>172.5</v>
      </c>
      <c r="R388" t="str">
        <f t="shared" si="84"/>
        <v>Medium</v>
      </c>
      <c r="S388" t="str">
        <f t="shared" si="85"/>
        <v>Low</v>
      </c>
      <c r="T388" t="str">
        <f t="shared" si="86"/>
        <v>Low</v>
      </c>
      <c r="U388" t="str">
        <f t="shared" si="87"/>
        <v>Yes</v>
      </c>
      <c r="V388" t="str">
        <f t="shared" si="88"/>
        <v>No</v>
      </c>
      <c r="W388" t="str">
        <f t="shared" si="89"/>
        <v>No</v>
      </c>
      <c r="X388" t="str">
        <f t="shared" si="90"/>
        <v>No</v>
      </c>
    </row>
    <row r="389" spans="1:24" x14ac:dyDescent="0.3">
      <c r="A389" t="s">
        <v>472</v>
      </c>
      <c r="B389">
        <v>61</v>
      </c>
      <c r="C389" t="s">
        <v>511</v>
      </c>
      <c r="D389">
        <v>67882</v>
      </c>
      <c r="E389" t="s">
        <v>513</v>
      </c>
      <c r="F389">
        <v>6</v>
      </c>
      <c r="G389">
        <v>2743.83</v>
      </c>
      <c r="H389">
        <v>255</v>
      </c>
      <c r="I389">
        <v>5</v>
      </c>
      <c r="J389">
        <v>16462.98</v>
      </c>
      <c r="K389">
        <f>SUM(Table3[Total_Revenue])</f>
        <v>30761529.489999965</v>
      </c>
      <c r="L389">
        <f t="shared" si="78"/>
        <v>29788302.979999978</v>
      </c>
      <c r="M389">
        <f t="shared" si="79"/>
        <v>0.96836221975515335</v>
      </c>
      <c r="N389" t="str">
        <f t="shared" si="80"/>
        <v>No</v>
      </c>
      <c r="O389">
        <f t="shared" si="81"/>
        <v>47894.68</v>
      </c>
      <c r="P389">
        <f t="shared" si="82"/>
        <v>5</v>
      </c>
      <c r="Q389">
        <f t="shared" si="83"/>
        <v>172.5</v>
      </c>
      <c r="R389" t="str">
        <f t="shared" si="84"/>
        <v>Medium</v>
      </c>
      <c r="S389" t="str">
        <f t="shared" si="85"/>
        <v>High</v>
      </c>
      <c r="T389" t="str">
        <f t="shared" si="86"/>
        <v>Low</v>
      </c>
      <c r="U389" t="str">
        <f t="shared" si="87"/>
        <v>Yes</v>
      </c>
      <c r="V389" t="str">
        <f t="shared" si="88"/>
        <v>No</v>
      </c>
      <c r="W389" t="str">
        <f t="shared" si="89"/>
        <v>No</v>
      </c>
      <c r="X389" t="str">
        <f t="shared" si="90"/>
        <v>No</v>
      </c>
    </row>
    <row r="390" spans="1:24" x14ac:dyDescent="0.3">
      <c r="A390" t="s">
        <v>374</v>
      </c>
      <c r="B390">
        <v>45</v>
      </c>
      <c r="C390" t="s">
        <v>510</v>
      </c>
      <c r="D390">
        <v>45053</v>
      </c>
      <c r="E390" t="s">
        <v>513</v>
      </c>
      <c r="F390">
        <v>4</v>
      </c>
      <c r="G390">
        <v>4072.36</v>
      </c>
      <c r="H390">
        <v>289</v>
      </c>
      <c r="I390">
        <v>7</v>
      </c>
      <c r="J390">
        <v>16289.44</v>
      </c>
      <c r="K390">
        <f>SUM(Table3[Total_Revenue])</f>
        <v>30761529.489999965</v>
      </c>
      <c r="L390">
        <f t="shared" si="78"/>
        <v>29804592.419999979</v>
      </c>
      <c r="M390">
        <f t="shared" si="79"/>
        <v>0.96889175909438874</v>
      </c>
      <c r="N390" t="str">
        <f t="shared" si="80"/>
        <v>No</v>
      </c>
      <c r="O390">
        <f t="shared" si="81"/>
        <v>47894.68</v>
      </c>
      <c r="P390">
        <f t="shared" si="82"/>
        <v>5</v>
      </c>
      <c r="Q390">
        <f t="shared" si="83"/>
        <v>172.5</v>
      </c>
      <c r="R390" t="str">
        <f t="shared" si="84"/>
        <v>High</v>
      </c>
      <c r="S390" t="str">
        <f t="shared" si="85"/>
        <v>High</v>
      </c>
      <c r="T390" t="str">
        <f t="shared" si="86"/>
        <v>Low</v>
      </c>
      <c r="U390" t="str">
        <f t="shared" si="87"/>
        <v>Yes</v>
      </c>
      <c r="V390" t="str">
        <f t="shared" si="88"/>
        <v>No</v>
      </c>
      <c r="W390" t="str">
        <f t="shared" si="89"/>
        <v>No</v>
      </c>
      <c r="X390" t="str">
        <f t="shared" si="90"/>
        <v>No</v>
      </c>
    </row>
    <row r="391" spans="1:24" x14ac:dyDescent="0.3">
      <c r="A391" t="s">
        <v>21</v>
      </c>
      <c r="B391">
        <v>28</v>
      </c>
      <c r="C391" t="s">
        <v>510</v>
      </c>
      <c r="D391">
        <v>75123</v>
      </c>
      <c r="E391" t="s">
        <v>512</v>
      </c>
      <c r="F391">
        <v>13</v>
      </c>
      <c r="G391">
        <v>1232.54</v>
      </c>
      <c r="H391">
        <v>101</v>
      </c>
      <c r="I391">
        <v>2</v>
      </c>
      <c r="J391">
        <v>16023.02</v>
      </c>
      <c r="K391">
        <f>SUM(Table3[Total_Revenue])</f>
        <v>30761529.489999965</v>
      </c>
      <c r="L391">
        <f t="shared" si="78"/>
        <v>29820615.439999979</v>
      </c>
      <c r="M391">
        <f t="shared" si="79"/>
        <v>0.96941263761589425</v>
      </c>
      <c r="N391" t="str">
        <f t="shared" si="80"/>
        <v>No</v>
      </c>
      <c r="O391">
        <f t="shared" si="81"/>
        <v>47894.68</v>
      </c>
      <c r="P391">
        <f t="shared" si="82"/>
        <v>5</v>
      </c>
      <c r="Q391">
        <f t="shared" si="83"/>
        <v>172.5</v>
      </c>
      <c r="R391" t="str">
        <f t="shared" si="84"/>
        <v>Low</v>
      </c>
      <c r="S391" t="str">
        <f t="shared" si="85"/>
        <v>Low</v>
      </c>
      <c r="T391" t="str">
        <f t="shared" si="86"/>
        <v>Low</v>
      </c>
      <c r="U391" t="str">
        <f t="shared" si="87"/>
        <v>No</v>
      </c>
      <c r="V391" t="str">
        <f t="shared" si="88"/>
        <v>No</v>
      </c>
      <c r="W391" t="str">
        <f t="shared" si="89"/>
        <v>No</v>
      </c>
      <c r="X391" t="str">
        <f t="shared" si="90"/>
        <v>Yes</v>
      </c>
    </row>
    <row r="392" spans="1:24" x14ac:dyDescent="0.3">
      <c r="A392" t="s">
        <v>281</v>
      </c>
      <c r="B392">
        <v>69</v>
      </c>
      <c r="C392" t="s">
        <v>510</v>
      </c>
      <c r="D392">
        <v>136682</v>
      </c>
      <c r="E392" t="s">
        <v>513</v>
      </c>
      <c r="F392">
        <v>14</v>
      </c>
      <c r="G392">
        <v>1138.71</v>
      </c>
      <c r="H392">
        <v>297</v>
      </c>
      <c r="I392">
        <v>9</v>
      </c>
      <c r="J392">
        <v>15941.94</v>
      </c>
      <c r="K392">
        <f>SUM(Table3[Total_Revenue])</f>
        <v>30761529.489999965</v>
      </c>
      <c r="L392">
        <f t="shared" si="78"/>
        <v>29836557.37999998</v>
      </c>
      <c r="M392">
        <f t="shared" si="79"/>
        <v>0.96993088037769137</v>
      </c>
      <c r="N392" t="str">
        <f t="shared" si="80"/>
        <v>No</v>
      </c>
      <c r="O392">
        <f t="shared" si="81"/>
        <v>47894.68</v>
      </c>
      <c r="P392">
        <f t="shared" si="82"/>
        <v>5</v>
      </c>
      <c r="Q392">
        <f t="shared" si="83"/>
        <v>172.5</v>
      </c>
      <c r="R392" t="str">
        <f t="shared" si="84"/>
        <v>High</v>
      </c>
      <c r="S392" t="str">
        <f t="shared" si="85"/>
        <v>High</v>
      </c>
      <c r="T392" t="str">
        <f t="shared" si="86"/>
        <v>Low</v>
      </c>
      <c r="U392" t="str">
        <f t="shared" si="87"/>
        <v>Yes</v>
      </c>
      <c r="V392" t="str">
        <f t="shared" si="88"/>
        <v>No</v>
      </c>
      <c r="W392" t="str">
        <f t="shared" si="89"/>
        <v>No</v>
      </c>
      <c r="X392" t="str">
        <f t="shared" si="90"/>
        <v>No</v>
      </c>
    </row>
    <row r="393" spans="1:24" x14ac:dyDescent="0.3">
      <c r="A393" t="s">
        <v>38</v>
      </c>
      <c r="B393">
        <v>61</v>
      </c>
      <c r="C393" t="s">
        <v>510</v>
      </c>
      <c r="D393">
        <v>125654</v>
      </c>
      <c r="E393" t="s">
        <v>513</v>
      </c>
      <c r="F393">
        <v>6</v>
      </c>
      <c r="G393">
        <v>2656.48</v>
      </c>
      <c r="H393">
        <v>57</v>
      </c>
      <c r="I393">
        <v>3</v>
      </c>
      <c r="J393">
        <v>15938.88</v>
      </c>
      <c r="K393">
        <f>SUM(Table3[Total_Revenue])</f>
        <v>30761529.489999965</v>
      </c>
      <c r="L393">
        <f t="shared" si="78"/>
        <v>29852496.259999979</v>
      </c>
      <c r="M393">
        <f t="shared" si="79"/>
        <v>0.97044902366459063</v>
      </c>
      <c r="N393" t="str">
        <f t="shared" si="80"/>
        <v>No</v>
      </c>
      <c r="O393">
        <f t="shared" si="81"/>
        <v>47894.68</v>
      </c>
      <c r="P393">
        <f t="shared" si="82"/>
        <v>5</v>
      </c>
      <c r="Q393">
        <f t="shared" si="83"/>
        <v>172.5</v>
      </c>
      <c r="R393" t="str">
        <f t="shared" si="84"/>
        <v>Low</v>
      </c>
      <c r="S393" t="str">
        <f t="shared" si="85"/>
        <v>Low</v>
      </c>
      <c r="T393" t="str">
        <f t="shared" si="86"/>
        <v>Low</v>
      </c>
      <c r="U393" t="str">
        <f t="shared" si="87"/>
        <v>No</v>
      </c>
      <c r="V393" t="str">
        <f t="shared" si="88"/>
        <v>No</v>
      </c>
      <c r="W393" t="str">
        <f t="shared" si="89"/>
        <v>No</v>
      </c>
      <c r="X393" t="str">
        <f t="shared" si="90"/>
        <v>Yes</v>
      </c>
    </row>
    <row r="394" spans="1:24" x14ac:dyDescent="0.3">
      <c r="A394" t="s">
        <v>430</v>
      </c>
      <c r="B394">
        <v>56</v>
      </c>
      <c r="C394" t="s">
        <v>511</v>
      </c>
      <c r="D394">
        <v>129701</v>
      </c>
      <c r="E394" t="s">
        <v>513</v>
      </c>
      <c r="F394">
        <v>36</v>
      </c>
      <c r="G394">
        <v>439.35</v>
      </c>
      <c r="H394">
        <v>215</v>
      </c>
      <c r="I394">
        <v>1</v>
      </c>
      <c r="J394">
        <v>15816.6</v>
      </c>
      <c r="K394">
        <f>SUM(Table3[Total_Revenue])</f>
        <v>30761529.489999965</v>
      </c>
      <c r="L394">
        <f t="shared" si="78"/>
        <v>29868312.859999981</v>
      </c>
      <c r="M394">
        <f t="shared" si="79"/>
        <v>0.97096319185655733</v>
      </c>
      <c r="N394" t="str">
        <f t="shared" si="80"/>
        <v>No</v>
      </c>
      <c r="O394">
        <f t="shared" si="81"/>
        <v>47894.68</v>
      </c>
      <c r="P394">
        <f t="shared" si="82"/>
        <v>5</v>
      </c>
      <c r="Q394">
        <f t="shared" si="83"/>
        <v>172.5</v>
      </c>
      <c r="R394" t="str">
        <f t="shared" si="84"/>
        <v>Low</v>
      </c>
      <c r="S394" t="str">
        <f t="shared" si="85"/>
        <v>High</v>
      </c>
      <c r="T394" t="str">
        <f t="shared" si="86"/>
        <v>Low</v>
      </c>
      <c r="U394" t="str">
        <f t="shared" si="87"/>
        <v>No</v>
      </c>
      <c r="V394" t="str">
        <f t="shared" si="88"/>
        <v>No</v>
      </c>
      <c r="W394" t="str">
        <f t="shared" si="89"/>
        <v>No</v>
      </c>
      <c r="X394" t="str">
        <f t="shared" si="90"/>
        <v>Yes</v>
      </c>
    </row>
    <row r="395" spans="1:24" x14ac:dyDescent="0.3">
      <c r="A395" t="s">
        <v>474</v>
      </c>
      <c r="B395">
        <v>56</v>
      </c>
      <c r="C395" t="s">
        <v>510</v>
      </c>
      <c r="D395">
        <v>54560</v>
      </c>
      <c r="E395" t="s">
        <v>515</v>
      </c>
      <c r="F395">
        <v>25</v>
      </c>
      <c r="G395">
        <v>628.91999999999996</v>
      </c>
      <c r="H395">
        <v>16</v>
      </c>
      <c r="I395">
        <v>5</v>
      </c>
      <c r="J395">
        <v>15723</v>
      </c>
      <c r="K395">
        <f>SUM(Table3[Total_Revenue])</f>
        <v>30761529.489999965</v>
      </c>
      <c r="L395">
        <f t="shared" si="78"/>
        <v>29884035.859999981</v>
      </c>
      <c r="M395">
        <f t="shared" si="79"/>
        <v>0.97147431728694633</v>
      </c>
      <c r="N395" t="str">
        <f t="shared" si="80"/>
        <v>No</v>
      </c>
      <c r="O395">
        <f t="shared" si="81"/>
        <v>47894.68</v>
      </c>
      <c r="P395">
        <f t="shared" si="82"/>
        <v>5</v>
      </c>
      <c r="Q395">
        <f t="shared" si="83"/>
        <v>172.5</v>
      </c>
      <c r="R395" t="str">
        <f t="shared" si="84"/>
        <v>Medium</v>
      </c>
      <c r="S395" t="str">
        <f t="shared" si="85"/>
        <v>Low</v>
      </c>
      <c r="T395" t="str">
        <f t="shared" si="86"/>
        <v>Low</v>
      </c>
      <c r="U395" t="str">
        <f t="shared" si="87"/>
        <v>Yes</v>
      </c>
      <c r="V395" t="str">
        <f t="shared" si="88"/>
        <v>No</v>
      </c>
      <c r="W395" t="str">
        <f t="shared" si="89"/>
        <v>No</v>
      </c>
      <c r="X395" t="str">
        <f t="shared" si="90"/>
        <v>No</v>
      </c>
    </row>
    <row r="396" spans="1:24" x14ac:dyDescent="0.3">
      <c r="A396" t="s">
        <v>221</v>
      </c>
      <c r="B396">
        <v>49</v>
      </c>
      <c r="C396" t="s">
        <v>511</v>
      </c>
      <c r="D396">
        <v>20117</v>
      </c>
      <c r="E396" t="s">
        <v>515</v>
      </c>
      <c r="F396">
        <v>15</v>
      </c>
      <c r="G396">
        <v>1032.5899999999999</v>
      </c>
      <c r="H396">
        <v>330</v>
      </c>
      <c r="I396">
        <v>4</v>
      </c>
      <c r="J396">
        <v>15488.85</v>
      </c>
      <c r="K396">
        <f>SUM(Table3[Total_Revenue])</f>
        <v>30761529.489999965</v>
      </c>
      <c r="L396">
        <f t="shared" si="78"/>
        <v>29899524.709999982</v>
      </c>
      <c r="M396">
        <f t="shared" si="79"/>
        <v>0.97197783093717083</v>
      </c>
      <c r="N396" t="str">
        <f t="shared" si="80"/>
        <v>No</v>
      </c>
      <c r="O396">
        <f t="shared" si="81"/>
        <v>47894.68</v>
      </c>
      <c r="P396">
        <f t="shared" si="82"/>
        <v>5</v>
      </c>
      <c r="Q396">
        <f t="shared" si="83"/>
        <v>172.5</v>
      </c>
      <c r="R396" t="str">
        <f t="shared" si="84"/>
        <v>Low</v>
      </c>
      <c r="S396" t="str">
        <f t="shared" si="85"/>
        <v>High</v>
      </c>
      <c r="T396" t="str">
        <f t="shared" si="86"/>
        <v>Low</v>
      </c>
      <c r="U396" t="str">
        <f t="shared" si="87"/>
        <v>No</v>
      </c>
      <c r="V396" t="str">
        <f t="shared" si="88"/>
        <v>No</v>
      </c>
      <c r="W396" t="str">
        <f t="shared" si="89"/>
        <v>No</v>
      </c>
      <c r="X396" t="str">
        <f t="shared" si="90"/>
        <v>Yes</v>
      </c>
    </row>
    <row r="397" spans="1:24" x14ac:dyDescent="0.3">
      <c r="A397" t="s">
        <v>327</v>
      </c>
      <c r="B397">
        <v>55</v>
      </c>
      <c r="C397" t="s">
        <v>511</v>
      </c>
      <c r="D397">
        <v>40611</v>
      </c>
      <c r="E397" t="s">
        <v>514</v>
      </c>
      <c r="F397">
        <v>33</v>
      </c>
      <c r="G397">
        <v>465.69</v>
      </c>
      <c r="H397">
        <v>128</v>
      </c>
      <c r="I397">
        <v>10</v>
      </c>
      <c r="J397">
        <v>15367.77</v>
      </c>
      <c r="K397">
        <f>SUM(Table3[Total_Revenue])</f>
        <v>30761529.489999965</v>
      </c>
      <c r="L397">
        <f t="shared" si="78"/>
        <v>29914892.479999982</v>
      </c>
      <c r="M397">
        <f t="shared" si="79"/>
        <v>0.97247740850222641</v>
      </c>
      <c r="N397" t="str">
        <f t="shared" si="80"/>
        <v>No</v>
      </c>
      <c r="O397">
        <f t="shared" si="81"/>
        <v>47894.68</v>
      </c>
      <c r="P397">
        <f t="shared" si="82"/>
        <v>5</v>
      </c>
      <c r="Q397">
        <f t="shared" si="83"/>
        <v>172.5</v>
      </c>
      <c r="R397" t="str">
        <f t="shared" si="84"/>
        <v>High</v>
      </c>
      <c r="S397" t="str">
        <f t="shared" si="85"/>
        <v>Low</v>
      </c>
      <c r="T397" t="str">
        <f t="shared" si="86"/>
        <v>Low</v>
      </c>
      <c r="U397" t="str">
        <f t="shared" si="87"/>
        <v>Yes</v>
      </c>
      <c r="V397" t="str">
        <f t="shared" si="88"/>
        <v>No</v>
      </c>
      <c r="W397" t="str">
        <f t="shared" si="89"/>
        <v>No</v>
      </c>
      <c r="X397" t="str">
        <f t="shared" si="90"/>
        <v>No</v>
      </c>
    </row>
    <row r="398" spans="1:24" x14ac:dyDescent="0.3">
      <c r="A398" t="s">
        <v>336</v>
      </c>
      <c r="B398">
        <v>35</v>
      </c>
      <c r="C398" t="s">
        <v>510</v>
      </c>
      <c r="D398">
        <v>49287</v>
      </c>
      <c r="E398" t="s">
        <v>513</v>
      </c>
      <c r="F398">
        <v>13</v>
      </c>
      <c r="G398">
        <v>1181.93</v>
      </c>
      <c r="H398">
        <v>133</v>
      </c>
      <c r="I398">
        <v>3</v>
      </c>
      <c r="J398">
        <v>15365.09</v>
      </c>
      <c r="K398">
        <f>SUM(Table3[Total_Revenue])</f>
        <v>30761529.489999965</v>
      </c>
      <c r="L398">
        <f t="shared" si="78"/>
        <v>29930257.569999982</v>
      </c>
      <c r="M398">
        <f t="shared" si="79"/>
        <v>0.97297689894547623</v>
      </c>
      <c r="N398" t="str">
        <f t="shared" si="80"/>
        <v>No</v>
      </c>
      <c r="O398">
        <f t="shared" si="81"/>
        <v>47894.68</v>
      </c>
      <c r="P398">
        <f t="shared" si="82"/>
        <v>5</v>
      </c>
      <c r="Q398">
        <f t="shared" si="83"/>
        <v>172.5</v>
      </c>
      <c r="R398" t="str">
        <f t="shared" si="84"/>
        <v>Low</v>
      </c>
      <c r="S398" t="str">
        <f t="shared" si="85"/>
        <v>Low</v>
      </c>
      <c r="T398" t="str">
        <f t="shared" si="86"/>
        <v>Low</v>
      </c>
      <c r="U398" t="str">
        <f t="shared" si="87"/>
        <v>No</v>
      </c>
      <c r="V398" t="str">
        <f t="shared" si="88"/>
        <v>No</v>
      </c>
      <c r="W398" t="str">
        <f t="shared" si="89"/>
        <v>No</v>
      </c>
      <c r="X398" t="str">
        <f t="shared" si="90"/>
        <v>Yes</v>
      </c>
    </row>
    <row r="399" spans="1:24" x14ac:dyDescent="0.3">
      <c r="A399" t="s">
        <v>96</v>
      </c>
      <c r="B399">
        <v>40</v>
      </c>
      <c r="C399" t="s">
        <v>510</v>
      </c>
      <c r="D399">
        <v>84291</v>
      </c>
      <c r="E399" t="s">
        <v>512</v>
      </c>
      <c r="F399">
        <v>5</v>
      </c>
      <c r="G399">
        <v>3022.78</v>
      </c>
      <c r="H399">
        <v>78</v>
      </c>
      <c r="I399">
        <v>2</v>
      </c>
      <c r="J399">
        <v>15113.9</v>
      </c>
      <c r="K399">
        <f>SUM(Table3[Total_Revenue])</f>
        <v>30761529.489999965</v>
      </c>
      <c r="L399">
        <f t="shared" si="78"/>
        <v>29945371.46999998</v>
      </c>
      <c r="M399">
        <f t="shared" si="79"/>
        <v>0.97346822366991526</v>
      </c>
      <c r="N399" t="str">
        <f t="shared" si="80"/>
        <v>No</v>
      </c>
      <c r="O399">
        <f t="shared" si="81"/>
        <v>47894.68</v>
      </c>
      <c r="P399">
        <f t="shared" si="82"/>
        <v>5</v>
      </c>
      <c r="Q399">
        <f t="shared" si="83"/>
        <v>172.5</v>
      </c>
      <c r="R399" t="str">
        <f t="shared" si="84"/>
        <v>Low</v>
      </c>
      <c r="S399" t="str">
        <f t="shared" si="85"/>
        <v>Low</v>
      </c>
      <c r="T399" t="str">
        <f t="shared" si="86"/>
        <v>Low</v>
      </c>
      <c r="U399" t="str">
        <f t="shared" si="87"/>
        <v>No</v>
      </c>
      <c r="V399" t="str">
        <f t="shared" si="88"/>
        <v>No</v>
      </c>
      <c r="W399" t="str">
        <f t="shared" si="89"/>
        <v>No</v>
      </c>
      <c r="X399" t="str">
        <f t="shared" si="90"/>
        <v>Yes</v>
      </c>
    </row>
    <row r="400" spans="1:24" x14ac:dyDescent="0.3">
      <c r="A400" t="s">
        <v>261</v>
      </c>
      <c r="B400">
        <v>23</v>
      </c>
      <c r="C400" t="s">
        <v>511</v>
      </c>
      <c r="D400">
        <v>40128</v>
      </c>
      <c r="E400" t="s">
        <v>512</v>
      </c>
      <c r="F400">
        <v>8</v>
      </c>
      <c r="G400">
        <v>1796.98</v>
      </c>
      <c r="H400">
        <v>284</v>
      </c>
      <c r="I400">
        <v>7</v>
      </c>
      <c r="J400">
        <v>14375.84</v>
      </c>
      <c r="K400">
        <f>SUM(Table3[Total_Revenue])</f>
        <v>30761529.489999965</v>
      </c>
      <c r="L400">
        <f t="shared" si="78"/>
        <v>29959747.30999998</v>
      </c>
      <c r="M400">
        <f t="shared" si="79"/>
        <v>0.9739355554391198</v>
      </c>
      <c r="N400" t="str">
        <f t="shared" si="80"/>
        <v>No</v>
      </c>
      <c r="O400">
        <f t="shared" si="81"/>
        <v>47894.68</v>
      </c>
      <c r="P400">
        <f t="shared" si="82"/>
        <v>5</v>
      </c>
      <c r="Q400">
        <f t="shared" si="83"/>
        <v>172.5</v>
      </c>
      <c r="R400" t="str">
        <f t="shared" si="84"/>
        <v>High</v>
      </c>
      <c r="S400" t="str">
        <f t="shared" si="85"/>
        <v>High</v>
      </c>
      <c r="T400" t="str">
        <f t="shared" si="86"/>
        <v>Low</v>
      </c>
      <c r="U400" t="str">
        <f t="shared" si="87"/>
        <v>Yes</v>
      </c>
      <c r="V400" t="str">
        <f t="shared" si="88"/>
        <v>No</v>
      </c>
      <c r="W400" t="str">
        <f t="shared" si="89"/>
        <v>No</v>
      </c>
      <c r="X400" t="str">
        <f t="shared" si="90"/>
        <v>No</v>
      </c>
    </row>
    <row r="401" spans="1:24" x14ac:dyDescent="0.3">
      <c r="A401" t="s">
        <v>378</v>
      </c>
      <c r="B401">
        <v>65</v>
      </c>
      <c r="C401" t="s">
        <v>510</v>
      </c>
      <c r="D401">
        <v>71356</v>
      </c>
      <c r="E401" t="s">
        <v>512</v>
      </c>
      <c r="F401">
        <v>3</v>
      </c>
      <c r="G401">
        <v>4785.49</v>
      </c>
      <c r="H401">
        <v>248</v>
      </c>
      <c r="I401">
        <v>2</v>
      </c>
      <c r="J401">
        <v>14356.47</v>
      </c>
      <c r="K401">
        <f>SUM(Table3[Total_Revenue])</f>
        <v>30761529.489999965</v>
      </c>
      <c r="L401">
        <f t="shared" si="78"/>
        <v>29974103.779999979</v>
      </c>
      <c r="M401">
        <f t="shared" si="79"/>
        <v>0.97440225752572007</v>
      </c>
      <c r="N401" t="str">
        <f t="shared" si="80"/>
        <v>No</v>
      </c>
      <c r="O401">
        <f t="shared" si="81"/>
        <v>47894.68</v>
      </c>
      <c r="P401">
        <f t="shared" si="82"/>
        <v>5</v>
      </c>
      <c r="Q401">
        <f t="shared" si="83"/>
        <v>172.5</v>
      </c>
      <c r="R401" t="str">
        <f t="shared" si="84"/>
        <v>Low</v>
      </c>
      <c r="S401" t="str">
        <f t="shared" si="85"/>
        <v>High</v>
      </c>
      <c r="T401" t="str">
        <f t="shared" si="86"/>
        <v>Low</v>
      </c>
      <c r="U401" t="str">
        <f t="shared" si="87"/>
        <v>No</v>
      </c>
      <c r="V401" t="str">
        <f t="shared" si="88"/>
        <v>No</v>
      </c>
      <c r="W401" t="str">
        <f t="shared" si="89"/>
        <v>No</v>
      </c>
      <c r="X401" t="str">
        <f t="shared" si="90"/>
        <v>Yes</v>
      </c>
    </row>
    <row r="402" spans="1:24" x14ac:dyDescent="0.3">
      <c r="A402" t="s">
        <v>485</v>
      </c>
      <c r="B402">
        <v>33</v>
      </c>
      <c r="C402" t="s">
        <v>511</v>
      </c>
      <c r="D402">
        <v>120158</v>
      </c>
      <c r="E402" t="s">
        <v>512</v>
      </c>
      <c r="F402">
        <v>23</v>
      </c>
      <c r="G402">
        <v>619.05999999999995</v>
      </c>
      <c r="H402">
        <v>304</v>
      </c>
      <c r="I402">
        <v>5</v>
      </c>
      <c r="J402">
        <v>14238.38</v>
      </c>
      <c r="K402">
        <f>SUM(Table3[Total_Revenue])</f>
        <v>30761529.489999965</v>
      </c>
      <c r="L402">
        <f t="shared" si="78"/>
        <v>29988342.159999978</v>
      </c>
      <c r="M402">
        <f t="shared" si="79"/>
        <v>0.97486512072647957</v>
      </c>
      <c r="N402" t="str">
        <f t="shared" si="80"/>
        <v>No</v>
      </c>
      <c r="O402">
        <f t="shared" si="81"/>
        <v>47894.68</v>
      </c>
      <c r="P402">
        <f t="shared" si="82"/>
        <v>5</v>
      </c>
      <c r="Q402">
        <f t="shared" si="83"/>
        <v>172.5</v>
      </c>
      <c r="R402" t="str">
        <f t="shared" si="84"/>
        <v>Medium</v>
      </c>
      <c r="S402" t="str">
        <f t="shared" si="85"/>
        <v>High</v>
      </c>
      <c r="T402" t="str">
        <f t="shared" si="86"/>
        <v>Low</v>
      </c>
      <c r="U402" t="str">
        <f t="shared" si="87"/>
        <v>Yes</v>
      </c>
      <c r="V402" t="str">
        <f t="shared" si="88"/>
        <v>No</v>
      </c>
      <c r="W402" t="str">
        <f t="shared" si="89"/>
        <v>No</v>
      </c>
      <c r="X402" t="str">
        <f t="shared" si="90"/>
        <v>No</v>
      </c>
    </row>
    <row r="403" spans="1:24" x14ac:dyDescent="0.3">
      <c r="A403" t="s">
        <v>461</v>
      </c>
      <c r="B403">
        <v>39</v>
      </c>
      <c r="C403" t="s">
        <v>511</v>
      </c>
      <c r="D403">
        <v>127099</v>
      </c>
      <c r="E403" t="s">
        <v>515</v>
      </c>
      <c r="F403">
        <v>5</v>
      </c>
      <c r="G403">
        <v>2765.68</v>
      </c>
      <c r="H403">
        <v>41</v>
      </c>
      <c r="I403">
        <v>5</v>
      </c>
      <c r="J403">
        <v>13828.4</v>
      </c>
      <c r="K403">
        <f>SUM(Table3[Total_Revenue])</f>
        <v>30761529.489999965</v>
      </c>
      <c r="L403">
        <f t="shared" si="78"/>
        <v>30002170.559999976</v>
      </c>
      <c r="M403">
        <f t="shared" si="79"/>
        <v>0.97531465624143154</v>
      </c>
      <c r="N403" t="str">
        <f t="shared" si="80"/>
        <v>No</v>
      </c>
      <c r="O403">
        <f t="shared" si="81"/>
        <v>47894.68</v>
      </c>
      <c r="P403">
        <f t="shared" si="82"/>
        <v>5</v>
      </c>
      <c r="Q403">
        <f t="shared" si="83"/>
        <v>172.5</v>
      </c>
      <c r="R403" t="str">
        <f t="shared" si="84"/>
        <v>Medium</v>
      </c>
      <c r="S403" t="str">
        <f t="shared" si="85"/>
        <v>Low</v>
      </c>
      <c r="T403" t="str">
        <f t="shared" si="86"/>
        <v>Low</v>
      </c>
      <c r="U403" t="str">
        <f t="shared" si="87"/>
        <v>Yes</v>
      </c>
      <c r="V403" t="str">
        <f t="shared" si="88"/>
        <v>No</v>
      </c>
      <c r="W403" t="str">
        <f t="shared" si="89"/>
        <v>No</v>
      </c>
      <c r="X403" t="str">
        <f t="shared" si="90"/>
        <v>No</v>
      </c>
    </row>
    <row r="404" spans="1:24" x14ac:dyDescent="0.3">
      <c r="A404" t="s">
        <v>242</v>
      </c>
      <c r="B404">
        <v>54</v>
      </c>
      <c r="C404" t="s">
        <v>511</v>
      </c>
      <c r="D404">
        <v>111922</v>
      </c>
      <c r="E404" t="s">
        <v>513</v>
      </c>
      <c r="F404">
        <v>20</v>
      </c>
      <c r="G404">
        <v>687.16</v>
      </c>
      <c r="H404">
        <v>243</v>
      </c>
      <c r="I404">
        <v>7</v>
      </c>
      <c r="J404">
        <v>13743.2</v>
      </c>
      <c r="K404">
        <f>SUM(Table3[Total_Revenue])</f>
        <v>30761529.489999965</v>
      </c>
      <c r="L404">
        <f t="shared" si="78"/>
        <v>30015913.759999976</v>
      </c>
      <c r="M404">
        <f t="shared" si="79"/>
        <v>0.97576142206315275</v>
      </c>
      <c r="N404" t="str">
        <f t="shared" si="80"/>
        <v>No</v>
      </c>
      <c r="O404">
        <f t="shared" si="81"/>
        <v>47894.68</v>
      </c>
      <c r="P404">
        <f t="shared" si="82"/>
        <v>5</v>
      </c>
      <c r="Q404">
        <f t="shared" si="83"/>
        <v>172.5</v>
      </c>
      <c r="R404" t="str">
        <f t="shared" si="84"/>
        <v>High</v>
      </c>
      <c r="S404" t="str">
        <f t="shared" si="85"/>
        <v>High</v>
      </c>
      <c r="T404" t="str">
        <f t="shared" si="86"/>
        <v>Low</v>
      </c>
      <c r="U404" t="str">
        <f t="shared" si="87"/>
        <v>Yes</v>
      </c>
      <c r="V404" t="str">
        <f t="shared" si="88"/>
        <v>No</v>
      </c>
      <c r="W404" t="str">
        <f t="shared" si="89"/>
        <v>No</v>
      </c>
      <c r="X404" t="str">
        <f t="shared" si="90"/>
        <v>No</v>
      </c>
    </row>
    <row r="405" spans="1:24" x14ac:dyDescent="0.3">
      <c r="A405" t="s">
        <v>399</v>
      </c>
      <c r="B405">
        <v>50</v>
      </c>
      <c r="C405" t="s">
        <v>511</v>
      </c>
      <c r="D405">
        <v>43710</v>
      </c>
      <c r="E405" t="s">
        <v>514</v>
      </c>
      <c r="F405">
        <v>6</v>
      </c>
      <c r="G405">
        <v>2272.04</v>
      </c>
      <c r="H405">
        <v>302</v>
      </c>
      <c r="I405">
        <v>5</v>
      </c>
      <c r="J405">
        <v>13632.24</v>
      </c>
      <c r="K405">
        <f>SUM(Table3[Total_Revenue])</f>
        <v>30761529.489999965</v>
      </c>
      <c r="L405">
        <f t="shared" si="78"/>
        <v>30029545.999999974</v>
      </c>
      <c r="M405">
        <f t="shared" si="79"/>
        <v>0.97620458078204642</v>
      </c>
      <c r="N405" t="str">
        <f t="shared" si="80"/>
        <v>No</v>
      </c>
      <c r="O405">
        <f t="shared" si="81"/>
        <v>47894.68</v>
      </c>
      <c r="P405">
        <f t="shared" si="82"/>
        <v>5</v>
      </c>
      <c r="Q405">
        <f t="shared" si="83"/>
        <v>172.5</v>
      </c>
      <c r="R405" t="str">
        <f t="shared" si="84"/>
        <v>Medium</v>
      </c>
      <c r="S405" t="str">
        <f t="shared" si="85"/>
        <v>High</v>
      </c>
      <c r="T405" t="str">
        <f t="shared" si="86"/>
        <v>Low</v>
      </c>
      <c r="U405" t="str">
        <f t="shared" si="87"/>
        <v>Yes</v>
      </c>
      <c r="V405" t="str">
        <f t="shared" si="88"/>
        <v>No</v>
      </c>
      <c r="W405" t="str">
        <f t="shared" si="89"/>
        <v>No</v>
      </c>
      <c r="X405" t="str">
        <f t="shared" si="90"/>
        <v>No</v>
      </c>
    </row>
    <row r="406" spans="1:24" x14ac:dyDescent="0.3">
      <c r="A406" t="s">
        <v>40</v>
      </c>
      <c r="B406">
        <v>66</v>
      </c>
      <c r="C406" t="s">
        <v>510</v>
      </c>
      <c r="D406">
        <v>91774</v>
      </c>
      <c r="E406" t="s">
        <v>514</v>
      </c>
      <c r="F406">
        <v>5</v>
      </c>
      <c r="G406">
        <v>2708</v>
      </c>
      <c r="H406">
        <v>273</v>
      </c>
      <c r="I406">
        <v>1</v>
      </c>
      <c r="J406">
        <v>13540</v>
      </c>
      <c r="K406">
        <f>SUM(Table3[Total_Revenue])</f>
        <v>30761529.489999965</v>
      </c>
      <c r="L406">
        <f t="shared" si="78"/>
        <v>30043085.999999974</v>
      </c>
      <c r="M406">
        <f t="shared" si="79"/>
        <v>0.97664474095042819</v>
      </c>
      <c r="N406" t="str">
        <f t="shared" si="80"/>
        <v>No</v>
      </c>
      <c r="O406">
        <f t="shared" si="81"/>
        <v>47894.68</v>
      </c>
      <c r="P406">
        <f t="shared" si="82"/>
        <v>5</v>
      </c>
      <c r="Q406">
        <f t="shared" si="83"/>
        <v>172.5</v>
      </c>
      <c r="R406" t="str">
        <f t="shared" si="84"/>
        <v>Low</v>
      </c>
      <c r="S406" t="str">
        <f t="shared" si="85"/>
        <v>High</v>
      </c>
      <c r="T406" t="str">
        <f t="shared" si="86"/>
        <v>Low</v>
      </c>
      <c r="U406" t="str">
        <f t="shared" si="87"/>
        <v>No</v>
      </c>
      <c r="V406" t="str">
        <f t="shared" si="88"/>
        <v>No</v>
      </c>
      <c r="W406" t="str">
        <f t="shared" si="89"/>
        <v>No</v>
      </c>
      <c r="X406" t="str">
        <f t="shared" si="90"/>
        <v>Yes</v>
      </c>
    </row>
    <row r="407" spans="1:24" x14ac:dyDescent="0.3">
      <c r="A407" t="s">
        <v>418</v>
      </c>
      <c r="B407">
        <v>40</v>
      </c>
      <c r="C407" t="s">
        <v>510</v>
      </c>
      <c r="D407">
        <v>120978</v>
      </c>
      <c r="E407" t="s">
        <v>513</v>
      </c>
      <c r="F407">
        <v>31</v>
      </c>
      <c r="G407">
        <v>436.69</v>
      </c>
      <c r="H407">
        <v>328</v>
      </c>
      <c r="I407">
        <v>8</v>
      </c>
      <c r="J407">
        <v>13537.39</v>
      </c>
      <c r="K407">
        <f>SUM(Table3[Total_Revenue])</f>
        <v>30761529.489999965</v>
      </c>
      <c r="L407">
        <f t="shared" si="78"/>
        <v>30056623.389999975</v>
      </c>
      <c r="M407">
        <f t="shared" si="79"/>
        <v>0.97708481627257371</v>
      </c>
      <c r="N407" t="str">
        <f t="shared" si="80"/>
        <v>No</v>
      </c>
      <c r="O407">
        <f t="shared" si="81"/>
        <v>47894.68</v>
      </c>
      <c r="P407">
        <f t="shared" si="82"/>
        <v>5</v>
      </c>
      <c r="Q407">
        <f t="shared" si="83"/>
        <v>172.5</v>
      </c>
      <c r="R407" t="str">
        <f t="shared" si="84"/>
        <v>High</v>
      </c>
      <c r="S407" t="str">
        <f t="shared" si="85"/>
        <v>High</v>
      </c>
      <c r="T407" t="str">
        <f t="shared" si="86"/>
        <v>Low</v>
      </c>
      <c r="U407" t="str">
        <f t="shared" si="87"/>
        <v>Yes</v>
      </c>
      <c r="V407" t="str">
        <f t="shared" si="88"/>
        <v>No</v>
      </c>
      <c r="W407" t="str">
        <f t="shared" si="89"/>
        <v>No</v>
      </c>
      <c r="X407" t="str">
        <f t="shared" si="90"/>
        <v>No</v>
      </c>
    </row>
    <row r="408" spans="1:24" x14ac:dyDescent="0.3">
      <c r="A408" t="s">
        <v>168</v>
      </c>
      <c r="B408">
        <v>56</v>
      </c>
      <c r="C408" t="s">
        <v>510</v>
      </c>
      <c r="D408">
        <v>97735</v>
      </c>
      <c r="E408" t="s">
        <v>514</v>
      </c>
      <c r="F408">
        <v>10</v>
      </c>
      <c r="G408">
        <v>1352.66</v>
      </c>
      <c r="H408">
        <v>107</v>
      </c>
      <c r="I408">
        <v>7</v>
      </c>
      <c r="J408">
        <v>13526.6</v>
      </c>
      <c r="K408">
        <f>SUM(Table3[Total_Revenue])</f>
        <v>30761529.489999965</v>
      </c>
      <c r="L408">
        <f t="shared" si="78"/>
        <v>30070149.989999976</v>
      </c>
      <c r="M408">
        <f t="shared" si="79"/>
        <v>0.9775245408319263</v>
      </c>
      <c r="N408" t="str">
        <f t="shared" si="80"/>
        <v>No</v>
      </c>
      <c r="O408">
        <f t="shared" si="81"/>
        <v>47894.68</v>
      </c>
      <c r="P408">
        <f t="shared" si="82"/>
        <v>5</v>
      </c>
      <c r="Q408">
        <f t="shared" si="83"/>
        <v>172.5</v>
      </c>
      <c r="R408" t="str">
        <f t="shared" si="84"/>
        <v>High</v>
      </c>
      <c r="S408" t="str">
        <f t="shared" si="85"/>
        <v>Low</v>
      </c>
      <c r="T408" t="str">
        <f t="shared" si="86"/>
        <v>Low</v>
      </c>
      <c r="U408" t="str">
        <f t="shared" si="87"/>
        <v>Yes</v>
      </c>
      <c r="V408" t="str">
        <f t="shared" si="88"/>
        <v>No</v>
      </c>
      <c r="W408" t="str">
        <f t="shared" si="89"/>
        <v>No</v>
      </c>
      <c r="X408" t="str">
        <f t="shared" si="90"/>
        <v>No</v>
      </c>
    </row>
    <row r="409" spans="1:24" x14ac:dyDescent="0.3">
      <c r="A409" t="s">
        <v>362</v>
      </c>
      <c r="B409">
        <v>47</v>
      </c>
      <c r="C409" t="s">
        <v>510</v>
      </c>
      <c r="D409">
        <v>112738</v>
      </c>
      <c r="E409" t="s">
        <v>512</v>
      </c>
      <c r="F409">
        <v>32</v>
      </c>
      <c r="G409">
        <v>416.62</v>
      </c>
      <c r="H409">
        <v>314</v>
      </c>
      <c r="I409">
        <v>2</v>
      </c>
      <c r="J409">
        <v>13331.84</v>
      </c>
      <c r="K409">
        <f>SUM(Table3[Total_Revenue])</f>
        <v>30761529.489999965</v>
      </c>
      <c r="L409">
        <f t="shared" si="78"/>
        <v>30083481.829999976</v>
      </c>
      <c r="M409">
        <f t="shared" si="79"/>
        <v>0.97795793410661158</v>
      </c>
      <c r="N409" t="str">
        <f t="shared" si="80"/>
        <v>No</v>
      </c>
      <c r="O409">
        <f t="shared" si="81"/>
        <v>47894.68</v>
      </c>
      <c r="P409">
        <f t="shared" si="82"/>
        <v>5</v>
      </c>
      <c r="Q409">
        <f t="shared" si="83"/>
        <v>172.5</v>
      </c>
      <c r="R409" t="str">
        <f t="shared" si="84"/>
        <v>Low</v>
      </c>
      <c r="S409" t="str">
        <f t="shared" si="85"/>
        <v>High</v>
      </c>
      <c r="T409" t="str">
        <f t="shared" si="86"/>
        <v>Low</v>
      </c>
      <c r="U409" t="str">
        <f t="shared" si="87"/>
        <v>No</v>
      </c>
      <c r="V409" t="str">
        <f t="shared" si="88"/>
        <v>No</v>
      </c>
      <c r="W409" t="str">
        <f t="shared" si="89"/>
        <v>No</v>
      </c>
      <c r="X409" t="str">
        <f t="shared" si="90"/>
        <v>Yes</v>
      </c>
    </row>
    <row r="410" spans="1:24" x14ac:dyDescent="0.3">
      <c r="A410" t="s">
        <v>185</v>
      </c>
      <c r="B410">
        <v>68</v>
      </c>
      <c r="C410" t="s">
        <v>511</v>
      </c>
      <c r="D410">
        <v>23812</v>
      </c>
      <c r="E410" t="s">
        <v>513</v>
      </c>
      <c r="F410">
        <v>12</v>
      </c>
      <c r="G410">
        <v>1110.31</v>
      </c>
      <c r="H410">
        <v>154</v>
      </c>
      <c r="I410">
        <v>6</v>
      </c>
      <c r="J410">
        <v>13323.72</v>
      </c>
      <c r="K410">
        <f>SUM(Table3[Total_Revenue])</f>
        <v>30761529.489999965</v>
      </c>
      <c r="L410">
        <f t="shared" si="78"/>
        <v>30096805.549999975</v>
      </c>
      <c r="M410">
        <f t="shared" si="79"/>
        <v>0.97839106341522841</v>
      </c>
      <c r="N410" t="str">
        <f t="shared" si="80"/>
        <v>No</v>
      </c>
      <c r="O410">
        <f t="shared" si="81"/>
        <v>47894.68</v>
      </c>
      <c r="P410">
        <f t="shared" si="82"/>
        <v>5</v>
      </c>
      <c r="Q410">
        <f t="shared" si="83"/>
        <v>172.5</v>
      </c>
      <c r="R410" t="str">
        <f t="shared" si="84"/>
        <v>High</v>
      </c>
      <c r="S410" t="str">
        <f t="shared" si="85"/>
        <v>Low</v>
      </c>
      <c r="T410" t="str">
        <f t="shared" si="86"/>
        <v>Low</v>
      </c>
      <c r="U410" t="str">
        <f t="shared" si="87"/>
        <v>Yes</v>
      </c>
      <c r="V410" t="str">
        <f t="shared" si="88"/>
        <v>No</v>
      </c>
      <c r="W410" t="str">
        <f t="shared" si="89"/>
        <v>No</v>
      </c>
      <c r="X410" t="str">
        <f t="shared" si="90"/>
        <v>No</v>
      </c>
    </row>
    <row r="411" spans="1:24" x14ac:dyDescent="0.3">
      <c r="A411" t="s">
        <v>297</v>
      </c>
      <c r="B411">
        <v>52</v>
      </c>
      <c r="C411" t="s">
        <v>511</v>
      </c>
      <c r="D411">
        <v>28567</v>
      </c>
      <c r="E411" t="s">
        <v>512</v>
      </c>
      <c r="F411">
        <v>8</v>
      </c>
      <c r="G411">
        <v>1655.9</v>
      </c>
      <c r="H411">
        <v>114</v>
      </c>
      <c r="I411">
        <v>9</v>
      </c>
      <c r="J411">
        <v>13247.2</v>
      </c>
      <c r="K411">
        <f>SUM(Table3[Total_Revenue])</f>
        <v>30761529.489999965</v>
      </c>
      <c r="L411">
        <f t="shared" si="78"/>
        <v>30110052.749999974</v>
      </c>
      <c r="M411">
        <f t="shared" si="79"/>
        <v>0.97882170520123923</v>
      </c>
      <c r="N411" t="str">
        <f t="shared" si="80"/>
        <v>No</v>
      </c>
      <c r="O411">
        <f t="shared" si="81"/>
        <v>47894.68</v>
      </c>
      <c r="P411">
        <f t="shared" si="82"/>
        <v>5</v>
      </c>
      <c r="Q411">
        <f t="shared" si="83"/>
        <v>172.5</v>
      </c>
      <c r="R411" t="str">
        <f t="shared" si="84"/>
        <v>High</v>
      </c>
      <c r="S411" t="str">
        <f t="shared" si="85"/>
        <v>Low</v>
      </c>
      <c r="T411" t="str">
        <f t="shared" si="86"/>
        <v>Low</v>
      </c>
      <c r="U411" t="str">
        <f t="shared" si="87"/>
        <v>Yes</v>
      </c>
      <c r="V411" t="str">
        <f t="shared" si="88"/>
        <v>No</v>
      </c>
      <c r="W411" t="str">
        <f t="shared" si="89"/>
        <v>No</v>
      </c>
      <c r="X411" t="str">
        <f t="shared" si="90"/>
        <v>No</v>
      </c>
    </row>
    <row r="412" spans="1:24" x14ac:dyDescent="0.3">
      <c r="A412" t="s">
        <v>215</v>
      </c>
      <c r="B412">
        <v>50</v>
      </c>
      <c r="C412" t="s">
        <v>511</v>
      </c>
      <c r="D412">
        <v>61427</v>
      </c>
      <c r="E412" t="s">
        <v>512</v>
      </c>
      <c r="F412">
        <v>4</v>
      </c>
      <c r="G412">
        <v>3236.82</v>
      </c>
      <c r="H412">
        <v>177</v>
      </c>
      <c r="I412">
        <v>7</v>
      </c>
      <c r="J412">
        <v>12947.28</v>
      </c>
      <c r="K412">
        <f>SUM(Table3[Total_Revenue])</f>
        <v>30761529.489999965</v>
      </c>
      <c r="L412">
        <f t="shared" si="78"/>
        <v>30123000.029999975</v>
      </c>
      <c r="M412">
        <f t="shared" si="79"/>
        <v>0.97924259714694728</v>
      </c>
      <c r="N412" t="str">
        <f t="shared" si="80"/>
        <v>No</v>
      </c>
      <c r="O412">
        <f t="shared" si="81"/>
        <v>47894.68</v>
      </c>
      <c r="P412">
        <f t="shared" si="82"/>
        <v>5</v>
      </c>
      <c r="Q412">
        <f t="shared" si="83"/>
        <v>172.5</v>
      </c>
      <c r="R412" t="str">
        <f t="shared" si="84"/>
        <v>High</v>
      </c>
      <c r="S412" t="str">
        <f t="shared" si="85"/>
        <v>High</v>
      </c>
      <c r="T412" t="str">
        <f t="shared" si="86"/>
        <v>Low</v>
      </c>
      <c r="U412" t="str">
        <f t="shared" si="87"/>
        <v>Yes</v>
      </c>
      <c r="V412" t="str">
        <f t="shared" si="88"/>
        <v>No</v>
      </c>
      <c r="W412" t="str">
        <f t="shared" si="89"/>
        <v>No</v>
      </c>
      <c r="X412" t="str">
        <f t="shared" si="90"/>
        <v>No</v>
      </c>
    </row>
    <row r="413" spans="1:24" x14ac:dyDescent="0.3">
      <c r="A413" t="s">
        <v>214</v>
      </c>
      <c r="B413">
        <v>54</v>
      </c>
      <c r="C413" t="s">
        <v>511</v>
      </c>
      <c r="D413">
        <v>142177</v>
      </c>
      <c r="E413" t="s">
        <v>514</v>
      </c>
      <c r="F413">
        <v>29</v>
      </c>
      <c r="G413">
        <v>442.66</v>
      </c>
      <c r="H413">
        <v>86</v>
      </c>
      <c r="I413">
        <v>3</v>
      </c>
      <c r="J413">
        <v>12837.14</v>
      </c>
      <c r="K413">
        <f>SUM(Table3[Total_Revenue])</f>
        <v>30761529.489999965</v>
      </c>
      <c r="L413">
        <f t="shared" si="78"/>
        <v>30135837.169999976</v>
      </c>
      <c r="M413">
        <f t="shared" si="79"/>
        <v>0.97965990864649977</v>
      </c>
      <c r="N413" t="str">
        <f t="shared" si="80"/>
        <v>No</v>
      </c>
      <c r="O413">
        <f t="shared" si="81"/>
        <v>47894.68</v>
      </c>
      <c r="P413">
        <f t="shared" si="82"/>
        <v>5</v>
      </c>
      <c r="Q413">
        <f t="shared" si="83"/>
        <v>172.5</v>
      </c>
      <c r="R413" t="str">
        <f t="shared" si="84"/>
        <v>Low</v>
      </c>
      <c r="S413" t="str">
        <f t="shared" si="85"/>
        <v>Low</v>
      </c>
      <c r="T413" t="str">
        <f t="shared" si="86"/>
        <v>Low</v>
      </c>
      <c r="U413" t="str">
        <f t="shared" si="87"/>
        <v>No</v>
      </c>
      <c r="V413" t="str">
        <f t="shared" si="88"/>
        <v>No</v>
      </c>
      <c r="W413" t="str">
        <f t="shared" si="89"/>
        <v>No</v>
      </c>
      <c r="X413" t="str">
        <f t="shared" si="90"/>
        <v>Yes</v>
      </c>
    </row>
    <row r="414" spans="1:24" x14ac:dyDescent="0.3">
      <c r="A414" t="s">
        <v>363</v>
      </c>
      <c r="B414">
        <v>55</v>
      </c>
      <c r="C414" t="s">
        <v>511</v>
      </c>
      <c r="D414">
        <v>116646</v>
      </c>
      <c r="E414" t="s">
        <v>515</v>
      </c>
      <c r="F414">
        <v>41</v>
      </c>
      <c r="G414">
        <v>308.89999999999998</v>
      </c>
      <c r="H414">
        <v>75</v>
      </c>
      <c r="I414">
        <v>4</v>
      </c>
      <c r="J414">
        <v>12664.9</v>
      </c>
      <c r="K414">
        <f>SUM(Table3[Total_Revenue])</f>
        <v>30761529.489999965</v>
      </c>
      <c r="L414">
        <f t="shared" si="78"/>
        <v>30148502.069999974</v>
      </c>
      <c r="M414">
        <f t="shared" si="79"/>
        <v>0.9800716209446193</v>
      </c>
      <c r="N414" t="str">
        <f t="shared" si="80"/>
        <v>No</v>
      </c>
      <c r="O414">
        <f t="shared" si="81"/>
        <v>47894.68</v>
      </c>
      <c r="P414">
        <f t="shared" si="82"/>
        <v>5</v>
      </c>
      <c r="Q414">
        <f t="shared" si="83"/>
        <v>172.5</v>
      </c>
      <c r="R414" t="str">
        <f t="shared" si="84"/>
        <v>Low</v>
      </c>
      <c r="S414" t="str">
        <f t="shared" si="85"/>
        <v>Low</v>
      </c>
      <c r="T414" t="str">
        <f t="shared" si="86"/>
        <v>Low</v>
      </c>
      <c r="U414" t="str">
        <f t="shared" si="87"/>
        <v>No</v>
      </c>
      <c r="V414" t="str">
        <f t="shared" si="88"/>
        <v>No</v>
      </c>
      <c r="W414" t="str">
        <f t="shared" si="89"/>
        <v>No</v>
      </c>
      <c r="X414" t="str">
        <f t="shared" si="90"/>
        <v>Yes</v>
      </c>
    </row>
    <row r="415" spans="1:24" x14ac:dyDescent="0.3">
      <c r="A415" t="s">
        <v>301</v>
      </c>
      <c r="B415">
        <v>65</v>
      </c>
      <c r="C415" t="s">
        <v>510</v>
      </c>
      <c r="D415">
        <v>104555</v>
      </c>
      <c r="E415" t="s">
        <v>514</v>
      </c>
      <c r="F415">
        <v>18</v>
      </c>
      <c r="G415">
        <v>696.63</v>
      </c>
      <c r="H415">
        <v>129</v>
      </c>
      <c r="I415">
        <v>3</v>
      </c>
      <c r="J415">
        <v>12539.34</v>
      </c>
      <c r="K415">
        <f>SUM(Table3[Total_Revenue])</f>
        <v>30761529.489999965</v>
      </c>
      <c r="L415">
        <f t="shared" si="78"/>
        <v>30161041.409999974</v>
      </c>
      <c r="M415">
        <f t="shared" si="79"/>
        <v>0.98047925152111837</v>
      </c>
      <c r="N415" t="str">
        <f t="shared" si="80"/>
        <v>No</v>
      </c>
      <c r="O415">
        <f t="shared" si="81"/>
        <v>47894.68</v>
      </c>
      <c r="P415">
        <f t="shared" si="82"/>
        <v>5</v>
      </c>
      <c r="Q415">
        <f t="shared" si="83"/>
        <v>172.5</v>
      </c>
      <c r="R415" t="str">
        <f t="shared" si="84"/>
        <v>Low</v>
      </c>
      <c r="S415" t="str">
        <f t="shared" si="85"/>
        <v>Low</v>
      </c>
      <c r="T415" t="str">
        <f t="shared" si="86"/>
        <v>Low</v>
      </c>
      <c r="U415" t="str">
        <f t="shared" si="87"/>
        <v>No</v>
      </c>
      <c r="V415" t="str">
        <f t="shared" si="88"/>
        <v>No</v>
      </c>
      <c r="W415" t="str">
        <f t="shared" si="89"/>
        <v>No</v>
      </c>
      <c r="X415" t="str">
        <f t="shared" si="90"/>
        <v>Yes</v>
      </c>
    </row>
    <row r="416" spans="1:24" x14ac:dyDescent="0.3">
      <c r="A416" t="s">
        <v>319</v>
      </c>
      <c r="B416">
        <v>41</v>
      </c>
      <c r="C416" t="s">
        <v>511</v>
      </c>
      <c r="D416">
        <v>106740</v>
      </c>
      <c r="E416" t="s">
        <v>513</v>
      </c>
      <c r="F416">
        <v>12</v>
      </c>
      <c r="G416">
        <v>1039.73</v>
      </c>
      <c r="H416">
        <v>158</v>
      </c>
      <c r="I416">
        <v>5</v>
      </c>
      <c r="J416">
        <v>12476.76</v>
      </c>
      <c r="K416">
        <f>SUM(Table3[Total_Revenue])</f>
        <v>30761529.489999965</v>
      </c>
      <c r="L416">
        <f t="shared" si="78"/>
        <v>30173518.169999976</v>
      </c>
      <c r="M416">
        <f t="shared" si="79"/>
        <v>0.98088484773843443</v>
      </c>
      <c r="N416" t="str">
        <f t="shared" si="80"/>
        <v>No</v>
      </c>
      <c r="O416">
        <f t="shared" si="81"/>
        <v>47894.68</v>
      </c>
      <c r="P416">
        <f t="shared" si="82"/>
        <v>5</v>
      </c>
      <c r="Q416">
        <f t="shared" si="83"/>
        <v>172.5</v>
      </c>
      <c r="R416" t="str">
        <f t="shared" si="84"/>
        <v>Medium</v>
      </c>
      <c r="S416" t="str">
        <f t="shared" si="85"/>
        <v>Low</v>
      </c>
      <c r="T416" t="str">
        <f t="shared" si="86"/>
        <v>Low</v>
      </c>
      <c r="U416" t="str">
        <f t="shared" si="87"/>
        <v>Yes</v>
      </c>
      <c r="V416" t="str">
        <f t="shared" si="88"/>
        <v>No</v>
      </c>
      <c r="W416" t="str">
        <f t="shared" si="89"/>
        <v>No</v>
      </c>
      <c r="X416" t="str">
        <f t="shared" si="90"/>
        <v>No</v>
      </c>
    </row>
    <row r="417" spans="1:24" x14ac:dyDescent="0.3">
      <c r="A417" t="s">
        <v>491</v>
      </c>
      <c r="B417">
        <v>34</v>
      </c>
      <c r="C417" t="s">
        <v>510</v>
      </c>
      <c r="D417">
        <v>88244</v>
      </c>
      <c r="E417" t="s">
        <v>512</v>
      </c>
      <c r="F417">
        <v>14</v>
      </c>
      <c r="G417">
        <v>888.16</v>
      </c>
      <c r="H417">
        <v>35</v>
      </c>
      <c r="I417">
        <v>9</v>
      </c>
      <c r="J417">
        <v>12434.24</v>
      </c>
      <c r="K417">
        <f>SUM(Table3[Total_Revenue])</f>
        <v>30761529.489999965</v>
      </c>
      <c r="L417">
        <f t="shared" si="78"/>
        <v>30185952.409999974</v>
      </c>
      <c r="M417">
        <f t="shared" si="79"/>
        <v>0.98128906170978591</v>
      </c>
      <c r="N417" t="str">
        <f t="shared" si="80"/>
        <v>No</v>
      </c>
      <c r="O417">
        <f t="shared" si="81"/>
        <v>47894.68</v>
      </c>
      <c r="P417">
        <f t="shared" si="82"/>
        <v>5</v>
      </c>
      <c r="Q417">
        <f t="shared" si="83"/>
        <v>172.5</v>
      </c>
      <c r="R417" t="str">
        <f t="shared" si="84"/>
        <v>High</v>
      </c>
      <c r="S417" t="str">
        <f t="shared" si="85"/>
        <v>Low</v>
      </c>
      <c r="T417" t="str">
        <f t="shared" si="86"/>
        <v>Low</v>
      </c>
      <c r="U417" t="str">
        <f t="shared" si="87"/>
        <v>Yes</v>
      </c>
      <c r="V417" t="str">
        <f t="shared" si="88"/>
        <v>No</v>
      </c>
      <c r="W417" t="str">
        <f t="shared" si="89"/>
        <v>No</v>
      </c>
      <c r="X417" t="str">
        <f t="shared" si="90"/>
        <v>No</v>
      </c>
    </row>
    <row r="418" spans="1:24" x14ac:dyDescent="0.3">
      <c r="A418" t="s">
        <v>18</v>
      </c>
      <c r="B418">
        <v>36</v>
      </c>
      <c r="C418" t="s">
        <v>511</v>
      </c>
      <c r="D418">
        <v>107369</v>
      </c>
      <c r="E418" t="s">
        <v>512</v>
      </c>
      <c r="F418">
        <v>46</v>
      </c>
      <c r="G418">
        <v>267.52</v>
      </c>
      <c r="H418">
        <v>70</v>
      </c>
      <c r="I418">
        <v>6</v>
      </c>
      <c r="J418">
        <v>12305.92</v>
      </c>
      <c r="K418">
        <f>SUM(Table3[Total_Revenue])</f>
        <v>30761529.489999965</v>
      </c>
      <c r="L418">
        <f t="shared" si="78"/>
        <v>30198258.329999976</v>
      </c>
      <c r="M418">
        <f t="shared" si="79"/>
        <v>0.98168910423706013</v>
      </c>
      <c r="N418" t="str">
        <f t="shared" si="80"/>
        <v>No</v>
      </c>
      <c r="O418">
        <f t="shared" si="81"/>
        <v>47894.68</v>
      </c>
      <c r="P418">
        <f t="shared" si="82"/>
        <v>5</v>
      </c>
      <c r="Q418">
        <f t="shared" si="83"/>
        <v>172.5</v>
      </c>
      <c r="R418" t="str">
        <f t="shared" si="84"/>
        <v>High</v>
      </c>
      <c r="S418" t="str">
        <f t="shared" si="85"/>
        <v>Low</v>
      </c>
      <c r="T418" t="str">
        <f t="shared" si="86"/>
        <v>Low</v>
      </c>
      <c r="U418" t="str">
        <f t="shared" si="87"/>
        <v>Yes</v>
      </c>
      <c r="V418" t="str">
        <f t="shared" si="88"/>
        <v>No</v>
      </c>
      <c r="W418" t="str">
        <f t="shared" si="89"/>
        <v>No</v>
      </c>
      <c r="X418" t="str">
        <f t="shared" si="90"/>
        <v>No</v>
      </c>
    </row>
    <row r="419" spans="1:24" x14ac:dyDescent="0.3">
      <c r="A419" t="s">
        <v>27</v>
      </c>
      <c r="B419">
        <v>39</v>
      </c>
      <c r="C419" t="s">
        <v>511</v>
      </c>
      <c r="D419">
        <v>25569</v>
      </c>
      <c r="E419" t="s">
        <v>513</v>
      </c>
      <c r="F419">
        <v>20</v>
      </c>
      <c r="G419">
        <v>606.21</v>
      </c>
      <c r="H419">
        <v>24</v>
      </c>
      <c r="I419">
        <v>8</v>
      </c>
      <c r="J419">
        <v>12124.2</v>
      </c>
      <c r="K419">
        <f>SUM(Table3[Total_Revenue])</f>
        <v>30761529.489999965</v>
      </c>
      <c r="L419">
        <f t="shared" si="78"/>
        <v>30210382.529999975</v>
      </c>
      <c r="M419">
        <f t="shared" si="79"/>
        <v>0.98208323938576725</v>
      </c>
      <c r="N419" t="str">
        <f t="shared" si="80"/>
        <v>No</v>
      </c>
      <c r="O419">
        <f t="shared" si="81"/>
        <v>47894.68</v>
      </c>
      <c r="P419">
        <f t="shared" si="82"/>
        <v>5</v>
      </c>
      <c r="Q419">
        <f t="shared" si="83"/>
        <v>172.5</v>
      </c>
      <c r="R419" t="str">
        <f t="shared" si="84"/>
        <v>High</v>
      </c>
      <c r="S419" t="str">
        <f t="shared" si="85"/>
        <v>Low</v>
      </c>
      <c r="T419" t="str">
        <f t="shared" si="86"/>
        <v>Low</v>
      </c>
      <c r="U419" t="str">
        <f t="shared" si="87"/>
        <v>Yes</v>
      </c>
      <c r="V419" t="str">
        <f t="shared" si="88"/>
        <v>No</v>
      </c>
      <c r="W419" t="str">
        <f t="shared" si="89"/>
        <v>No</v>
      </c>
      <c r="X419" t="str">
        <f t="shared" si="90"/>
        <v>No</v>
      </c>
    </row>
    <row r="420" spans="1:24" x14ac:dyDescent="0.3">
      <c r="A420" t="s">
        <v>22</v>
      </c>
      <c r="B420">
        <v>41</v>
      </c>
      <c r="C420" t="s">
        <v>510</v>
      </c>
      <c r="D420">
        <v>145911</v>
      </c>
      <c r="E420" t="s">
        <v>513</v>
      </c>
      <c r="F420">
        <v>34</v>
      </c>
      <c r="G420">
        <v>353.31</v>
      </c>
      <c r="H420">
        <v>186</v>
      </c>
      <c r="I420">
        <v>8</v>
      </c>
      <c r="J420">
        <v>12012.54</v>
      </c>
      <c r="K420">
        <f>SUM(Table3[Total_Revenue])</f>
        <v>30761529.489999965</v>
      </c>
      <c r="L420">
        <f t="shared" si="78"/>
        <v>30222395.069999974</v>
      </c>
      <c r="M420">
        <f t="shared" si="79"/>
        <v>0.98247374467595139</v>
      </c>
      <c r="N420" t="str">
        <f t="shared" si="80"/>
        <v>No</v>
      </c>
      <c r="O420">
        <f t="shared" si="81"/>
        <v>47894.68</v>
      </c>
      <c r="P420">
        <f t="shared" si="82"/>
        <v>5</v>
      </c>
      <c r="Q420">
        <f t="shared" si="83"/>
        <v>172.5</v>
      </c>
      <c r="R420" t="str">
        <f t="shared" si="84"/>
        <v>High</v>
      </c>
      <c r="S420" t="str">
        <f t="shared" si="85"/>
        <v>High</v>
      </c>
      <c r="T420" t="str">
        <f t="shared" si="86"/>
        <v>Low</v>
      </c>
      <c r="U420" t="str">
        <f t="shared" si="87"/>
        <v>Yes</v>
      </c>
      <c r="V420" t="str">
        <f t="shared" si="88"/>
        <v>No</v>
      </c>
      <c r="W420" t="str">
        <f t="shared" si="89"/>
        <v>No</v>
      </c>
      <c r="X420" t="str">
        <f t="shared" si="90"/>
        <v>No</v>
      </c>
    </row>
    <row r="421" spans="1:24" x14ac:dyDescent="0.3">
      <c r="A421" t="s">
        <v>246</v>
      </c>
      <c r="B421">
        <v>36</v>
      </c>
      <c r="C421" t="s">
        <v>510</v>
      </c>
      <c r="D421">
        <v>56976</v>
      </c>
      <c r="E421" t="s">
        <v>514</v>
      </c>
      <c r="F421">
        <v>3</v>
      </c>
      <c r="G421">
        <v>3866.14</v>
      </c>
      <c r="H421">
        <v>277</v>
      </c>
      <c r="I421">
        <v>8</v>
      </c>
      <c r="J421">
        <v>11598.42</v>
      </c>
      <c r="K421">
        <f>SUM(Table3[Total_Revenue])</f>
        <v>30761529.489999965</v>
      </c>
      <c r="L421">
        <f t="shared" si="78"/>
        <v>30233993.489999976</v>
      </c>
      <c r="M421">
        <f t="shared" si="79"/>
        <v>0.98285078769664291</v>
      </c>
      <c r="N421" t="str">
        <f t="shared" si="80"/>
        <v>No</v>
      </c>
      <c r="O421">
        <f t="shared" si="81"/>
        <v>47894.68</v>
      </c>
      <c r="P421">
        <f t="shared" si="82"/>
        <v>5</v>
      </c>
      <c r="Q421">
        <f t="shared" si="83"/>
        <v>172.5</v>
      </c>
      <c r="R421" t="str">
        <f t="shared" si="84"/>
        <v>High</v>
      </c>
      <c r="S421" t="str">
        <f t="shared" si="85"/>
        <v>High</v>
      </c>
      <c r="T421" t="str">
        <f t="shared" si="86"/>
        <v>Low</v>
      </c>
      <c r="U421" t="str">
        <f t="shared" si="87"/>
        <v>Yes</v>
      </c>
      <c r="V421" t="str">
        <f t="shared" si="88"/>
        <v>No</v>
      </c>
      <c r="W421" t="str">
        <f t="shared" si="89"/>
        <v>No</v>
      </c>
      <c r="X421" t="str">
        <f t="shared" si="90"/>
        <v>No</v>
      </c>
    </row>
    <row r="422" spans="1:24" x14ac:dyDescent="0.3">
      <c r="A422" t="s">
        <v>103</v>
      </c>
      <c r="B422">
        <v>41</v>
      </c>
      <c r="C422" t="s">
        <v>510</v>
      </c>
      <c r="D422">
        <v>145646</v>
      </c>
      <c r="E422" t="s">
        <v>515</v>
      </c>
      <c r="F422">
        <v>3</v>
      </c>
      <c r="G422">
        <v>3820.79</v>
      </c>
      <c r="H422">
        <v>61</v>
      </c>
      <c r="I422">
        <v>8</v>
      </c>
      <c r="J422">
        <v>11462.37</v>
      </c>
      <c r="K422">
        <f>SUM(Table3[Total_Revenue])</f>
        <v>30761529.489999965</v>
      </c>
      <c r="L422">
        <f t="shared" si="78"/>
        <v>30245455.859999977</v>
      </c>
      <c r="M422">
        <f t="shared" si="79"/>
        <v>0.9832234079853619</v>
      </c>
      <c r="N422" t="str">
        <f t="shared" si="80"/>
        <v>No</v>
      </c>
      <c r="O422">
        <f t="shared" si="81"/>
        <v>47894.68</v>
      </c>
      <c r="P422">
        <f t="shared" si="82"/>
        <v>5</v>
      </c>
      <c r="Q422">
        <f t="shared" si="83"/>
        <v>172.5</v>
      </c>
      <c r="R422" t="str">
        <f t="shared" si="84"/>
        <v>High</v>
      </c>
      <c r="S422" t="str">
        <f t="shared" si="85"/>
        <v>Low</v>
      </c>
      <c r="T422" t="str">
        <f t="shared" si="86"/>
        <v>Low</v>
      </c>
      <c r="U422" t="str">
        <f t="shared" si="87"/>
        <v>Yes</v>
      </c>
      <c r="V422" t="str">
        <f t="shared" si="88"/>
        <v>No</v>
      </c>
      <c r="W422" t="str">
        <f t="shared" si="89"/>
        <v>No</v>
      </c>
      <c r="X422" t="str">
        <f t="shared" si="90"/>
        <v>No</v>
      </c>
    </row>
    <row r="423" spans="1:24" x14ac:dyDescent="0.3">
      <c r="A423" t="s">
        <v>123</v>
      </c>
      <c r="B423">
        <v>25</v>
      </c>
      <c r="C423" t="s">
        <v>510</v>
      </c>
      <c r="D423">
        <v>38030</v>
      </c>
      <c r="E423" t="s">
        <v>513</v>
      </c>
      <c r="F423">
        <v>25</v>
      </c>
      <c r="G423">
        <v>449.27</v>
      </c>
      <c r="H423">
        <v>192</v>
      </c>
      <c r="I423">
        <v>3</v>
      </c>
      <c r="J423">
        <v>11231.75</v>
      </c>
      <c r="K423">
        <f>SUM(Table3[Total_Revenue])</f>
        <v>30761529.489999965</v>
      </c>
      <c r="L423">
        <f t="shared" si="78"/>
        <v>30256687.609999977</v>
      </c>
      <c r="M423">
        <f t="shared" si="79"/>
        <v>0.98358853124763823</v>
      </c>
      <c r="N423" t="str">
        <f t="shared" si="80"/>
        <v>No</v>
      </c>
      <c r="O423">
        <f t="shared" si="81"/>
        <v>47894.68</v>
      </c>
      <c r="P423">
        <f t="shared" si="82"/>
        <v>5</v>
      </c>
      <c r="Q423">
        <f t="shared" si="83"/>
        <v>172.5</v>
      </c>
      <c r="R423" t="str">
        <f t="shared" si="84"/>
        <v>Low</v>
      </c>
      <c r="S423" t="str">
        <f t="shared" si="85"/>
        <v>High</v>
      </c>
      <c r="T423" t="str">
        <f t="shared" si="86"/>
        <v>Low</v>
      </c>
      <c r="U423" t="str">
        <f t="shared" si="87"/>
        <v>No</v>
      </c>
      <c r="V423" t="str">
        <f t="shared" si="88"/>
        <v>No</v>
      </c>
      <c r="W423" t="str">
        <f t="shared" si="89"/>
        <v>No</v>
      </c>
      <c r="X423" t="str">
        <f t="shared" si="90"/>
        <v>Yes</v>
      </c>
    </row>
    <row r="424" spans="1:24" x14ac:dyDescent="0.3">
      <c r="A424" t="s">
        <v>365</v>
      </c>
      <c r="B424">
        <v>62</v>
      </c>
      <c r="C424" t="s">
        <v>511</v>
      </c>
      <c r="D424">
        <v>44519</v>
      </c>
      <c r="E424" t="s">
        <v>514</v>
      </c>
      <c r="F424">
        <v>8</v>
      </c>
      <c r="G424">
        <v>1402.67</v>
      </c>
      <c r="H424">
        <v>176</v>
      </c>
      <c r="I424">
        <v>3</v>
      </c>
      <c r="J424">
        <v>11221.36</v>
      </c>
      <c r="K424">
        <f>SUM(Table3[Total_Revenue])</f>
        <v>30761529.489999965</v>
      </c>
      <c r="L424">
        <f t="shared" si="78"/>
        <v>30267908.969999976</v>
      </c>
      <c r="M424">
        <f t="shared" si="79"/>
        <v>0.98395331675037634</v>
      </c>
      <c r="N424" t="str">
        <f t="shared" si="80"/>
        <v>No</v>
      </c>
      <c r="O424">
        <f t="shared" si="81"/>
        <v>47894.68</v>
      </c>
      <c r="P424">
        <f t="shared" si="82"/>
        <v>5</v>
      </c>
      <c r="Q424">
        <f t="shared" si="83"/>
        <v>172.5</v>
      </c>
      <c r="R424" t="str">
        <f t="shared" si="84"/>
        <v>Low</v>
      </c>
      <c r="S424" t="str">
        <f t="shared" si="85"/>
        <v>High</v>
      </c>
      <c r="T424" t="str">
        <f t="shared" si="86"/>
        <v>Low</v>
      </c>
      <c r="U424" t="str">
        <f t="shared" si="87"/>
        <v>No</v>
      </c>
      <c r="V424" t="str">
        <f t="shared" si="88"/>
        <v>No</v>
      </c>
      <c r="W424" t="str">
        <f t="shared" si="89"/>
        <v>No</v>
      </c>
      <c r="X424" t="str">
        <f t="shared" si="90"/>
        <v>Yes</v>
      </c>
    </row>
    <row r="425" spans="1:24" x14ac:dyDescent="0.3">
      <c r="A425" t="s">
        <v>164</v>
      </c>
      <c r="B425">
        <v>59</v>
      </c>
      <c r="C425" t="s">
        <v>511</v>
      </c>
      <c r="D425">
        <v>46069</v>
      </c>
      <c r="E425" t="s">
        <v>514</v>
      </c>
      <c r="F425">
        <v>6</v>
      </c>
      <c r="G425">
        <v>1867.79</v>
      </c>
      <c r="H425">
        <v>329</v>
      </c>
      <c r="I425">
        <v>6</v>
      </c>
      <c r="J425">
        <v>11206.74</v>
      </c>
      <c r="K425">
        <f>SUM(Table3[Total_Revenue])</f>
        <v>30761529.489999965</v>
      </c>
      <c r="L425">
        <f t="shared" si="78"/>
        <v>30279115.709999975</v>
      </c>
      <c r="M425">
        <f t="shared" si="79"/>
        <v>0.98431762698415848</v>
      </c>
      <c r="N425" t="str">
        <f t="shared" si="80"/>
        <v>No</v>
      </c>
      <c r="O425">
        <f t="shared" si="81"/>
        <v>47894.68</v>
      </c>
      <c r="P425">
        <f t="shared" si="82"/>
        <v>5</v>
      </c>
      <c r="Q425">
        <f t="shared" si="83"/>
        <v>172.5</v>
      </c>
      <c r="R425" t="str">
        <f t="shared" si="84"/>
        <v>High</v>
      </c>
      <c r="S425" t="str">
        <f t="shared" si="85"/>
        <v>High</v>
      </c>
      <c r="T425" t="str">
        <f t="shared" si="86"/>
        <v>Low</v>
      </c>
      <c r="U425" t="str">
        <f t="shared" si="87"/>
        <v>Yes</v>
      </c>
      <c r="V425" t="str">
        <f t="shared" si="88"/>
        <v>No</v>
      </c>
      <c r="W425" t="str">
        <f t="shared" si="89"/>
        <v>No</v>
      </c>
      <c r="X425" t="str">
        <f t="shared" si="90"/>
        <v>No</v>
      </c>
    </row>
    <row r="426" spans="1:24" x14ac:dyDescent="0.3">
      <c r="A426" t="s">
        <v>156</v>
      </c>
      <c r="B426">
        <v>43</v>
      </c>
      <c r="C426" t="s">
        <v>511</v>
      </c>
      <c r="D426">
        <v>27561</v>
      </c>
      <c r="E426" t="s">
        <v>514</v>
      </c>
      <c r="F426">
        <v>17</v>
      </c>
      <c r="G426">
        <v>650.29</v>
      </c>
      <c r="H426">
        <v>120</v>
      </c>
      <c r="I426">
        <v>2</v>
      </c>
      <c r="J426">
        <v>11054.93</v>
      </c>
      <c r="K426">
        <f>SUM(Table3[Total_Revenue])</f>
        <v>30761529.489999965</v>
      </c>
      <c r="L426">
        <f t="shared" si="78"/>
        <v>30290170.639999975</v>
      </c>
      <c r="M426">
        <f t="shared" si="79"/>
        <v>0.98467700215773668</v>
      </c>
      <c r="N426" t="str">
        <f t="shared" si="80"/>
        <v>No</v>
      </c>
      <c r="O426">
        <f t="shared" si="81"/>
        <v>47894.68</v>
      </c>
      <c r="P426">
        <f t="shared" si="82"/>
        <v>5</v>
      </c>
      <c r="Q426">
        <f t="shared" si="83"/>
        <v>172.5</v>
      </c>
      <c r="R426" t="str">
        <f t="shared" si="84"/>
        <v>Low</v>
      </c>
      <c r="S426" t="str">
        <f t="shared" si="85"/>
        <v>Low</v>
      </c>
      <c r="T426" t="str">
        <f t="shared" si="86"/>
        <v>Low</v>
      </c>
      <c r="U426" t="str">
        <f t="shared" si="87"/>
        <v>No</v>
      </c>
      <c r="V426" t="str">
        <f t="shared" si="88"/>
        <v>No</v>
      </c>
      <c r="W426" t="str">
        <f t="shared" si="89"/>
        <v>No</v>
      </c>
      <c r="X426" t="str">
        <f t="shared" si="90"/>
        <v>Yes</v>
      </c>
    </row>
    <row r="427" spans="1:24" x14ac:dyDescent="0.3">
      <c r="A427" t="s">
        <v>11</v>
      </c>
      <c r="B427">
        <v>69</v>
      </c>
      <c r="C427" t="s">
        <v>511</v>
      </c>
      <c r="D427">
        <v>63088</v>
      </c>
      <c r="E427" t="s">
        <v>513</v>
      </c>
      <c r="F427">
        <v>4</v>
      </c>
      <c r="G427">
        <v>2714.21</v>
      </c>
      <c r="H427">
        <v>209</v>
      </c>
      <c r="I427">
        <v>4</v>
      </c>
      <c r="J427">
        <v>10856.84</v>
      </c>
      <c r="K427">
        <f>SUM(Table3[Total_Revenue])</f>
        <v>30761529.489999965</v>
      </c>
      <c r="L427">
        <f t="shared" si="78"/>
        <v>30301027.479999974</v>
      </c>
      <c r="M427">
        <f t="shared" si="79"/>
        <v>0.98502993779455306</v>
      </c>
      <c r="N427" t="str">
        <f t="shared" si="80"/>
        <v>No</v>
      </c>
      <c r="O427">
        <f t="shared" si="81"/>
        <v>47894.68</v>
      </c>
      <c r="P427">
        <f t="shared" si="82"/>
        <v>5</v>
      </c>
      <c r="Q427">
        <f t="shared" si="83"/>
        <v>172.5</v>
      </c>
      <c r="R427" t="str">
        <f t="shared" si="84"/>
        <v>Low</v>
      </c>
      <c r="S427" t="str">
        <f t="shared" si="85"/>
        <v>High</v>
      </c>
      <c r="T427" t="str">
        <f t="shared" si="86"/>
        <v>Low</v>
      </c>
      <c r="U427" t="str">
        <f t="shared" si="87"/>
        <v>No</v>
      </c>
      <c r="V427" t="str">
        <f t="shared" si="88"/>
        <v>No</v>
      </c>
      <c r="W427" t="str">
        <f t="shared" si="89"/>
        <v>No</v>
      </c>
      <c r="X427" t="str">
        <f t="shared" si="90"/>
        <v>Yes</v>
      </c>
    </row>
    <row r="428" spans="1:24" x14ac:dyDescent="0.3">
      <c r="A428" t="s">
        <v>229</v>
      </c>
      <c r="B428">
        <v>29</v>
      </c>
      <c r="C428" t="s">
        <v>510</v>
      </c>
      <c r="D428">
        <v>73441</v>
      </c>
      <c r="E428" t="s">
        <v>512</v>
      </c>
      <c r="F428">
        <v>20</v>
      </c>
      <c r="G428">
        <v>534.96</v>
      </c>
      <c r="H428">
        <v>330</v>
      </c>
      <c r="I428">
        <v>2</v>
      </c>
      <c r="J428">
        <v>10699.2</v>
      </c>
      <c r="K428">
        <f>SUM(Table3[Total_Revenue])</f>
        <v>30761529.489999965</v>
      </c>
      <c r="L428">
        <f t="shared" si="78"/>
        <v>30311726.679999974</v>
      </c>
      <c r="M428">
        <f t="shared" si="79"/>
        <v>0.98537774884872953</v>
      </c>
      <c r="N428" t="str">
        <f t="shared" si="80"/>
        <v>No</v>
      </c>
      <c r="O428">
        <f t="shared" si="81"/>
        <v>47894.68</v>
      </c>
      <c r="P428">
        <f t="shared" si="82"/>
        <v>5</v>
      </c>
      <c r="Q428">
        <f t="shared" si="83"/>
        <v>172.5</v>
      </c>
      <c r="R428" t="str">
        <f t="shared" si="84"/>
        <v>Low</v>
      </c>
      <c r="S428" t="str">
        <f t="shared" si="85"/>
        <v>High</v>
      </c>
      <c r="T428" t="str">
        <f t="shared" si="86"/>
        <v>Low</v>
      </c>
      <c r="U428" t="str">
        <f t="shared" si="87"/>
        <v>No</v>
      </c>
      <c r="V428" t="str">
        <f t="shared" si="88"/>
        <v>No</v>
      </c>
      <c r="W428" t="str">
        <f t="shared" si="89"/>
        <v>No</v>
      </c>
      <c r="X428" t="str">
        <f t="shared" si="90"/>
        <v>Yes</v>
      </c>
    </row>
    <row r="429" spans="1:24" x14ac:dyDescent="0.3">
      <c r="A429" t="s">
        <v>255</v>
      </c>
      <c r="B429">
        <v>34</v>
      </c>
      <c r="C429" t="s">
        <v>511</v>
      </c>
      <c r="D429">
        <v>21917</v>
      </c>
      <c r="E429" t="s">
        <v>515</v>
      </c>
      <c r="F429">
        <v>12</v>
      </c>
      <c r="G429">
        <v>880.59</v>
      </c>
      <c r="H429">
        <v>214</v>
      </c>
      <c r="I429">
        <v>6</v>
      </c>
      <c r="J429">
        <v>10567.08</v>
      </c>
      <c r="K429">
        <f>SUM(Table3[Total_Revenue])</f>
        <v>30761529.489999965</v>
      </c>
      <c r="L429">
        <f t="shared" si="78"/>
        <v>30322293.759999972</v>
      </c>
      <c r="M429">
        <f t="shared" si="79"/>
        <v>0.98572126492791001</v>
      </c>
      <c r="N429" t="str">
        <f t="shared" si="80"/>
        <v>No</v>
      </c>
      <c r="O429">
        <f t="shared" si="81"/>
        <v>47894.68</v>
      </c>
      <c r="P429">
        <f t="shared" si="82"/>
        <v>5</v>
      </c>
      <c r="Q429">
        <f t="shared" si="83"/>
        <v>172.5</v>
      </c>
      <c r="R429" t="str">
        <f t="shared" si="84"/>
        <v>High</v>
      </c>
      <c r="S429" t="str">
        <f t="shared" si="85"/>
        <v>High</v>
      </c>
      <c r="T429" t="str">
        <f t="shared" si="86"/>
        <v>Low</v>
      </c>
      <c r="U429" t="str">
        <f t="shared" si="87"/>
        <v>Yes</v>
      </c>
      <c r="V429" t="str">
        <f t="shared" si="88"/>
        <v>No</v>
      </c>
      <c r="W429" t="str">
        <f t="shared" si="89"/>
        <v>No</v>
      </c>
      <c r="X429" t="str">
        <f t="shared" si="90"/>
        <v>No</v>
      </c>
    </row>
    <row r="430" spans="1:24" x14ac:dyDescent="0.3">
      <c r="A430" t="s">
        <v>222</v>
      </c>
      <c r="B430">
        <v>49</v>
      </c>
      <c r="C430" t="s">
        <v>510</v>
      </c>
      <c r="D430">
        <v>145808</v>
      </c>
      <c r="E430" t="s">
        <v>513</v>
      </c>
      <c r="F430">
        <v>29</v>
      </c>
      <c r="G430">
        <v>356.46</v>
      </c>
      <c r="H430">
        <v>341</v>
      </c>
      <c r="I430">
        <v>1</v>
      </c>
      <c r="J430">
        <v>10337.34</v>
      </c>
      <c r="K430">
        <f>SUM(Table3[Total_Revenue])</f>
        <v>30761529.489999965</v>
      </c>
      <c r="L430">
        <f t="shared" si="78"/>
        <v>30332631.099999972</v>
      </c>
      <c r="M430">
        <f t="shared" si="79"/>
        <v>0.98605731258780804</v>
      </c>
      <c r="N430" t="str">
        <f t="shared" si="80"/>
        <v>No</v>
      </c>
      <c r="O430">
        <f t="shared" si="81"/>
        <v>47894.68</v>
      </c>
      <c r="P430">
        <f t="shared" si="82"/>
        <v>5</v>
      </c>
      <c r="Q430">
        <f t="shared" si="83"/>
        <v>172.5</v>
      </c>
      <c r="R430" t="str">
        <f t="shared" si="84"/>
        <v>Low</v>
      </c>
      <c r="S430" t="str">
        <f t="shared" si="85"/>
        <v>High</v>
      </c>
      <c r="T430" t="str">
        <f t="shared" si="86"/>
        <v>Low</v>
      </c>
      <c r="U430" t="str">
        <f t="shared" si="87"/>
        <v>No</v>
      </c>
      <c r="V430" t="str">
        <f t="shared" si="88"/>
        <v>No</v>
      </c>
      <c r="W430" t="str">
        <f t="shared" si="89"/>
        <v>No</v>
      </c>
      <c r="X430" t="str">
        <f t="shared" si="90"/>
        <v>Yes</v>
      </c>
    </row>
    <row r="431" spans="1:24" x14ac:dyDescent="0.3">
      <c r="A431" t="s">
        <v>355</v>
      </c>
      <c r="B431">
        <v>50</v>
      </c>
      <c r="C431" t="s">
        <v>510</v>
      </c>
      <c r="D431">
        <v>56455</v>
      </c>
      <c r="E431" t="s">
        <v>512</v>
      </c>
      <c r="F431">
        <v>3</v>
      </c>
      <c r="G431">
        <v>3436.78</v>
      </c>
      <c r="H431">
        <v>190</v>
      </c>
      <c r="I431">
        <v>1</v>
      </c>
      <c r="J431">
        <v>10310.34</v>
      </c>
      <c r="K431">
        <f>SUM(Table3[Total_Revenue])</f>
        <v>30761529.489999965</v>
      </c>
      <c r="L431">
        <f t="shared" si="78"/>
        <v>30342941.439999972</v>
      </c>
      <c r="M431">
        <f t="shared" si="79"/>
        <v>0.98639248252802025</v>
      </c>
      <c r="N431" t="str">
        <f t="shared" si="80"/>
        <v>No</v>
      </c>
      <c r="O431">
        <f t="shared" si="81"/>
        <v>47894.68</v>
      </c>
      <c r="P431">
        <f t="shared" si="82"/>
        <v>5</v>
      </c>
      <c r="Q431">
        <f t="shared" si="83"/>
        <v>172.5</v>
      </c>
      <c r="R431" t="str">
        <f t="shared" si="84"/>
        <v>Low</v>
      </c>
      <c r="S431" t="str">
        <f t="shared" si="85"/>
        <v>High</v>
      </c>
      <c r="T431" t="str">
        <f t="shared" si="86"/>
        <v>Low</v>
      </c>
      <c r="U431" t="str">
        <f t="shared" si="87"/>
        <v>No</v>
      </c>
      <c r="V431" t="str">
        <f t="shared" si="88"/>
        <v>No</v>
      </c>
      <c r="W431" t="str">
        <f t="shared" si="89"/>
        <v>No</v>
      </c>
      <c r="X431" t="str">
        <f t="shared" si="90"/>
        <v>Yes</v>
      </c>
    </row>
    <row r="432" spans="1:24" x14ac:dyDescent="0.3">
      <c r="A432" t="s">
        <v>257</v>
      </c>
      <c r="B432">
        <v>41</v>
      </c>
      <c r="C432" t="s">
        <v>510</v>
      </c>
      <c r="D432">
        <v>52254</v>
      </c>
      <c r="E432" t="s">
        <v>515</v>
      </c>
      <c r="F432">
        <v>15</v>
      </c>
      <c r="G432">
        <v>676.48</v>
      </c>
      <c r="H432">
        <v>92</v>
      </c>
      <c r="I432">
        <v>8</v>
      </c>
      <c r="J432">
        <v>10147.200000000001</v>
      </c>
      <c r="K432">
        <f>SUM(Table3[Total_Revenue])</f>
        <v>30761529.489999965</v>
      </c>
      <c r="L432">
        <f t="shared" si="78"/>
        <v>30353088.639999971</v>
      </c>
      <c r="M432">
        <f t="shared" si="79"/>
        <v>0.98672234909084178</v>
      </c>
      <c r="N432" t="str">
        <f t="shared" si="80"/>
        <v>No</v>
      </c>
      <c r="O432">
        <f t="shared" si="81"/>
        <v>47894.68</v>
      </c>
      <c r="P432">
        <f t="shared" si="82"/>
        <v>5</v>
      </c>
      <c r="Q432">
        <f t="shared" si="83"/>
        <v>172.5</v>
      </c>
      <c r="R432" t="str">
        <f t="shared" si="84"/>
        <v>High</v>
      </c>
      <c r="S432" t="str">
        <f t="shared" si="85"/>
        <v>Low</v>
      </c>
      <c r="T432" t="str">
        <f t="shared" si="86"/>
        <v>Low</v>
      </c>
      <c r="U432" t="str">
        <f t="shared" si="87"/>
        <v>Yes</v>
      </c>
      <c r="V432" t="str">
        <f t="shared" si="88"/>
        <v>No</v>
      </c>
      <c r="W432" t="str">
        <f t="shared" si="89"/>
        <v>No</v>
      </c>
      <c r="X432" t="str">
        <f t="shared" si="90"/>
        <v>No</v>
      </c>
    </row>
    <row r="433" spans="1:24" x14ac:dyDescent="0.3">
      <c r="A433" t="s">
        <v>358</v>
      </c>
      <c r="B433">
        <v>68</v>
      </c>
      <c r="C433" t="s">
        <v>511</v>
      </c>
      <c r="D433">
        <v>31302</v>
      </c>
      <c r="E433" t="s">
        <v>515</v>
      </c>
      <c r="F433">
        <v>6</v>
      </c>
      <c r="G433">
        <v>1685.15</v>
      </c>
      <c r="H433">
        <v>34</v>
      </c>
      <c r="I433">
        <v>2</v>
      </c>
      <c r="J433">
        <v>10110.9</v>
      </c>
      <c r="K433">
        <f>SUM(Table3[Total_Revenue])</f>
        <v>30761529.489999965</v>
      </c>
      <c r="L433">
        <f t="shared" si="78"/>
        <v>30363199.539999969</v>
      </c>
      <c r="M433">
        <f t="shared" si="79"/>
        <v>0.98705103560830787</v>
      </c>
      <c r="N433" t="str">
        <f t="shared" si="80"/>
        <v>No</v>
      </c>
      <c r="O433">
        <f t="shared" si="81"/>
        <v>47894.68</v>
      </c>
      <c r="P433">
        <f t="shared" si="82"/>
        <v>5</v>
      </c>
      <c r="Q433">
        <f t="shared" si="83"/>
        <v>172.5</v>
      </c>
      <c r="R433" t="str">
        <f t="shared" si="84"/>
        <v>Low</v>
      </c>
      <c r="S433" t="str">
        <f t="shared" si="85"/>
        <v>Low</v>
      </c>
      <c r="T433" t="str">
        <f t="shared" si="86"/>
        <v>Low</v>
      </c>
      <c r="U433" t="str">
        <f t="shared" si="87"/>
        <v>No</v>
      </c>
      <c r="V433" t="str">
        <f t="shared" si="88"/>
        <v>No</v>
      </c>
      <c r="W433" t="str">
        <f t="shared" si="89"/>
        <v>No</v>
      </c>
      <c r="X433" t="str">
        <f t="shared" si="90"/>
        <v>Yes</v>
      </c>
    </row>
    <row r="434" spans="1:24" x14ac:dyDescent="0.3">
      <c r="A434" t="s">
        <v>67</v>
      </c>
      <c r="B434">
        <v>64</v>
      </c>
      <c r="C434" t="s">
        <v>511</v>
      </c>
      <c r="D434">
        <v>43061</v>
      </c>
      <c r="E434" t="s">
        <v>514</v>
      </c>
      <c r="F434">
        <v>3</v>
      </c>
      <c r="G434">
        <v>3368.16</v>
      </c>
      <c r="H434">
        <v>314</v>
      </c>
      <c r="I434">
        <v>9</v>
      </c>
      <c r="J434">
        <v>10104.48</v>
      </c>
      <c r="K434">
        <f>SUM(Table3[Total_Revenue])</f>
        <v>30761529.489999965</v>
      </c>
      <c r="L434">
        <f t="shared" si="78"/>
        <v>30373304.01999997</v>
      </c>
      <c r="M434">
        <f t="shared" si="79"/>
        <v>0.98737951342353769</v>
      </c>
      <c r="N434" t="str">
        <f t="shared" si="80"/>
        <v>No</v>
      </c>
      <c r="O434">
        <f t="shared" si="81"/>
        <v>47894.68</v>
      </c>
      <c r="P434">
        <f t="shared" si="82"/>
        <v>5</v>
      </c>
      <c r="Q434">
        <f t="shared" si="83"/>
        <v>172.5</v>
      </c>
      <c r="R434" t="str">
        <f t="shared" si="84"/>
        <v>High</v>
      </c>
      <c r="S434" t="str">
        <f t="shared" si="85"/>
        <v>High</v>
      </c>
      <c r="T434" t="str">
        <f t="shared" si="86"/>
        <v>Low</v>
      </c>
      <c r="U434" t="str">
        <f t="shared" si="87"/>
        <v>Yes</v>
      </c>
      <c r="V434" t="str">
        <f t="shared" si="88"/>
        <v>No</v>
      </c>
      <c r="W434" t="str">
        <f t="shared" si="89"/>
        <v>No</v>
      </c>
      <c r="X434" t="str">
        <f t="shared" si="90"/>
        <v>No</v>
      </c>
    </row>
    <row r="435" spans="1:24" x14ac:dyDescent="0.3">
      <c r="A435" t="s">
        <v>420</v>
      </c>
      <c r="B435">
        <v>44</v>
      </c>
      <c r="C435" t="s">
        <v>510</v>
      </c>
      <c r="D435">
        <v>95683</v>
      </c>
      <c r="E435" t="s">
        <v>515</v>
      </c>
      <c r="F435">
        <v>20</v>
      </c>
      <c r="G435">
        <v>504.83</v>
      </c>
      <c r="H435">
        <v>35</v>
      </c>
      <c r="I435">
        <v>4</v>
      </c>
      <c r="J435">
        <v>10096.6</v>
      </c>
      <c r="K435">
        <f>SUM(Table3[Total_Revenue])</f>
        <v>30761529.489999965</v>
      </c>
      <c r="L435">
        <f t="shared" si="78"/>
        <v>30383400.619999971</v>
      </c>
      <c r="M435">
        <f t="shared" si="79"/>
        <v>0.9877077350746517</v>
      </c>
      <c r="N435" t="str">
        <f t="shared" si="80"/>
        <v>No</v>
      </c>
      <c r="O435">
        <f t="shared" si="81"/>
        <v>47894.68</v>
      </c>
      <c r="P435">
        <f t="shared" si="82"/>
        <v>5</v>
      </c>
      <c r="Q435">
        <f t="shared" si="83"/>
        <v>172.5</v>
      </c>
      <c r="R435" t="str">
        <f t="shared" si="84"/>
        <v>Low</v>
      </c>
      <c r="S435" t="str">
        <f t="shared" si="85"/>
        <v>Low</v>
      </c>
      <c r="T435" t="str">
        <f t="shared" si="86"/>
        <v>Low</v>
      </c>
      <c r="U435" t="str">
        <f t="shared" si="87"/>
        <v>No</v>
      </c>
      <c r="V435" t="str">
        <f t="shared" si="88"/>
        <v>No</v>
      </c>
      <c r="W435" t="str">
        <f t="shared" si="89"/>
        <v>No</v>
      </c>
      <c r="X435" t="str">
        <f t="shared" si="90"/>
        <v>Yes</v>
      </c>
    </row>
    <row r="436" spans="1:24" x14ac:dyDescent="0.3">
      <c r="A436" t="s">
        <v>53</v>
      </c>
      <c r="B436">
        <v>24</v>
      </c>
      <c r="C436" t="s">
        <v>510</v>
      </c>
      <c r="D436">
        <v>53434</v>
      </c>
      <c r="E436" t="s">
        <v>514</v>
      </c>
      <c r="F436">
        <v>3</v>
      </c>
      <c r="G436">
        <v>3342</v>
      </c>
      <c r="H436">
        <v>24</v>
      </c>
      <c r="I436">
        <v>4</v>
      </c>
      <c r="J436">
        <v>10026</v>
      </c>
      <c r="K436">
        <f>SUM(Table3[Total_Revenue])</f>
        <v>30761529.489999965</v>
      </c>
      <c r="L436">
        <f t="shared" si="78"/>
        <v>30393426.619999971</v>
      </c>
      <c r="M436">
        <f t="shared" si="79"/>
        <v>0.98803366165132789</v>
      </c>
      <c r="N436" t="str">
        <f t="shared" si="80"/>
        <v>No</v>
      </c>
      <c r="O436">
        <f t="shared" si="81"/>
        <v>47894.68</v>
      </c>
      <c r="P436">
        <f t="shared" si="82"/>
        <v>5</v>
      </c>
      <c r="Q436">
        <f t="shared" si="83"/>
        <v>172.5</v>
      </c>
      <c r="R436" t="str">
        <f t="shared" si="84"/>
        <v>Low</v>
      </c>
      <c r="S436" t="str">
        <f t="shared" si="85"/>
        <v>Low</v>
      </c>
      <c r="T436" t="str">
        <f t="shared" si="86"/>
        <v>Low</v>
      </c>
      <c r="U436" t="str">
        <f t="shared" si="87"/>
        <v>No</v>
      </c>
      <c r="V436" t="str">
        <f t="shared" si="88"/>
        <v>No</v>
      </c>
      <c r="W436" t="str">
        <f t="shared" si="89"/>
        <v>No</v>
      </c>
      <c r="X436" t="str">
        <f t="shared" si="90"/>
        <v>Yes</v>
      </c>
    </row>
    <row r="437" spans="1:24" x14ac:dyDescent="0.3">
      <c r="A437" t="s">
        <v>87</v>
      </c>
      <c r="B437">
        <v>51</v>
      </c>
      <c r="C437" t="s">
        <v>511</v>
      </c>
      <c r="D437">
        <v>30478</v>
      </c>
      <c r="E437" t="s">
        <v>513</v>
      </c>
      <c r="F437">
        <v>5</v>
      </c>
      <c r="G437">
        <v>1940.79</v>
      </c>
      <c r="H437">
        <v>301</v>
      </c>
      <c r="I437">
        <v>5</v>
      </c>
      <c r="J437">
        <v>9703.9500000000007</v>
      </c>
      <c r="K437">
        <f>SUM(Table3[Total_Revenue])</f>
        <v>30761529.489999965</v>
      </c>
      <c r="L437">
        <f t="shared" si="78"/>
        <v>30403130.56999997</v>
      </c>
      <c r="M437">
        <f t="shared" si="79"/>
        <v>0.98834911898264022</v>
      </c>
      <c r="N437" t="str">
        <f t="shared" si="80"/>
        <v>No</v>
      </c>
      <c r="O437">
        <f t="shared" si="81"/>
        <v>47894.68</v>
      </c>
      <c r="P437">
        <f t="shared" si="82"/>
        <v>5</v>
      </c>
      <c r="Q437">
        <f t="shared" si="83"/>
        <v>172.5</v>
      </c>
      <c r="R437" t="str">
        <f t="shared" si="84"/>
        <v>Medium</v>
      </c>
      <c r="S437" t="str">
        <f t="shared" si="85"/>
        <v>High</v>
      </c>
      <c r="T437" t="str">
        <f t="shared" si="86"/>
        <v>Low</v>
      </c>
      <c r="U437" t="str">
        <f t="shared" si="87"/>
        <v>Yes</v>
      </c>
      <c r="V437" t="str">
        <f t="shared" si="88"/>
        <v>No</v>
      </c>
      <c r="W437" t="str">
        <f t="shared" si="89"/>
        <v>No</v>
      </c>
      <c r="X437" t="str">
        <f t="shared" si="90"/>
        <v>No</v>
      </c>
    </row>
    <row r="438" spans="1:24" x14ac:dyDescent="0.3">
      <c r="A438" t="s">
        <v>441</v>
      </c>
      <c r="B438">
        <v>62</v>
      </c>
      <c r="C438" t="s">
        <v>511</v>
      </c>
      <c r="D438">
        <v>145885</v>
      </c>
      <c r="E438" t="s">
        <v>514</v>
      </c>
      <c r="F438">
        <v>3</v>
      </c>
      <c r="G438">
        <v>3120.85</v>
      </c>
      <c r="H438">
        <v>73</v>
      </c>
      <c r="I438">
        <v>2</v>
      </c>
      <c r="J438">
        <v>9362.5499999999993</v>
      </c>
      <c r="K438">
        <f>SUM(Table3[Total_Revenue])</f>
        <v>30761529.489999965</v>
      </c>
      <c r="L438">
        <f t="shared" si="78"/>
        <v>30412493.119999971</v>
      </c>
      <c r="M438">
        <f t="shared" si="79"/>
        <v>0.98865347803614712</v>
      </c>
      <c r="N438" t="str">
        <f t="shared" si="80"/>
        <v>No</v>
      </c>
      <c r="O438">
        <f t="shared" si="81"/>
        <v>47894.68</v>
      </c>
      <c r="P438">
        <f t="shared" si="82"/>
        <v>5</v>
      </c>
      <c r="Q438">
        <f t="shared" si="83"/>
        <v>172.5</v>
      </c>
      <c r="R438" t="str">
        <f t="shared" si="84"/>
        <v>Low</v>
      </c>
      <c r="S438" t="str">
        <f t="shared" si="85"/>
        <v>Low</v>
      </c>
      <c r="T438" t="str">
        <f t="shared" si="86"/>
        <v>Low</v>
      </c>
      <c r="U438" t="str">
        <f t="shared" si="87"/>
        <v>No</v>
      </c>
      <c r="V438" t="str">
        <f t="shared" si="88"/>
        <v>No</v>
      </c>
      <c r="W438" t="str">
        <f t="shared" si="89"/>
        <v>No</v>
      </c>
      <c r="X438" t="str">
        <f t="shared" si="90"/>
        <v>Yes</v>
      </c>
    </row>
    <row r="439" spans="1:24" x14ac:dyDescent="0.3">
      <c r="A439" t="s">
        <v>284</v>
      </c>
      <c r="B439">
        <v>57</v>
      </c>
      <c r="C439" t="s">
        <v>511</v>
      </c>
      <c r="D439">
        <v>117829</v>
      </c>
      <c r="E439" t="s">
        <v>512</v>
      </c>
      <c r="F439">
        <v>44</v>
      </c>
      <c r="G439">
        <v>212.18</v>
      </c>
      <c r="H439">
        <v>72</v>
      </c>
      <c r="I439">
        <v>1</v>
      </c>
      <c r="J439">
        <v>9335.92</v>
      </c>
      <c r="K439">
        <f>SUM(Table3[Total_Revenue])</f>
        <v>30761529.489999965</v>
      </c>
      <c r="L439">
        <f t="shared" si="78"/>
        <v>30421829.039999973</v>
      </c>
      <c r="M439">
        <f t="shared" si="79"/>
        <v>0.98895697139797867</v>
      </c>
      <c r="N439" t="str">
        <f t="shared" si="80"/>
        <v>No</v>
      </c>
      <c r="O439">
        <f t="shared" si="81"/>
        <v>47894.68</v>
      </c>
      <c r="P439">
        <f t="shared" si="82"/>
        <v>5</v>
      </c>
      <c r="Q439">
        <f t="shared" si="83"/>
        <v>172.5</v>
      </c>
      <c r="R439" t="str">
        <f t="shared" si="84"/>
        <v>Low</v>
      </c>
      <c r="S439" t="str">
        <f t="shared" si="85"/>
        <v>Low</v>
      </c>
      <c r="T439" t="str">
        <f t="shared" si="86"/>
        <v>Low</v>
      </c>
      <c r="U439" t="str">
        <f t="shared" si="87"/>
        <v>No</v>
      </c>
      <c r="V439" t="str">
        <f t="shared" si="88"/>
        <v>No</v>
      </c>
      <c r="W439" t="str">
        <f t="shared" si="89"/>
        <v>No</v>
      </c>
      <c r="X439" t="str">
        <f t="shared" si="90"/>
        <v>Yes</v>
      </c>
    </row>
    <row r="440" spans="1:24" x14ac:dyDescent="0.3">
      <c r="A440" t="s">
        <v>71</v>
      </c>
      <c r="B440">
        <v>64</v>
      </c>
      <c r="C440" t="s">
        <v>510</v>
      </c>
      <c r="D440">
        <v>124680</v>
      </c>
      <c r="E440" t="s">
        <v>513</v>
      </c>
      <c r="F440">
        <v>3</v>
      </c>
      <c r="G440">
        <v>3064.27</v>
      </c>
      <c r="H440">
        <v>19</v>
      </c>
      <c r="I440">
        <v>3</v>
      </c>
      <c r="J440">
        <v>9192.81</v>
      </c>
      <c r="K440">
        <f>SUM(Table3[Total_Revenue])</f>
        <v>30761529.489999965</v>
      </c>
      <c r="L440">
        <f t="shared" si="78"/>
        <v>30431021.849999972</v>
      </c>
      <c r="M440">
        <f t="shared" si="79"/>
        <v>0.98925581252039385</v>
      </c>
      <c r="N440" t="str">
        <f t="shared" si="80"/>
        <v>No</v>
      </c>
      <c r="O440">
        <f t="shared" si="81"/>
        <v>47894.68</v>
      </c>
      <c r="P440">
        <f t="shared" si="82"/>
        <v>5</v>
      </c>
      <c r="Q440">
        <f t="shared" si="83"/>
        <v>172.5</v>
      </c>
      <c r="R440" t="str">
        <f t="shared" si="84"/>
        <v>Low</v>
      </c>
      <c r="S440" t="str">
        <f t="shared" si="85"/>
        <v>Low</v>
      </c>
      <c r="T440" t="str">
        <f t="shared" si="86"/>
        <v>Low</v>
      </c>
      <c r="U440" t="str">
        <f t="shared" si="87"/>
        <v>No</v>
      </c>
      <c r="V440" t="str">
        <f t="shared" si="88"/>
        <v>No</v>
      </c>
      <c r="W440" t="str">
        <f t="shared" si="89"/>
        <v>No</v>
      </c>
      <c r="X440" t="str">
        <f t="shared" si="90"/>
        <v>Yes</v>
      </c>
    </row>
    <row r="441" spans="1:24" x14ac:dyDescent="0.3">
      <c r="A441" t="s">
        <v>468</v>
      </c>
      <c r="B441">
        <v>54</v>
      </c>
      <c r="C441" t="s">
        <v>511</v>
      </c>
      <c r="D441">
        <v>146413</v>
      </c>
      <c r="E441" t="s">
        <v>514</v>
      </c>
      <c r="F441">
        <v>25</v>
      </c>
      <c r="G441">
        <v>363.91</v>
      </c>
      <c r="H441">
        <v>110</v>
      </c>
      <c r="I441">
        <v>8</v>
      </c>
      <c r="J441">
        <v>9097.75</v>
      </c>
      <c r="K441">
        <f>SUM(Table3[Total_Revenue])</f>
        <v>30761529.489999965</v>
      </c>
      <c r="L441">
        <f t="shared" si="78"/>
        <v>30440119.599999972</v>
      </c>
      <c r="M441">
        <f t="shared" si="79"/>
        <v>0.98955156341935213</v>
      </c>
      <c r="N441" t="str">
        <f t="shared" si="80"/>
        <v>No</v>
      </c>
      <c r="O441">
        <f t="shared" si="81"/>
        <v>47894.68</v>
      </c>
      <c r="P441">
        <f t="shared" si="82"/>
        <v>5</v>
      </c>
      <c r="Q441">
        <f t="shared" si="83"/>
        <v>172.5</v>
      </c>
      <c r="R441" t="str">
        <f t="shared" si="84"/>
        <v>High</v>
      </c>
      <c r="S441" t="str">
        <f t="shared" si="85"/>
        <v>Low</v>
      </c>
      <c r="T441" t="str">
        <f t="shared" si="86"/>
        <v>Low</v>
      </c>
      <c r="U441" t="str">
        <f t="shared" si="87"/>
        <v>Yes</v>
      </c>
      <c r="V441" t="str">
        <f t="shared" si="88"/>
        <v>No</v>
      </c>
      <c r="W441" t="str">
        <f t="shared" si="89"/>
        <v>No</v>
      </c>
      <c r="X441" t="str">
        <f t="shared" si="90"/>
        <v>No</v>
      </c>
    </row>
    <row r="442" spans="1:24" x14ac:dyDescent="0.3">
      <c r="A442" t="s">
        <v>433</v>
      </c>
      <c r="B442">
        <v>43</v>
      </c>
      <c r="C442" t="s">
        <v>510</v>
      </c>
      <c r="D442">
        <v>20814</v>
      </c>
      <c r="E442" t="s">
        <v>515</v>
      </c>
      <c r="F442">
        <v>2</v>
      </c>
      <c r="G442">
        <v>4489.49</v>
      </c>
      <c r="H442">
        <v>110</v>
      </c>
      <c r="I442">
        <v>10</v>
      </c>
      <c r="J442">
        <v>8978.98</v>
      </c>
      <c r="K442">
        <f>SUM(Table3[Total_Revenue])</f>
        <v>30761529.489999965</v>
      </c>
      <c r="L442">
        <f t="shared" si="78"/>
        <v>30449098.579999972</v>
      </c>
      <c r="M442">
        <f t="shared" si="79"/>
        <v>0.98984345332693691</v>
      </c>
      <c r="N442" t="str">
        <f t="shared" si="80"/>
        <v>No</v>
      </c>
      <c r="O442">
        <f t="shared" si="81"/>
        <v>47894.68</v>
      </c>
      <c r="P442">
        <f t="shared" si="82"/>
        <v>5</v>
      </c>
      <c r="Q442">
        <f t="shared" si="83"/>
        <v>172.5</v>
      </c>
      <c r="R442" t="str">
        <f t="shared" si="84"/>
        <v>High</v>
      </c>
      <c r="S442" t="str">
        <f t="shared" si="85"/>
        <v>Low</v>
      </c>
      <c r="T442" t="str">
        <f t="shared" si="86"/>
        <v>Low</v>
      </c>
      <c r="U442" t="str">
        <f t="shared" si="87"/>
        <v>Yes</v>
      </c>
      <c r="V442" t="str">
        <f t="shared" si="88"/>
        <v>No</v>
      </c>
      <c r="W442" t="str">
        <f t="shared" si="89"/>
        <v>No</v>
      </c>
      <c r="X442" t="str">
        <f t="shared" si="90"/>
        <v>No</v>
      </c>
    </row>
    <row r="443" spans="1:24" x14ac:dyDescent="0.3">
      <c r="A443" t="s">
        <v>39</v>
      </c>
      <c r="B443">
        <v>42</v>
      </c>
      <c r="C443" t="s">
        <v>510</v>
      </c>
      <c r="D443">
        <v>100719</v>
      </c>
      <c r="E443" t="s">
        <v>514</v>
      </c>
      <c r="F443">
        <v>5</v>
      </c>
      <c r="G443">
        <v>1779</v>
      </c>
      <c r="H443">
        <v>20</v>
      </c>
      <c r="I443">
        <v>10</v>
      </c>
      <c r="J443">
        <v>8895</v>
      </c>
      <c r="K443">
        <f>SUM(Table3[Total_Revenue])</f>
        <v>30761529.489999965</v>
      </c>
      <c r="L443">
        <f t="shared" si="78"/>
        <v>30457993.579999972</v>
      </c>
      <c r="M443">
        <f t="shared" si="79"/>
        <v>0.99013261320121726</v>
      </c>
      <c r="N443" t="str">
        <f t="shared" si="80"/>
        <v>No</v>
      </c>
      <c r="O443">
        <f t="shared" si="81"/>
        <v>47894.68</v>
      </c>
      <c r="P443">
        <f t="shared" si="82"/>
        <v>5</v>
      </c>
      <c r="Q443">
        <f t="shared" si="83"/>
        <v>172.5</v>
      </c>
      <c r="R443" t="str">
        <f t="shared" si="84"/>
        <v>High</v>
      </c>
      <c r="S443" t="str">
        <f t="shared" si="85"/>
        <v>Low</v>
      </c>
      <c r="T443" t="str">
        <f t="shared" si="86"/>
        <v>Low</v>
      </c>
      <c r="U443" t="str">
        <f t="shared" si="87"/>
        <v>Yes</v>
      </c>
      <c r="V443" t="str">
        <f t="shared" si="88"/>
        <v>No</v>
      </c>
      <c r="W443" t="str">
        <f t="shared" si="89"/>
        <v>No</v>
      </c>
      <c r="X443" t="str">
        <f t="shared" si="90"/>
        <v>No</v>
      </c>
    </row>
    <row r="444" spans="1:24" x14ac:dyDescent="0.3">
      <c r="A444" t="s">
        <v>459</v>
      </c>
      <c r="B444">
        <v>42</v>
      </c>
      <c r="C444" t="s">
        <v>510</v>
      </c>
      <c r="D444">
        <v>72329</v>
      </c>
      <c r="E444" t="s">
        <v>514</v>
      </c>
      <c r="F444">
        <v>2</v>
      </c>
      <c r="G444">
        <v>4408.42</v>
      </c>
      <c r="H444">
        <v>334</v>
      </c>
      <c r="I444">
        <v>8</v>
      </c>
      <c r="J444">
        <v>8816.84</v>
      </c>
      <c r="K444">
        <f>SUM(Table3[Total_Revenue])</f>
        <v>30761529.489999965</v>
      </c>
      <c r="L444">
        <f t="shared" si="78"/>
        <v>30466810.419999972</v>
      </c>
      <c r="M444">
        <f t="shared" si="79"/>
        <v>0.99041923223954775</v>
      </c>
      <c r="N444" t="str">
        <f t="shared" si="80"/>
        <v>No</v>
      </c>
      <c r="O444">
        <f t="shared" si="81"/>
        <v>47894.68</v>
      </c>
      <c r="P444">
        <f t="shared" si="82"/>
        <v>5</v>
      </c>
      <c r="Q444">
        <f t="shared" si="83"/>
        <v>172.5</v>
      </c>
      <c r="R444" t="str">
        <f t="shared" si="84"/>
        <v>High</v>
      </c>
      <c r="S444" t="str">
        <f t="shared" si="85"/>
        <v>High</v>
      </c>
      <c r="T444" t="str">
        <f t="shared" si="86"/>
        <v>Low</v>
      </c>
      <c r="U444" t="str">
        <f t="shared" si="87"/>
        <v>Yes</v>
      </c>
      <c r="V444" t="str">
        <f t="shared" si="88"/>
        <v>No</v>
      </c>
      <c r="W444" t="str">
        <f t="shared" si="89"/>
        <v>No</v>
      </c>
      <c r="X444" t="str">
        <f t="shared" si="90"/>
        <v>No</v>
      </c>
    </row>
    <row r="445" spans="1:24" x14ac:dyDescent="0.3">
      <c r="A445" t="s">
        <v>271</v>
      </c>
      <c r="B445">
        <v>20</v>
      </c>
      <c r="C445" t="s">
        <v>510</v>
      </c>
      <c r="D445">
        <v>136748</v>
      </c>
      <c r="E445" t="s">
        <v>515</v>
      </c>
      <c r="F445">
        <v>3</v>
      </c>
      <c r="G445">
        <v>2876.22</v>
      </c>
      <c r="H445">
        <v>167</v>
      </c>
      <c r="I445">
        <v>2</v>
      </c>
      <c r="J445">
        <v>8628.66</v>
      </c>
      <c r="K445">
        <f>SUM(Table3[Total_Revenue])</f>
        <v>30761529.489999965</v>
      </c>
      <c r="L445">
        <f t="shared" si="78"/>
        <v>30475439.079999972</v>
      </c>
      <c r="M445">
        <f t="shared" si="79"/>
        <v>0.99069973389674937</v>
      </c>
      <c r="N445" t="str">
        <f t="shared" si="80"/>
        <v>No</v>
      </c>
      <c r="O445">
        <f t="shared" si="81"/>
        <v>47894.68</v>
      </c>
      <c r="P445">
        <f t="shared" si="82"/>
        <v>5</v>
      </c>
      <c r="Q445">
        <f t="shared" si="83"/>
        <v>172.5</v>
      </c>
      <c r="R445" t="str">
        <f t="shared" si="84"/>
        <v>Low</v>
      </c>
      <c r="S445" t="str">
        <f t="shared" si="85"/>
        <v>Low</v>
      </c>
      <c r="T445" t="str">
        <f t="shared" si="86"/>
        <v>Low</v>
      </c>
      <c r="U445" t="str">
        <f t="shared" si="87"/>
        <v>No</v>
      </c>
      <c r="V445" t="str">
        <f t="shared" si="88"/>
        <v>No</v>
      </c>
      <c r="W445" t="str">
        <f t="shared" si="89"/>
        <v>No</v>
      </c>
      <c r="X445" t="str">
        <f t="shared" si="90"/>
        <v>Yes</v>
      </c>
    </row>
    <row r="446" spans="1:24" x14ac:dyDescent="0.3">
      <c r="A446" t="s">
        <v>294</v>
      </c>
      <c r="B446">
        <v>48</v>
      </c>
      <c r="C446" t="s">
        <v>511</v>
      </c>
      <c r="D446">
        <v>62929</v>
      </c>
      <c r="E446" t="s">
        <v>513</v>
      </c>
      <c r="F446">
        <v>11</v>
      </c>
      <c r="G446">
        <v>782.07</v>
      </c>
      <c r="H446">
        <v>336</v>
      </c>
      <c r="I446">
        <v>1</v>
      </c>
      <c r="J446">
        <v>8602.77</v>
      </c>
      <c r="K446">
        <f>SUM(Table3[Total_Revenue])</f>
        <v>30761529.489999965</v>
      </c>
      <c r="L446">
        <f t="shared" si="78"/>
        <v>30484041.849999972</v>
      </c>
      <c r="M446">
        <f t="shared" si="79"/>
        <v>0.99097939391829659</v>
      </c>
      <c r="N446" t="str">
        <f t="shared" si="80"/>
        <v>No</v>
      </c>
      <c r="O446">
        <f t="shared" si="81"/>
        <v>47894.68</v>
      </c>
      <c r="P446">
        <f t="shared" si="82"/>
        <v>5</v>
      </c>
      <c r="Q446">
        <f t="shared" si="83"/>
        <v>172.5</v>
      </c>
      <c r="R446" t="str">
        <f t="shared" si="84"/>
        <v>Low</v>
      </c>
      <c r="S446" t="str">
        <f t="shared" si="85"/>
        <v>High</v>
      </c>
      <c r="T446" t="str">
        <f t="shared" si="86"/>
        <v>Low</v>
      </c>
      <c r="U446" t="str">
        <f t="shared" si="87"/>
        <v>No</v>
      </c>
      <c r="V446" t="str">
        <f t="shared" si="88"/>
        <v>No</v>
      </c>
      <c r="W446" t="str">
        <f t="shared" si="89"/>
        <v>No</v>
      </c>
      <c r="X446" t="str">
        <f t="shared" si="90"/>
        <v>Yes</v>
      </c>
    </row>
    <row r="447" spans="1:24" x14ac:dyDescent="0.3">
      <c r="A447" t="s">
        <v>446</v>
      </c>
      <c r="B447">
        <v>33</v>
      </c>
      <c r="C447" t="s">
        <v>510</v>
      </c>
      <c r="D447">
        <v>111751</v>
      </c>
      <c r="E447" t="s">
        <v>514</v>
      </c>
      <c r="F447">
        <v>15</v>
      </c>
      <c r="G447">
        <v>565.55999999999995</v>
      </c>
      <c r="H447">
        <v>120</v>
      </c>
      <c r="I447">
        <v>9</v>
      </c>
      <c r="J447">
        <v>8483.4</v>
      </c>
      <c r="K447">
        <f>SUM(Table3[Total_Revenue])</f>
        <v>30761529.489999965</v>
      </c>
      <c r="L447">
        <f t="shared" si="78"/>
        <v>30492525.24999997</v>
      </c>
      <c r="M447">
        <f t="shared" si="79"/>
        <v>0.99125517344358827</v>
      </c>
      <c r="N447" t="str">
        <f t="shared" si="80"/>
        <v>No</v>
      </c>
      <c r="O447">
        <f t="shared" si="81"/>
        <v>47894.68</v>
      </c>
      <c r="P447">
        <f t="shared" si="82"/>
        <v>5</v>
      </c>
      <c r="Q447">
        <f t="shared" si="83"/>
        <v>172.5</v>
      </c>
      <c r="R447" t="str">
        <f t="shared" si="84"/>
        <v>High</v>
      </c>
      <c r="S447" t="str">
        <f t="shared" si="85"/>
        <v>Low</v>
      </c>
      <c r="T447" t="str">
        <f t="shared" si="86"/>
        <v>Low</v>
      </c>
      <c r="U447" t="str">
        <f t="shared" si="87"/>
        <v>Yes</v>
      </c>
      <c r="V447" t="str">
        <f t="shared" si="88"/>
        <v>No</v>
      </c>
      <c r="W447" t="str">
        <f t="shared" si="89"/>
        <v>No</v>
      </c>
      <c r="X447" t="str">
        <f t="shared" si="90"/>
        <v>No</v>
      </c>
    </row>
    <row r="448" spans="1:24" x14ac:dyDescent="0.3">
      <c r="A448" t="s">
        <v>24</v>
      </c>
      <c r="B448">
        <v>57</v>
      </c>
      <c r="C448" t="s">
        <v>511</v>
      </c>
      <c r="D448">
        <v>112705</v>
      </c>
      <c r="E448" t="s">
        <v>514</v>
      </c>
      <c r="F448">
        <v>7</v>
      </c>
      <c r="G448">
        <v>1201.04</v>
      </c>
      <c r="H448">
        <v>111</v>
      </c>
      <c r="I448">
        <v>7</v>
      </c>
      <c r="J448">
        <v>8407.2800000000007</v>
      </c>
      <c r="K448">
        <f>SUM(Table3[Total_Revenue])</f>
        <v>30761529.489999965</v>
      </c>
      <c r="L448">
        <f t="shared" si="78"/>
        <v>30500932.529999971</v>
      </c>
      <c r="M448">
        <f t="shared" si="79"/>
        <v>0.99152847844952874</v>
      </c>
      <c r="N448" t="str">
        <f t="shared" si="80"/>
        <v>No</v>
      </c>
      <c r="O448">
        <f t="shared" si="81"/>
        <v>47894.68</v>
      </c>
      <c r="P448">
        <f t="shared" si="82"/>
        <v>5</v>
      </c>
      <c r="Q448">
        <f t="shared" si="83"/>
        <v>172.5</v>
      </c>
      <c r="R448" t="str">
        <f t="shared" si="84"/>
        <v>High</v>
      </c>
      <c r="S448" t="str">
        <f t="shared" si="85"/>
        <v>Low</v>
      </c>
      <c r="T448" t="str">
        <f t="shared" si="86"/>
        <v>Low</v>
      </c>
      <c r="U448" t="str">
        <f t="shared" si="87"/>
        <v>Yes</v>
      </c>
      <c r="V448" t="str">
        <f t="shared" si="88"/>
        <v>No</v>
      </c>
      <c r="W448" t="str">
        <f t="shared" si="89"/>
        <v>No</v>
      </c>
      <c r="X448" t="str">
        <f t="shared" si="90"/>
        <v>No</v>
      </c>
    </row>
    <row r="449" spans="1:24" x14ac:dyDescent="0.3">
      <c r="A449" t="s">
        <v>204</v>
      </c>
      <c r="B449">
        <v>44</v>
      </c>
      <c r="C449" t="s">
        <v>511</v>
      </c>
      <c r="D449">
        <v>33046</v>
      </c>
      <c r="E449" t="s">
        <v>515</v>
      </c>
      <c r="F449">
        <v>6</v>
      </c>
      <c r="G449">
        <v>1397.99</v>
      </c>
      <c r="H449">
        <v>86</v>
      </c>
      <c r="I449">
        <v>3</v>
      </c>
      <c r="J449">
        <v>8387.94</v>
      </c>
      <c r="K449">
        <f>SUM(Table3[Total_Revenue])</f>
        <v>30761529.489999965</v>
      </c>
      <c r="L449">
        <f t="shared" si="78"/>
        <v>30509320.469999973</v>
      </c>
      <c r="M449">
        <f t="shared" si="79"/>
        <v>0.99180115474810893</v>
      </c>
      <c r="N449" t="str">
        <f t="shared" si="80"/>
        <v>No</v>
      </c>
      <c r="O449">
        <f t="shared" si="81"/>
        <v>47894.68</v>
      </c>
      <c r="P449">
        <f t="shared" si="82"/>
        <v>5</v>
      </c>
      <c r="Q449">
        <f t="shared" si="83"/>
        <v>172.5</v>
      </c>
      <c r="R449" t="str">
        <f t="shared" si="84"/>
        <v>Low</v>
      </c>
      <c r="S449" t="str">
        <f t="shared" si="85"/>
        <v>Low</v>
      </c>
      <c r="T449" t="str">
        <f t="shared" si="86"/>
        <v>Low</v>
      </c>
      <c r="U449" t="str">
        <f t="shared" si="87"/>
        <v>No</v>
      </c>
      <c r="V449" t="str">
        <f t="shared" si="88"/>
        <v>No</v>
      </c>
      <c r="W449" t="str">
        <f t="shared" si="89"/>
        <v>No</v>
      </c>
      <c r="X449" t="str">
        <f t="shared" si="90"/>
        <v>Yes</v>
      </c>
    </row>
    <row r="450" spans="1:24" x14ac:dyDescent="0.3">
      <c r="A450" t="s">
        <v>249</v>
      </c>
      <c r="B450">
        <v>43</v>
      </c>
      <c r="C450" t="s">
        <v>510</v>
      </c>
      <c r="D450">
        <v>87584</v>
      </c>
      <c r="E450" t="s">
        <v>514</v>
      </c>
      <c r="F450">
        <v>15</v>
      </c>
      <c r="G450">
        <v>555.35</v>
      </c>
      <c r="H450">
        <v>68</v>
      </c>
      <c r="I450">
        <v>4</v>
      </c>
      <c r="J450">
        <v>8330.25</v>
      </c>
      <c r="K450">
        <f>SUM(Table3[Total_Revenue])</f>
        <v>30761529.489999965</v>
      </c>
      <c r="L450">
        <f t="shared" ref="L450:L501" si="91">L449+J450</f>
        <v>30517650.719999973</v>
      </c>
      <c r="M450">
        <f t="shared" ref="M450:M501" si="92">L450/$K$2</f>
        <v>0.99207195565229378</v>
      </c>
      <c r="N450" t="str">
        <f t="shared" ref="N450:N501" si="93">IF(M450&lt;=0.75,"Yes","No")</f>
        <v>No</v>
      </c>
      <c r="O450">
        <f t="shared" ref="O450:O501" si="94">MEDIAN($J$2:$J$501)</f>
        <v>47894.68</v>
      </c>
      <c r="P450">
        <f t="shared" ref="P450:P501" si="95">MEDIAN($I$2:$I$501)</f>
        <v>5</v>
      </c>
      <c r="Q450">
        <f t="shared" ref="Q450:Q501" si="96">MEDIAN($H$2:$H$501)</f>
        <v>172.5</v>
      </c>
      <c r="R450" t="str">
        <f t="shared" ref="R450:R501" si="97">IF(I450&gt;$P$2,"High",IF(I450&lt;$P$2,"Low","Medium"))</f>
        <v>Low</v>
      </c>
      <c r="S450" t="str">
        <f t="shared" ref="S450:S501" si="98">IF(H450&gt;$Q$2,"High",IF(H450&lt;$Q$2,"Low","Medium"))</f>
        <v>Low</v>
      </c>
      <c r="T450" t="str">
        <f t="shared" ref="T450:T501" si="99">IF(J450&gt;$O$2,"High",IF(J450&lt;$O$2,"Low","Medium"))</f>
        <v>Low</v>
      </c>
      <c r="U450" t="str">
        <f t="shared" ref="U450:U501" si="100">IF(AND(J450&lt;$O$1, I450&gt;=$P$2),"Yes","No")</f>
        <v>No</v>
      </c>
      <c r="V450" t="str">
        <f t="shared" ref="V450:V501" si="101">IF(AND(J450&gt;=$O$2, I450&lt;$P$2),"Yes","No")</f>
        <v>No</v>
      </c>
      <c r="W450" t="str">
        <f t="shared" ref="W450:W501" si="102">IF(AND(J450&gt;=$O$2, I450&gt;=$P$2),"Yes","No")</f>
        <v>No</v>
      </c>
      <c r="X450" t="str">
        <f t="shared" ref="X450:X501" si="103">IF(AND(J450&lt;$O$2, I450&lt;$P$2),"Yes","No")</f>
        <v>Yes</v>
      </c>
    </row>
    <row r="451" spans="1:24" x14ac:dyDescent="0.3">
      <c r="A451" t="s">
        <v>275</v>
      </c>
      <c r="B451">
        <v>43</v>
      </c>
      <c r="C451" t="s">
        <v>510</v>
      </c>
      <c r="D451">
        <v>28512</v>
      </c>
      <c r="E451" t="s">
        <v>512</v>
      </c>
      <c r="F451">
        <v>3</v>
      </c>
      <c r="G451">
        <v>2744.69</v>
      </c>
      <c r="H451">
        <v>197</v>
      </c>
      <c r="I451">
        <v>6</v>
      </c>
      <c r="J451">
        <v>8234.07</v>
      </c>
      <c r="K451">
        <f>SUM(Table3[Total_Revenue])</f>
        <v>30761529.489999965</v>
      </c>
      <c r="L451">
        <f t="shared" si="91"/>
        <v>30525884.789999973</v>
      </c>
      <c r="M451">
        <f t="shared" si="92"/>
        <v>0.99233962992390878</v>
      </c>
      <c r="N451" t="str">
        <f t="shared" si="93"/>
        <v>No</v>
      </c>
      <c r="O451">
        <f t="shared" si="94"/>
        <v>47894.68</v>
      </c>
      <c r="P451">
        <f t="shared" si="95"/>
        <v>5</v>
      </c>
      <c r="Q451">
        <f t="shared" si="96"/>
        <v>172.5</v>
      </c>
      <c r="R451" t="str">
        <f t="shared" si="97"/>
        <v>High</v>
      </c>
      <c r="S451" t="str">
        <f t="shared" si="98"/>
        <v>High</v>
      </c>
      <c r="T451" t="str">
        <f t="shared" si="99"/>
        <v>Low</v>
      </c>
      <c r="U451" t="str">
        <f t="shared" si="100"/>
        <v>Yes</v>
      </c>
      <c r="V451" t="str">
        <f t="shared" si="101"/>
        <v>No</v>
      </c>
      <c r="W451" t="str">
        <f t="shared" si="102"/>
        <v>No</v>
      </c>
      <c r="X451" t="str">
        <f t="shared" si="103"/>
        <v>No</v>
      </c>
    </row>
    <row r="452" spans="1:24" x14ac:dyDescent="0.3">
      <c r="A452" t="s">
        <v>500</v>
      </c>
      <c r="B452">
        <v>18</v>
      </c>
      <c r="C452" t="s">
        <v>510</v>
      </c>
      <c r="D452">
        <v>117945</v>
      </c>
      <c r="E452" t="s">
        <v>514</v>
      </c>
      <c r="F452">
        <v>5</v>
      </c>
      <c r="G452">
        <v>1623.55</v>
      </c>
      <c r="H452">
        <v>47</v>
      </c>
      <c r="I452">
        <v>4</v>
      </c>
      <c r="J452">
        <v>8117.75</v>
      </c>
      <c r="K452">
        <f>SUM(Table3[Total_Revenue])</f>
        <v>30761529.489999965</v>
      </c>
      <c r="L452">
        <f t="shared" si="91"/>
        <v>30534002.539999973</v>
      </c>
      <c r="M452">
        <f t="shared" si="92"/>
        <v>0.99260352284908471</v>
      </c>
      <c r="N452" t="str">
        <f t="shared" si="93"/>
        <v>No</v>
      </c>
      <c r="O452">
        <f t="shared" si="94"/>
        <v>47894.68</v>
      </c>
      <c r="P452">
        <f t="shared" si="95"/>
        <v>5</v>
      </c>
      <c r="Q452">
        <f t="shared" si="96"/>
        <v>172.5</v>
      </c>
      <c r="R452" t="str">
        <f t="shared" si="97"/>
        <v>Low</v>
      </c>
      <c r="S452" t="str">
        <f t="shared" si="98"/>
        <v>Low</v>
      </c>
      <c r="T452" t="str">
        <f t="shared" si="99"/>
        <v>Low</v>
      </c>
      <c r="U452" t="str">
        <f t="shared" si="100"/>
        <v>No</v>
      </c>
      <c r="V452" t="str">
        <f t="shared" si="101"/>
        <v>No</v>
      </c>
      <c r="W452" t="str">
        <f t="shared" si="102"/>
        <v>No</v>
      </c>
      <c r="X452" t="str">
        <f t="shared" si="103"/>
        <v>Yes</v>
      </c>
    </row>
    <row r="453" spans="1:24" x14ac:dyDescent="0.3">
      <c r="A453" t="s">
        <v>70</v>
      </c>
      <c r="B453">
        <v>25</v>
      </c>
      <c r="C453" t="s">
        <v>510</v>
      </c>
      <c r="D453">
        <v>149668</v>
      </c>
      <c r="E453" t="s">
        <v>514</v>
      </c>
      <c r="F453">
        <v>9</v>
      </c>
      <c r="G453">
        <v>880.51</v>
      </c>
      <c r="H453">
        <v>192</v>
      </c>
      <c r="I453">
        <v>5</v>
      </c>
      <c r="J453">
        <v>7924.59</v>
      </c>
      <c r="K453">
        <f>SUM(Table3[Total_Revenue])</f>
        <v>30761529.489999965</v>
      </c>
      <c r="L453">
        <f t="shared" si="91"/>
        <v>30541927.129999973</v>
      </c>
      <c r="M453">
        <f t="shared" si="92"/>
        <v>0.99286113650261176</v>
      </c>
      <c r="N453" t="str">
        <f t="shared" si="93"/>
        <v>No</v>
      </c>
      <c r="O453">
        <f t="shared" si="94"/>
        <v>47894.68</v>
      </c>
      <c r="P453">
        <f t="shared" si="95"/>
        <v>5</v>
      </c>
      <c r="Q453">
        <f t="shared" si="96"/>
        <v>172.5</v>
      </c>
      <c r="R453" t="str">
        <f t="shared" si="97"/>
        <v>Medium</v>
      </c>
      <c r="S453" t="str">
        <f t="shared" si="98"/>
        <v>High</v>
      </c>
      <c r="T453" t="str">
        <f t="shared" si="99"/>
        <v>Low</v>
      </c>
      <c r="U453" t="str">
        <f t="shared" si="100"/>
        <v>Yes</v>
      </c>
      <c r="V453" t="str">
        <f t="shared" si="101"/>
        <v>No</v>
      </c>
      <c r="W453" t="str">
        <f t="shared" si="102"/>
        <v>No</v>
      </c>
      <c r="X453" t="str">
        <f t="shared" si="103"/>
        <v>No</v>
      </c>
    </row>
    <row r="454" spans="1:24" x14ac:dyDescent="0.3">
      <c r="A454" t="s">
        <v>20</v>
      </c>
      <c r="B454">
        <v>28</v>
      </c>
      <c r="C454" t="s">
        <v>510</v>
      </c>
      <c r="D454">
        <v>39963</v>
      </c>
      <c r="E454" t="s">
        <v>512</v>
      </c>
      <c r="F454">
        <v>11</v>
      </c>
      <c r="G454">
        <v>702.56</v>
      </c>
      <c r="H454">
        <v>211</v>
      </c>
      <c r="I454">
        <v>6</v>
      </c>
      <c r="J454">
        <v>7728.16</v>
      </c>
      <c r="K454">
        <f>SUM(Table3[Total_Revenue])</f>
        <v>30761529.489999965</v>
      </c>
      <c r="L454">
        <f t="shared" si="91"/>
        <v>30549655.289999973</v>
      </c>
      <c r="M454">
        <f t="shared" si="92"/>
        <v>0.99311236458288366</v>
      </c>
      <c r="N454" t="str">
        <f t="shared" si="93"/>
        <v>No</v>
      </c>
      <c r="O454">
        <f t="shared" si="94"/>
        <v>47894.68</v>
      </c>
      <c r="P454">
        <f t="shared" si="95"/>
        <v>5</v>
      </c>
      <c r="Q454">
        <f t="shared" si="96"/>
        <v>172.5</v>
      </c>
      <c r="R454" t="str">
        <f t="shared" si="97"/>
        <v>High</v>
      </c>
      <c r="S454" t="str">
        <f t="shared" si="98"/>
        <v>High</v>
      </c>
      <c r="T454" t="str">
        <f t="shared" si="99"/>
        <v>Low</v>
      </c>
      <c r="U454" t="str">
        <f t="shared" si="100"/>
        <v>Yes</v>
      </c>
      <c r="V454" t="str">
        <f t="shared" si="101"/>
        <v>No</v>
      </c>
      <c r="W454" t="str">
        <f t="shared" si="102"/>
        <v>No</v>
      </c>
      <c r="X454" t="str">
        <f t="shared" si="103"/>
        <v>No</v>
      </c>
    </row>
    <row r="455" spans="1:24" x14ac:dyDescent="0.3">
      <c r="A455" t="s">
        <v>307</v>
      </c>
      <c r="B455">
        <v>29</v>
      </c>
      <c r="C455" t="s">
        <v>511</v>
      </c>
      <c r="D455">
        <v>63925</v>
      </c>
      <c r="E455" t="s">
        <v>515</v>
      </c>
      <c r="F455">
        <v>11</v>
      </c>
      <c r="G455">
        <v>697.97</v>
      </c>
      <c r="H455">
        <v>260</v>
      </c>
      <c r="I455">
        <v>3</v>
      </c>
      <c r="J455">
        <v>7677.67</v>
      </c>
      <c r="K455">
        <f>SUM(Table3[Total_Revenue])</f>
        <v>30761529.489999965</v>
      </c>
      <c r="L455">
        <f t="shared" si="91"/>
        <v>30557332.959999975</v>
      </c>
      <c r="M455">
        <f t="shared" si="92"/>
        <v>0.99336195132734306</v>
      </c>
      <c r="N455" t="str">
        <f t="shared" si="93"/>
        <v>No</v>
      </c>
      <c r="O455">
        <f t="shared" si="94"/>
        <v>47894.68</v>
      </c>
      <c r="P455">
        <f t="shared" si="95"/>
        <v>5</v>
      </c>
      <c r="Q455">
        <f t="shared" si="96"/>
        <v>172.5</v>
      </c>
      <c r="R455" t="str">
        <f t="shared" si="97"/>
        <v>Low</v>
      </c>
      <c r="S455" t="str">
        <f t="shared" si="98"/>
        <v>High</v>
      </c>
      <c r="T455" t="str">
        <f t="shared" si="99"/>
        <v>Low</v>
      </c>
      <c r="U455" t="str">
        <f t="shared" si="100"/>
        <v>No</v>
      </c>
      <c r="V455" t="str">
        <f t="shared" si="101"/>
        <v>No</v>
      </c>
      <c r="W455" t="str">
        <f t="shared" si="102"/>
        <v>No</v>
      </c>
      <c r="X455" t="str">
        <f t="shared" si="103"/>
        <v>Yes</v>
      </c>
    </row>
    <row r="456" spans="1:24" x14ac:dyDescent="0.3">
      <c r="A456" t="s">
        <v>470</v>
      </c>
      <c r="B456">
        <v>25</v>
      </c>
      <c r="C456" t="s">
        <v>510</v>
      </c>
      <c r="D456">
        <v>88904</v>
      </c>
      <c r="E456" t="s">
        <v>514</v>
      </c>
      <c r="F456">
        <v>2</v>
      </c>
      <c r="G456">
        <v>3790.62</v>
      </c>
      <c r="H456">
        <v>120</v>
      </c>
      <c r="I456">
        <v>10</v>
      </c>
      <c r="J456">
        <v>7581.24</v>
      </c>
      <c r="K456">
        <f>SUM(Table3[Total_Revenue])</f>
        <v>30761529.489999965</v>
      </c>
      <c r="L456">
        <f t="shared" si="91"/>
        <v>30564914.199999973</v>
      </c>
      <c r="M456">
        <f t="shared" si="92"/>
        <v>0.99360840331219846</v>
      </c>
      <c r="N456" t="str">
        <f t="shared" si="93"/>
        <v>No</v>
      </c>
      <c r="O456">
        <f t="shared" si="94"/>
        <v>47894.68</v>
      </c>
      <c r="P456">
        <f t="shared" si="95"/>
        <v>5</v>
      </c>
      <c r="Q456">
        <f t="shared" si="96"/>
        <v>172.5</v>
      </c>
      <c r="R456" t="str">
        <f t="shared" si="97"/>
        <v>High</v>
      </c>
      <c r="S456" t="str">
        <f t="shared" si="98"/>
        <v>Low</v>
      </c>
      <c r="T456" t="str">
        <f t="shared" si="99"/>
        <v>Low</v>
      </c>
      <c r="U456" t="str">
        <f t="shared" si="100"/>
        <v>Yes</v>
      </c>
      <c r="V456" t="str">
        <f t="shared" si="101"/>
        <v>No</v>
      </c>
      <c r="W456" t="str">
        <f t="shared" si="102"/>
        <v>No</v>
      </c>
      <c r="X456" t="str">
        <f t="shared" si="103"/>
        <v>No</v>
      </c>
    </row>
    <row r="457" spans="1:24" x14ac:dyDescent="0.3">
      <c r="A457" t="s">
        <v>427</v>
      </c>
      <c r="B457">
        <v>26</v>
      </c>
      <c r="C457" t="s">
        <v>511</v>
      </c>
      <c r="D457">
        <v>34153</v>
      </c>
      <c r="E457" t="s">
        <v>514</v>
      </c>
      <c r="F457">
        <v>49</v>
      </c>
      <c r="G457">
        <v>151.1</v>
      </c>
      <c r="H457">
        <v>270</v>
      </c>
      <c r="I457">
        <v>8</v>
      </c>
      <c r="J457">
        <v>7403.9</v>
      </c>
      <c r="K457">
        <f>SUM(Table3[Total_Revenue])</f>
        <v>30761529.489999965</v>
      </c>
      <c r="L457">
        <f t="shared" si="91"/>
        <v>30572318.099999972</v>
      </c>
      <c r="M457">
        <f t="shared" si="92"/>
        <v>0.99384909030412472</v>
      </c>
      <c r="N457" t="str">
        <f t="shared" si="93"/>
        <v>No</v>
      </c>
      <c r="O457">
        <f t="shared" si="94"/>
        <v>47894.68</v>
      </c>
      <c r="P457">
        <f t="shared" si="95"/>
        <v>5</v>
      </c>
      <c r="Q457">
        <f t="shared" si="96"/>
        <v>172.5</v>
      </c>
      <c r="R457" t="str">
        <f t="shared" si="97"/>
        <v>High</v>
      </c>
      <c r="S457" t="str">
        <f t="shared" si="98"/>
        <v>High</v>
      </c>
      <c r="T457" t="str">
        <f t="shared" si="99"/>
        <v>Low</v>
      </c>
      <c r="U457" t="str">
        <f t="shared" si="100"/>
        <v>Yes</v>
      </c>
      <c r="V457" t="str">
        <f t="shared" si="101"/>
        <v>No</v>
      </c>
      <c r="W457" t="str">
        <f t="shared" si="102"/>
        <v>No</v>
      </c>
      <c r="X457" t="str">
        <f t="shared" si="103"/>
        <v>No</v>
      </c>
    </row>
    <row r="458" spans="1:24" x14ac:dyDescent="0.3">
      <c r="A458" t="s">
        <v>256</v>
      </c>
      <c r="B458">
        <v>55</v>
      </c>
      <c r="C458" t="s">
        <v>510</v>
      </c>
      <c r="D458">
        <v>40618</v>
      </c>
      <c r="E458" t="s">
        <v>513</v>
      </c>
      <c r="F458">
        <v>18</v>
      </c>
      <c r="G458">
        <v>409.23</v>
      </c>
      <c r="H458">
        <v>116</v>
      </c>
      <c r="I458">
        <v>9</v>
      </c>
      <c r="J458">
        <v>7366.14</v>
      </c>
      <c r="K458">
        <f>SUM(Table3[Total_Revenue])</f>
        <v>30761529.489999965</v>
      </c>
      <c r="L458">
        <f t="shared" si="91"/>
        <v>30579684.239999972</v>
      </c>
      <c r="M458">
        <f t="shared" si="92"/>
        <v>0.99408854978881633</v>
      </c>
      <c r="N458" t="str">
        <f t="shared" si="93"/>
        <v>No</v>
      </c>
      <c r="O458">
        <f t="shared" si="94"/>
        <v>47894.68</v>
      </c>
      <c r="P458">
        <f t="shared" si="95"/>
        <v>5</v>
      </c>
      <c r="Q458">
        <f t="shared" si="96"/>
        <v>172.5</v>
      </c>
      <c r="R458" t="str">
        <f t="shared" si="97"/>
        <v>High</v>
      </c>
      <c r="S458" t="str">
        <f t="shared" si="98"/>
        <v>Low</v>
      </c>
      <c r="T458" t="str">
        <f t="shared" si="99"/>
        <v>Low</v>
      </c>
      <c r="U458" t="str">
        <f t="shared" si="100"/>
        <v>Yes</v>
      </c>
      <c r="V458" t="str">
        <f t="shared" si="101"/>
        <v>No</v>
      </c>
      <c r="W458" t="str">
        <f t="shared" si="102"/>
        <v>No</v>
      </c>
      <c r="X458" t="str">
        <f t="shared" si="103"/>
        <v>No</v>
      </c>
    </row>
    <row r="459" spans="1:24" x14ac:dyDescent="0.3">
      <c r="A459" t="s">
        <v>450</v>
      </c>
      <c r="B459">
        <v>40</v>
      </c>
      <c r="C459" t="s">
        <v>510</v>
      </c>
      <c r="D459">
        <v>59915</v>
      </c>
      <c r="E459" t="s">
        <v>513</v>
      </c>
      <c r="F459">
        <v>8</v>
      </c>
      <c r="G459">
        <v>902.05</v>
      </c>
      <c r="H459">
        <v>265</v>
      </c>
      <c r="I459">
        <v>9</v>
      </c>
      <c r="J459">
        <v>7216.4</v>
      </c>
      <c r="K459">
        <f>SUM(Table3[Total_Revenue])</f>
        <v>30761529.489999965</v>
      </c>
      <c r="L459">
        <f t="shared" si="91"/>
        <v>30586900.639999971</v>
      </c>
      <c r="M459">
        <f t="shared" si="92"/>
        <v>0.99432314150514645</v>
      </c>
      <c r="N459" t="str">
        <f t="shared" si="93"/>
        <v>No</v>
      </c>
      <c r="O459">
        <f t="shared" si="94"/>
        <v>47894.68</v>
      </c>
      <c r="P459">
        <f t="shared" si="95"/>
        <v>5</v>
      </c>
      <c r="Q459">
        <f t="shared" si="96"/>
        <v>172.5</v>
      </c>
      <c r="R459" t="str">
        <f t="shared" si="97"/>
        <v>High</v>
      </c>
      <c r="S459" t="str">
        <f t="shared" si="98"/>
        <v>High</v>
      </c>
      <c r="T459" t="str">
        <f t="shared" si="99"/>
        <v>Low</v>
      </c>
      <c r="U459" t="str">
        <f t="shared" si="100"/>
        <v>Yes</v>
      </c>
      <c r="V459" t="str">
        <f t="shared" si="101"/>
        <v>No</v>
      </c>
      <c r="W459" t="str">
        <f t="shared" si="102"/>
        <v>No</v>
      </c>
      <c r="X459" t="str">
        <f t="shared" si="103"/>
        <v>No</v>
      </c>
    </row>
    <row r="460" spans="1:24" x14ac:dyDescent="0.3">
      <c r="A460" t="s">
        <v>56</v>
      </c>
      <c r="B460">
        <v>56</v>
      </c>
      <c r="C460" t="s">
        <v>510</v>
      </c>
      <c r="D460">
        <v>95697</v>
      </c>
      <c r="E460" t="s">
        <v>515</v>
      </c>
      <c r="F460">
        <v>38</v>
      </c>
      <c r="G460">
        <v>185.83</v>
      </c>
      <c r="H460">
        <v>82</v>
      </c>
      <c r="I460">
        <v>7</v>
      </c>
      <c r="J460">
        <v>7061.54</v>
      </c>
      <c r="K460">
        <f>SUM(Table3[Total_Revenue])</f>
        <v>30761529.489999965</v>
      </c>
      <c r="L460">
        <f t="shared" si="91"/>
        <v>30593962.17999997</v>
      </c>
      <c r="M460">
        <f t="shared" si="92"/>
        <v>0.99455269901145626</v>
      </c>
      <c r="N460" t="str">
        <f t="shared" si="93"/>
        <v>No</v>
      </c>
      <c r="O460">
        <f t="shared" si="94"/>
        <v>47894.68</v>
      </c>
      <c r="P460">
        <f t="shared" si="95"/>
        <v>5</v>
      </c>
      <c r="Q460">
        <f t="shared" si="96"/>
        <v>172.5</v>
      </c>
      <c r="R460" t="str">
        <f t="shared" si="97"/>
        <v>High</v>
      </c>
      <c r="S460" t="str">
        <f t="shared" si="98"/>
        <v>Low</v>
      </c>
      <c r="T460" t="str">
        <f t="shared" si="99"/>
        <v>Low</v>
      </c>
      <c r="U460" t="str">
        <f t="shared" si="100"/>
        <v>Yes</v>
      </c>
      <c r="V460" t="str">
        <f t="shared" si="101"/>
        <v>No</v>
      </c>
      <c r="W460" t="str">
        <f t="shared" si="102"/>
        <v>No</v>
      </c>
      <c r="X460" t="str">
        <f t="shared" si="103"/>
        <v>No</v>
      </c>
    </row>
    <row r="461" spans="1:24" x14ac:dyDescent="0.3">
      <c r="A461" t="s">
        <v>99</v>
      </c>
      <c r="B461">
        <v>33</v>
      </c>
      <c r="C461" t="s">
        <v>511</v>
      </c>
      <c r="D461">
        <v>147600</v>
      </c>
      <c r="E461" t="s">
        <v>513</v>
      </c>
      <c r="F461">
        <v>40</v>
      </c>
      <c r="G461">
        <v>171.87</v>
      </c>
      <c r="H461">
        <v>359</v>
      </c>
      <c r="I461">
        <v>4</v>
      </c>
      <c r="J461">
        <v>6874.8</v>
      </c>
      <c r="K461">
        <f>SUM(Table3[Total_Revenue])</f>
        <v>30761529.489999965</v>
      </c>
      <c r="L461">
        <f t="shared" si="91"/>
        <v>30600836.979999971</v>
      </c>
      <c r="M461">
        <f t="shared" si="92"/>
        <v>0.99477618594835371</v>
      </c>
      <c r="N461" t="str">
        <f t="shared" si="93"/>
        <v>No</v>
      </c>
      <c r="O461">
        <f t="shared" si="94"/>
        <v>47894.68</v>
      </c>
      <c r="P461">
        <f t="shared" si="95"/>
        <v>5</v>
      </c>
      <c r="Q461">
        <f t="shared" si="96"/>
        <v>172.5</v>
      </c>
      <c r="R461" t="str">
        <f t="shared" si="97"/>
        <v>Low</v>
      </c>
      <c r="S461" t="str">
        <f t="shared" si="98"/>
        <v>High</v>
      </c>
      <c r="T461" t="str">
        <f t="shared" si="99"/>
        <v>Low</v>
      </c>
      <c r="U461" t="str">
        <f t="shared" si="100"/>
        <v>No</v>
      </c>
      <c r="V461" t="str">
        <f t="shared" si="101"/>
        <v>No</v>
      </c>
      <c r="W461" t="str">
        <f t="shared" si="102"/>
        <v>No</v>
      </c>
      <c r="X461" t="str">
        <f t="shared" si="103"/>
        <v>Yes</v>
      </c>
    </row>
    <row r="462" spans="1:24" x14ac:dyDescent="0.3">
      <c r="A462" t="s">
        <v>455</v>
      </c>
      <c r="B462">
        <v>49</v>
      </c>
      <c r="C462" t="s">
        <v>511</v>
      </c>
      <c r="D462">
        <v>80279</v>
      </c>
      <c r="E462" t="s">
        <v>513</v>
      </c>
      <c r="F462">
        <v>42</v>
      </c>
      <c r="G462">
        <v>162.30000000000001</v>
      </c>
      <c r="H462">
        <v>142</v>
      </c>
      <c r="I462">
        <v>3</v>
      </c>
      <c r="J462">
        <v>6816.6</v>
      </c>
      <c r="K462">
        <f>SUM(Table3[Total_Revenue])</f>
        <v>30761529.489999965</v>
      </c>
      <c r="L462">
        <f t="shared" si="91"/>
        <v>30607653.579999972</v>
      </c>
      <c r="M462">
        <f t="shared" si="92"/>
        <v>0.9949977809117061</v>
      </c>
      <c r="N462" t="str">
        <f t="shared" si="93"/>
        <v>No</v>
      </c>
      <c r="O462">
        <f t="shared" si="94"/>
        <v>47894.68</v>
      </c>
      <c r="P462">
        <f t="shared" si="95"/>
        <v>5</v>
      </c>
      <c r="Q462">
        <f t="shared" si="96"/>
        <v>172.5</v>
      </c>
      <c r="R462" t="str">
        <f t="shared" si="97"/>
        <v>Low</v>
      </c>
      <c r="S462" t="str">
        <f t="shared" si="98"/>
        <v>Low</v>
      </c>
      <c r="T462" t="str">
        <f t="shared" si="99"/>
        <v>Low</v>
      </c>
      <c r="U462" t="str">
        <f t="shared" si="100"/>
        <v>No</v>
      </c>
      <c r="V462" t="str">
        <f t="shared" si="101"/>
        <v>No</v>
      </c>
      <c r="W462" t="str">
        <f t="shared" si="102"/>
        <v>No</v>
      </c>
      <c r="X462" t="str">
        <f t="shared" si="103"/>
        <v>Yes</v>
      </c>
    </row>
    <row r="463" spans="1:24" x14ac:dyDescent="0.3">
      <c r="A463" t="s">
        <v>490</v>
      </c>
      <c r="B463">
        <v>36</v>
      </c>
      <c r="C463" t="s">
        <v>510</v>
      </c>
      <c r="D463">
        <v>83374</v>
      </c>
      <c r="E463" t="s">
        <v>514</v>
      </c>
      <c r="F463">
        <v>3</v>
      </c>
      <c r="G463">
        <v>2225.62</v>
      </c>
      <c r="H463">
        <v>324</v>
      </c>
      <c r="I463">
        <v>7</v>
      </c>
      <c r="J463">
        <v>6676.86</v>
      </c>
      <c r="K463">
        <f>SUM(Table3[Total_Revenue])</f>
        <v>30761529.489999965</v>
      </c>
      <c r="L463">
        <f t="shared" si="91"/>
        <v>30614330.439999972</v>
      </c>
      <c r="M463">
        <f t="shared" si="92"/>
        <v>0.99521483318806225</v>
      </c>
      <c r="N463" t="str">
        <f t="shared" si="93"/>
        <v>No</v>
      </c>
      <c r="O463">
        <f t="shared" si="94"/>
        <v>47894.68</v>
      </c>
      <c r="P463">
        <f t="shared" si="95"/>
        <v>5</v>
      </c>
      <c r="Q463">
        <f t="shared" si="96"/>
        <v>172.5</v>
      </c>
      <c r="R463" t="str">
        <f t="shared" si="97"/>
        <v>High</v>
      </c>
      <c r="S463" t="str">
        <f t="shared" si="98"/>
        <v>High</v>
      </c>
      <c r="T463" t="str">
        <f t="shared" si="99"/>
        <v>Low</v>
      </c>
      <c r="U463" t="str">
        <f t="shared" si="100"/>
        <v>Yes</v>
      </c>
      <c r="V463" t="str">
        <f t="shared" si="101"/>
        <v>No</v>
      </c>
      <c r="W463" t="str">
        <f t="shared" si="102"/>
        <v>No</v>
      </c>
      <c r="X463" t="str">
        <f t="shared" si="103"/>
        <v>No</v>
      </c>
    </row>
    <row r="464" spans="1:24" x14ac:dyDescent="0.3">
      <c r="A464" t="s">
        <v>343</v>
      </c>
      <c r="B464">
        <v>53</v>
      </c>
      <c r="C464" t="s">
        <v>510</v>
      </c>
      <c r="D464">
        <v>107062</v>
      </c>
      <c r="E464" t="s">
        <v>513</v>
      </c>
      <c r="F464">
        <v>2</v>
      </c>
      <c r="G464">
        <v>3304.97</v>
      </c>
      <c r="H464">
        <v>364</v>
      </c>
      <c r="I464">
        <v>7</v>
      </c>
      <c r="J464">
        <v>6609.94</v>
      </c>
      <c r="K464">
        <f>SUM(Table3[Total_Revenue])</f>
        <v>30761529.489999965</v>
      </c>
      <c r="L464">
        <f t="shared" si="91"/>
        <v>30620940.379999973</v>
      </c>
      <c r="M464">
        <f t="shared" si="92"/>
        <v>0.99542971001992298</v>
      </c>
      <c r="N464" t="str">
        <f t="shared" si="93"/>
        <v>No</v>
      </c>
      <c r="O464">
        <f t="shared" si="94"/>
        <v>47894.68</v>
      </c>
      <c r="P464">
        <f t="shared" si="95"/>
        <v>5</v>
      </c>
      <c r="Q464">
        <f t="shared" si="96"/>
        <v>172.5</v>
      </c>
      <c r="R464" t="str">
        <f t="shared" si="97"/>
        <v>High</v>
      </c>
      <c r="S464" t="str">
        <f t="shared" si="98"/>
        <v>High</v>
      </c>
      <c r="T464" t="str">
        <f t="shared" si="99"/>
        <v>Low</v>
      </c>
      <c r="U464" t="str">
        <f t="shared" si="100"/>
        <v>Yes</v>
      </c>
      <c r="V464" t="str">
        <f t="shared" si="101"/>
        <v>No</v>
      </c>
      <c r="W464" t="str">
        <f t="shared" si="102"/>
        <v>No</v>
      </c>
      <c r="X464" t="str">
        <f t="shared" si="103"/>
        <v>No</v>
      </c>
    </row>
    <row r="465" spans="1:24" x14ac:dyDescent="0.3">
      <c r="A465" t="s">
        <v>197</v>
      </c>
      <c r="B465">
        <v>47</v>
      </c>
      <c r="C465" t="s">
        <v>510</v>
      </c>
      <c r="D465">
        <v>76138</v>
      </c>
      <c r="E465" t="s">
        <v>513</v>
      </c>
      <c r="F465">
        <v>36</v>
      </c>
      <c r="G465">
        <v>177.52</v>
      </c>
      <c r="H465">
        <v>345</v>
      </c>
      <c r="I465">
        <v>8</v>
      </c>
      <c r="J465">
        <v>6390.72</v>
      </c>
      <c r="K465">
        <f>SUM(Table3[Total_Revenue])</f>
        <v>30761529.489999965</v>
      </c>
      <c r="L465">
        <f t="shared" si="91"/>
        <v>30627331.099999972</v>
      </c>
      <c r="M465">
        <f t="shared" si="92"/>
        <v>0.99563746041809731</v>
      </c>
      <c r="N465" t="str">
        <f t="shared" si="93"/>
        <v>No</v>
      </c>
      <c r="O465">
        <f t="shared" si="94"/>
        <v>47894.68</v>
      </c>
      <c r="P465">
        <f t="shared" si="95"/>
        <v>5</v>
      </c>
      <c r="Q465">
        <f t="shared" si="96"/>
        <v>172.5</v>
      </c>
      <c r="R465" t="str">
        <f t="shared" si="97"/>
        <v>High</v>
      </c>
      <c r="S465" t="str">
        <f t="shared" si="98"/>
        <v>High</v>
      </c>
      <c r="T465" t="str">
        <f t="shared" si="99"/>
        <v>Low</v>
      </c>
      <c r="U465" t="str">
        <f t="shared" si="100"/>
        <v>Yes</v>
      </c>
      <c r="V465" t="str">
        <f t="shared" si="101"/>
        <v>No</v>
      </c>
      <c r="W465" t="str">
        <f t="shared" si="102"/>
        <v>No</v>
      </c>
      <c r="X465" t="str">
        <f t="shared" si="103"/>
        <v>No</v>
      </c>
    </row>
    <row r="466" spans="1:24" x14ac:dyDescent="0.3">
      <c r="A466" t="s">
        <v>33</v>
      </c>
      <c r="B466">
        <v>19</v>
      </c>
      <c r="C466" t="s">
        <v>510</v>
      </c>
      <c r="D466">
        <v>65002</v>
      </c>
      <c r="E466" t="s">
        <v>512</v>
      </c>
      <c r="F466">
        <v>34</v>
      </c>
      <c r="G466">
        <v>185.16</v>
      </c>
      <c r="H466">
        <v>359</v>
      </c>
      <c r="I466">
        <v>2</v>
      </c>
      <c r="J466">
        <v>6295.44</v>
      </c>
      <c r="K466">
        <f>SUM(Table3[Total_Revenue])</f>
        <v>30761529.489999965</v>
      </c>
      <c r="L466">
        <f t="shared" si="91"/>
        <v>30633626.539999973</v>
      </c>
      <c r="M466">
        <f t="shared" si="92"/>
        <v>0.99584211344102469</v>
      </c>
      <c r="N466" t="str">
        <f t="shared" si="93"/>
        <v>No</v>
      </c>
      <c r="O466">
        <f t="shared" si="94"/>
        <v>47894.68</v>
      </c>
      <c r="P466">
        <f t="shared" si="95"/>
        <v>5</v>
      </c>
      <c r="Q466">
        <f t="shared" si="96"/>
        <v>172.5</v>
      </c>
      <c r="R466" t="str">
        <f t="shared" si="97"/>
        <v>Low</v>
      </c>
      <c r="S466" t="str">
        <f t="shared" si="98"/>
        <v>High</v>
      </c>
      <c r="T466" t="str">
        <f t="shared" si="99"/>
        <v>Low</v>
      </c>
      <c r="U466" t="str">
        <f t="shared" si="100"/>
        <v>No</v>
      </c>
      <c r="V466" t="str">
        <f t="shared" si="101"/>
        <v>No</v>
      </c>
      <c r="W466" t="str">
        <f t="shared" si="102"/>
        <v>No</v>
      </c>
      <c r="X466" t="str">
        <f t="shared" si="103"/>
        <v>Yes</v>
      </c>
    </row>
    <row r="467" spans="1:24" x14ac:dyDescent="0.3">
      <c r="A467" t="s">
        <v>332</v>
      </c>
      <c r="B467">
        <v>42</v>
      </c>
      <c r="C467" t="s">
        <v>510</v>
      </c>
      <c r="D467">
        <v>145329</v>
      </c>
      <c r="E467" t="s">
        <v>514</v>
      </c>
      <c r="F467">
        <v>2</v>
      </c>
      <c r="G467">
        <v>3128.45</v>
      </c>
      <c r="H467">
        <v>353</v>
      </c>
      <c r="I467">
        <v>3</v>
      </c>
      <c r="J467">
        <v>6256.9</v>
      </c>
      <c r="K467">
        <f>SUM(Table3[Total_Revenue])</f>
        <v>30761529.489999965</v>
      </c>
      <c r="L467">
        <f t="shared" si="91"/>
        <v>30639883.439999972</v>
      </c>
      <c r="M467">
        <f t="shared" si="92"/>
        <v>0.99604551360037097</v>
      </c>
      <c r="N467" t="str">
        <f t="shared" si="93"/>
        <v>No</v>
      </c>
      <c r="O467">
        <f t="shared" si="94"/>
        <v>47894.68</v>
      </c>
      <c r="P467">
        <f t="shared" si="95"/>
        <v>5</v>
      </c>
      <c r="Q467">
        <f t="shared" si="96"/>
        <v>172.5</v>
      </c>
      <c r="R467" t="str">
        <f t="shared" si="97"/>
        <v>Low</v>
      </c>
      <c r="S467" t="str">
        <f t="shared" si="98"/>
        <v>High</v>
      </c>
      <c r="T467" t="str">
        <f t="shared" si="99"/>
        <v>Low</v>
      </c>
      <c r="U467" t="str">
        <f t="shared" si="100"/>
        <v>No</v>
      </c>
      <c r="V467" t="str">
        <f t="shared" si="101"/>
        <v>No</v>
      </c>
      <c r="W467" t="str">
        <f t="shared" si="102"/>
        <v>No</v>
      </c>
      <c r="X467" t="str">
        <f t="shared" si="103"/>
        <v>Yes</v>
      </c>
    </row>
    <row r="468" spans="1:24" x14ac:dyDescent="0.3">
      <c r="A468" t="s">
        <v>356</v>
      </c>
      <c r="B468">
        <v>65</v>
      </c>
      <c r="C468" t="s">
        <v>510</v>
      </c>
      <c r="D468">
        <v>112263</v>
      </c>
      <c r="E468" t="s">
        <v>514</v>
      </c>
      <c r="F468">
        <v>6</v>
      </c>
      <c r="G468">
        <v>1029.5</v>
      </c>
      <c r="H468">
        <v>163</v>
      </c>
      <c r="I468">
        <v>4</v>
      </c>
      <c r="J468">
        <v>6177</v>
      </c>
      <c r="K468">
        <f>SUM(Table3[Total_Revenue])</f>
        <v>30761529.489999965</v>
      </c>
      <c r="L468">
        <f t="shared" si="91"/>
        <v>30646060.439999972</v>
      </c>
      <c r="M468">
        <f t="shared" si="92"/>
        <v>0.99624631635960981</v>
      </c>
      <c r="N468" t="str">
        <f t="shared" si="93"/>
        <v>No</v>
      </c>
      <c r="O468">
        <f t="shared" si="94"/>
        <v>47894.68</v>
      </c>
      <c r="P468">
        <f t="shared" si="95"/>
        <v>5</v>
      </c>
      <c r="Q468">
        <f t="shared" si="96"/>
        <v>172.5</v>
      </c>
      <c r="R468" t="str">
        <f t="shared" si="97"/>
        <v>Low</v>
      </c>
      <c r="S468" t="str">
        <f t="shared" si="98"/>
        <v>Low</v>
      </c>
      <c r="T468" t="str">
        <f t="shared" si="99"/>
        <v>Low</v>
      </c>
      <c r="U468" t="str">
        <f t="shared" si="100"/>
        <v>No</v>
      </c>
      <c r="V468" t="str">
        <f t="shared" si="101"/>
        <v>No</v>
      </c>
      <c r="W468" t="str">
        <f t="shared" si="102"/>
        <v>No</v>
      </c>
      <c r="X468" t="str">
        <f t="shared" si="103"/>
        <v>Yes</v>
      </c>
    </row>
    <row r="469" spans="1:24" x14ac:dyDescent="0.3">
      <c r="A469" t="s">
        <v>400</v>
      </c>
      <c r="B469">
        <v>69</v>
      </c>
      <c r="C469" t="s">
        <v>511</v>
      </c>
      <c r="D469">
        <v>49486</v>
      </c>
      <c r="E469" t="s">
        <v>512</v>
      </c>
      <c r="F469">
        <v>18</v>
      </c>
      <c r="G469">
        <v>334.37</v>
      </c>
      <c r="H469">
        <v>142</v>
      </c>
      <c r="I469">
        <v>3</v>
      </c>
      <c r="J469">
        <v>6018.66</v>
      </c>
      <c r="K469">
        <f>SUM(Table3[Total_Revenue])</f>
        <v>30761529.489999965</v>
      </c>
      <c r="L469">
        <f t="shared" si="91"/>
        <v>30652079.099999972</v>
      </c>
      <c r="M469">
        <f t="shared" si="92"/>
        <v>0.9964419717805133</v>
      </c>
      <c r="N469" t="str">
        <f t="shared" si="93"/>
        <v>No</v>
      </c>
      <c r="O469">
        <f t="shared" si="94"/>
        <v>47894.68</v>
      </c>
      <c r="P469">
        <f t="shared" si="95"/>
        <v>5</v>
      </c>
      <c r="Q469">
        <f t="shared" si="96"/>
        <v>172.5</v>
      </c>
      <c r="R469" t="str">
        <f t="shared" si="97"/>
        <v>Low</v>
      </c>
      <c r="S469" t="str">
        <f t="shared" si="98"/>
        <v>Low</v>
      </c>
      <c r="T469" t="str">
        <f t="shared" si="99"/>
        <v>Low</v>
      </c>
      <c r="U469" t="str">
        <f t="shared" si="100"/>
        <v>No</v>
      </c>
      <c r="V469" t="str">
        <f t="shared" si="101"/>
        <v>No</v>
      </c>
      <c r="W469" t="str">
        <f t="shared" si="102"/>
        <v>No</v>
      </c>
      <c r="X469" t="str">
        <f t="shared" si="103"/>
        <v>Yes</v>
      </c>
    </row>
    <row r="470" spans="1:24" x14ac:dyDescent="0.3">
      <c r="A470" t="s">
        <v>384</v>
      </c>
      <c r="B470">
        <v>61</v>
      </c>
      <c r="C470" t="s">
        <v>510</v>
      </c>
      <c r="D470">
        <v>52154</v>
      </c>
      <c r="E470" t="s">
        <v>515</v>
      </c>
      <c r="F470">
        <v>12</v>
      </c>
      <c r="G470">
        <v>474.44</v>
      </c>
      <c r="H470">
        <v>1</v>
      </c>
      <c r="I470">
        <v>3</v>
      </c>
      <c r="J470">
        <v>5693.28</v>
      </c>
      <c r="K470">
        <f>SUM(Table3[Total_Revenue])</f>
        <v>30761529.489999965</v>
      </c>
      <c r="L470">
        <f t="shared" si="91"/>
        <v>30657772.379999973</v>
      </c>
      <c r="M470">
        <f t="shared" si="92"/>
        <v>0.99662704970395821</v>
      </c>
      <c r="N470" t="str">
        <f t="shared" si="93"/>
        <v>No</v>
      </c>
      <c r="O470">
        <f t="shared" si="94"/>
        <v>47894.68</v>
      </c>
      <c r="P470">
        <f t="shared" si="95"/>
        <v>5</v>
      </c>
      <c r="Q470">
        <f t="shared" si="96"/>
        <v>172.5</v>
      </c>
      <c r="R470" t="str">
        <f t="shared" si="97"/>
        <v>Low</v>
      </c>
      <c r="S470" t="str">
        <f t="shared" si="98"/>
        <v>Low</v>
      </c>
      <c r="T470" t="str">
        <f t="shared" si="99"/>
        <v>Low</v>
      </c>
      <c r="U470" t="str">
        <f t="shared" si="100"/>
        <v>No</v>
      </c>
      <c r="V470" t="str">
        <f t="shared" si="101"/>
        <v>No</v>
      </c>
      <c r="W470" t="str">
        <f t="shared" si="102"/>
        <v>No</v>
      </c>
      <c r="X470" t="str">
        <f t="shared" si="103"/>
        <v>Yes</v>
      </c>
    </row>
    <row r="471" spans="1:24" x14ac:dyDescent="0.3">
      <c r="A471" t="s">
        <v>443</v>
      </c>
      <c r="B471">
        <v>18</v>
      </c>
      <c r="C471" t="s">
        <v>511</v>
      </c>
      <c r="D471">
        <v>37368</v>
      </c>
      <c r="E471" t="s">
        <v>513</v>
      </c>
      <c r="F471">
        <v>18</v>
      </c>
      <c r="G471">
        <v>314.3</v>
      </c>
      <c r="H471">
        <v>124</v>
      </c>
      <c r="I471">
        <v>9</v>
      </c>
      <c r="J471">
        <v>5657.4</v>
      </c>
      <c r="K471">
        <f>SUM(Table3[Total_Revenue])</f>
        <v>30761529.489999965</v>
      </c>
      <c r="L471">
        <f t="shared" si="91"/>
        <v>30663429.779999971</v>
      </c>
      <c r="M471">
        <f t="shared" si="92"/>
        <v>0.99681096123546509</v>
      </c>
      <c r="N471" t="str">
        <f t="shared" si="93"/>
        <v>No</v>
      </c>
      <c r="O471">
        <f t="shared" si="94"/>
        <v>47894.68</v>
      </c>
      <c r="P471">
        <f t="shared" si="95"/>
        <v>5</v>
      </c>
      <c r="Q471">
        <f t="shared" si="96"/>
        <v>172.5</v>
      </c>
      <c r="R471" t="str">
        <f t="shared" si="97"/>
        <v>High</v>
      </c>
      <c r="S471" t="str">
        <f t="shared" si="98"/>
        <v>Low</v>
      </c>
      <c r="T471" t="str">
        <f t="shared" si="99"/>
        <v>Low</v>
      </c>
      <c r="U471" t="str">
        <f t="shared" si="100"/>
        <v>Yes</v>
      </c>
      <c r="V471" t="str">
        <f t="shared" si="101"/>
        <v>No</v>
      </c>
      <c r="W471" t="str">
        <f t="shared" si="102"/>
        <v>No</v>
      </c>
      <c r="X471" t="str">
        <f t="shared" si="103"/>
        <v>No</v>
      </c>
    </row>
    <row r="472" spans="1:24" x14ac:dyDescent="0.3">
      <c r="A472" t="s">
        <v>401</v>
      </c>
      <c r="B472">
        <v>38</v>
      </c>
      <c r="C472" t="s">
        <v>511</v>
      </c>
      <c r="D472">
        <v>91907</v>
      </c>
      <c r="E472" t="s">
        <v>515</v>
      </c>
      <c r="F472">
        <v>19</v>
      </c>
      <c r="G472">
        <v>286.31</v>
      </c>
      <c r="H472">
        <v>39</v>
      </c>
      <c r="I472">
        <v>9</v>
      </c>
      <c r="J472">
        <v>5439.89</v>
      </c>
      <c r="K472">
        <f>SUM(Table3[Total_Revenue])</f>
        <v>30761529.489999965</v>
      </c>
      <c r="L472">
        <f t="shared" si="91"/>
        <v>30668869.669999972</v>
      </c>
      <c r="M472">
        <f t="shared" si="92"/>
        <v>0.99698780192219916</v>
      </c>
      <c r="N472" t="str">
        <f t="shared" si="93"/>
        <v>No</v>
      </c>
      <c r="O472">
        <f t="shared" si="94"/>
        <v>47894.68</v>
      </c>
      <c r="P472">
        <f t="shared" si="95"/>
        <v>5</v>
      </c>
      <c r="Q472">
        <f t="shared" si="96"/>
        <v>172.5</v>
      </c>
      <c r="R472" t="str">
        <f t="shared" si="97"/>
        <v>High</v>
      </c>
      <c r="S472" t="str">
        <f t="shared" si="98"/>
        <v>Low</v>
      </c>
      <c r="T472" t="str">
        <f t="shared" si="99"/>
        <v>Low</v>
      </c>
      <c r="U472" t="str">
        <f t="shared" si="100"/>
        <v>Yes</v>
      </c>
      <c r="V472" t="str">
        <f t="shared" si="101"/>
        <v>No</v>
      </c>
      <c r="W472" t="str">
        <f t="shared" si="102"/>
        <v>No</v>
      </c>
      <c r="X472" t="str">
        <f t="shared" si="103"/>
        <v>No</v>
      </c>
    </row>
    <row r="473" spans="1:24" x14ac:dyDescent="0.3">
      <c r="A473" t="s">
        <v>129</v>
      </c>
      <c r="B473">
        <v>56</v>
      </c>
      <c r="C473" t="s">
        <v>510</v>
      </c>
      <c r="D473">
        <v>126476</v>
      </c>
      <c r="E473" t="s">
        <v>514</v>
      </c>
      <c r="F473">
        <v>5</v>
      </c>
      <c r="G473">
        <v>1053.3399999999999</v>
      </c>
      <c r="H473">
        <v>126</v>
      </c>
      <c r="I473">
        <v>3</v>
      </c>
      <c r="J473">
        <v>5266.7</v>
      </c>
      <c r="K473">
        <f>SUM(Table3[Total_Revenue])</f>
        <v>30761529.489999965</v>
      </c>
      <c r="L473">
        <f t="shared" si="91"/>
        <v>30674136.369999971</v>
      </c>
      <c r="M473">
        <f t="shared" si="92"/>
        <v>0.99715901252477046</v>
      </c>
      <c r="N473" t="str">
        <f t="shared" si="93"/>
        <v>No</v>
      </c>
      <c r="O473">
        <f t="shared" si="94"/>
        <v>47894.68</v>
      </c>
      <c r="P473">
        <f t="shared" si="95"/>
        <v>5</v>
      </c>
      <c r="Q473">
        <f t="shared" si="96"/>
        <v>172.5</v>
      </c>
      <c r="R473" t="str">
        <f t="shared" si="97"/>
        <v>Low</v>
      </c>
      <c r="S473" t="str">
        <f t="shared" si="98"/>
        <v>Low</v>
      </c>
      <c r="T473" t="str">
        <f t="shared" si="99"/>
        <v>Low</v>
      </c>
      <c r="U473" t="str">
        <f t="shared" si="100"/>
        <v>No</v>
      </c>
      <c r="V473" t="str">
        <f t="shared" si="101"/>
        <v>No</v>
      </c>
      <c r="W473" t="str">
        <f t="shared" si="102"/>
        <v>No</v>
      </c>
      <c r="X473" t="str">
        <f t="shared" si="103"/>
        <v>Yes</v>
      </c>
    </row>
    <row r="474" spans="1:24" x14ac:dyDescent="0.3">
      <c r="A474" t="s">
        <v>370</v>
      </c>
      <c r="B474">
        <v>51</v>
      </c>
      <c r="C474" t="s">
        <v>510</v>
      </c>
      <c r="D474">
        <v>140430</v>
      </c>
      <c r="E474" t="s">
        <v>515</v>
      </c>
      <c r="F474">
        <v>7</v>
      </c>
      <c r="G474">
        <v>723.28</v>
      </c>
      <c r="H474">
        <v>139</v>
      </c>
      <c r="I474">
        <v>6</v>
      </c>
      <c r="J474">
        <v>5062.96</v>
      </c>
      <c r="K474">
        <f>SUM(Table3[Total_Revenue])</f>
        <v>30761529.489999965</v>
      </c>
      <c r="L474">
        <f t="shared" si="91"/>
        <v>30679199.329999972</v>
      </c>
      <c r="M474">
        <f t="shared" si="92"/>
        <v>0.99732359991960873</v>
      </c>
      <c r="N474" t="str">
        <f t="shared" si="93"/>
        <v>No</v>
      </c>
      <c r="O474">
        <f t="shared" si="94"/>
        <v>47894.68</v>
      </c>
      <c r="P474">
        <f t="shared" si="95"/>
        <v>5</v>
      </c>
      <c r="Q474">
        <f t="shared" si="96"/>
        <v>172.5</v>
      </c>
      <c r="R474" t="str">
        <f t="shared" si="97"/>
        <v>High</v>
      </c>
      <c r="S474" t="str">
        <f t="shared" si="98"/>
        <v>Low</v>
      </c>
      <c r="T474" t="str">
        <f t="shared" si="99"/>
        <v>Low</v>
      </c>
      <c r="U474" t="str">
        <f t="shared" si="100"/>
        <v>Yes</v>
      </c>
      <c r="V474" t="str">
        <f t="shared" si="101"/>
        <v>No</v>
      </c>
      <c r="W474" t="str">
        <f t="shared" si="102"/>
        <v>No</v>
      </c>
      <c r="X474" t="str">
        <f t="shared" si="103"/>
        <v>No</v>
      </c>
    </row>
    <row r="475" spans="1:24" x14ac:dyDescent="0.3">
      <c r="A475" t="s">
        <v>178</v>
      </c>
      <c r="B475">
        <v>32</v>
      </c>
      <c r="C475" t="s">
        <v>511</v>
      </c>
      <c r="D475">
        <v>68447</v>
      </c>
      <c r="E475" t="s">
        <v>512</v>
      </c>
      <c r="F475">
        <v>4</v>
      </c>
      <c r="G475">
        <v>1252.6500000000001</v>
      </c>
      <c r="H475">
        <v>127</v>
      </c>
      <c r="I475">
        <v>4</v>
      </c>
      <c r="J475">
        <v>5010.6000000000004</v>
      </c>
      <c r="K475">
        <f>SUM(Table3[Total_Revenue])</f>
        <v>30761529.489999965</v>
      </c>
      <c r="L475">
        <f t="shared" si="91"/>
        <v>30684209.929999974</v>
      </c>
      <c r="M475">
        <f t="shared" si="92"/>
        <v>0.99748648518841931</v>
      </c>
      <c r="N475" t="str">
        <f t="shared" si="93"/>
        <v>No</v>
      </c>
      <c r="O475">
        <f t="shared" si="94"/>
        <v>47894.68</v>
      </c>
      <c r="P475">
        <f t="shared" si="95"/>
        <v>5</v>
      </c>
      <c r="Q475">
        <f t="shared" si="96"/>
        <v>172.5</v>
      </c>
      <c r="R475" t="str">
        <f t="shared" si="97"/>
        <v>Low</v>
      </c>
      <c r="S475" t="str">
        <f t="shared" si="98"/>
        <v>Low</v>
      </c>
      <c r="T475" t="str">
        <f t="shared" si="99"/>
        <v>Low</v>
      </c>
      <c r="U475" t="str">
        <f t="shared" si="100"/>
        <v>No</v>
      </c>
      <c r="V475" t="str">
        <f t="shared" si="101"/>
        <v>No</v>
      </c>
      <c r="W475" t="str">
        <f t="shared" si="102"/>
        <v>No</v>
      </c>
      <c r="X475" t="str">
        <f t="shared" si="103"/>
        <v>Yes</v>
      </c>
    </row>
    <row r="476" spans="1:24" x14ac:dyDescent="0.3">
      <c r="A476" t="s">
        <v>111</v>
      </c>
      <c r="B476">
        <v>18</v>
      </c>
      <c r="C476" t="s">
        <v>510</v>
      </c>
      <c r="D476">
        <v>93686</v>
      </c>
      <c r="E476" t="s">
        <v>514</v>
      </c>
      <c r="F476">
        <v>6</v>
      </c>
      <c r="G476">
        <v>830.06</v>
      </c>
      <c r="H476">
        <v>118</v>
      </c>
      <c r="I476">
        <v>2</v>
      </c>
      <c r="J476">
        <v>4980.3599999999997</v>
      </c>
      <c r="K476">
        <f>SUM(Table3[Total_Revenue])</f>
        <v>30761529.489999965</v>
      </c>
      <c r="L476">
        <f t="shared" si="91"/>
        <v>30689190.289999973</v>
      </c>
      <c r="M476">
        <f t="shared" si="92"/>
        <v>0.99764838741118167</v>
      </c>
      <c r="N476" t="str">
        <f t="shared" si="93"/>
        <v>No</v>
      </c>
      <c r="O476">
        <f t="shared" si="94"/>
        <v>47894.68</v>
      </c>
      <c r="P476">
        <f t="shared" si="95"/>
        <v>5</v>
      </c>
      <c r="Q476">
        <f t="shared" si="96"/>
        <v>172.5</v>
      </c>
      <c r="R476" t="str">
        <f t="shared" si="97"/>
        <v>Low</v>
      </c>
      <c r="S476" t="str">
        <f t="shared" si="98"/>
        <v>Low</v>
      </c>
      <c r="T476" t="str">
        <f t="shared" si="99"/>
        <v>Low</v>
      </c>
      <c r="U476" t="str">
        <f t="shared" si="100"/>
        <v>No</v>
      </c>
      <c r="V476" t="str">
        <f t="shared" si="101"/>
        <v>No</v>
      </c>
      <c r="W476" t="str">
        <f t="shared" si="102"/>
        <v>No</v>
      </c>
      <c r="X476" t="str">
        <f t="shared" si="103"/>
        <v>Yes</v>
      </c>
    </row>
    <row r="477" spans="1:24" x14ac:dyDescent="0.3">
      <c r="A477" t="s">
        <v>291</v>
      </c>
      <c r="B477">
        <v>42</v>
      </c>
      <c r="C477" t="s">
        <v>511</v>
      </c>
      <c r="D477">
        <v>116573</v>
      </c>
      <c r="E477" t="s">
        <v>512</v>
      </c>
      <c r="F477">
        <v>2</v>
      </c>
      <c r="G477">
        <v>2448.84</v>
      </c>
      <c r="H477">
        <v>316</v>
      </c>
      <c r="I477">
        <v>10</v>
      </c>
      <c r="J477">
        <v>4897.68</v>
      </c>
      <c r="K477">
        <f>SUM(Table3[Total_Revenue])</f>
        <v>30761529.489999965</v>
      </c>
      <c r="L477">
        <f t="shared" si="91"/>
        <v>30694087.969999973</v>
      </c>
      <c r="M477">
        <f t="shared" si="92"/>
        <v>0.99780760186121709</v>
      </c>
      <c r="N477" t="str">
        <f t="shared" si="93"/>
        <v>No</v>
      </c>
      <c r="O477">
        <f t="shared" si="94"/>
        <v>47894.68</v>
      </c>
      <c r="P477">
        <f t="shared" si="95"/>
        <v>5</v>
      </c>
      <c r="Q477">
        <f t="shared" si="96"/>
        <v>172.5</v>
      </c>
      <c r="R477" t="str">
        <f t="shared" si="97"/>
        <v>High</v>
      </c>
      <c r="S477" t="str">
        <f t="shared" si="98"/>
        <v>High</v>
      </c>
      <c r="T477" t="str">
        <f t="shared" si="99"/>
        <v>Low</v>
      </c>
      <c r="U477" t="str">
        <f t="shared" si="100"/>
        <v>Yes</v>
      </c>
      <c r="V477" t="str">
        <f t="shared" si="101"/>
        <v>No</v>
      </c>
      <c r="W477" t="str">
        <f t="shared" si="102"/>
        <v>No</v>
      </c>
      <c r="X477" t="str">
        <f t="shared" si="103"/>
        <v>No</v>
      </c>
    </row>
    <row r="478" spans="1:24" x14ac:dyDescent="0.3">
      <c r="A478" t="s">
        <v>76</v>
      </c>
      <c r="B478">
        <v>67</v>
      </c>
      <c r="C478" t="s">
        <v>510</v>
      </c>
      <c r="D478">
        <v>128464</v>
      </c>
      <c r="E478" t="s">
        <v>514</v>
      </c>
      <c r="F478">
        <v>9</v>
      </c>
      <c r="G478">
        <v>543.36</v>
      </c>
      <c r="H478">
        <v>113</v>
      </c>
      <c r="I478">
        <v>3</v>
      </c>
      <c r="J478">
        <v>4890.24</v>
      </c>
      <c r="K478">
        <f>SUM(Table3[Total_Revenue])</f>
        <v>30761529.489999965</v>
      </c>
      <c r="L478">
        <f t="shared" si="91"/>
        <v>30698978.209999971</v>
      </c>
      <c r="M478">
        <f t="shared" si="92"/>
        <v>0.99796657445071679</v>
      </c>
      <c r="N478" t="str">
        <f t="shared" si="93"/>
        <v>No</v>
      </c>
      <c r="O478">
        <f t="shared" si="94"/>
        <v>47894.68</v>
      </c>
      <c r="P478">
        <f t="shared" si="95"/>
        <v>5</v>
      </c>
      <c r="Q478">
        <f t="shared" si="96"/>
        <v>172.5</v>
      </c>
      <c r="R478" t="str">
        <f t="shared" si="97"/>
        <v>Low</v>
      </c>
      <c r="S478" t="str">
        <f t="shared" si="98"/>
        <v>Low</v>
      </c>
      <c r="T478" t="str">
        <f t="shared" si="99"/>
        <v>Low</v>
      </c>
      <c r="U478" t="str">
        <f t="shared" si="100"/>
        <v>No</v>
      </c>
      <c r="V478" t="str">
        <f t="shared" si="101"/>
        <v>No</v>
      </c>
      <c r="W478" t="str">
        <f t="shared" si="102"/>
        <v>No</v>
      </c>
      <c r="X478" t="str">
        <f t="shared" si="103"/>
        <v>Yes</v>
      </c>
    </row>
    <row r="479" spans="1:24" x14ac:dyDescent="0.3">
      <c r="A479" t="s">
        <v>226</v>
      </c>
      <c r="B479">
        <v>66</v>
      </c>
      <c r="C479" t="s">
        <v>510</v>
      </c>
      <c r="D479">
        <v>33234</v>
      </c>
      <c r="E479" t="s">
        <v>513</v>
      </c>
      <c r="F479">
        <v>2</v>
      </c>
      <c r="G479">
        <v>2287.13</v>
      </c>
      <c r="H479">
        <v>112</v>
      </c>
      <c r="I479">
        <v>5</v>
      </c>
      <c r="J479">
        <v>4574.26</v>
      </c>
      <c r="K479">
        <f>SUM(Table3[Total_Revenue])</f>
        <v>30761529.489999965</v>
      </c>
      <c r="L479">
        <f t="shared" si="91"/>
        <v>30703552.469999973</v>
      </c>
      <c r="M479">
        <f t="shared" si="92"/>
        <v>0.99811527511924136</v>
      </c>
      <c r="N479" t="str">
        <f t="shared" si="93"/>
        <v>No</v>
      </c>
      <c r="O479">
        <f t="shared" si="94"/>
        <v>47894.68</v>
      </c>
      <c r="P479">
        <f t="shared" si="95"/>
        <v>5</v>
      </c>
      <c r="Q479">
        <f t="shared" si="96"/>
        <v>172.5</v>
      </c>
      <c r="R479" t="str">
        <f t="shared" si="97"/>
        <v>Medium</v>
      </c>
      <c r="S479" t="str">
        <f t="shared" si="98"/>
        <v>Low</v>
      </c>
      <c r="T479" t="str">
        <f t="shared" si="99"/>
        <v>Low</v>
      </c>
      <c r="U479" t="str">
        <f t="shared" si="100"/>
        <v>Yes</v>
      </c>
      <c r="V479" t="str">
        <f t="shared" si="101"/>
        <v>No</v>
      </c>
      <c r="W479" t="str">
        <f t="shared" si="102"/>
        <v>No</v>
      </c>
      <c r="X479" t="str">
        <f t="shared" si="103"/>
        <v>No</v>
      </c>
    </row>
    <row r="480" spans="1:24" x14ac:dyDescent="0.3">
      <c r="A480" t="s">
        <v>157</v>
      </c>
      <c r="B480">
        <v>31</v>
      </c>
      <c r="C480" t="s">
        <v>511</v>
      </c>
      <c r="D480">
        <v>93794</v>
      </c>
      <c r="E480" t="s">
        <v>512</v>
      </c>
      <c r="F480">
        <v>40</v>
      </c>
      <c r="G480">
        <v>112.66</v>
      </c>
      <c r="H480">
        <v>336</v>
      </c>
      <c r="I480">
        <v>3</v>
      </c>
      <c r="J480">
        <v>4506.3999999999996</v>
      </c>
      <c r="K480">
        <f>SUM(Table3[Total_Revenue])</f>
        <v>30761529.489999965</v>
      </c>
      <c r="L480">
        <f t="shared" si="91"/>
        <v>30708058.869999971</v>
      </c>
      <c r="M480">
        <f t="shared" si="92"/>
        <v>0.99826176978562209</v>
      </c>
      <c r="N480" t="str">
        <f t="shared" si="93"/>
        <v>No</v>
      </c>
      <c r="O480">
        <f t="shared" si="94"/>
        <v>47894.68</v>
      </c>
      <c r="P480">
        <f t="shared" si="95"/>
        <v>5</v>
      </c>
      <c r="Q480">
        <f t="shared" si="96"/>
        <v>172.5</v>
      </c>
      <c r="R480" t="str">
        <f t="shared" si="97"/>
        <v>Low</v>
      </c>
      <c r="S480" t="str">
        <f t="shared" si="98"/>
        <v>High</v>
      </c>
      <c r="T480" t="str">
        <f t="shared" si="99"/>
        <v>Low</v>
      </c>
      <c r="U480" t="str">
        <f t="shared" si="100"/>
        <v>No</v>
      </c>
      <c r="V480" t="str">
        <f t="shared" si="101"/>
        <v>No</v>
      </c>
      <c r="W480" t="str">
        <f t="shared" si="102"/>
        <v>No</v>
      </c>
      <c r="X480" t="str">
        <f t="shared" si="103"/>
        <v>Yes</v>
      </c>
    </row>
    <row r="481" spans="1:24" x14ac:dyDescent="0.3">
      <c r="A481" t="s">
        <v>26</v>
      </c>
      <c r="B481">
        <v>20</v>
      </c>
      <c r="C481" t="s">
        <v>511</v>
      </c>
      <c r="D481">
        <v>34388</v>
      </c>
      <c r="E481" t="s">
        <v>515</v>
      </c>
      <c r="F481">
        <v>8</v>
      </c>
      <c r="G481">
        <v>533.91999999999996</v>
      </c>
      <c r="H481">
        <v>20</v>
      </c>
      <c r="I481">
        <v>1</v>
      </c>
      <c r="J481">
        <v>4271.3599999999997</v>
      </c>
      <c r="K481">
        <f>SUM(Table3[Total_Revenue])</f>
        <v>30761529.489999965</v>
      </c>
      <c r="L481">
        <f t="shared" si="91"/>
        <v>30712330.229999971</v>
      </c>
      <c r="M481">
        <f t="shared" si="92"/>
        <v>0.99840062373959693</v>
      </c>
      <c r="N481" t="str">
        <f t="shared" si="93"/>
        <v>No</v>
      </c>
      <c r="O481">
        <f t="shared" si="94"/>
        <v>47894.68</v>
      </c>
      <c r="P481">
        <f t="shared" si="95"/>
        <v>5</v>
      </c>
      <c r="Q481">
        <f t="shared" si="96"/>
        <v>172.5</v>
      </c>
      <c r="R481" t="str">
        <f t="shared" si="97"/>
        <v>Low</v>
      </c>
      <c r="S481" t="str">
        <f t="shared" si="98"/>
        <v>Low</v>
      </c>
      <c r="T481" t="str">
        <f t="shared" si="99"/>
        <v>Low</v>
      </c>
      <c r="U481" t="str">
        <f t="shared" si="100"/>
        <v>No</v>
      </c>
      <c r="V481" t="str">
        <f t="shared" si="101"/>
        <v>No</v>
      </c>
      <c r="W481" t="str">
        <f t="shared" si="102"/>
        <v>No</v>
      </c>
      <c r="X481" t="str">
        <f t="shared" si="103"/>
        <v>Yes</v>
      </c>
    </row>
    <row r="482" spans="1:24" x14ac:dyDescent="0.3">
      <c r="A482" t="s">
        <v>479</v>
      </c>
      <c r="B482">
        <v>69</v>
      </c>
      <c r="C482" t="s">
        <v>511</v>
      </c>
      <c r="D482">
        <v>21645</v>
      </c>
      <c r="E482" t="s">
        <v>512</v>
      </c>
      <c r="F482">
        <v>5</v>
      </c>
      <c r="G482">
        <v>838.31</v>
      </c>
      <c r="H482">
        <v>267</v>
      </c>
      <c r="I482">
        <v>9</v>
      </c>
      <c r="J482">
        <v>4191.55</v>
      </c>
      <c r="K482">
        <f>SUM(Table3[Total_Revenue])</f>
        <v>30761529.489999965</v>
      </c>
      <c r="L482">
        <f t="shared" si="91"/>
        <v>30716521.779999971</v>
      </c>
      <c r="M482">
        <f t="shared" si="92"/>
        <v>0.99853688321919676</v>
      </c>
      <c r="N482" t="str">
        <f t="shared" si="93"/>
        <v>No</v>
      </c>
      <c r="O482">
        <f t="shared" si="94"/>
        <v>47894.68</v>
      </c>
      <c r="P482">
        <f t="shared" si="95"/>
        <v>5</v>
      </c>
      <c r="Q482">
        <f t="shared" si="96"/>
        <v>172.5</v>
      </c>
      <c r="R482" t="str">
        <f t="shared" si="97"/>
        <v>High</v>
      </c>
      <c r="S482" t="str">
        <f t="shared" si="98"/>
        <v>High</v>
      </c>
      <c r="T482" t="str">
        <f t="shared" si="99"/>
        <v>Low</v>
      </c>
      <c r="U482" t="str">
        <f t="shared" si="100"/>
        <v>Yes</v>
      </c>
      <c r="V482" t="str">
        <f t="shared" si="101"/>
        <v>No</v>
      </c>
      <c r="W482" t="str">
        <f t="shared" si="102"/>
        <v>No</v>
      </c>
      <c r="X482" t="str">
        <f t="shared" si="103"/>
        <v>No</v>
      </c>
    </row>
    <row r="483" spans="1:24" x14ac:dyDescent="0.3">
      <c r="A483" t="s">
        <v>37</v>
      </c>
      <c r="B483">
        <v>39</v>
      </c>
      <c r="C483" t="s">
        <v>511</v>
      </c>
      <c r="D483">
        <v>44214</v>
      </c>
      <c r="E483" t="s">
        <v>515</v>
      </c>
      <c r="F483">
        <v>3</v>
      </c>
      <c r="G483">
        <v>1345.7</v>
      </c>
      <c r="H483">
        <v>188</v>
      </c>
      <c r="I483">
        <v>8</v>
      </c>
      <c r="J483">
        <v>4037.1</v>
      </c>
      <c r="K483">
        <f>SUM(Table3[Total_Revenue])</f>
        <v>30761529.489999965</v>
      </c>
      <c r="L483">
        <f t="shared" si="91"/>
        <v>30720558.879999973</v>
      </c>
      <c r="M483">
        <f t="shared" si="92"/>
        <v>0.99866812181711218</v>
      </c>
      <c r="N483" t="str">
        <f t="shared" si="93"/>
        <v>No</v>
      </c>
      <c r="O483">
        <f t="shared" si="94"/>
        <v>47894.68</v>
      </c>
      <c r="P483">
        <f t="shared" si="95"/>
        <v>5</v>
      </c>
      <c r="Q483">
        <f t="shared" si="96"/>
        <v>172.5</v>
      </c>
      <c r="R483" t="str">
        <f t="shared" si="97"/>
        <v>High</v>
      </c>
      <c r="S483" t="str">
        <f t="shared" si="98"/>
        <v>High</v>
      </c>
      <c r="T483" t="str">
        <f t="shared" si="99"/>
        <v>Low</v>
      </c>
      <c r="U483" t="str">
        <f t="shared" si="100"/>
        <v>Yes</v>
      </c>
      <c r="V483" t="str">
        <f t="shared" si="101"/>
        <v>No</v>
      </c>
      <c r="W483" t="str">
        <f t="shared" si="102"/>
        <v>No</v>
      </c>
      <c r="X483" t="str">
        <f t="shared" si="103"/>
        <v>No</v>
      </c>
    </row>
    <row r="484" spans="1:24" x14ac:dyDescent="0.3">
      <c r="A484" t="s">
        <v>437</v>
      </c>
      <c r="B484">
        <v>41</v>
      </c>
      <c r="C484" t="s">
        <v>511</v>
      </c>
      <c r="D484">
        <v>22443</v>
      </c>
      <c r="E484" t="s">
        <v>514</v>
      </c>
      <c r="F484">
        <v>6</v>
      </c>
      <c r="G484">
        <v>658.39</v>
      </c>
      <c r="H484">
        <v>173</v>
      </c>
      <c r="I484">
        <v>6</v>
      </c>
      <c r="J484">
        <v>3950.34</v>
      </c>
      <c r="K484">
        <f>SUM(Table3[Total_Revenue])</f>
        <v>30761529.489999965</v>
      </c>
      <c r="L484">
        <f t="shared" si="91"/>
        <v>30724509.219999973</v>
      </c>
      <c r="M484">
        <f t="shared" si="92"/>
        <v>0.99879654000910367</v>
      </c>
      <c r="N484" t="str">
        <f t="shared" si="93"/>
        <v>No</v>
      </c>
      <c r="O484">
        <f t="shared" si="94"/>
        <v>47894.68</v>
      </c>
      <c r="P484">
        <f t="shared" si="95"/>
        <v>5</v>
      </c>
      <c r="Q484">
        <f t="shared" si="96"/>
        <v>172.5</v>
      </c>
      <c r="R484" t="str">
        <f t="shared" si="97"/>
        <v>High</v>
      </c>
      <c r="S484" t="str">
        <f t="shared" si="98"/>
        <v>High</v>
      </c>
      <c r="T484" t="str">
        <f t="shared" si="99"/>
        <v>Low</v>
      </c>
      <c r="U484" t="str">
        <f t="shared" si="100"/>
        <v>Yes</v>
      </c>
      <c r="V484" t="str">
        <f t="shared" si="101"/>
        <v>No</v>
      </c>
      <c r="W484" t="str">
        <f t="shared" si="102"/>
        <v>No</v>
      </c>
      <c r="X484" t="str">
        <f t="shared" si="103"/>
        <v>No</v>
      </c>
    </row>
    <row r="485" spans="1:24" x14ac:dyDescent="0.3">
      <c r="A485" t="s">
        <v>25</v>
      </c>
      <c r="B485">
        <v>41</v>
      </c>
      <c r="C485" t="s">
        <v>510</v>
      </c>
      <c r="D485">
        <v>93477</v>
      </c>
      <c r="E485" t="s">
        <v>512</v>
      </c>
      <c r="F485">
        <v>4</v>
      </c>
      <c r="G485">
        <v>982.05</v>
      </c>
      <c r="H485">
        <v>132</v>
      </c>
      <c r="I485">
        <v>9</v>
      </c>
      <c r="J485">
        <v>3928.2</v>
      </c>
      <c r="K485">
        <f>SUM(Table3[Total_Revenue])</f>
        <v>30761529.489999965</v>
      </c>
      <c r="L485">
        <f t="shared" si="91"/>
        <v>30728437.419999972</v>
      </c>
      <c r="M485">
        <f t="shared" si="92"/>
        <v>0.9989242384709528</v>
      </c>
      <c r="N485" t="str">
        <f t="shared" si="93"/>
        <v>No</v>
      </c>
      <c r="O485">
        <f t="shared" si="94"/>
        <v>47894.68</v>
      </c>
      <c r="P485">
        <f t="shared" si="95"/>
        <v>5</v>
      </c>
      <c r="Q485">
        <f t="shared" si="96"/>
        <v>172.5</v>
      </c>
      <c r="R485" t="str">
        <f t="shared" si="97"/>
        <v>High</v>
      </c>
      <c r="S485" t="str">
        <f t="shared" si="98"/>
        <v>Low</v>
      </c>
      <c r="T485" t="str">
        <f t="shared" si="99"/>
        <v>Low</v>
      </c>
      <c r="U485" t="str">
        <f t="shared" si="100"/>
        <v>Yes</v>
      </c>
      <c r="V485" t="str">
        <f t="shared" si="101"/>
        <v>No</v>
      </c>
      <c r="W485" t="str">
        <f t="shared" si="102"/>
        <v>No</v>
      </c>
      <c r="X485" t="str">
        <f t="shared" si="103"/>
        <v>No</v>
      </c>
    </row>
    <row r="486" spans="1:24" x14ac:dyDescent="0.3">
      <c r="A486" t="s">
        <v>182</v>
      </c>
      <c r="B486">
        <v>30</v>
      </c>
      <c r="C486" t="s">
        <v>511</v>
      </c>
      <c r="D486">
        <v>96090</v>
      </c>
      <c r="E486" t="s">
        <v>514</v>
      </c>
      <c r="F486">
        <v>4</v>
      </c>
      <c r="G486">
        <v>974.39</v>
      </c>
      <c r="H486">
        <v>148</v>
      </c>
      <c r="I486">
        <v>3</v>
      </c>
      <c r="J486">
        <v>3897.56</v>
      </c>
      <c r="K486">
        <f>SUM(Table3[Total_Revenue])</f>
        <v>30761529.489999965</v>
      </c>
      <c r="L486">
        <f t="shared" si="91"/>
        <v>30732334.979999971</v>
      </c>
      <c r="M486">
        <f t="shared" si="92"/>
        <v>0.99905094088349911</v>
      </c>
      <c r="N486" t="str">
        <f t="shared" si="93"/>
        <v>No</v>
      </c>
      <c r="O486">
        <f t="shared" si="94"/>
        <v>47894.68</v>
      </c>
      <c r="P486">
        <f t="shared" si="95"/>
        <v>5</v>
      </c>
      <c r="Q486">
        <f t="shared" si="96"/>
        <v>172.5</v>
      </c>
      <c r="R486" t="str">
        <f t="shared" si="97"/>
        <v>Low</v>
      </c>
      <c r="S486" t="str">
        <f t="shared" si="98"/>
        <v>Low</v>
      </c>
      <c r="T486" t="str">
        <f t="shared" si="99"/>
        <v>Low</v>
      </c>
      <c r="U486" t="str">
        <f t="shared" si="100"/>
        <v>No</v>
      </c>
      <c r="V486" t="str">
        <f t="shared" si="101"/>
        <v>No</v>
      </c>
      <c r="W486" t="str">
        <f t="shared" si="102"/>
        <v>No</v>
      </c>
      <c r="X486" t="str">
        <f t="shared" si="103"/>
        <v>Yes</v>
      </c>
    </row>
    <row r="487" spans="1:24" x14ac:dyDescent="0.3">
      <c r="A487" t="s">
        <v>244</v>
      </c>
      <c r="B487">
        <v>50</v>
      </c>
      <c r="C487" t="s">
        <v>511</v>
      </c>
      <c r="D487">
        <v>69376</v>
      </c>
      <c r="E487" t="s">
        <v>515</v>
      </c>
      <c r="F487">
        <v>19</v>
      </c>
      <c r="G487">
        <v>198.13</v>
      </c>
      <c r="H487">
        <v>49</v>
      </c>
      <c r="I487">
        <v>3</v>
      </c>
      <c r="J487">
        <v>3764.47</v>
      </c>
      <c r="K487">
        <f>SUM(Table3[Total_Revenue])</f>
        <v>30761529.489999965</v>
      </c>
      <c r="L487">
        <f t="shared" si="91"/>
        <v>30736099.449999969</v>
      </c>
      <c r="M487">
        <f t="shared" si="92"/>
        <v>0.99917331678815702</v>
      </c>
      <c r="N487" t="str">
        <f t="shared" si="93"/>
        <v>No</v>
      </c>
      <c r="O487">
        <f t="shared" si="94"/>
        <v>47894.68</v>
      </c>
      <c r="P487">
        <f t="shared" si="95"/>
        <v>5</v>
      </c>
      <c r="Q487">
        <f t="shared" si="96"/>
        <v>172.5</v>
      </c>
      <c r="R487" t="str">
        <f t="shared" si="97"/>
        <v>Low</v>
      </c>
      <c r="S487" t="str">
        <f t="shared" si="98"/>
        <v>Low</v>
      </c>
      <c r="T487" t="str">
        <f t="shared" si="99"/>
        <v>Low</v>
      </c>
      <c r="U487" t="str">
        <f t="shared" si="100"/>
        <v>No</v>
      </c>
      <c r="V487" t="str">
        <f t="shared" si="101"/>
        <v>No</v>
      </c>
      <c r="W487" t="str">
        <f t="shared" si="102"/>
        <v>No</v>
      </c>
      <c r="X487" t="str">
        <f t="shared" si="103"/>
        <v>Yes</v>
      </c>
    </row>
    <row r="488" spans="1:24" x14ac:dyDescent="0.3">
      <c r="A488" t="s">
        <v>499</v>
      </c>
      <c r="B488">
        <v>29</v>
      </c>
      <c r="C488" t="s">
        <v>510</v>
      </c>
      <c r="D488">
        <v>122516</v>
      </c>
      <c r="E488" t="s">
        <v>513</v>
      </c>
      <c r="F488">
        <v>1</v>
      </c>
      <c r="G488">
        <v>3322.05</v>
      </c>
      <c r="H488">
        <v>174</v>
      </c>
      <c r="I488">
        <v>5</v>
      </c>
      <c r="J488">
        <v>3322.05</v>
      </c>
      <c r="K488">
        <f>SUM(Table3[Total_Revenue])</f>
        <v>30761529.489999965</v>
      </c>
      <c r="L488">
        <f t="shared" si="91"/>
        <v>30739421.49999997</v>
      </c>
      <c r="M488">
        <f t="shared" si="92"/>
        <v>0.99928131044305901</v>
      </c>
      <c r="N488" t="str">
        <f t="shared" si="93"/>
        <v>No</v>
      </c>
      <c r="O488">
        <f t="shared" si="94"/>
        <v>47894.68</v>
      </c>
      <c r="P488">
        <f t="shared" si="95"/>
        <v>5</v>
      </c>
      <c r="Q488">
        <f t="shared" si="96"/>
        <v>172.5</v>
      </c>
      <c r="R488" t="str">
        <f t="shared" si="97"/>
        <v>Medium</v>
      </c>
      <c r="S488" t="str">
        <f t="shared" si="98"/>
        <v>High</v>
      </c>
      <c r="T488" t="str">
        <f t="shared" si="99"/>
        <v>Low</v>
      </c>
      <c r="U488" t="str">
        <f t="shared" si="100"/>
        <v>Yes</v>
      </c>
      <c r="V488" t="str">
        <f t="shared" si="101"/>
        <v>No</v>
      </c>
      <c r="W488" t="str">
        <f t="shared" si="102"/>
        <v>No</v>
      </c>
      <c r="X488" t="str">
        <f t="shared" si="103"/>
        <v>No</v>
      </c>
    </row>
    <row r="489" spans="1:24" x14ac:dyDescent="0.3">
      <c r="A489" t="s">
        <v>237</v>
      </c>
      <c r="B489">
        <v>66</v>
      </c>
      <c r="C489" t="s">
        <v>511</v>
      </c>
      <c r="D489">
        <v>148644</v>
      </c>
      <c r="E489" t="s">
        <v>513</v>
      </c>
      <c r="F489">
        <v>29</v>
      </c>
      <c r="G489">
        <v>106.06</v>
      </c>
      <c r="H489">
        <v>294</v>
      </c>
      <c r="I489">
        <v>3</v>
      </c>
      <c r="J489">
        <v>3075.74</v>
      </c>
      <c r="K489">
        <f>SUM(Table3[Total_Revenue])</f>
        <v>30761529.489999965</v>
      </c>
      <c r="L489">
        <f t="shared" si="91"/>
        <v>30742497.239999969</v>
      </c>
      <c r="M489">
        <f t="shared" si="92"/>
        <v>0.99938129701885647</v>
      </c>
      <c r="N489" t="str">
        <f t="shared" si="93"/>
        <v>No</v>
      </c>
      <c r="O489">
        <f t="shared" si="94"/>
        <v>47894.68</v>
      </c>
      <c r="P489">
        <f t="shared" si="95"/>
        <v>5</v>
      </c>
      <c r="Q489">
        <f t="shared" si="96"/>
        <v>172.5</v>
      </c>
      <c r="R489" t="str">
        <f t="shared" si="97"/>
        <v>Low</v>
      </c>
      <c r="S489" t="str">
        <f t="shared" si="98"/>
        <v>High</v>
      </c>
      <c r="T489" t="str">
        <f t="shared" si="99"/>
        <v>Low</v>
      </c>
      <c r="U489" t="str">
        <f t="shared" si="100"/>
        <v>No</v>
      </c>
      <c r="V489" t="str">
        <f t="shared" si="101"/>
        <v>No</v>
      </c>
      <c r="W489" t="str">
        <f t="shared" si="102"/>
        <v>No</v>
      </c>
      <c r="X489" t="str">
        <f t="shared" si="103"/>
        <v>Yes</v>
      </c>
    </row>
    <row r="490" spans="1:24" x14ac:dyDescent="0.3">
      <c r="A490" t="s">
        <v>233</v>
      </c>
      <c r="B490">
        <v>66</v>
      </c>
      <c r="C490" t="s">
        <v>510</v>
      </c>
      <c r="D490">
        <v>133689</v>
      </c>
      <c r="E490" t="s">
        <v>514</v>
      </c>
      <c r="F490">
        <v>3</v>
      </c>
      <c r="G490">
        <v>935.34</v>
      </c>
      <c r="H490">
        <v>167</v>
      </c>
      <c r="I490">
        <v>3</v>
      </c>
      <c r="J490">
        <v>2806.02</v>
      </c>
      <c r="K490">
        <f>SUM(Table3[Total_Revenue])</f>
        <v>30761529.489999965</v>
      </c>
      <c r="L490">
        <f t="shared" si="91"/>
        <v>30745303.259999968</v>
      </c>
      <c r="M490">
        <f t="shared" si="92"/>
        <v>0.99947251550007388</v>
      </c>
      <c r="N490" t="str">
        <f t="shared" si="93"/>
        <v>No</v>
      </c>
      <c r="O490">
        <f t="shared" si="94"/>
        <v>47894.68</v>
      </c>
      <c r="P490">
        <f t="shared" si="95"/>
        <v>5</v>
      </c>
      <c r="Q490">
        <f t="shared" si="96"/>
        <v>172.5</v>
      </c>
      <c r="R490" t="str">
        <f t="shared" si="97"/>
        <v>Low</v>
      </c>
      <c r="S490" t="str">
        <f t="shared" si="98"/>
        <v>Low</v>
      </c>
      <c r="T490" t="str">
        <f t="shared" si="99"/>
        <v>Low</v>
      </c>
      <c r="U490" t="str">
        <f t="shared" si="100"/>
        <v>No</v>
      </c>
      <c r="V490" t="str">
        <f t="shared" si="101"/>
        <v>No</v>
      </c>
      <c r="W490" t="str">
        <f t="shared" si="102"/>
        <v>No</v>
      </c>
      <c r="X490" t="str">
        <f t="shared" si="103"/>
        <v>Yes</v>
      </c>
    </row>
    <row r="491" spans="1:24" x14ac:dyDescent="0.3">
      <c r="A491" t="s">
        <v>61</v>
      </c>
      <c r="B491">
        <v>67</v>
      </c>
      <c r="C491" t="s">
        <v>511</v>
      </c>
      <c r="D491">
        <v>77108</v>
      </c>
      <c r="E491" t="s">
        <v>512</v>
      </c>
      <c r="F491">
        <v>4</v>
      </c>
      <c r="G491">
        <v>654.24</v>
      </c>
      <c r="H491">
        <v>319</v>
      </c>
      <c r="I491">
        <v>6</v>
      </c>
      <c r="J491">
        <v>2616.96</v>
      </c>
      <c r="K491">
        <f>SUM(Table3[Total_Revenue])</f>
        <v>30761529.489999965</v>
      </c>
      <c r="L491">
        <f t="shared" si="91"/>
        <v>30747920.219999969</v>
      </c>
      <c r="M491">
        <f t="shared" si="92"/>
        <v>0.99955758799300209</v>
      </c>
      <c r="N491" t="str">
        <f t="shared" si="93"/>
        <v>No</v>
      </c>
      <c r="O491">
        <f t="shared" si="94"/>
        <v>47894.68</v>
      </c>
      <c r="P491">
        <f t="shared" si="95"/>
        <v>5</v>
      </c>
      <c r="Q491">
        <f t="shared" si="96"/>
        <v>172.5</v>
      </c>
      <c r="R491" t="str">
        <f t="shared" si="97"/>
        <v>High</v>
      </c>
      <c r="S491" t="str">
        <f t="shared" si="98"/>
        <v>High</v>
      </c>
      <c r="T491" t="str">
        <f t="shared" si="99"/>
        <v>Low</v>
      </c>
      <c r="U491" t="str">
        <f t="shared" si="100"/>
        <v>Yes</v>
      </c>
      <c r="V491" t="str">
        <f t="shared" si="101"/>
        <v>No</v>
      </c>
      <c r="W491" t="str">
        <f t="shared" si="102"/>
        <v>No</v>
      </c>
      <c r="X491" t="str">
        <f t="shared" si="103"/>
        <v>No</v>
      </c>
    </row>
    <row r="492" spans="1:24" x14ac:dyDescent="0.3">
      <c r="A492" t="s">
        <v>314</v>
      </c>
      <c r="B492">
        <v>36</v>
      </c>
      <c r="C492" t="s">
        <v>511</v>
      </c>
      <c r="D492">
        <v>78596</v>
      </c>
      <c r="E492" t="s">
        <v>512</v>
      </c>
      <c r="F492">
        <v>11</v>
      </c>
      <c r="G492">
        <v>186.67</v>
      </c>
      <c r="H492">
        <v>16</v>
      </c>
      <c r="I492">
        <v>1</v>
      </c>
      <c r="J492">
        <v>2053.37</v>
      </c>
      <c r="K492">
        <f>SUM(Table3[Total_Revenue])</f>
        <v>30761529.489999965</v>
      </c>
      <c r="L492">
        <f t="shared" si="91"/>
        <v>30749973.58999997</v>
      </c>
      <c r="M492">
        <f t="shared" si="92"/>
        <v>0.99962433922527316</v>
      </c>
      <c r="N492" t="str">
        <f t="shared" si="93"/>
        <v>No</v>
      </c>
      <c r="O492">
        <f t="shared" si="94"/>
        <v>47894.68</v>
      </c>
      <c r="P492">
        <f t="shared" si="95"/>
        <v>5</v>
      </c>
      <c r="Q492">
        <f t="shared" si="96"/>
        <v>172.5</v>
      </c>
      <c r="R492" t="str">
        <f t="shared" si="97"/>
        <v>Low</v>
      </c>
      <c r="S492" t="str">
        <f t="shared" si="98"/>
        <v>Low</v>
      </c>
      <c r="T492" t="str">
        <f t="shared" si="99"/>
        <v>Low</v>
      </c>
      <c r="U492" t="str">
        <f t="shared" si="100"/>
        <v>No</v>
      </c>
      <c r="V492" t="str">
        <f t="shared" si="101"/>
        <v>No</v>
      </c>
      <c r="W492" t="str">
        <f t="shared" si="102"/>
        <v>No</v>
      </c>
      <c r="X492" t="str">
        <f t="shared" si="103"/>
        <v>Yes</v>
      </c>
    </row>
    <row r="493" spans="1:24" x14ac:dyDescent="0.3">
      <c r="A493" t="s">
        <v>149</v>
      </c>
      <c r="B493">
        <v>52</v>
      </c>
      <c r="C493" t="s">
        <v>510</v>
      </c>
      <c r="D493">
        <v>67915</v>
      </c>
      <c r="E493" t="s">
        <v>512</v>
      </c>
      <c r="F493">
        <v>2</v>
      </c>
      <c r="G493">
        <v>1007.62</v>
      </c>
      <c r="H493">
        <v>364</v>
      </c>
      <c r="I493">
        <v>4</v>
      </c>
      <c r="J493">
        <v>2015.24</v>
      </c>
      <c r="K493">
        <f>SUM(Table3[Total_Revenue])</f>
        <v>30761529.489999965</v>
      </c>
      <c r="L493">
        <f t="shared" si="91"/>
        <v>30751988.829999968</v>
      </c>
      <c r="M493">
        <f t="shared" si="92"/>
        <v>0.99968985092229901</v>
      </c>
      <c r="N493" t="str">
        <f t="shared" si="93"/>
        <v>No</v>
      </c>
      <c r="O493">
        <f t="shared" si="94"/>
        <v>47894.68</v>
      </c>
      <c r="P493">
        <f t="shared" si="95"/>
        <v>5</v>
      </c>
      <c r="Q493">
        <f t="shared" si="96"/>
        <v>172.5</v>
      </c>
      <c r="R493" t="str">
        <f t="shared" si="97"/>
        <v>Low</v>
      </c>
      <c r="S493" t="str">
        <f t="shared" si="98"/>
        <v>High</v>
      </c>
      <c r="T493" t="str">
        <f t="shared" si="99"/>
        <v>Low</v>
      </c>
      <c r="U493" t="str">
        <f t="shared" si="100"/>
        <v>No</v>
      </c>
      <c r="V493" t="str">
        <f t="shared" si="101"/>
        <v>No</v>
      </c>
      <c r="W493" t="str">
        <f t="shared" si="102"/>
        <v>No</v>
      </c>
      <c r="X493" t="str">
        <f t="shared" si="103"/>
        <v>Yes</v>
      </c>
    </row>
    <row r="494" spans="1:24" x14ac:dyDescent="0.3">
      <c r="A494" t="s">
        <v>505</v>
      </c>
      <c r="B494">
        <v>65</v>
      </c>
      <c r="C494" t="s">
        <v>511</v>
      </c>
      <c r="D494">
        <v>69688</v>
      </c>
      <c r="E494" t="s">
        <v>513</v>
      </c>
      <c r="F494">
        <v>1</v>
      </c>
      <c r="G494">
        <v>1938.77</v>
      </c>
      <c r="H494">
        <v>308</v>
      </c>
      <c r="I494">
        <v>6</v>
      </c>
      <c r="J494">
        <v>1938.77</v>
      </c>
      <c r="K494">
        <f>SUM(Table3[Total_Revenue])</f>
        <v>30761529.489999965</v>
      </c>
      <c r="L494">
        <f t="shared" si="91"/>
        <v>30753927.599999968</v>
      </c>
      <c r="M494">
        <f t="shared" si="92"/>
        <v>0.99975287672212565</v>
      </c>
      <c r="N494" t="str">
        <f t="shared" si="93"/>
        <v>No</v>
      </c>
      <c r="O494">
        <f t="shared" si="94"/>
        <v>47894.68</v>
      </c>
      <c r="P494">
        <f t="shared" si="95"/>
        <v>5</v>
      </c>
      <c r="Q494">
        <f t="shared" si="96"/>
        <v>172.5</v>
      </c>
      <c r="R494" t="str">
        <f t="shared" si="97"/>
        <v>High</v>
      </c>
      <c r="S494" t="str">
        <f t="shared" si="98"/>
        <v>High</v>
      </c>
      <c r="T494" t="str">
        <f t="shared" si="99"/>
        <v>Low</v>
      </c>
      <c r="U494" t="str">
        <f t="shared" si="100"/>
        <v>Yes</v>
      </c>
      <c r="V494" t="str">
        <f t="shared" si="101"/>
        <v>No</v>
      </c>
      <c r="W494" t="str">
        <f t="shared" si="102"/>
        <v>No</v>
      </c>
      <c r="X494" t="str">
        <f t="shared" si="103"/>
        <v>No</v>
      </c>
    </row>
    <row r="495" spans="1:24" x14ac:dyDescent="0.3">
      <c r="A495" t="s">
        <v>480</v>
      </c>
      <c r="B495">
        <v>47</v>
      </c>
      <c r="C495" t="s">
        <v>511</v>
      </c>
      <c r="D495">
        <v>67523</v>
      </c>
      <c r="E495" t="s">
        <v>514</v>
      </c>
      <c r="F495">
        <v>1</v>
      </c>
      <c r="G495">
        <v>1777.68</v>
      </c>
      <c r="H495">
        <v>64</v>
      </c>
      <c r="I495">
        <v>9</v>
      </c>
      <c r="J495">
        <v>1777.68</v>
      </c>
      <c r="K495">
        <f>SUM(Table3[Total_Revenue])</f>
        <v>30761529.489999965</v>
      </c>
      <c r="L495">
        <f t="shared" si="91"/>
        <v>30755705.279999968</v>
      </c>
      <c r="M495">
        <f t="shared" si="92"/>
        <v>0.99981066578624156</v>
      </c>
      <c r="N495" t="str">
        <f t="shared" si="93"/>
        <v>No</v>
      </c>
      <c r="O495">
        <f t="shared" si="94"/>
        <v>47894.68</v>
      </c>
      <c r="P495">
        <f t="shared" si="95"/>
        <v>5</v>
      </c>
      <c r="Q495">
        <f t="shared" si="96"/>
        <v>172.5</v>
      </c>
      <c r="R495" t="str">
        <f t="shared" si="97"/>
        <v>High</v>
      </c>
      <c r="S495" t="str">
        <f t="shared" si="98"/>
        <v>Low</v>
      </c>
      <c r="T495" t="str">
        <f t="shared" si="99"/>
        <v>Low</v>
      </c>
      <c r="U495" t="str">
        <f t="shared" si="100"/>
        <v>Yes</v>
      </c>
      <c r="V495" t="str">
        <f t="shared" si="101"/>
        <v>No</v>
      </c>
      <c r="W495" t="str">
        <f t="shared" si="102"/>
        <v>No</v>
      </c>
      <c r="X495" t="str">
        <f t="shared" si="103"/>
        <v>No</v>
      </c>
    </row>
    <row r="496" spans="1:24" x14ac:dyDescent="0.3">
      <c r="A496" t="s">
        <v>143</v>
      </c>
      <c r="B496">
        <v>61</v>
      </c>
      <c r="C496" t="s">
        <v>511</v>
      </c>
      <c r="D496">
        <v>136664</v>
      </c>
      <c r="E496" t="s">
        <v>515</v>
      </c>
      <c r="F496">
        <v>2</v>
      </c>
      <c r="G496">
        <v>703.79</v>
      </c>
      <c r="H496">
        <v>57</v>
      </c>
      <c r="I496">
        <v>8</v>
      </c>
      <c r="J496">
        <v>1407.58</v>
      </c>
      <c r="K496">
        <f>SUM(Table3[Total_Revenue])</f>
        <v>30761529.489999965</v>
      </c>
      <c r="L496">
        <f t="shared" si="91"/>
        <v>30757112.859999966</v>
      </c>
      <c r="M496">
        <f t="shared" si="92"/>
        <v>0.99985642358903404</v>
      </c>
      <c r="N496" t="str">
        <f t="shared" si="93"/>
        <v>No</v>
      </c>
      <c r="O496">
        <f t="shared" si="94"/>
        <v>47894.68</v>
      </c>
      <c r="P496">
        <f t="shared" si="95"/>
        <v>5</v>
      </c>
      <c r="Q496">
        <f t="shared" si="96"/>
        <v>172.5</v>
      </c>
      <c r="R496" t="str">
        <f t="shared" si="97"/>
        <v>High</v>
      </c>
      <c r="S496" t="str">
        <f t="shared" si="98"/>
        <v>Low</v>
      </c>
      <c r="T496" t="str">
        <f t="shared" si="99"/>
        <v>Low</v>
      </c>
      <c r="U496" t="str">
        <f t="shared" si="100"/>
        <v>Yes</v>
      </c>
      <c r="V496" t="str">
        <f t="shared" si="101"/>
        <v>No</v>
      </c>
      <c r="W496" t="str">
        <f t="shared" si="102"/>
        <v>No</v>
      </c>
      <c r="X496" t="str">
        <f t="shared" si="103"/>
        <v>No</v>
      </c>
    </row>
    <row r="497" spans="1:24" x14ac:dyDescent="0.3">
      <c r="A497" t="s">
        <v>247</v>
      </c>
      <c r="B497">
        <v>19</v>
      </c>
      <c r="C497" t="s">
        <v>511</v>
      </c>
      <c r="D497">
        <v>124587</v>
      </c>
      <c r="E497" t="s">
        <v>513</v>
      </c>
      <c r="F497">
        <v>1</v>
      </c>
      <c r="G497">
        <v>1293.92</v>
      </c>
      <c r="H497">
        <v>20</v>
      </c>
      <c r="I497">
        <v>3</v>
      </c>
      <c r="J497">
        <v>1293.92</v>
      </c>
      <c r="K497">
        <f>SUM(Table3[Total_Revenue])</f>
        <v>30761529.489999965</v>
      </c>
      <c r="L497">
        <f t="shared" si="91"/>
        <v>30758406.779999968</v>
      </c>
      <c r="M497">
        <f t="shared" si="92"/>
        <v>0.9998984865170305</v>
      </c>
      <c r="N497" t="str">
        <f t="shared" si="93"/>
        <v>No</v>
      </c>
      <c r="O497">
        <f t="shared" si="94"/>
        <v>47894.68</v>
      </c>
      <c r="P497">
        <f t="shared" si="95"/>
        <v>5</v>
      </c>
      <c r="Q497">
        <f t="shared" si="96"/>
        <v>172.5</v>
      </c>
      <c r="R497" t="str">
        <f t="shared" si="97"/>
        <v>Low</v>
      </c>
      <c r="S497" t="str">
        <f t="shared" si="98"/>
        <v>Low</v>
      </c>
      <c r="T497" t="str">
        <f t="shared" si="99"/>
        <v>Low</v>
      </c>
      <c r="U497" t="str">
        <f t="shared" si="100"/>
        <v>No</v>
      </c>
      <c r="V497" t="str">
        <f t="shared" si="101"/>
        <v>No</v>
      </c>
      <c r="W497" t="str">
        <f t="shared" si="102"/>
        <v>No</v>
      </c>
      <c r="X497" t="str">
        <f t="shared" si="103"/>
        <v>Yes</v>
      </c>
    </row>
    <row r="498" spans="1:24" x14ac:dyDescent="0.3">
      <c r="A498" t="s">
        <v>476</v>
      </c>
      <c r="B498">
        <v>23</v>
      </c>
      <c r="C498" t="s">
        <v>511</v>
      </c>
      <c r="D498">
        <v>42116</v>
      </c>
      <c r="E498" t="s">
        <v>515</v>
      </c>
      <c r="F498">
        <v>2</v>
      </c>
      <c r="G498">
        <v>550.16999999999996</v>
      </c>
      <c r="H498">
        <v>158</v>
      </c>
      <c r="I498">
        <v>8</v>
      </c>
      <c r="J498">
        <v>1100.3399999999999</v>
      </c>
      <c r="K498">
        <f>SUM(Table3[Total_Revenue])</f>
        <v>30761529.489999965</v>
      </c>
      <c r="L498">
        <f t="shared" si="91"/>
        <v>30759507.119999968</v>
      </c>
      <c r="M498">
        <f t="shared" si="92"/>
        <v>0.99993425651996093</v>
      </c>
      <c r="N498" t="str">
        <f t="shared" si="93"/>
        <v>No</v>
      </c>
      <c r="O498">
        <f t="shared" si="94"/>
        <v>47894.68</v>
      </c>
      <c r="P498">
        <f t="shared" si="95"/>
        <v>5</v>
      </c>
      <c r="Q498">
        <f t="shared" si="96"/>
        <v>172.5</v>
      </c>
      <c r="R498" t="str">
        <f t="shared" si="97"/>
        <v>High</v>
      </c>
      <c r="S498" t="str">
        <f t="shared" si="98"/>
        <v>Low</v>
      </c>
      <c r="T498" t="str">
        <f t="shared" si="99"/>
        <v>Low</v>
      </c>
      <c r="U498" t="str">
        <f t="shared" si="100"/>
        <v>Yes</v>
      </c>
      <c r="V498" t="str">
        <f t="shared" si="101"/>
        <v>No</v>
      </c>
      <c r="W498" t="str">
        <f t="shared" si="102"/>
        <v>No</v>
      </c>
      <c r="X498" t="str">
        <f t="shared" si="103"/>
        <v>No</v>
      </c>
    </row>
    <row r="499" spans="1:24" x14ac:dyDescent="0.3">
      <c r="A499" t="s">
        <v>406</v>
      </c>
      <c r="B499">
        <v>35</v>
      </c>
      <c r="C499" t="s">
        <v>510</v>
      </c>
      <c r="D499">
        <v>149038</v>
      </c>
      <c r="E499" t="s">
        <v>514</v>
      </c>
      <c r="F499">
        <v>3</v>
      </c>
      <c r="G499">
        <v>274.3</v>
      </c>
      <c r="H499">
        <v>210</v>
      </c>
      <c r="I499">
        <v>7</v>
      </c>
      <c r="J499">
        <v>822.9</v>
      </c>
      <c r="K499">
        <f>SUM(Table3[Total_Revenue])</f>
        <v>30761529.489999965</v>
      </c>
      <c r="L499">
        <f t="shared" si="91"/>
        <v>30760330.019999966</v>
      </c>
      <c r="M499">
        <f t="shared" si="92"/>
        <v>0.99996100746549721</v>
      </c>
      <c r="N499" t="str">
        <f t="shared" si="93"/>
        <v>No</v>
      </c>
      <c r="O499">
        <f t="shared" si="94"/>
        <v>47894.68</v>
      </c>
      <c r="P499">
        <f t="shared" si="95"/>
        <v>5</v>
      </c>
      <c r="Q499">
        <f t="shared" si="96"/>
        <v>172.5</v>
      </c>
      <c r="R499" t="str">
        <f t="shared" si="97"/>
        <v>High</v>
      </c>
      <c r="S499" t="str">
        <f t="shared" si="98"/>
        <v>High</v>
      </c>
      <c r="T499" t="str">
        <f t="shared" si="99"/>
        <v>Low</v>
      </c>
      <c r="U499" t="str">
        <f t="shared" si="100"/>
        <v>Yes</v>
      </c>
      <c r="V499" t="str">
        <f t="shared" si="101"/>
        <v>No</v>
      </c>
      <c r="W499" t="str">
        <f t="shared" si="102"/>
        <v>No</v>
      </c>
      <c r="X499" t="str">
        <f t="shared" si="103"/>
        <v>No</v>
      </c>
    </row>
    <row r="500" spans="1:24" x14ac:dyDescent="0.3">
      <c r="A500" t="s">
        <v>313</v>
      </c>
      <c r="B500">
        <v>52</v>
      </c>
      <c r="C500" t="s">
        <v>510</v>
      </c>
      <c r="D500">
        <v>61832</v>
      </c>
      <c r="E500" t="s">
        <v>513</v>
      </c>
      <c r="F500">
        <v>8</v>
      </c>
      <c r="G500">
        <v>101.63</v>
      </c>
      <c r="H500">
        <v>302</v>
      </c>
      <c r="I500">
        <v>1</v>
      </c>
      <c r="J500">
        <v>813.04</v>
      </c>
      <c r="K500">
        <f>SUM(Table3[Total_Revenue])</f>
        <v>30761529.489999965</v>
      </c>
      <c r="L500">
        <f t="shared" si="91"/>
        <v>30761143.059999965</v>
      </c>
      <c r="M500">
        <f t="shared" si="92"/>
        <v>0.99998743788080746</v>
      </c>
      <c r="N500" t="str">
        <f t="shared" si="93"/>
        <v>No</v>
      </c>
      <c r="O500">
        <f t="shared" si="94"/>
        <v>47894.68</v>
      </c>
      <c r="P500">
        <f t="shared" si="95"/>
        <v>5</v>
      </c>
      <c r="Q500">
        <f t="shared" si="96"/>
        <v>172.5</v>
      </c>
      <c r="R500" t="str">
        <f t="shared" si="97"/>
        <v>Low</v>
      </c>
      <c r="S500" t="str">
        <f t="shared" si="98"/>
        <v>High</v>
      </c>
      <c r="T500" t="str">
        <f t="shared" si="99"/>
        <v>Low</v>
      </c>
      <c r="U500" t="str">
        <f t="shared" si="100"/>
        <v>No</v>
      </c>
      <c r="V500" t="str">
        <f t="shared" si="101"/>
        <v>No</v>
      </c>
      <c r="W500" t="str">
        <f t="shared" si="102"/>
        <v>No</v>
      </c>
      <c r="X500" t="str">
        <f t="shared" si="103"/>
        <v>Yes</v>
      </c>
    </row>
    <row r="501" spans="1:24" x14ac:dyDescent="0.3">
      <c r="A501" t="s">
        <v>189</v>
      </c>
      <c r="B501">
        <v>59</v>
      </c>
      <c r="C501" t="s">
        <v>510</v>
      </c>
      <c r="D501">
        <v>47285</v>
      </c>
      <c r="E501" t="s">
        <v>515</v>
      </c>
      <c r="F501">
        <v>1</v>
      </c>
      <c r="G501">
        <v>386.43</v>
      </c>
      <c r="H501">
        <v>314</v>
      </c>
      <c r="I501">
        <v>4</v>
      </c>
      <c r="J501">
        <v>386.43</v>
      </c>
      <c r="K501">
        <f>SUM(Table3[Total_Revenue])</f>
        <v>30761529.489999965</v>
      </c>
      <c r="L501">
        <f t="shared" si="91"/>
        <v>30761529.489999965</v>
      </c>
      <c r="M501">
        <f t="shared" si="92"/>
        <v>1</v>
      </c>
      <c r="N501" t="str">
        <f t="shared" si="93"/>
        <v>No</v>
      </c>
      <c r="O501">
        <f t="shared" si="94"/>
        <v>47894.68</v>
      </c>
      <c r="P501">
        <f t="shared" si="95"/>
        <v>5</v>
      </c>
      <c r="Q501">
        <f t="shared" si="96"/>
        <v>172.5</v>
      </c>
      <c r="R501" t="str">
        <f t="shared" si="97"/>
        <v>Low</v>
      </c>
      <c r="S501" t="str">
        <f t="shared" si="98"/>
        <v>High</v>
      </c>
      <c r="T501" t="str">
        <f t="shared" si="99"/>
        <v>Low</v>
      </c>
      <c r="U501" t="str">
        <f t="shared" si="100"/>
        <v>No</v>
      </c>
      <c r="V501" t="str">
        <f t="shared" si="101"/>
        <v>No</v>
      </c>
      <c r="W501" t="str">
        <f t="shared" si="102"/>
        <v>No</v>
      </c>
      <c r="X501" t="str">
        <f t="shared" si="103"/>
        <v>Yes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1A6B2-3130-4104-B44A-4316DF046DC6}">
  <dimension ref="A1:Q287"/>
  <sheetViews>
    <sheetView tabSelected="1" workbookViewId="0">
      <selection activeCell="F12" sqref="F12"/>
    </sheetView>
  </sheetViews>
  <sheetFormatPr defaultRowHeight="14.4" x14ac:dyDescent="0.3"/>
  <sheetData>
    <row r="1" spans="1:17" x14ac:dyDescent="0.3">
      <c r="J1" t="s">
        <v>531</v>
      </c>
      <c r="K1" t="s">
        <v>532</v>
      </c>
      <c r="L1" t="s">
        <v>533</v>
      </c>
      <c r="M1" t="s">
        <v>534</v>
      </c>
      <c r="N1" t="s">
        <v>535</v>
      </c>
      <c r="O1" t="s">
        <v>536</v>
      </c>
      <c r="P1" t="s">
        <v>528</v>
      </c>
      <c r="Q1" t="s">
        <v>529</v>
      </c>
    </row>
    <row r="2" spans="1:17" x14ac:dyDescent="0.3">
      <c r="A2" t="s">
        <v>537</v>
      </c>
      <c r="J2" s="3" t="s">
        <v>239</v>
      </c>
      <c r="K2" s="3" t="s">
        <v>239</v>
      </c>
      <c r="L2" s="3" t="s">
        <v>289</v>
      </c>
      <c r="M2" s="3" t="s">
        <v>289</v>
      </c>
      <c r="N2" s="3" t="s">
        <v>239</v>
      </c>
      <c r="O2" s="3" t="s">
        <v>289</v>
      </c>
      <c r="P2" s="3" t="s">
        <v>289</v>
      </c>
      <c r="Q2" s="3" t="s">
        <v>193</v>
      </c>
    </row>
    <row r="3" spans="1:17" x14ac:dyDescent="0.3">
      <c r="A3" t="s">
        <v>538</v>
      </c>
      <c r="J3" s="2" t="s">
        <v>289</v>
      </c>
      <c r="K3" s="2" t="s">
        <v>289</v>
      </c>
      <c r="L3" s="2" t="s">
        <v>122</v>
      </c>
      <c r="M3" s="2" t="s">
        <v>456</v>
      </c>
      <c r="N3" s="2" t="s">
        <v>452</v>
      </c>
      <c r="O3" s="2" t="s">
        <v>122</v>
      </c>
      <c r="P3" s="2" t="s">
        <v>122</v>
      </c>
      <c r="Q3" s="2" t="s">
        <v>371</v>
      </c>
    </row>
    <row r="4" spans="1:17" x14ac:dyDescent="0.3">
      <c r="A4" t="s">
        <v>539</v>
      </c>
      <c r="J4" s="3" t="s">
        <v>452</v>
      </c>
      <c r="K4" s="3" t="s">
        <v>452</v>
      </c>
      <c r="L4" s="3" t="s">
        <v>464</v>
      </c>
      <c r="M4" s="3" t="s">
        <v>252</v>
      </c>
      <c r="N4" s="3" t="s">
        <v>456</v>
      </c>
      <c r="O4" s="3" t="s">
        <v>464</v>
      </c>
      <c r="P4" s="3" t="s">
        <v>464</v>
      </c>
      <c r="Q4" s="3" t="s">
        <v>457</v>
      </c>
    </row>
    <row r="5" spans="1:17" x14ac:dyDescent="0.3">
      <c r="A5" t="s">
        <v>540</v>
      </c>
      <c r="J5" s="2" t="s">
        <v>456</v>
      </c>
      <c r="K5" s="2" t="s">
        <v>456</v>
      </c>
      <c r="L5" s="2" t="s">
        <v>35</v>
      </c>
      <c r="M5" s="2" t="s">
        <v>124</v>
      </c>
      <c r="N5" s="2" t="s">
        <v>252</v>
      </c>
      <c r="O5" s="2" t="s">
        <v>35</v>
      </c>
      <c r="P5" s="2" t="s">
        <v>35</v>
      </c>
      <c r="Q5" s="2" t="s">
        <v>250</v>
      </c>
    </row>
    <row r="6" spans="1:17" x14ac:dyDescent="0.3">
      <c r="A6" t="s">
        <v>541</v>
      </c>
      <c r="J6" s="3" t="s">
        <v>252</v>
      </c>
      <c r="K6" s="3" t="s">
        <v>252</v>
      </c>
      <c r="L6" s="3" t="s">
        <v>439</v>
      </c>
      <c r="M6" s="3" t="s">
        <v>464</v>
      </c>
      <c r="N6" s="3" t="s">
        <v>124</v>
      </c>
      <c r="O6" s="3" t="s">
        <v>58</v>
      </c>
      <c r="P6" s="3" t="s">
        <v>58</v>
      </c>
      <c r="Q6" s="3" t="s">
        <v>482</v>
      </c>
    </row>
    <row r="7" spans="1:17" x14ac:dyDescent="0.3">
      <c r="A7" t="s">
        <v>542</v>
      </c>
      <c r="J7" s="2" t="s">
        <v>122</v>
      </c>
      <c r="K7" s="2" t="s">
        <v>122</v>
      </c>
      <c r="L7" s="2" t="s">
        <v>212</v>
      </c>
      <c r="M7" s="2" t="s">
        <v>58</v>
      </c>
      <c r="N7" s="2" t="s">
        <v>134</v>
      </c>
      <c r="O7" s="2" t="s">
        <v>439</v>
      </c>
      <c r="P7" s="2" t="s">
        <v>439</v>
      </c>
      <c r="Q7" s="2" t="s">
        <v>492</v>
      </c>
    </row>
    <row r="8" spans="1:17" x14ac:dyDescent="0.3">
      <c r="A8" t="s">
        <v>543</v>
      </c>
      <c r="J8" s="3" t="s">
        <v>124</v>
      </c>
      <c r="K8" s="3" t="s">
        <v>124</v>
      </c>
      <c r="L8" s="3" t="s">
        <v>389</v>
      </c>
      <c r="M8" s="3" t="s">
        <v>134</v>
      </c>
      <c r="N8" s="3" t="s">
        <v>106</v>
      </c>
      <c r="O8" s="3" t="s">
        <v>212</v>
      </c>
      <c r="P8" s="3" t="s">
        <v>212</v>
      </c>
      <c r="Q8" s="3" t="s">
        <v>316</v>
      </c>
    </row>
    <row r="9" spans="1:17" x14ac:dyDescent="0.3">
      <c r="A9" t="s">
        <v>544</v>
      </c>
      <c r="J9" s="2" t="s">
        <v>464</v>
      </c>
      <c r="K9" s="2" t="s">
        <v>464</v>
      </c>
      <c r="L9" s="2" t="s">
        <v>15</v>
      </c>
      <c r="M9" s="2" t="s">
        <v>439</v>
      </c>
      <c r="N9" s="2" t="s">
        <v>508</v>
      </c>
      <c r="O9" s="2" t="s">
        <v>389</v>
      </c>
      <c r="P9" s="2" t="s">
        <v>389</v>
      </c>
      <c r="Q9" s="2" t="s">
        <v>218</v>
      </c>
    </row>
    <row r="10" spans="1:17" x14ac:dyDescent="0.3">
      <c r="J10" s="3" t="s">
        <v>35</v>
      </c>
      <c r="K10" s="3" t="s">
        <v>35</v>
      </c>
      <c r="L10" s="3" t="s">
        <v>109</v>
      </c>
      <c r="M10" s="3" t="s">
        <v>106</v>
      </c>
      <c r="N10" s="3" t="s">
        <v>269</v>
      </c>
      <c r="O10" s="3" t="s">
        <v>15</v>
      </c>
      <c r="P10" s="3" t="s">
        <v>15</v>
      </c>
      <c r="Q10" s="3" t="s">
        <v>183</v>
      </c>
    </row>
    <row r="11" spans="1:17" x14ac:dyDescent="0.3">
      <c r="J11" s="2" t="s">
        <v>58</v>
      </c>
      <c r="K11" s="2" t="s">
        <v>58</v>
      </c>
      <c r="L11" s="2" t="s">
        <v>161</v>
      </c>
      <c r="M11" s="2" t="s">
        <v>109</v>
      </c>
      <c r="N11" s="2" t="s">
        <v>498</v>
      </c>
      <c r="O11" s="2" t="s">
        <v>109</v>
      </c>
      <c r="P11" s="2" t="s">
        <v>109</v>
      </c>
      <c r="Q11" s="2" t="s">
        <v>34</v>
      </c>
    </row>
    <row r="12" spans="1:17" x14ac:dyDescent="0.3">
      <c r="J12" s="3" t="s">
        <v>134</v>
      </c>
      <c r="K12" s="3" t="s">
        <v>134</v>
      </c>
      <c r="L12" s="3" t="s">
        <v>465</v>
      </c>
      <c r="M12" s="3" t="s">
        <v>269</v>
      </c>
      <c r="N12" s="3" t="s">
        <v>312</v>
      </c>
      <c r="O12" s="3" t="s">
        <v>161</v>
      </c>
      <c r="P12" s="3" t="s">
        <v>161</v>
      </c>
      <c r="Q12" s="3" t="s">
        <v>428</v>
      </c>
    </row>
    <row r="13" spans="1:17" x14ac:dyDescent="0.3">
      <c r="J13" s="2" t="s">
        <v>439</v>
      </c>
      <c r="K13" s="2" t="s">
        <v>439</v>
      </c>
      <c r="L13" s="2" t="s">
        <v>63</v>
      </c>
      <c r="M13" s="2" t="s">
        <v>161</v>
      </c>
      <c r="N13" s="2" t="s">
        <v>118</v>
      </c>
      <c r="O13" s="2" t="s">
        <v>465</v>
      </c>
      <c r="P13" s="2" t="s">
        <v>465</v>
      </c>
      <c r="Q13" s="2" t="s">
        <v>286</v>
      </c>
    </row>
    <row r="14" spans="1:17" x14ac:dyDescent="0.3">
      <c r="J14" s="3" t="s">
        <v>212</v>
      </c>
      <c r="K14" s="3" t="s">
        <v>212</v>
      </c>
      <c r="L14" s="3" t="s">
        <v>431</v>
      </c>
      <c r="M14" s="3" t="s">
        <v>477</v>
      </c>
      <c r="N14" s="3" t="s">
        <v>66</v>
      </c>
      <c r="O14" s="3" t="s">
        <v>63</v>
      </c>
      <c r="P14" s="3" t="s">
        <v>63</v>
      </c>
      <c r="Q14" s="3" t="s">
        <v>265</v>
      </c>
    </row>
    <row r="15" spans="1:17" x14ac:dyDescent="0.3">
      <c r="J15" s="2" t="s">
        <v>106</v>
      </c>
      <c r="K15" s="2" t="s">
        <v>106</v>
      </c>
      <c r="L15" s="2" t="s">
        <v>75</v>
      </c>
      <c r="M15" s="2" t="s">
        <v>75</v>
      </c>
      <c r="N15" s="2" t="s">
        <v>477</v>
      </c>
      <c r="O15" s="2" t="s">
        <v>431</v>
      </c>
      <c r="P15" s="2" t="s">
        <v>431</v>
      </c>
      <c r="Q15" s="2" t="s">
        <v>228</v>
      </c>
    </row>
    <row r="16" spans="1:17" x14ac:dyDescent="0.3">
      <c r="J16" s="3" t="s">
        <v>389</v>
      </c>
      <c r="K16" s="3" t="s">
        <v>389</v>
      </c>
      <c r="L16" s="3" t="s">
        <v>29</v>
      </c>
      <c r="M16" s="3" t="s">
        <v>353</v>
      </c>
      <c r="N16" s="3" t="s">
        <v>349</v>
      </c>
      <c r="O16" s="3" t="s">
        <v>225</v>
      </c>
      <c r="P16" s="3" t="s">
        <v>225</v>
      </c>
      <c r="Q16" s="3" t="s">
        <v>493</v>
      </c>
    </row>
    <row r="17" spans="10:17" x14ac:dyDescent="0.3">
      <c r="J17" s="2" t="s">
        <v>15</v>
      </c>
      <c r="K17" s="2" t="s">
        <v>15</v>
      </c>
      <c r="L17" s="2" t="s">
        <v>32</v>
      </c>
      <c r="M17" s="2" t="s">
        <v>277</v>
      </c>
      <c r="N17" s="2" t="s">
        <v>54</v>
      </c>
      <c r="O17" s="2" t="s">
        <v>75</v>
      </c>
      <c r="P17" s="2" t="s">
        <v>75</v>
      </c>
      <c r="Q17" s="2" t="s">
        <v>278</v>
      </c>
    </row>
    <row r="18" spans="10:17" x14ac:dyDescent="0.3">
      <c r="J18" s="3" t="s">
        <v>109</v>
      </c>
      <c r="K18" s="3" t="s">
        <v>109</v>
      </c>
      <c r="L18" s="3" t="s">
        <v>73</v>
      </c>
      <c r="M18" s="3" t="s">
        <v>509</v>
      </c>
      <c r="N18" s="3" t="s">
        <v>509</v>
      </c>
      <c r="O18" s="3" t="s">
        <v>353</v>
      </c>
      <c r="P18" s="3" t="s">
        <v>353</v>
      </c>
      <c r="Q18" s="3" t="s">
        <v>127</v>
      </c>
    </row>
    <row r="19" spans="10:17" x14ac:dyDescent="0.3">
      <c r="J19" s="2" t="s">
        <v>508</v>
      </c>
      <c r="K19" s="2" t="s">
        <v>508</v>
      </c>
      <c r="L19" s="2" t="s">
        <v>36</v>
      </c>
      <c r="M19" s="2" t="s">
        <v>148</v>
      </c>
      <c r="N19" s="2" t="s">
        <v>412</v>
      </c>
      <c r="O19" s="2" t="s">
        <v>277</v>
      </c>
      <c r="P19" s="2" t="s">
        <v>277</v>
      </c>
      <c r="Q19" s="2" t="s">
        <v>466</v>
      </c>
    </row>
    <row r="20" spans="10:17" x14ac:dyDescent="0.3">
      <c r="J20" s="3" t="s">
        <v>269</v>
      </c>
      <c r="K20" s="3" t="s">
        <v>269</v>
      </c>
      <c r="L20" s="3" t="s">
        <v>410</v>
      </c>
      <c r="M20" s="3" t="s">
        <v>48</v>
      </c>
      <c r="N20" s="3" t="s">
        <v>148</v>
      </c>
      <c r="O20" s="3" t="s">
        <v>29</v>
      </c>
      <c r="P20" s="3" t="s">
        <v>29</v>
      </c>
      <c r="Q20" s="3" t="s">
        <v>43</v>
      </c>
    </row>
    <row r="21" spans="10:17" x14ac:dyDescent="0.3">
      <c r="J21" s="2" t="s">
        <v>498</v>
      </c>
      <c r="K21" s="2" t="s">
        <v>498</v>
      </c>
      <c r="L21" s="2" t="s">
        <v>308</v>
      </c>
      <c r="M21" s="2" t="s">
        <v>205</v>
      </c>
      <c r="N21" s="2" t="s">
        <v>48</v>
      </c>
      <c r="O21" s="2" t="s">
        <v>32</v>
      </c>
      <c r="P21" s="2" t="s">
        <v>32</v>
      </c>
      <c r="Q21" s="2" t="s">
        <v>292</v>
      </c>
    </row>
    <row r="22" spans="10:17" x14ac:dyDescent="0.3">
      <c r="J22" s="3" t="s">
        <v>161</v>
      </c>
      <c r="K22" s="3" t="s">
        <v>161</v>
      </c>
      <c r="L22" s="3" t="s">
        <v>503</v>
      </c>
      <c r="M22" s="3" t="s">
        <v>140</v>
      </c>
      <c r="N22" s="3" t="s">
        <v>205</v>
      </c>
      <c r="O22" s="3" t="s">
        <v>73</v>
      </c>
      <c r="P22" s="3" t="s">
        <v>73</v>
      </c>
      <c r="Q22" s="3" t="s">
        <v>369</v>
      </c>
    </row>
    <row r="23" spans="10:17" x14ac:dyDescent="0.3">
      <c r="J23" s="2" t="s">
        <v>465</v>
      </c>
      <c r="K23" s="2" t="s">
        <v>465</v>
      </c>
      <c r="L23" s="2" t="s">
        <v>203</v>
      </c>
      <c r="M23" s="2" t="s">
        <v>32</v>
      </c>
      <c r="N23" s="2" t="s">
        <v>140</v>
      </c>
      <c r="O23" s="2" t="s">
        <v>171</v>
      </c>
      <c r="P23" s="2" t="s">
        <v>171</v>
      </c>
      <c r="Q23" s="2" t="s">
        <v>114</v>
      </c>
    </row>
    <row r="24" spans="10:17" x14ac:dyDescent="0.3">
      <c r="J24" s="3" t="s">
        <v>312</v>
      </c>
      <c r="K24" s="3" t="s">
        <v>312</v>
      </c>
      <c r="L24" s="3" t="s">
        <v>306</v>
      </c>
      <c r="M24" s="3" t="s">
        <v>73</v>
      </c>
      <c r="N24" s="3" t="s">
        <v>150</v>
      </c>
      <c r="O24" s="3" t="s">
        <v>36</v>
      </c>
      <c r="P24" s="3" t="s">
        <v>36</v>
      </c>
      <c r="Q24" s="3" t="s">
        <v>98</v>
      </c>
    </row>
    <row r="25" spans="10:17" x14ac:dyDescent="0.3">
      <c r="J25" s="2" t="s">
        <v>118</v>
      </c>
      <c r="K25" s="2" t="s">
        <v>118</v>
      </c>
      <c r="L25" s="2" t="s">
        <v>360</v>
      </c>
      <c r="M25" s="2" t="s">
        <v>171</v>
      </c>
      <c r="N25" s="2" t="s">
        <v>310</v>
      </c>
      <c r="O25" s="2" t="s">
        <v>410</v>
      </c>
      <c r="P25" s="2" t="s">
        <v>410</v>
      </c>
      <c r="Q25" s="2" t="s">
        <v>304</v>
      </c>
    </row>
    <row r="26" spans="10:17" x14ac:dyDescent="0.3">
      <c r="J26" s="3" t="s">
        <v>63</v>
      </c>
      <c r="K26" s="3" t="s">
        <v>63</v>
      </c>
      <c r="L26" s="3" t="s">
        <v>403</v>
      </c>
      <c r="M26" s="3" t="s">
        <v>36</v>
      </c>
      <c r="N26" s="3" t="s">
        <v>131</v>
      </c>
      <c r="O26" s="3" t="s">
        <v>396</v>
      </c>
      <c r="P26" s="3" t="s">
        <v>396</v>
      </c>
      <c r="Q26" s="3" t="s">
        <v>97</v>
      </c>
    </row>
    <row r="27" spans="10:17" x14ac:dyDescent="0.3">
      <c r="J27" s="2" t="s">
        <v>66</v>
      </c>
      <c r="K27" s="2" t="s">
        <v>66</v>
      </c>
      <c r="L27" s="2" t="s">
        <v>125</v>
      </c>
      <c r="M27" s="2" t="s">
        <v>410</v>
      </c>
      <c r="N27" s="2" t="s">
        <v>484</v>
      </c>
      <c r="O27" s="2" t="s">
        <v>308</v>
      </c>
      <c r="P27" s="2" t="s">
        <v>308</v>
      </c>
      <c r="Q27" s="2" t="s">
        <v>234</v>
      </c>
    </row>
    <row r="28" spans="10:17" x14ac:dyDescent="0.3">
      <c r="J28" s="3" t="s">
        <v>477</v>
      </c>
      <c r="K28" s="3" t="s">
        <v>477</v>
      </c>
      <c r="L28" s="3" t="s">
        <v>170</v>
      </c>
      <c r="M28" s="3" t="s">
        <v>396</v>
      </c>
      <c r="N28" s="3" t="s">
        <v>251</v>
      </c>
      <c r="O28" s="3" t="s">
        <v>503</v>
      </c>
      <c r="P28" s="3" t="s">
        <v>503</v>
      </c>
      <c r="Q28" s="3" t="s">
        <v>394</v>
      </c>
    </row>
    <row r="29" spans="10:17" x14ac:dyDescent="0.3">
      <c r="J29" s="2" t="s">
        <v>349</v>
      </c>
      <c r="K29" s="2" t="s">
        <v>349</v>
      </c>
      <c r="L29" s="2" t="s">
        <v>309</v>
      </c>
      <c r="M29" s="2" t="s">
        <v>131</v>
      </c>
      <c r="N29" s="2" t="s">
        <v>93</v>
      </c>
      <c r="O29" s="2" t="s">
        <v>203</v>
      </c>
      <c r="P29" s="2" t="s">
        <v>203</v>
      </c>
      <c r="Q29" s="2" t="s">
        <v>324</v>
      </c>
    </row>
    <row r="30" spans="10:17" x14ac:dyDescent="0.3">
      <c r="J30" s="3" t="s">
        <v>431</v>
      </c>
      <c r="K30" s="3" t="s">
        <v>431</v>
      </c>
      <c r="L30" s="3" t="s">
        <v>331</v>
      </c>
      <c r="M30" s="3" t="s">
        <v>484</v>
      </c>
      <c r="N30" s="3" t="s">
        <v>483</v>
      </c>
      <c r="O30" s="3" t="s">
        <v>306</v>
      </c>
      <c r="P30" s="3" t="s">
        <v>306</v>
      </c>
      <c r="Q30" s="3" t="s">
        <v>188</v>
      </c>
    </row>
    <row r="31" spans="10:17" x14ac:dyDescent="0.3">
      <c r="J31" s="2" t="s">
        <v>225</v>
      </c>
      <c r="K31" s="2" t="s">
        <v>225</v>
      </c>
      <c r="L31" s="2" t="s">
        <v>107</v>
      </c>
      <c r="M31" s="2" t="s">
        <v>308</v>
      </c>
      <c r="N31" s="2" t="s">
        <v>100</v>
      </c>
      <c r="O31" s="2" t="s">
        <v>360</v>
      </c>
      <c r="P31" s="2" t="s">
        <v>360</v>
      </c>
      <c r="Q31" s="2" t="s">
        <v>379</v>
      </c>
    </row>
    <row r="32" spans="10:17" x14ac:dyDescent="0.3">
      <c r="J32" s="3" t="s">
        <v>75</v>
      </c>
      <c r="K32" s="3" t="s">
        <v>75</v>
      </c>
      <c r="L32" s="3" t="s">
        <v>162</v>
      </c>
      <c r="M32" s="3" t="s">
        <v>404</v>
      </c>
      <c r="N32" s="3" t="s">
        <v>13</v>
      </c>
      <c r="O32" s="3" t="s">
        <v>403</v>
      </c>
      <c r="P32" s="3" t="s">
        <v>403</v>
      </c>
      <c r="Q32" s="3" t="s">
        <v>243</v>
      </c>
    </row>
    <row r="33" spans="10:17" x14ac:dyDescent="0.3">
      <c r="J33" s="2" t="s">
        <v>353</v>
      </c>
      <c r="K33" s="2" t="s">
        <v>353</v>
      </c>
      <c r="L33" s="2" t="s">
        <v>273</v>
      </c>
      <c r="M33" s="2" t="s">
        <v>203</v>
      </c>
      <c r="N33" s="2" t="s">
        <v>45</v>
      </c>
      <c r="O33" s="2" t="s">
        <v>125</v>
      </c>
      <c r="P33" s="2" t="s">
        <v>125</v>
      </c>
      <c r="Q33" s="2" t="s">
        <v>337</v>
      </c>
    </row>
    <row r="34" spans="10:17" x14ac:dyDescent="0.3">
      <c r="J34" s="3" t="s">
        <v>54</v>
      </c>
      <c r="K34" s="3" t="s">
        <v>54</v>
      </c>
      <c r="L34" s="3" t="s">
        <v>155</v>
      </c>
      <c r="M34" s="3" t="s">
        <v>360</v>
      </c>
      <c r="N34" s="3" t="s">
        <v>404</v>
      </c>
      <c r="O34" s="3" t="s">
        <v>170</v>
      </c>
      <c r="P34" s="3" t="s">
        <v>170</v>
      </c>
      <c r="Q34" s="3" t="s">
        <v>259</v>
      </c>
    </row>
    <row r="35" spans="10:17" x14ac:dyDescent="0.3">
      <c r="J35" s="2" t="s">
        <v>277</v>
      </c>
      <c r="K35" s="2" t="s">
        <v>277</v>
      </c>
      <c r="L35" s="2" t="s">
        <v>338</v>
      </c>
      <c r="M35" s="2" t="s">
        <v>117</v>
      </c>
      <c r="N35" s="2" t="s">
        <v>248</v>
      </c>
      <c r="O35" s="2" t="s">
        <v>309</v>
      </c>
      <c r="P35" s="2" t="s">
        <v>309</v>
      </c>
      <c r="Q35" s="2" t="s">
        <v>357</v>
      </c>
    </row>
    <row r="36" spans="10:17" x14ac:dyDescent="0.3">
      <c r="J36" s="3" t="s">
        <v>29</v>
      </c>
      <c r="K36" s="3" t="s">
        <v>29</v>
      </c>
      <c r="L36" s="3" t="s">
        <v>119</v>
      </c>
      <c r="M36" s="3" t="s">
        <v>403</v>
      </c>
      <c r="N36" s="3" t="s">
        <v>117</v>
      </c>
      <c r="O36" s="3" t="s">
        <v>174</v>
      </c>
      <c r="P36" s="3" t="s">
        <v>174</v>
      </c>
      <c r="Q36" s="3" t="s">
        <v>368</v>
      </c>
    </row>
    <row r="37" spans="10:17" x14ac:dyDescent="0.3">
      <c r="J37" s="2" t="s">
        <v>509</v>
      </c>
      <c r="K37" s="2" t="s">
        <v>509</v>
      </c>
      <c r="L37" s="2" t="s">
        <v>230</v>
      </c>
      <c r="M37" s="2" t="s">
        <v>462</v>
      </c>
      <c r="N37" s="2" t="s">
        <v>462</v>
      </c>
      <c r="O37" s="2" t="s">
        <v>331</v>
      </c>
      <c r="P37" s="2" t="s">
        <v>331</v>
      </c>
      <c r="Q37" s="2" t="s">
        <v>413</v>
      </c>
    </row>
    <row r="38" spans="10:17" x14ac:dyDescent="0.3">
      <c r="J38" s="3" t="s">
        <v>412</v>
      </c>
      <c r="K38" s="3" t="s">
        <v>412</v>
      </c>
      <c r="L38" s="3" t="s">
        <v>333</v>
      </c>
      <c r="M38" s="3" t="s">
        <v>125</v>
      </c>
      <c r="N38" s="3" t="s">
        <v>303</v>
      </c>
      <c r="O38" s="3" t="s">
        <v>213</v>
      </c>
      <c r="P38" s="3" t="s">
        <v>213</v>
      </c>
      <c r="Q38" s="3" t="s">
        <v>135</v>
      </c>
    </row>
    <row r="39" spans="10:17" x14ac:dyDescent="0.3">
      <c r="J39" s="2" t="s">
        <v>148</v>
      </c>
      <c r="K39" s="2" t="s">
        <v>148</v>
      </c>
      <c r="L39" s="2" t="s">
        <v>352</v>
      </c>
      <c r="M39" s="2" t="s">
        <v>19</v>
      </c>
      <c r="N39" s="2" t="s">
        <v>19</v>
      </c>
      <c r="O39" s="2" t="s">
        <v>107</v>
      </c>
      <c r="P39" s="2" t="s">
        <v>107</v>
      </c>
      <c r="Q39" s="2" t="s">
        <v>94</v>
      </c>
    </row>
    <row r="40" spans="10:17" x14ac:dyDescent="0.3">
      <c r="J40" s="3" t="s">
        <v>48</v>
      </c>
      <c r="K40" s="3" t="s">
        <v>48</v>
      </c>
      <c r="L40" s="3" t="s">
        <v>64</v>
      </c>
      <c r="M40" s="3" t="s">
        <v>170</v>
      </c>
      <c r="N40" s="3" t="s">
        <v>166</v>
      </c>
      <c r="O40" s="3" t="s">
        <v>162</v>
      </c>
      <c r="P40" s="3" t="s">
        <v>162</v>
      </c>
      <c r="Q40" s="3" t="s">
        <v>435</v>
      </c>
    </row>
    <row r="41" spans="10:17" x14ac:dyDescent="0.3">
      <c r="J41" s="2" t="s">
        <v>205</v>
      </c>
      <c r="K41" s="2" t="s">
        <v>205</v>
      </c>
      <c r="L41" s="2" t="s">
        <v>232</v>
      </c>
      <c r="M41" s="2" t="s">
        <v>309</v>
      </c>
      <c r="N41" s="2" t="s">
        <v>236</v>
      </c>
      <c r="O41" s="2" t="s">
        <v>273</v>
      </c>
      <c r="P41" s="2" t="s">
        <v>273</v>
      </c>
      <c r="Q41" s="2" t="s">
        <v>280</v>
      </c>
    </row>
    <row r="42" spans="10:17" x14ac:dyDescent="0.3">
      <c r="J42" s="3" t="s">
        <v>140</v>
      </c>
      <c r="K42" s="3" t="s">
        <v>140</v>
      </c>
      <c r="L42" s="3" t="s">
        <v>388</v>
      </c>
      <c r="M42" s="3" t="s">
        <v>166</v>
      </c>
      <c r="N42" s="3" t="s">
        <v>92</v>
      </c>
      <c r="O42" s="3" t="s">
        <v>302</v>
      </c>
      <c r="P42" s="3" t="s">
        <v>302</v>
      </c>
      <c r="Q42" s="3" t="s">
        <v>77</v>
      </c>
    </row>
    <row r="43" spans="10:17" x14ac:dyDescent="0.3">
      <c r="J43" s="2" t="s">
        <v>32</v>
      </c>
      <c r="K43" s="2" t="s">
        <v>32</v>
      </c>
      <c r="L43" s="2" t="s">
        <v>421</v>
      </c>
      <c r="M43" s="2" t="s">
        <v>174</v>
      </c>
      <c r="N43" s="2" t="s">
        <v>288</v>
      </c>
      <c r="O43" s="2" t="s">
        <v>153</v>
      </c>
      <c r="P43" s="2" t="s">
        <v>153</v>
      </c>
      <c r="Q43" s="2" t="s">
        <v>50</v>
      </c>
    </row>
    <row r="44" spans="10:17" x14ac:dyDescent="0.3">
      <c r="J44" s="3" t="s">
        <v>73</v>
      </c>
      <c r="K44" s="3" t="s">
        <v>73</v>
      </c>
      <c r="L44" s="3" t="s">
        <v>142</v>
      </c>
      <c r="M44" s="3" t="s">
        <v>236</v>
      </c>
      <c r="N44" s="3" t="s">
        <v>423</v>
      </c>
      <c r="O44" s="3" t="s">
        <v>155</v>
      </c>
      <c r="P44" s="3" t="s">
        <v>155</v>
      </c>
      <c r="Q44" s="3" t="s">
        <v>414</v>
      </c>
    </row>
    <row r="45" spans="10:17" x14ac:dyDescent="0.3">
      <c r="J45" s="2" t="s">
        <v>150</v>
      </c>
      <c r="K45" s="2" t="s">
        <v>150</v>
      </c>
      <c r="L45" s="2" t="s">
        <v>235</v>
      </c>
      <c r="M45" s="2" t="s">
        <v>92</v>
      </c>
      <c r="N45" s="2" t="s">
        <v>59</v>
      </c>
      <c r="O45" s="2" t="s">
        <v>338</v>
      </c>
      <c r="P45" s="2" t="s">
        <v>338</v>
      </c>
      <c r="Q45" s="2" t="s">
        <v>200</v>
      </c>
    </row>
    <row r="46" spans="10:17" x14ac:dyDescent="0.3">
      <c r="J46" s="3" t="s">
        <v>171</v>
      </c>
      <c r="K46" s="3" t="s">
        <v>171</v>
      </c>
      <c r="L46" s="3" t="s">
        <v>121</v>
      </c>
      <c r="M46" s="3" t="s">
        <v>423</v>
      </c>
      <c r="N46" s="3" t="s">
        <v>83</v>
      </c>
      <c r="O46" s="3" t="s">
        <v>119</v>
      </c>
      <c r="P46" s="3" t="s">
        <v>119</v>
      </c>
      <c r="Q46" s="3" t="s">
        <v>184</v>
      </c>
    </row>
    <row r="47" spans="10:17" x14ac:dyDescent="0.3">
      <c r="J47" s="2" t="s">
        <v>310</v>
      </c>
      <c r="K47" s="2" t="s">
        <v>310</v>
      </c>
      <c r="L47" s="2" t="s">
        <v>172</v>
      </c>
      <c r="M47" s="2" t="s">
        <v>155</v>
      </c>
      <c r="N47" s="2" t="s">
        <v>494</v>
      </c>
      <c r="O47" s="2" t="s">
        <v>138</v>
      </c>
      <c r="P47" s="2" t="s">
        <v>138</v>
      </c>
      <c r="Q47" s="2" t="s">
        <v>224</v>
      </c>
    </row>
    <row r="48" spans="10:17" x14ac:dyDescent="0.3">
      <c r="J48" s="3" t="s">
        <v>36</v>
      </c>
      <c r="K48" s="3" t="s">
        <v>36</v>
      </c>
      <c r="L48" s="3" t="s">
        <v>376</v>
      </c>
      <c r="M48" s="3" t="s">
        <v>338</v>
      </c>
      <c r="N48" s="3" t="s">
        <v>17</v>
      </c>
      <c r="O48" s="3" t="s">
        <v>230</v>
      </c>
      <c r="P48" s="3" t="s">
        <v>230</v>
      </c>
      <c r="Q48" s="3" t="s">
        <v>177</v>
      </c>
    </row>
    <row r="49" spans="10:17" x14ac:dyDescent="0.3">
      <c r="J49" s="2" t="s">
        <v>410</v>
      </c>
      <c r="K49" s="2" t="s">
        <v>410</v>
      </c>
      <c r="L49" s="2" t="s">
        <v>154</v>
      </c>
      <c r="M49" s="2" t="s">
        <v>119</v>
      </c>
      <c r="N49" s="2" t="s">
        <v>194</v>
      </c>
      <c r="O49" s="2" t="s">
        <v>333</v>
      </c>
      <c r="P49" s="2" t="s">
        <v>333</v>
      </c>
      <c r="Q49" s="2" t="s">
        <v>305</v>
      </c>
    </row>
    <row r="50" spans="10:17" x14ac:dyDescent="0.3">
      <c r="J50" s="3" t="s">
        <v>396</v>
      </c>
      <c r="K50" s="3" t="s">
        <v>396</v>
      </c>
      <c r="L50" s="3" t="s">
        <v>136</v>
      </c>
      <c r="M50" s="3" t="s">
        <v>138</v>
      </c>
      <c r="N50" s="3" t="s">
        <v>217</v>
      </c>
      <c r="O50" s="3" t="s">
        <v>352</v>
      </c>
      <c r="P50" s="3" t="s">
        <v>352</v>
      </c>
      <c r="Q50" s="3" t="s">
        <v>375</v>
      </c>
    </row>
    <row r="51" spans="10:17" x14ac:dyDescent="0.3">
      <c r="J51" s="2" t="s">
        <v>131</v>
      </c>
      <c r="K51" s="2" t="s">
        <v>131</v>
      </c>
      <c r="L51" s="2" t="s">
        <v>30</v>
      </c>
      <c r="M51" s="2" t="s">
        <v>83</v>
      </c>
      <c r="N51" s="2" t="s">
        <v>345</v>
      </c>
      <c r="O51" s="2" t="s">
        <v>64</v>
      </c>
      <c r="P51" s="2" t="s">
        <v>64</v>
      </c>
      <c r="Q51" s="2" t="s">
        <v>245</v>
      </c>
    </row>
    <row r="52" spans="10:17" x14ac:dyDescent="0.3">
      <c r="J52" s="3" t="s">
        <v>484</v>
      </c>
      <c r="K52" s="3" t="s">
        <v>484</v>
      </c>
      <c r="L52" s="3" t="s">
        <v>279</v>
      </c>
      <c r="M52" s="3" t="s">
        <v>17</v>
      </c>
      <c r="N52" s="3" t="s">
        <v>415</v>
      </c>
      <c r="O52" s="3" t="s">
        <v>232</v>
      </c>
      <c r="P52" s="3" t="s">
        <v>232</v>
      </c>
      <c r="Q52" s="3" t="s">
        <v>46</v>
      </c>
    </row>
    <row r="53" spans="10:17" x14ac:dyDescent="0.3">
      <c r="J53" s="2" t="s">
        <v>251</v>
      </c>
      <c r="K53" s="2" t="s">
        <v>251</v>
      </c>
      <c r="L53" s="2" t="s">
        <v>159</v>
      </c>
      <c r="M53" s="2" t="s">
        <v>333</v>
      </c>
      <c r="N53" s="2" t="s">
        <v>453</v>
      </c>
      <c r="O53" s="2" t="s">
        <v>388</v>
      </c>
      <c r="P53" s="2" t="s">
        <v>388</v>
      </c>
      <c r="Q53" s="2" t="s">
        <v>487</v>
      </c>
    </row>
    <row r="54" spans="10:17" x14ac:dyDescent="0.3">
      <c r="J54" s="3" t="s">
        <v>93</v>
      </c>
      <c r="K54" s="3" t="s">
        <v>93</v>
      </c>
      <c r="L54" s="3" t="s">
        <v>341</v>
      </c>
      <c r="M54" s="3" t="s">
        <v>345</v>
      </c>
      <c r="N54" s="3" t="s">
        <v>104</v>
      </c>
      <c r="O54" s="3" t="s">
        <v>421</v>
      </c>
      <c r="P54" s="3" t="s">
        <v>421</v>
      </c>
      <c r="Q54" s="3" t="s">
        <v>42</v>
      </c>
    </row>
    <row r="55" spans="10:17" x14ac:dyDescent="0.3">
      <c r="J55" s="2" t="s">
        <v>308</v>
      </c>
      <c r="K55" s="2" t="s">
        <v>308</v>
      </c>
      <c r="L55" s="2" t="s">
        <v>436</v>
      </c>
      <c r="M55" s="2" t="s">
        <v>453</v>
      </c>
      <c r="N55" s="2" t="s">
        <v>300</v>
      </c>
      <c r="O55" s="2" t="s">
        <v>142</v>
      </c>
      <c r="P55" s="2" t="s">
        <v>142</v>
      </c>
      <c r="Q55" s="2" t="s">
        <v>285</v>
      </c>
    </row>
    <row r="56" spans="10:17" x14ac:dyDescent="0.3">
      <c r="J56" s="3" t="s">
        <v>483</v>
      </c>
      <c r="K56" s="3" t="s">
        <v>483</v>
      </c>
      <c r="L56" s="3" t="s">
        <v>28</v>
      </c>
      <c r="M56" s="3" t="s">
        <v>300</v>
      </c>
      <c r="N56" s="3" t="s">
        <v>298</v>
      </c>
      <c r="O56" s="3" t="s">
        <v>235</v>
      </c>
      <c r="P56" s="3" t="s">
        <v>235</v>
      </c>
      <c r="Q56" s="3" t="s">
        <v>21</v>
      </c>
    </row>
    <row r="57" spans="10:17" x14ac:dyDescent="0.3">
      <c r="J57" s="2" t="s">
        <v>100</v>
      </c>
      <c r="K57" s="2" t="s">
        <v>100</v>
      </c>
      <c r="L57" s="2" t="s">
        <v>89</v>
      </c>
      <c r="M57" s="2" t="s">
        <v>298</v>
      </c>
      <c r="N57" s="2" t="s">
        <v>158</v>
      </c>
      <c r="O57" s="2" t="s">
        <v>121</v>
      </c>
      <c r="P57" s="2" t="s">
        <v>121</v>
      </c>
      <c r="Q57" s="2" t="s">
        <v>38</v>
      </c>
    </row>
    <row r="58" spans="10:17" x14ac:dyDescent="0.3">
      <c r="J58" s="3" t="s">
        <v>503</v>
      </c>
      <c r="K58" s="3" t="s">
        <v>503</v>
      </c>
      <c r="L58" s="3" t="s">
        <v>392</v>
      </c>
      <c r="M58" s="3" t="s">
        <v>158</v>
      </c>
      <c r="N58" s="3" t="s">
        <v>181</v>
      </c>
      <c r="O58" s="3" t="s">
        <v>172</v>
      </c>
      <c r="P58" s="3" t="s">
        <v>172</v>
      </c>
      <c r="Q58" s="3" t="s">
        <v>430</v>
      </c>
    </row>
    <row r="59" spans="10:17" x14ac:dyDescent="0.3">
      <c r="J59" s="2" t="s">
        <v>13</v>
      </c>
      <c r="K59" s="2" t="s">
        <v>13</v>
      </c>
      <c r="L59" s="2" t="s">
        <v>402</v>
      </c>
      <c r="M59" s="2" t="s">
        <v>388</v>
      </c>
      <c r="N59" s="2" t="s">
        <v>448</v>
      </c>
      <c r="O59" s="2" t="s">
        <v>376</v>
      </c>
      <c r="P59" s="2" t="s">
        <v>376</v>
      </c>
      <c r="Q59" s="2" t="s">
        <v>221</v>
      </c>
    </row>
    <row r="60" spans="10:17" x14ac:dyDescent="0.3">
      <c r="J60" s="3" t="s">
        <v>45</v>
      </c>
      <c r="K60" s="3" t="s">
        <v>45</v>
      </c>
      <c r="L60" s="3" t="s">
        <v>317</v>
      </c>
      <c r="M60" s="3" t="s">
        <v>181</v>
      </c>
      <c r="N60" s="3" t="s">
        <v>425</v>
      </c>
      <c r="O60" s="3" t="s">
        <v>154</v>
      </c>
      <c r="P60" s="3" t="s">
        <v>154</v>
      </c>
      <c r="Q60" s="3" t="s">
        <v>336</v>
      </c>
    </row>
    <row r="61" spans="10:17" x14ac:dyDescent="0.3">
      <c r="J61" s="2" t="s">
        <v>404</v>
      </c>
      <c r="K61" s="2" t="s">
        <v>404</v>
      </c>
      <c r="L61" s="2" t="s">
        <v>227</v>
      </c>
      <c r="M61" s="2" t="s">
        <v>425</v>
      </c>
      <c r="N61" s="2" t="s">
        <v>475</v>
      </c>
      <c r="O61" s="2" t="s">
        <v>136</v>
      </c>
      <c r="P61" s="2" t="s">
        <v>136</v>
      </c>
      <c r="Q61" s="2" t="s">
        <v>96</v>
      </c>
    </row>
    <row r="62" spans="10:17" x14ac:dyDescent="0.3">
      <c r="J62" s="3" t="s">
        <v>248</v>
      </c>
      <c r="K62" s="3" t="s">
        <v>248</v>
      </c>
      <c r="L62" s="3" t="s">
        <v>342</v>
      </c>
      <c r="M62" s="3" t="s">
        <v>438</v>
      </c>
      <c r="N62" s="3" t="s">
        <v>438</v>
      </c>
      <c r="O62" s="3" t="s">
        <v>30</v>
      </c>
      <c r="P62" s="3" t="s">
        <v>30</v>
      </c>
      <c r="Q62" s="3" t="s">
        <v>378</v>
      </c>
    </row>
    <row r="63" spans="10:17" x14ac:dyDescent="0.3">
      <c r="J63" s="2" t="s">
        <v>203</v>
      </c>
      <c r="K63" s="2" t="s">
        <v>203</v>
      </c>
      <c r="L63" s="2" t="s">
        <v>210</v>
      </c>
      <c r="M63" s="2" t="s">
        <v>142</v>
      </c>
      <c r="N63" s="2" t="s">
        <v>340</v>
      </c>
      <c r="O63" s="2" t="s">
        <v>391</v>
      </c>
      <c r="P63" s="2" t="s">
        <v>391</v>
      </c>
      <c r="Q63" s="2" t="s">
        <v>40</v>
      </c>
    </row>
    <row r="64" spans="10:17" x14ac:dyDescent="0.3">
      <c r="J64" s="3" t="s">
        <v>306</v>
      </c>
      <c r="K64" s="3" t="s">
        <v>306</v>
      </c>
      <c r="L64" s="3" t="s">
        <v>116</v>
      </c>
      <c r="M64" s="3" t="s">
        <v>172</v>
      </c>
      <c r="N64" s="3" t="s">
        <v>102</v>
      </c>
      <c r="O64" s="3" t="s">
        <v>279</v>
      </c>
      <c r="P64" s="3" t="s">
        <v>279</v>
      </c>
      <c r="Q64" s="3" t="s">
        <v>362</v>
      </c>
    </row>
    <row r="65" spans="10:17" x14ac:dyDescent="0.3">
      <c r="J65" s="2" t="s">
        <v>360</v>
      </c>
      <c r="K65" s="2" t="s">
        <v>360</v>
      </c>
      <c r="L65" s="2" t="s">
        <v>133</v>
      </c>
      <c r="M65" s="2" t="s">
        <v>376</v>
      </c>
      <c r="N65" s="2" t="s">
        <v>105</v>
      </c>
      <c r="O65" s="2" t="s">
        <v>159</v>
      </c>
      <c r="P65" s="2" t="s">
        <v>159</v>
      </c>
      <c r="Q65" s="2" t="s">
        <v>214</v>
      </c>
    </row>
    <row r="66" spans="10:17" x14ac:dyDescent="0.3">
      <c r="J66" s="3" t="s">
        <v>117</v>
      </c>
      <c r="K66" s="3" t="s">
        <v>117</v>
      </c>
      <c r="L66" s="3" t="s">
        <v>180</v>
      </c>
      <c r="M66" s="3" t="s">
        <v>154</v>
      </c>
      <c r="N66" s="3" t="s">
        <v>478</v>
      </c>
      <c r="O66" s="3" t="s">
        <v>341</v>
      </c>
      <c r="P66" s="3" t="s">
        <v>341</v>
      </c>
      <c r="Q66" s="3" t="s">
        <v>363</v>
      </c>
    </row>
    <row r="67" spans="10:17" x14ac:dyDescent="0.3">
      <c r="J67" s="2" t="s">
        <v>403</v>
      </c>
      <c r="K67" s="2" t="s">
        <v>403</v>
      </c>
      <c r="L67" s="2" t="s">
        <v>507</v>
      </c>
      <c r="M67" s="2" t="s">
        <v>136</v>
      </c>
      <c r="N67" s="2" t="s">
        <v>220</v>
      </c>
      <c r="O67" s="2" t="s">
        <v>417</v>
      </c>
      <c r="P67" s="2" t="s">
        <v>417</v>
      </c>
      <c r="Q67" s="2" t="s">
        <v>301</v>
      </c>
    </row>
    <row r="68" spans="10:17" x14ac:dyDescent="0.3">
      <c r="J68" s="3" t="s">
        <v>462</v>
      </c>
      <c r="K68" s="3" t="s">
        <v>462</v>
      </c>
      <c r="L68" s="3" t="s">
        <v>88</v>
      </c>
      <c r="M68" s="3" t="s">
        <v>102</v>
      </c>
      <c r="N68" s="3" t="s">
        <v>398</v>
      </c>
      <c r="O68" s="3" t="s">
        <v>436</v>
      </c>
      <c r="P68" s="3" t="s">
        <v>436</v>
      </c>
      <c r="Q68" s="3" t="s">
        <v>123</v>
      </c>
    </row>
    <row r="69" spans="10:17" x14ac:dyDescent="0.3">
      <c r="J69" s="2" t="s">
        <v>303</v>
      </c>
      <c r="K69" s="2" t="s">
        <v>303</v>
      </c>
      <c r="L69" s="2" t="s">
        <v>141</v>
      </c>
      <c r="M69" s="2" t="s">
        <v>30</v>
      </c>
      <c r="N69" s="2" t="s">
        <v>432</v>
      </c>
      <c r="O69" s="2" t="s">
        <v>28</v>
      </c>
      <c r="P69" s="2" t="s">
        <v>28</v>
      </c>
      <c r="Q69" s="2" t="s">
        <v>365</v>
      </c>
    </row>
    <row r="70" spans="10:17" x14ac:dyDescent="0.3">
      <c r="J70" s="3" t="s">
        <v>125</v>
      </c>
      <c r="K70" s="3" t="s">
        <v>125</v>
      </c>
      <c r="L70" s="3" t="s">
        <v>383</v>
      </c>
      <c r="M70" s="3" t="s">
        <v>391</v>
      </c>
      <c r="N70" s="3" t="s">
        <v>179</v>
      </c>
      <c r="O70" s="3" t="s">
        <v>89</v>
      </c>
      <c r="P70" s="3" t="s">
        <v>89</v>
      </c>
      <c r="Q70" s="3" t="s">
        <v>156</v>
      </c>
    </row>
    <row r="71" spans="10:17" x14ac:dyDescent="0.3">
      <c r="J71" s="2" t="s">
        <v>19</v>
      </c>
      <c r="K71" s="2" t="s">
        <v>19</v>
      </c>
      <c r="L71" s="2" t="s">
        <v>411</v>
      </c>
      <c r="M71" s="2" t="s">
        <v>341</v>
      </c>
      <c r="N71" s="2" t="s">
        <v>165</v>
      </c>
      <c r="O71" s="2" t="s">
        <v>481</v>
      </c>
      <c r="P71" s="2" t="s">
        <v>481</v>
      </c>
      <c r="Q71" s="2" t="s">
        <v>11</v>
      </c>
    </row>
    <row r="72" spans="10:17" x14ac:dyDescent="0.3">
      <c r="J72" s="3" t="s">
        <v>170</v>
      </c>
      <c r="K72" s="3" t="s">
        <v>170</v>
      </c>
      <c r="L72" s="3" t="s">
        <v>407</v>
      </c>
      <c r="M72" s="3" t="s">
        <v>436</v>
      </c>
      <c r="N72" s="3" t="s">
        <v>14</v>
      </c>
      <c r="O72" s="3" t="s">
        <v>392</v>
      </c>
      <c r="P72" s="3" t="s">
        <v>392</v>
      </c>
      <c r="Q72" s="3" t="s">
        <v>229</v>
      </c>
    </row>
    <row r="73" spans="10:17" x14ac:dyDescent="0.3">
      <c r="J73" s="2" t="s">
        <v>309</v>
      </c>
      <c r="K73" s="2" t="s">
        <v>309</v>
      </c>
      <c r="L73" s="2" t="s">
        <v>160</v>
      </c>
      <c r="M73" s="2" t="s">
        <v>165</v>
      </c>
      <c r="N73" s="2" t="s">
        <v>416</v>
      </c>
      <c r="O73" s="2" t="s">
        <v>402</v>
      </c>
      <c r="P73" s="2" t="s">
        <v>402</v>
      </c>
      <c r="Q73" s="2" t="s">
        <v>222</v>
      </c>
    </row>
    <row r="74" spans="10:17" x14ac:dyDescent="0.3">
      <c r="J74" s="3" t="s">
        <v>166</v>
      </c>
      <c r="K74" s="3" t="s">
        <v>166</v>
      </c>
      <c r="L74" s="3" t="s">
        <v>296</v>
      </c>
      <c r="M74" s="3" t="s">
        <v>28</v>
      </c>
      <c r="N74" s="3" t="s">
        <v>409</v>
      </c>
      <c r="O74" s="3" t="s">
        <v>317</v>
      </c>
      <c r="P74" s="3" t="s">
        <v>317</v>
      </c>
      <c r="Q74" s="3" t="s">
        <v>355</v>
      </c>
    </row>
    <row r="75" spans="10:17" x14ac:dyDescent="0.3">
      <c r="J75" s="2" t="s">
        <v>174</v>
      </c>
      <c r="K75" s="2" t="s">
        <v>174</v>
      </c>
      <c r="L75" s="2" t="s">
        <v>55</v>
      </c>
      <c r="M75" s="2" t="s">
        <v>89</v>
      </c>
      <c r="N75" s="2" t="s">
        <v>132</v>
      </c>
      <c r="O75" s="2" t="s">
        <v>227</v>
      </c>
      <c r="P75" s="2" t="s">
        <v>227</v>
      </c>
      <c r="Q75" s="2" t="s">
        <v>358</v>
      </c>
    </row>
    <row r="76" spans="10:17" x14ac:dyDescent="0.3">
      <c r="J76" s="3" t="s">
        <v>236</v>
      </c>
      <c r="K76" s="3" t="s">
        <v>236</v>
      </c>
      <c r="L76" s="3" t="s">
        <v>315</v>
      </c>
      <c r="M76" s="3" t="s">
        <v>392</v>
      </c>
      <c r="N76" s="3" t="s">
        <v>79</v>
      </c>
      <c r="O76" s="3" t="s">
        <v>342</v>
      </c>
      <c r="P76" s="3" t="s">
        <v>342</v>
      </c>
      <c r="Q76" s="3" t="s">
        <v>420</v>
      </c>
    </row>
    <row r="77" spans="10:17" x14ac:dyDescent="0.3">
      <c r="J77" s="2" t="s">
        <v>331</v>
      </c>
      <c r="K77" s="2" t="s">
        <v>331</v>
      </c>
      <c r="L77" s="2" t="s">
        <v>395</v>
      </c>
      <c r="M77" s="2" t="s">
        <v>402</v>
      </c>
      <c r="N77" s="2" t="s">
        <v>68</v>
      </c>
      <c r="O77" s="2" t="s">
        <v>210</v>
      </c>
      <c r="P77" s="2" t="s">
        <v>210</v>
      </c>
      <c r="Q77" s="2" t="s">
        <v>53</v>
      </c>
    </row>
    <row r="78" spans="10:17" x14ac:dyDescent="0.3">
      <c r="J78" s="3" t="s">
        <v>213</v>
      </c>
      <c r="K78" s="3" t="s">
        <v>213</v>
      </c>
      <c r="L78" s="3" t="s">
        <v>84</v>
      </c>
      <c r="M78" s="3" t="s">
        <v>79</v>
      </c>
      <c r="N78" s="3" t="s">
        <v>51</v>
      </c>
      <c r="O78" s="3" t="s">
        <v>139</v>
      </c>
      <c r="P78" s="3" t="s">
        <v>139</v>
      </c>
      <c r="Q78" s="3" t="s">
        <v>441</v>
      </c>
    </row>
    <row r="79" spans="10:17" x14ac:dyDescent="0.3">
      <c r="J79" s="2" t="s">
        <v>107</v>
      </c>
      <c r="K79" s="2" t="s">
        <v>107</v>
      </c>
      <c r="L79" s="2" t="s">
        <v>263</v>
      </c>
      <c r="M79" s="2" t="s">
        <v>115</v>
      </c>
      <c r="N79" s="2" t="s">
        <v>115</v>
      </c>
      <c r="O79" s="2" t="s">
        <v>116</v>
      </c>
      <c r="P79" s="2" t="s">
        <v>116</v>
      </c>
      <c r="Q79" s="2" t="s">
        <v>284</v>
      </c>
    </row>
    <row r="80" spans="10:17" x14ac:dyDescent="0.3">
      <c r="J80" s="3" t="s">
        <v>162</v>
      </c>
      <c r="K80" s="3" t="s">
        <v>162</v>
      </c>
      <c r="L80" s="3" t="s">
        <v>112</v>
      </c>
      <c r="M80" s="3" t="s">
        <v>210</v>
      </c>
      <c r="N80" s="3" t="s">
        <v>23</v>
      </c>
      <c r="O80" s="3" t="s">
        <v>133</v>
      </c>
      <c r="P80" s="3" t="s">
        <v>133</v>
      </c>
      <c r="Q80" s="3" t="s">
        <v>71</v>
      </c>
    </row>
    <row r="81" spans="10:17" x14ac:dyDescent="0.3">
      <c r="J81" s="2" t="s">
        <v>92</v>
      </c>
      <c r="K81" s="2" t="s">
        <v>92</v>
      </c>
      <c r="L81" s="2" t="s">
        <v>290</v>
      </c>
      <c r="M81" s="2" t="s">
        <v>426</v>
      </c>
      <c r="N81" s="2" t="s">
        <v>426</v>
      </c>
      <c r="O81" s="2" t="s">
        <v>180</v>
      </c>
      <c r="P81" s="2" t="s">
        <v>180</v>
      </c>
      <c r="Q81" s="2" t="s">
        <v>271</v>
      </c>
    </row>
    <row r="82" spans="10:17" x14ac:dyDescent="0.3">
      <c r="J82" s="3" t="s">
        <v>273</v>
      </c>
      <c r="K82" s="3" t="s">
        <v>273</v>
      </c>
      <c r="L82" s="3" t="s">
        <v>447</v>
      </c>
      <c r="M82" s="3" t="s">
        <v>139</v>
      </c>
      <c r="N82" s="3" t="s">
        <v>321</v>
      </c>
      <c r="O82" s="3" t="s">
        <v>211</v>
      </c>
      <c r="P82" s="3" t="s">
        <v>211</v>
      </c>
      <c r="Q82" s="3" t="s">
        <v>294</v>
      </c>
    </row>
    <row r="83" spans="10:17" x14ac:dyDescent="0.3">
      <c r="J83" s="2" t="s">
        <v>302</v>
      </c>
      <c r="K83" s="2" t="s">
        <v>302</v>
      </c>
      <c r="L83" s="2" t="s">
        <v>276</v>
      </c>
      <c r="M83" s="2" t="s">
        <v>133</v>
      </c>
      <c r="N83" s="2" t="s">
        <v>95</v>
      </c>
      <c r="O83" s="2" t="s">
        <v>82</v>
      </c>
      <c r="P83" s="2" t="s">
        <v>82</v>
      </c>
      <c r="Q83" s="2" t="s">
        <v>204</v>
      </c>
    </row>
    <row r="84" spans="10:17" x14ac:dyDescent="0.3">
      <c r="J84" s="3" t="s">
        <v>153</v>
      </c>
      <c r="K84" s="3" t="s">
        <v>153</v>
      </c>
      <c r="L84" s="3" t="s">
        <v>85</v>
      </c>
      <c r="M84" s="3" t="s">
        <v>180</v>
      </c>
      <c r="N84" s="3" t="s">
        <v>253</v>
      </c>
      <c r="O84" s="3" t="s">
        <v>507</v>
      </c>
      <c r="P84" s="3" t="s">
        <v>507</v>
      </c>
      <c r="Q84" s="3" t="s">
        <v>249</v>
      </c>
    </row>
    <row r="85" spans="10:17" x14ac:dyDescent="0.3">
      <c r="J85" s="2" t="s">
        <v>288</v>
      </c>
      <c r="K85" s="2" t="s">
        <v>288</v>
      </c>
      <c r="L85" s="2" t="s">
        <v>254</v>
      </c>
      <c r="M85" s="2" t="s">
        <v>253</v>
      </c>
      <c r="N85" s="2" t="s">
        <v>501</v>
      </c>
      <c r="O85" s="2" t="s">
        <v>88</v>
      </c>
      <c r="P85" s="2" t="s">
        <v>88</v>
      </c>
      <c r="Q85" s="2" t="s">
        <v>500</v>
      </c>
    </row>
    <row r="86" spans="10:17" x14ac:dyDescent="0.3">
      <c r="J86" s="3" t="s">
        <v>423</v>
      </c>
      <c r="K86" s="3" t="s">
        <v>423</v>
      </c>
      <c r="L86" s="3" t="s">
        <v>198</v>
      </c>
      <c r="M86" s="3" t="s">
        <v>82</v>
      </c>
      <c r="N86" s="3" t="s">
        <v>299</v>
      </c>
      <c r="O86" s="3" t="s">
        <v>141</v>
      </c>
      <c r="P86" s="3" t="s">
        <v>141</v>
      </c>
      <c r="Q86" s="3" t="s">
        <v>307</v>
      </c>
    </row>
    <row r="87" spans="10:17" x14ac:dyDescent="0.3">
      <c r="J87" s="2" t="s">
        <v>155</v>
      </c>
      <c r="K87" s="2" t="s">
        <v>155</v>
      </c>
      <c r="L87" s="2" t="s">
        <v>325</v>
      </c>
      <c r="M87" s="2" t="s">
        <v>507</v>
      </c>
      <c r="N87" s="2" t="s">
        <v>367</v>
      </c>
      <c r="O87" s="2" t="s">
        <v>383</v>
      </c>
      <c r="P87" s="2" t="s">
        <v>383</v>
      </c>
      <c r="Q87" s="2" t="s">
        <v>99</v>
      </c>
    </row>
    <row r="88" spans="10:17" x14ac:dyDescent="0.3">
      <c r="J88" s="3" t="s">
        <v>338</v>
      </c>
      <c r="K88" s="3" t="s">
        <v>338</v>
      </c>
      <c r="L88" s="3" t="s">
        <v>144</v>
      </c>
      <c r="M88" s="3" t="s">
        <v>141</v>
      </c>
      <c r="N88" s="3" t="s">
        <v>344</v>
      </c>
      <c r="O88" s="3" t="s">
        <v>241</v>
      </c>
      <c r="P88" s="3" t="s">
        <v>241</v>
      </c>
      <c r="Q88" s="3" t="s">
        <v>455</v>
      </c>
    </row>
    <row r="89" spans="10:17" x14ac:dyDescent="0.3">
      <c r="J89" s="2" t="s">
        <v>119</v>
      </c>
      <c r="K89" s="2" t="s">
        <v>119</v>
      </c>
      <c r="L89" s="2" t="s">
        <v>74</v>
      </c>
      <c r="M89" s="2" t="s">
        <v>241</v>
      </c>
      <c r="N89" s="2" t="s">
        <v>195</v>
      </c>
      <c r="O89" s="2" t="s">
        <v>411</v>
      </c>
      <c r="P89" s="2" t="s">
        <v>411</v>
      </c>
      <c r="Q89" s="2" t="s">
        <v>33</v>
      </c>
    </row>
    <row r="90" spans="10:17" x14ac:dyDescent="0.3">
      <c r="J90" s="3" t="s">
        <v>138</v>
      </c>
      <c r="K90" s="3" t="s">
        <v>138</v>
      </c>
      <c r="L90" s="3" t="s">
        <v>295</v>
      </c>
      <c r="M90" s="3" t="s">
        <v>411</v>
      </c>
      <c r="N90" s="3" t="s">
        <v>267</v>
      </c>
      <c r="O90" s="3" t="s">
        <v>407</v>
      </c>
      <c r="P90" s="3" t="s">
        <v>407</v>
      </c>
      <c r="Q90" s="3" t="s">
        <v>332</v>
      </c>
    </row>
    <row r="91" spans="10:17" x14ac:dyDescent="0.3">
      <c r="J91" s="2" t="s">
        <v>59</v>
      </c>
      <c r="K91" s="2" t="s">
        <v>59</v>
      </c>
      <c r="L91" s="2" t="s">
        <v>272</v>
      </c>
      <c r="M91" s="2" t="s">
        <v>160</v>
      </c>
      <c r="N91" s="2" t="s">
        <v>169</v>
      </c>
      <c r="O91" s="2" t="s">
        <v>160</v>
      </c>
      <c r="P91" s="2" t="s">
        <v>160</v>
      </c>
      <c r="Q91" s="2" t="s">
        <v>356</v>
      </c>
    </row>
    <row r="92" spans="10:17" x14ac:dyDescent="0.3">
      <c r="J92" s="3" t="s">
        <v>83</v>
      </c>
      <c r="K92" s="3" t="s">
        <v>83</v>
      </c>
      <c r="L92" s="3" t="s">
        <v>322</v>
      </c>
      <c r="M92" s="3" t="s">
        <v>367</v>
      </c>
      <c r="N92" s="3" t="s">
        <v>346</v>
      </c>
      <c r="O92" s="3" t="s">
        <v>186</v>
      </c>
      <c r="P92" s="3" t="s">
        <v>186</v>
      </c>
      <c r="Q92" s="3" t="s">
        <v>400</v>
      </c>
    </row>
    <row r="93" spans="10:17" x14ac:dyDescent="0.3">
      <c r="J93" s="2" t="s">
        <v>494</v>
      </c>
      <c r="K93" s="2" t="s">
        <v>494</v>
      </c>
      <c r="L93" s="2" t="s">
        <v>223</v>
      </c>
      <c r="M93" s="2" t="s">
        <v>296</v>
      </c>
      <c r="N93" s="2" t="s">
        <v>176</v>
      </c>
      <c r="O93" s="2" t="s">
        <v>296</v>
      </c>
      <c r="P93" s="2" t="s">
        <v>296</v>
      </c>
      <c r="Q93" s="2" t="s">
        <v>384</v>
      </c>
    </row>
    <row r="94" spans="10:17" x14ac:dyDescent="0.3">
      <c r="J94" s="3" t="s">
        <v>17</v>
      </c>
      <c r="K94" s="3" t="s">
        <v>17</v>
      </c>
      <c r="L94" s="3" t="s">
        <v>429</v>
      </c>
      <c r="M94" s="3" t="s">
        <v>264</v>
      </c>
      <c r="N94" s="3" t="s">
        <v>173</v>
      </c>
      <c r="O94" s="3" t="s">
        <v>264</v>
      </c>
      <c r="P94" s="3" t="s">
        <v>264</v>
      </c>
      <c r="Q94" s="3" t="s">
        <v>129</v>
      </c>
    </row>
    <row r="95" spans="10:17" x14ac:dyDescent="0.3">
      <c r="J95" s="2" t="s">
        <v>194</v>
      </c>
      <c r="K95" s="2" t="s">
        <v>194</v>
      </c>
      <c r="L95" s="2" t="s">
        <v>62</v>
      </c>
      <c r="M95" s="2" t="s">
        <v>344</v>
      </c>
      <c r="N95" s="2" t="s">
        <v>108</v>
      </c>
      <c r="O95" s="2" t="s">
        <v>55</v>
      </c>
      <c r="P95" s="2" t="s">
        <v>55</v>
      </c>
      <c r="Q95" s="2" t="s">
        <v>178</v>
      </c>
    </row>
    <row r="96" spans="10:17" x14ac:dyDescent="0.3">
      <c r="J96" s="3" t="s">
        <v>230</v>
      </c>
      <c r="K96" s="3" t="s">
        <v>230</v>
      </c>
      <c r="L96" s="3" t="s">
        <v>386</v>
      </c>
      <c r="M96" s="3" t="s">
        <v>195</v>
      </c>
      <c r="N96" s="3" t="s">
        <v>454</v>
      </c>
      <c r="O96" s="3" t="s">
        <v>315</v>
      </c>
      <c r="P96" s="3" t="s">
        <v>315</v>
      </c>
      <c r="Q96" s="3" t="s">
        <v>111</v>
      </c>
    </row>
    <row r="97" spans="10:17" x14ac:dyDescent="0.3">
      <c r="J97" s="2" t="s">
        <v>333</v>
      </c>
      <c r="K97" s="2" t="s">
        <v>333</v>
      </c>
      <c r="L97" s="2" t="s">
        <v>471</v>
      </c>
      <c r="M97" s="2" t="s">
        <v>84</v>
      </c>
      <c r="N97" s="2" t="s">
        <v>329</v>
      </c>
      <c r="O97" s="2" t="s">
        <v>395</v>
      </c>
      <c r="P97" s="2" t="s">
        <v>395</v>
      </c>
      <c r="Q97" s="2" t="s">
        <v>76</v>
      </c>
    </row>
    <row r="98" spans="10:17" x14ac:dyDescent="0.3">
      <c r="J98" s="3" t="s">
        <v>352</v>
      </c>
      <c r="K98" s="3" t="s">
        <v>352</v>
      </c>
      <c r="L98" s="3" t="s">
        <v>339</v>
      </c>
      <c r="M98" s="3" t="s">
        <v>112</v>
      </c>
      <c r="N98" s="3" t="s">
        <v>311</v>
      </c>
      <c r="O98" s="3" t="s">
        <v>207</v>
      </c>
      <c r="P98" s="3" t="s">
        <v>207</v>
      </c>
      <c r="Q98" s="3" t="s">
        <v>157</v>
      </c>
    </row>
    <row r="99" spans="10:17" x14ac:dyDescent="0.3">
      <c r="J99" s="2" t="s">
        <v>217</v>
      </c>
      <c r="K99" s="2" t="s">
        <v>217</v>
      </c>
      <c r="L99" s="2" t="s">
        <v>506</v>
      </c>
      <c r="M99" s="2" t="s">
        <v>447</v>
      </c>
      <c r="N99" s="2" t="s">
        <v>393</v>
      </c>
      <c r="O99" s="2" t="s">
        <v>84</v>
      </c>
      <c r="P99" s="2" t="s">
        <v>84</v>
      </c>
      <c r="Q99" s="2" t="s">
        <v>26</v>
      </c>
    </row>
    <row r="100" spans="10:17" x14ac:dyDescent="0.3">
      <c r="J100" s="3" t="s">
        <v>345</v>
      </c>
      <c r="K100" s="3" t="s">
        <v>345</v>
      </c>
      <c r="L100" s="3" t="s">
        <v>120</v>
      </c>
      <c r="M100" s="3" t="s">
        <v>346</v>
      </c>
      <c r="N100" s="3" t="s">
        <v>192</v>
      </c>
      <c r="O100" s="3" t="s">
        <v>263</v>
      </c>
      <c r="P100" s="3" t="s">
        <v>263</v>
      </c>
      <c r="Q100" s="3" t="s">
        <v>182</v>
      </c>
    </row>
    <row r="101" spans="10:17" x14ac:dyDescent="0.3">
      <c r="J101" s="2" t="s">
        <v>415</v>
      </c>
      <c r="K101" s="2" t="s">
        <v>415</v>
      </c>
      <c r="L101" s="2" t="s">
        <v>424</v>
      </c>
      <c r="M101" s="2" t="s">
        <v>445</v>
      </c>
      <c r="N101" s="2" t="s">
        <v>373</v>
      </c>
      <c r="O101" s="2" t="s">
        <v>112</v>
      </c>
      <c r="P101" s="2" t="s">
        <v>112</v>
      </c>
      <c r="Q101" s="2" t="s">
        <v>244</v>
      </c>
    </row>
    <row r="102" spans="10:17" x14ac:dyDescent="0.3">
      <c r="J102" s="3" t="s">
        <v>64</v>
      </c>
      <c r="K102" s="3" t="s">
        <v>64</v>
      </c>
      <c r="L102" s="3" t="s">
        <v>258</v>
      </c>
      <c r="M102" s="3" t="s">
        <v>276</v>
      </c>
      <c r="N102" s="3" t="s">
        <v>449</v>
      </c>
      <c r="O102" s="3" t="s">
        <v>290</v>
      </c>
      <c r="P102" s="3" t="s">
        <v>290</v>
      </c>
      <c r="Q102" s="3" t="s">
        <v>237</v>
      </c>
    </row>
    <row r="103" spans="10:17" x14ac:dyDescent="0.3">
      <c r="J103" s="2" t="s">
        <v>232</v>
      </c>
      <c r="K103" s="2" t="s">
        <v>232</v>
      </c>
      <c r="L103" s="2" t="s">
        <v>463</v>
      </c>
      <c r="M103" s="2" t="s">
        <v>85</v>
      </c>
      <c r="N103" s="2" t="s">
        <v>382</v>
      </c>
      <c r="O103" s="2" t="s">
        <v>447</v>
      </c>
      <c r="P103" s="2" t="s">
        <v>447</v>
      </c>
      <c r="Q103" s="2" t="s">
        <v>233</v>
      </c>
    </row>
    <row r="104" spans="10:17" x14ac:dyDescent="0.3">
      <c r="J104" s="3" t="s">
        <v>453</v>
      </c>
      <c r="K104" s="3" t="s">
        <v>453</v>
      </c>
      <c r="L104" s="3" t="s">
        <v>377</v>
      </c>
      <c r="M104" s="3" t="s">
        <v>473</v>
      </c>
      <c r="N104" s="3" t="s">
        <v>451</v>
      </c>
      <c r="O104" s="3" t="s">
        <v>445</v>
      </c>
      <c r="P104" s="3" t="s">
        <v>445</v>
      </c>
      <c r="Q104" s="3" t="s">
        <v>314</v>
      </c>
    </row>
    <row r="105" spans="10:17" x14ac:dyDescent="0.3">
      <c r="J105" s="2" t="s">
        <v>104</v>
      </c>
      <c r="K105" s="2" t="s">
        <v>104</v>
      </c>
      <c r="L105" s="2" t="s">
        <v>69</v>
      </c>
      <c r="M105" s="2" t="s">
        <v>198</v>
      </c>
      <c r="N105" s="2" t="s">
        <v>335</v>
      </c>
      <c r="O105" s="2" t="s">
        <v>276</v>
      </c>
      <c r="P105" s="2" t="s">
        <v>276</v>
      </c>
      <c r="Q105" s="2" t="s">
        <v>149</v>
      </c>
    </row>
    <row r="106" spans="10:17" x14ac:dyDescent="0.3">
      <c r="J106" s="3" t="s">
        <v>300</v>
      </c>
      <c r="K106" s="3" t="s">
        <v>300</v>
      </c>
      <c r="L106" s="3" t="s">
        <v>320</v>
      </c>
      <c r="M106" s="3" t="s">
        <v>74</v>
      </c>
      <c r="N106" s="3" t="s">
        <v>460</v>
      </c>
      <c r="O106" s="3" t="s">
        <v>85</v>
      </c>
      <c r="P106" s="3" t="s">
        <v>85</v>
      </c>
      <c r="Q106" s="3" t="s">
        <v>247</v>
      </c>
    </row>
    <row r="107" spans="10:17" x14ac:dyDescent="0.3">
      <c r="J107" s="2" t="s">
        <v>298</v>
      </c>
      <c r="K107" s="2" t="s">
        <v>298</v>
      </c>
      <c r="L107" s="2" t="s">
        <v>419</v>
      </c>
      <c r="M107" s="2" t="s">
        <v>295</v>
      </c>
      <c r="N107" s="2" t="s">
        <v>199</v>
      </c>
      <c r="O107" s="2" t="s">
        <v>473</v>
      </c>
      <c r="P107" s="2" t="s">
        <v>473</v>
      </c>
      <c r="Q107" s="2" t="s">
        <v>313</v>
      </c>
    </row>
    <row r="108" spans="10:17" x14ac:dyDescent="0.3">
      <c r="J108" s="3" t="s">
        <v>158</v>
      </c>
      <c r="K108" s="3" t="s">
        <v>158</v>
      </c>
      <c r="L108" s="3" t="s">
        <v>145</v>
      </c>
      <c r="M108" s="3" t="s">
        <v>272</v>
      </c>
      <c r="N108" s="5" t="s">
        <v>318</v>
      </c>
      <c r="O108" s="3" t="s">
        <v>254</v>
      </c>
      <c r="P108" s="3" t="s">
        <v>254</v>
      </c>
      <c r="Q108" s="5" t="s">
        <v>189</v>
      </c>
    </row>
    <row r="109" spans="10:17" x14ac:dyDescent="0.3">
      <c r="J109" s="2" t="s">
        <v>388</v>
      </c>
      <c r="K109" s="2" t="s">
        <v>388</v>
      </c>
      <c r="L109" s="2" t="s">
        <v>81</v>
      </c>
      <c r="M109" s="2" t="s">
        <v>322</v>
      </c>
      <c r="O109" s="2" t="s">
        <v>198</v>
      </c>
      <c r="P109" s="2" t="s">
        <v>198</v>
      </c>
    </row>
    <row r="110" spans="10:17" x14ac:dyDescent="0.3">
      <c r="J110" s="3" t="s">
        <v>181</v>
      </c>
      <c r="K110" s="3" t="s">
        <v>181</v>
      </c>
      <c r="L110" s="3" t="s">
        <v>201</v>
      </c>
      <c r="M110" s="3" t="s">
        <v>329</v>
      </c>
      <c r="O110" s="3" t="s">
        <v>325</v>
      </c>
      <c r="P110" s="3" t="s">
        <v>325</v>
      </c>
    </row>
    <row r="111" spans="10:17" x14ac:dyDescent="0.3">
      <c r="J111" s="2" t="s">
        <v>448</v>
      </c>
      <c r="K111" s="2" t="s">
        <v>448</v>
      </c>
      <c r="L111" s="2" t="s">
        <v>219</v>
      </c>
      <c r="M111" s="2" t="s">
        <v>62</v>
      </c>
      <c r="O111" s="2" t="s">
        <v>144</v>
      </c>
      <c r="P111" s="2" t="s">
        <v>144</v>
      </c>
    </row>
    <row r="112" spans="10:17" x14ac:dyDescent="0.3">
      <c r="J112" s="3" t="s">
        <v>425</v>
      </c>
      <c r="K112" s="3" t="s">
        <v>425</v>
      </c>
      <c r="L112" s="3" t="s">
        <v>323</v>
      </c>
      <c r="M112" s="3" t="s">
        <v>386</v>
      </c>
      <c r="O112" s="3" t="s">
        <v>74</v>
      </c>
      <c r="P112" s="3" t="s">
        <v>74</v>
      </c>
    </row>
    <row r="113" spans="10:16" x14ac:dyDescent="0.3">
      <c r="J113" s="2" t="s">
        <v>421</v>
      </c>
      <c r="K113" s="2" t="s">
        <v>421</v>
      </c>
      <c r="L113" s="2" t="s">
        <v>47</v>
      </c>
      <c r="M113" s="2" t="s">
        <v>350</v>
      </c>
      <c r="O113" s="2" t="s">
        <v>295</v>
      </c>
      <c r="P113" s="2" t="s">
        <v>295</v>
      </c>
    </row>
    <row r="114" spans="10:16" x14ac:dyDescent="0.3">
      <c r="J114" s="3" t="s">
        <v>475</v>
      </c>
      <c r="K114" s="3" t="s">
        <v>475</v>
      </c>
      <c r="L114" s="3" t="s">
        <v>202</v>
      </c>
      <c r="M114" s="3" t="s">
        <v>339</v>
      </c>
      <c r="O114" s="3" t="s">
        <v>262</v>
      </c>
      <c r="P114" s="3" t="s">
        <v>262</v>
      </c>
    </row>
    <row r="115" spans="10:16" x14ac:dyDescent="0.3">
      <c r="J115" s="2" t="s">
        <v>438</v>
      </c>
      <c r="K115" s="2" t="s">
        <v>438</v>
      </c>
      <c r="L115" s="2" t="s">
        <v>390</v>
      </c>
      <c r="M115" s="2" t="s">
        <v>120</v>
      </c>
      <c r="O115" s="2" t="s">
        <v>272</v>
      </c>
      <c r="P115" s="2" t="s">
        <v>272</v>
      </c>
    </row>
    <row r="116" spans="10:16" x14ac:dyDescent="0.3">
      <c r="J116" s="3" t="s">
        <v>142</v>
      </c>
      <c r="K116" s="3" t="s">
        <v>142</v>
      </c>
      <c r="L116" s="3" t="s">
        <v>12</v>
      </c>
      <c r="M116" s="3" t="s">
        <v>258</v>
      </c>
      <c r="O116" s="3" t="s">
        <v>322</v>
      </c>
      <c r="P116" s="3" t="s">
        <v>322</v>
      </c>
    </row>
    <row r="117" spans="10:16" x14ac:dyDescent="0.3">
      <c r="J117" s="2" t="s">
        <v>235</v>
      </c>
      <c r="K117" s="2" t="s">
        <v>235</v>
      </c>
      <c r="L117" s="2" t="s">
        <v>381</v>
      </c>
      <c r="M117" s="2" t="s">
        <v>373</v>
      </c>
      <c r="O117" s="2" t="s">
        <v>223</v>
      </c>
      <c r="P117" s="2" t="s">
        <v>223</v>
      </c>
    </row>
    <row r="118" spans="10:16" x14ac:dyDescent="0.3">
      <c r="J118" s="3" t="s">
        <v>121</v>
      </c>
      <c r="K118" s="3" t="s">
        <v>121</v>
      </c>
      <c r="L118" s="3" t="s">
        <v>163</v>
      </c>
      <c r="M118" s="3" t="s">
        <v>69</v>
      </c>
      <c r="O118" s="3" t="s">
        <v>429</v>
      </c>
      <c r="P118" s="3" t="s">
        <v>429</v>
      </c>
    </row>
    <row r="119" spans="10:16" x14ac:dyDescent="0.3">
      <c r="J119" s="2" t="s">
        <v>172</v>
      </c>
      <c r="K119" s="2" t="s">
        <v>172</v>
      </c>
      <c r="L119" s="2" t="s">
        <v>206</v>
      </c>
      <c r="M119" s="2" t="s">
        <v>320</v>
      </c>
      <c r="O119" s="2" t="s">
        <v>62</v>
      </c>
      <c r="P119" s="2" t="s">
        <v>62</v>
      </c>
    </row>
    <row r="120" spans="10:16" x14ac:dyDescent="0.3">
      <c r="J120" s="3" t="s">
        <v>340</v>
      </c>
      <c r="K120" s="3" t="s">
        <v>340</v>
      </c>
      <c r="L120" s="3" t="s">
        <v>347</v>
      </c>
      <c r="M120" s="3" t="s">
        <v>419</v>
      </c>
      <c r="O120" s="3" t="s">
        <v>386</v>
      </c>
      <c r="P120" s="3" t="s">
        <v>386</v>
      </c>
    </row>
    <row r="121" spans="10:16" x14ac:dyDescent="0.3">
      <c r="J121" s="2" t="s">
        <v>376</v>
      </c>
      <c r="K121" s="2" t="s">
        <v>376</v>
      </c>
      <c r="L121" s="2" t="s">
        <v>10</v>
      </c>
      <c r="M121" s="2" t="s">
        <v>449</v>
      </c>
      <c r="O121" s="2" t="s">
        <v>471</v>
      </c>
      <c r="P121" s="2" t="s">
        <v>471</v>
      </c>
    </row>
    <row r="122" spans="10:16" x14ac:dyDescent="0.3">
      <c r="J122" s="3" t="s">
        <v>154</v>
      </c>
      <c r="K122" s="3" t="s">
        <v>154</v>
      </c>
      <c r="L122" s="3" t="s">
        <v>495</v>
      </c>
      <c r="M122" s="3" t="s">
        <v>451</v>
      </c>
      <c r="O122" s="3" t="s">
        <v>350</v>
      </c>
      <c r="P122" s="3" t="s">
        <v>350</v>
      </c>
    </row>
    <row r="123" spans="10:16" x14ac:dyDescent="0.3">
      <c r="J123" s="2" t="s">
        <v>136</v>
      </c>
      <c r="K123" s="2" t="s">
        <v>136</v>
      </c>
      <c r="L123" s="2" t="s">
        <v>489</v>
      </c>
      <c r="M123" s="2" t="s">
        <v>460</v>
      </c>
      <c r="O123" s="2" t="s">
        <v>339</v>
      </c>
      <c r="P123" s="2" t="s">
        <v>339</v>
      </c>
    </row>
    <row r="124" spans="10:16" x14ac:dyDescent="0.3">
      <c r="J124" s="3" t="s">
        <v>102</v>
      </c>
      <c r="K124" s="3" t="s">
        <v>102</v>
      </c>
      <c r="L124" s="3" t="s">
        <v>287</v>
      </c>
      <c r="M124" s="3" t="s">
        <v>47</v>
      </c>
      <c r="O124" s="3" t="s">
        <v>506</v>
      </c>
      <c r="P124" s="3" t="s">
        <v>506</v>
      </c>
    </row>
    <row r="125" spans="10:16" x14ac:dyDescent="0.3">
      <c r="J125" s="2" t="s">
        <v>30</v>
      </c>
      <c r="K125" s="2" t="s">
        <v>30</v>
      </c>
      <c r="L125" s="2" t="s">
        <v>44</v>
      </c>
      <c r="M125" s="2" t="s">
        <v>202</v>
      </c>
      <c r="O125" s="2" t="s">
        <v>120</v>
      </c>
      <c r="P125" s="2" t="s">
        <v>120</v>
      </c>
    </row>
    <row r="126" spans="10:16" x14ac:dyDescent="0.3">
      <c r="J126" s="3" t="s">
        <v>105</v>
      </c>
      <c r="K126" s="3" t="s">
        <v>105</v>
      </c>
      <c r="L126" s="3" t="s">
        <v>504</v>
      </c>
      <c r="M126" s="3" t="s">
        <v>274</v>
      </c>
      <c r="O126" s="3" t="s">
        <v>424</v>
      </c>
      <c r="P126" s="3" t="s">
        <v>424</v>
      </c>
    </row>
    <row r="127" spans="10:16" x14ac:dyDescent="0.3">
      <c r="J127" s="2" t="s">
        <v>478</v>
      </c>
      <c r="K127" s="2" t="s">
        <v>478</v>
      </c>
      <c r="L127" s="2" t="s">
        <v>72</v>
      </c>
      <c r="M127" s="2" t="s">
        <v>371</v>
      </c>
      <c r="O127" s="2" t="s">
        <v>258</v>
      </c>
      <c r="P127" s="2" t="s">
        <v>258</v>
      </c>
    </row>
    <row r="128" spans="10:16" x14ac:dyDescent="0.3">
      <c r="J128" s="3" t="s">
        <v>391</v>
      </c>
      <c r="K128" s="3" t="s">
        <v>391</v>
      </c>
      <c r="L128" s="3" t="s">
        <v>334</v>
      </c>
      <c r="M128" s="3" t="s">
        <v>457</v>
      </c>
      <c r="O128" s="3" t="s">
        <v>463</v>
      </c>
      <c r="P128" s="3" t="s">
        <v>463</v>
      </c>
    </row>
    <row r="129" spans="10:16" x14ac:dyDescent="0.3">
      <c r="J129" s="2" t="s">
        <v>220</v>
      </c>
      <c r="K129" s="2" t="s">
        <v>220</v>
      </c>
      <c r="L129" s="2" t="s">
        <v>486</v>
      </c>
      <c r="M129" s="2" t="s">
        <v>381</v>
      </c>
      <c r="O129" s="2" t="s">
        <v>260</v>
      </c>
      <c r="P129" s="2" t="s">
        <v>260</v>
      </c>
    </row>
    <row r="130" spans="10:16" x14ac:dyDescent="0.3">
      <c r="J130" s="3" t="s">
        <v>279</v>
      </c>
      <c r="K130" s="3" t="s">
        <v>279</v>
      </c>
      <c r="L130" s="3" t="s">
        <v>130</v>
      </c>
      <c r="M130" s="3" t="s">
        <v>250</v>
      </c>
      <c r="O130" s="3" t="s">
        <v>126</v>
      </c>
      <c r="P130" s="3" t="s">
        <v>126</v>
      </c>
    </row>
    <row r="131" spans="10:16" x14ac:dyDescent="0.3">
      <c r="J131" s="2" t="s">
        <v>159</v>
      </c>
      <c r="K131" s="2" t="s">
        <v>159</v>
      </c>
      <c r="L131" s="2" t="s">
        <v>442</v>
      </c>
      <c r="M131" s="2" t="s">
        <v>482</v>
      </c>
      <c r="O131" s="2" t="s">
        <v>377</v>
      </c>
      <c r="P131" s="2" t="s">
        <v>377</v>
      </c>
    </row>
    <row r="132" spans="10:16" x14ac:dyDescent="0.3">
      <c r="J132" s="3" t="s">
        <v>398</v>
      </c>
      <c r="K132" s="3" t="s">
        <v>398</v>
      </c>
      <c r="L132" s="3" t="s">
        <v>467</v>
      </c>
      <c r="M132" s="3" t="s">
        <v>492</v>
      </c>
      <c r="O132" s="3" t="s">
        <v>69</v>
      </c>
      <c r="P132" s="3" t="s">
        <v>69</v>
      </c>
    </row>
    <row r="133" spans="10:16" x14ac:dyDescent="0.3">
      <c r="J133" s="2" t="s">
        <v>432</v>
      </c>
      <c r="K133" s="2" t="s">
        <v>432</v>
      </c>
      <c r="L133" s="2" t="s">
        <v>359</v>
      </c>
      <c r="M133" s="2" t="s">
        <v>218</v>
      </c>
      <c r="O133" s="2" t="s">
        <v>320</v>
      </c>
      <c r="P133" s="2" t="s">
        <v>320</v>
      </c>
    </row>
    <row r="134" spans="10:16" x14ac:dyDescent="0.3">
      <c r="J134" s="3" t="s">
        <v>341</v>
      </c>
      <c r="K134" s="3" t="s">
        <v>341</v>
      </c>
      <c r="L134" s="3" t="s">
        <v>191</v>
      </c>
      <c r="M134" s="3" t="s">
        <v>347</v>
      </c>
      <c r="O134" s="3" t="s">
        <v>419</v>
      </c>
      <c r="P134" s="3" t="s">
        <v>419</v>
      </c>
    </row>
    <row r="135" spans="10:16" x14ac:dyDescent="0.3">
      <c r="J135" s="2" t="s">
        <v>417</v>
      </c>
      <c r="K135" s="2" t="s">
        <v>417</v>
      </c>
      <c r="L135" s="2" t="s">
        <v>86</v>
      </c>
      <c r="M135" s="2" t="s">
        <v>495</v>
      </c>
      <c r="O135" s="2" t="s">
        <v>145</v>
      </c>
      <c r="P135" s="2" t="s">
        <v>145</v>
      </c>
    </row>
    <row r="136" spans="10:16" x14ac:dyDescent="0.3">
      <c r="J136" s="3" t="s">
        <v>436</v>
      </c>
      <c r="K136" s="3" t="s">
        <v>436</v>
      </c>
      <c r="L136" s="3" t="s">
        <v>60</v>
      </c>
      <c r="M136" s="3" t="s">
        <v>489</v>
      </c>
      <c r="O136" s="3" t="s">
        <v>65</v>
      </c>
      <c r="P136" s="3" t="s">
        <v>65</v>
      </c>
    </row>
    <row r="137" spans="10:16" x14ac:dyDescent="0.3">
      <c r="J137" s="2" t="s">
        <v>179</v>
      </c>
      <c r="K137" s="2" t="s">
        <v>179</v>
      </c>
      <c r="L137" s="2" t="s">
        <v>385</v>
      </c>
      <c r="M137" s="2" t="s">
        <v>196</v>
      </c>
      <c r="O137" s="2" t="s">
        <v>81</v>
      </c>
      <c r="P137" s="2" t="s">
        <v>81</v>
      </c>
    </row>
    <row r="138" spans="10:16" x14ac:dyDescent="0.3">
      <c r="J138" s="3" t="s">
        <v>165</v>
      </c>
      <c r="K138" s="3" t="s">
        <v>165</v>
      </c>
      <c r="L138" s="3" t="s">
        <v>41</v>
      </c>
      <c r="M138" s="3" t="s">
        <v>34</v>
      </c>
      <c r="O138" s="3" t="s">
        <v>201</v>
      </c>
      <c r="P138" s="3" t="s">
        <v>201</v>
      </c>
    </row>
    <row r="139" spans="10:16" x14ac:dyDescent="0.3">
      <c r="J139" s="2" t="s">
        <v>28</v>
      </c>
      <c r="K139" s="2" t="s">
        <v>28</v>
      </c>
      <c r="L139" s="2" t="s">
        <v>469</v>
      </c>
      <c r="M139" s="2" t="s">
        <v>287</v>
      </c>
      <c r="O139" s="2" t="s">
        <v>219</v>
      </c>
      <c r="P139" s="2" t="s">
        <v>219</v>
      </c>
    </row>
    <row r="140" spans="10:16" x14ac:dyDescent="0.3">
      <c r="J140" s="3" t="s">
        <v>89</v>
      </c>
      <c r="K140" s="3" t="s">
        <v>89</v>
      </c>
      <c r="L140" s="3" t="s">
        <v>361</v>
      </c>
      <c r="M140" s="3" t="s">
        <v>265</v>
      </c>
      <c r="O140" s="3" t="s">
        <v>323</v>
      </c>
      <c r="P140" s="3" t="s">
        <v>323</v>
      </c>
    </row>
    <row r="141" spans="10:16" x14ac:dyDescent="0.3">
      <c r="J141" s="2" t="s">
        <v>481</v>
      </c>
      <c r="K141" s="2" t="s">
        <v>481</v>
      </c>
      <c r="L141" s="2" t="s">
        <v>351</v>
      </c>
      <c r="M141" s="2" t="s">
        <v>44</v>
      </c>
      <c r="O141" s="2" t="s">
        <v>47</v>
      </c>
      <c r="P141" s="2" t="s">
        <v>47</v>
      </c>
    </row>
    <row r="142" spans="10:16" x14ac:dyDescent="0.3">
      <c r="J142" s="3" t="s">
        <v>14</v>
      </c>
      <c r="K142" s="3" t="s">
        <v>14</v>
      </c>
      <c r="L142" s="3" t="s">
        <v>238</v>
      </c>
      <c r="M142" s="3" t="s">
        <v>72</v>
      </c>
      <c r="O142" s="3" t="s">
        <v>202</v>
      </c>
      <c r="P142" s="3" t="s">
        <v>202</v>
      </c>
    </row>
    <row r="143" spans="10:16" x14ac:dyDescent="0.3">
      <c r="J143" s="2" t="s">
        <v>416</v>
      </c>
      <c r="K143" s="2" t="s">
        <v>416</v>
      </c>
      <c r="L143" s="2" t="s">
        <v>502</v>
      </c>
      <c r="M143" s="2" t="s">
        <v>278</v>
      </c>
      <c r="O143" s="2" t="s">
        <v>274</v>
      </c>
      <c r="P143" s="2" t="s">
        <v>274</v>
      </c>
    </row>
    <row r="144" spans="10:16" x14ac:dyDescent="0.3">
      <c r="J144" s="3" t="s">
        <v>392</v>
      </c>
      <c r="K144" s="3" t="s">
        <v>392</v>
      </c>
      <c r="L144" s="3" t="s">
        <v>354</v>
      </c>
      <c r="M144" s="3" t="s">
        <v>334</v>
      </c>
      <c r="O144" s="3" t="s">
        <v>390</v>
      </c>
      <c r="P144" s="5" t="s">
        <v>390</v>
      </c>
    </row>
    <row r="145" spans="10:15" x14ac:dyDescent="0.3">
      <c r="J145" s="2" t="s">
        <v>409</v>
      </c>
      <c r="K145" s="2" t="s">
        <v>409</v>
      </c>
      <c r="L145" s="2" t="s">
        <v>52</v>
      </c>
      <c r="M145" s="2" t="s">
        <v>466</v>
      </c>
      <c r="O145" s="2" t="s">
        <v>12</v>
      </c>
    </row>
    <row r="146" spans="10:15" x14ac:dyDescent="0.3">
      <c r="J146" s="3" t="s">
        <v>402</v>
      </c>
      <c r="K146" s="3" t="s">
        <v>402</v>
      </c>
      <c r="L146" s="3" t="s">
        <v>440</v>
      </c>
      <c r="M146" s="3" t="s">
        <v>486</v>
      </c>
      <c r="O146" s="3" t="s">
        <v>381</v>
      </c>
    </row>
    <row r="147" spans="10:15" x14ac:dyDescent="0.3">
      <c r="J147" s="2" t="s">
        <v>132</v>
      </c>
      <c r="K147" s="2" t="s">
        <v>132</v>
      </c>
      <c r="L147" s="2" t="s">
        <v>497</v>
      </c>
      <c r="M147" s="2" t="s">
        <v>328</v>
      </c>
      <c r="O147" s="2" t="s">
        <v>163</v>
      </c>
    </row>
    <row r="148" spans="10:15" x14ac:dyDescent="0.3">
      <c r="J148" s="3" t="s">
        <v>79</v>
      </c>
      <c r="K148" s="3" t="s">
        <v>79</v>
      </c>
      <c r="L148" s="3" t="s">
        <v>330</v>
      </c>
      <c r="M148" s="3" t="s">
        <v>130</v>
      </c>
      <c r="O148" s="3" t="s">
        <v>206</v>
      </c>
    </row>
    <row r="149" spans="10:15" x14ac:dyDescent="0.3">
      <c r="J149" s="2" t="s">
        <v>68</v>
      </c>
      <c r="K149" s="2" t="s">
        <v>68</v>
      </c>
      <c r="L149" s="2" t="s">
        <v>175</v>
      </c>
      <c r="M149" s="2" t="s">
        <v>292</v>
      </c>
      <c r="O149" s="2" t="s">
        <v>347</v>
      </c>
    </row>
    <row r="150" spans="10:15" x14ac:dyDescent="0.3">
      <c r="J150" s="3" t="s">
        <v>51</v>
      </c>
      <c r="K150" s="3" t="s">
        <v>51</v>
      </c>
      <c r="L150" s="3" t="s">
        <v>90</v>
      </c>
      <c r="M150" s="3" t="s">
        <v>442</v>
      </c>
      <c r="O150" s="3" t="s">
        <v>10</v>
      </c>
    </row>
    <row r="151" spans="10:15" x14ac:dyDescent="0.3">
      <c r="J151" s="2" t="s">
        <v>317</v>
      </c>
      <c r="K151" s="2" t="s">
        <v>317</v>
      </c>
      <c r="L151" s="2" t="s">
        <v>49</v>
      </c>
      <c r="M151" s="2" t="s">
        <v>304</v>
      </c>
      <c r="O151" s="2" t="s">
        <v>495</v>
      </c>
    </row>
    <row r="152" spans="10:15" x14ac:dyDescent="0.3">
      <c r="J152" s="3" t="s">
        <v>227</v>
      </c>
      <c r="K152" s="3" t="s">
        <v>227</v>
      </c>
      <c r="L152" s="3" t="s">
        <v>282</v>
      </c>
      <c r="M152" s="3" t="s">
        <v>394</v>
      </c>
      <c r="O152" s="3" t="s">
        <v>489</v>
      </c>
    </row>
    <row r="153" spans="10:15" x14ac:dyDescent="0.3">
      <c r="J153" s="2" t="s">
        <v>115</v>
      </c>
      <c r="K153" s="2" t="s">
        <v>115</v>
      </c>
      <c r="L153" s="2" t="s">
        <v>283</v>
      </c>
      <c r="M153" s="2" t="s">
        <v>60</v>
      </c>
      <c r="O153" s="2" t="s">
        <v>196</v>
      </c>
    </row>
    <row r="154" spans="10:15" x14ac:dyDescent="0.3">
      <c r="J154" s="3" t="s">
        <v>342</v>
      </c>
      <c r="K154" s="3" t="s">
        <v>342</v>
      </c>
      <c r="L154" s="3" t="s">
        <v>151</v>
      </c>
      <c r="M154" s="3" t="s">
        <v>324</v>
      </c>
      <c r="O154" s="3" t="s">
        <v>287</v>
      </c>
    </row>
    <row r="155" spans="10:15" x14ac:dyDescent="0.3">
      <c r="J155" s="2" t="s">
        <v>210</v>
      </c>
      <c r="K155" s="2" t="s">
        <v>210</v>
      </c>
      <c r="L155" s="2" t="s">
        <v>366</v>
      </c>
      <c r="M155" s="2" t="s">
        <v>385</v>
      </c>
      <c r="O155" s="2" t="s">
        <v>44</v>
      </c>
    </row>
    <row r="156" spans="10:15" x14ac:dyDescent="0.3">
      <c r="J156" s="3" t="s">
        <v>23</v>
      </c>
      <c r="K156" s="3" t="s">
        <v>23</v>
      </c>
      <c r="L156" s="3" t="s">
        <v>372</v>
      </c>
      <c r="M156" s="3" t="s">
        <v>361</v>
      </c>
      <c r="O156" s="3" t="s">
        <v>504</v>
      </c>
    </row>
    <row r="157" spans="10:15" x14ac:dyDescent="0.3">
      <c r="J157" s="2" t="s">
        <v>426</v>
      </c>
      <c r="K157" s="2" t="s">
        <v>426</v>
      </c>
      <c r="L157" s="2" t="s">
        <v>444</v>
      </c>
      <c r="M157" s="2" t="s">
        <v>351</v>
      </c>
      <c r="O157" s="2" t="s">
        <v>72</v>
      </c>
    </row>
    <row r="158" spans="10:15" x14ac:dyDescent="0.3">
      <c r="J158" s="3" t="s">
        <v>139</v>
      </c>
      <c r="K158" s="3" t="s">
        <v>139</v>
      </c>
      <c r="L158" s="3" t="s">
        <v>78</v>
      </c>
      <c r="M158" s="3" t="s">
        <v>502</v>
      </c>
      <c r="O158" s="3" t="s">
        <v>209</v>
      </c>
    </row>
    <row r="159" spans="10:15" x14ac:dyDescent="0.3">
      <c r="J159" s="2" t="s">
        <v>321</v>
      </c>
      <c r="K159" s="2" t="s">
        <v>321</v>
      </c>
      <c r="L159" s="2" t="s">
        <v>405</v>
      </c>
      <c r="M159" s="2" t="s">
        <v>354</v>
      </c>
      <c r="O159" s="2" t="s">
        <v>334</v>
      </c>
    </row>
    <row r="160" spans="10:15" x14ac:dyDescent="0.3">
      <c r="J160" s="3" t="s">
        <v>116</v>
      </c>
      <c r="K160" s="3" t="s">
        <v>116</v>
      </c>
      <c r="L160" s="3" t="s">
        <v>380</v>
      </c>
      <c r="M160" s="3" t="s">
        <v>52</v>
      </c>
      <c r="O160" s="3" t="s">
        <v>486</v>
      </c>
    </row>
    <row r="161" spans="10:15" x14ac:dyDescent="0.3">
      <c r="J161" s="2" t="s">
        <v>95</v>
      </c>
      <c r="K161" s="2" t="s">
        <v>95</v>
      </c>
      <c r="L161" s="2" t="s">
        <v>434</v>
      </c>
      <c r="M161" s="2" t="s">
        <v>497</v>
      </c>
      <c r="O161" s="2" t="s">
        <v>328</v>
      </c>
    </row>
    <row r="162" spans="10:15" x14ac:dyDescent="0.3">
      <c r="J162" s="3" t="s">
        <v>133</v>
      </c>
      <c r="K162" s="3" t="s">
        <v>133</v>
      </c>
      <c r="L162" s="3" t="s">
        <v>113</v>
      </c>
      <c r="M162" s="3" t="s">
        <v>175</v>
      </c>
      <c r="O162" s="3" t="s">
        <v>130</v>
      </c>
    </row>
    <row r="163" spans="10:15" x14ac:dyDescent="0.3">
      <c r="J163" s="2" t="s">
        <v>180</v>
      </c>
      <c r="K163" s="2" t="s">
        <v>180</v>
      </c>
      <c r="L163" s="2" t="s">
        <v>293</v>
      </c>
      <c r="M163" s="2" t="s">
        <v>90</v>
      </c>
      <c r="O163" s="2" t="s">
        <v>442</v>
      </c>
    </row>
    <row r="164" spans="10:15" x14ac:dyDescent="0.3">
      <c r="J164" s="3" t="s">
        <v>211</v>
      </c>
      <c r="K164" s="3" t="s">
        <v>211</v>
      </c>
      <c r="L164" s="3" t="s">
        <v>31</v>
      </c>
      <c r="M164" s="3" t="s">
        <v>49</v>
      </c>
      <c r="O164" s="3" t="s">
        <v>240</v>
      </c>
    </row>
    <row r="165" spans="10:15" x14ac:dyDescent="0.3">
      <c r="J165" s="2" t="s">
        <v>253</v>
      </c>
      <c r="K165" s="2" t="s">
        <v>253</v>
      </c>
      <c r="L165" s="2" t="s">
        <v>216</v>
      </c>
      <c r="M165" s="2" t="s">
        <v>243</v>
      </c>
      <c r="O165" s="2" t="s">
        <v>467</v>
      </c>
    </row>
    <row r="166" spans="10:15" x14ac:dyDescent="0.3">
      <c r="J166" s="3" t="s">
        <v>82</v>
      </c>
      <c r="K166" s="3" t="s">
        <v>82</v>
      </c>
      <c r="L166" s="3" t="s">
        <v>152</v>
      </c>
      <c r="M166" s="3" t="s">
        <v>337</v>
      </c>
      <c r="O166" s="3" t="s">
        <v>266</v>
      </c>
    </row>
    <row r="167" spans="10:15" x14ac:dyDescent="0.3">
      <c r="J167" s="2" t="s">
        <v>501</v>
      </c>
      <c r="K167" s="2" t="s">
        <v>501</v>
      </c>
      <c r="L167" s="2" t="s">
        <v>268</v>
      </c>
      <c r="M167" s="2" t="s">
        <v>151</v>
      </c>
      <c r="O167" s="2" t="s">
        <v>359</v>
      </c>
    </row>
    <row r="168" spans="10:15" x14ac:dyDescent="0.3">
      <c r="J168" s="3" t="s">
        <v>507</v>
      </c>
      <c r="K168" s="3" t="s">
        <v>507</v>
      </c>
      <c r="L168" s="3" t="s">
        <v>137</v>
      </c>
      <c r="M168" s="3" t="s">
        <v>357</v>
      </c>
      <c r="O168" s="3" t="s">
        <v>191</v>
      </c>
    </row>
    <row r="169" spans="10:15" x14ac:dyDescent="0.3">
      <c r="J169" s="2" t="s">
        <v>88</v>
      </c>
      <c r="K169" s="2" t="s">
        <v>88</v>
      </c>
      <c r="L169" s="2" t="s">
        <v>458</v>
      </c>
      <c r="M169" s="2" t="s">
        <v>368</v>
      </c>
      <c r="O169" s="2" t="s">
        <v>231</v>
      </c>
    </row>
    <row r="170" spans="10:15" x14ac:dyDescent="0.3">
      <c r="J170" s="3" t="s">
        <v>299</v>
      </c>
      <c r="K170" s="3" t="s">
        <v>299</v>
      </c>
      <c r="L170" s="3" t="s">
        <v>187</v>
      </c>
      <c r="M170" s="3" t="s">
        <v>413</v>
      </c>
      <c r="O170" s="3" t="s">
        <v>86</v>
      </c>
    </row>
    <row r="171" spans="10:15" x14ac:dyDescent="0.3">
      <c r="J171" s="2" t="s">
        <v>141</v>
      </c>
      <c r="K171" s="2" t="s">
        <v>141</v>
      </c>
      <c r="L171" s="2" t="s">
        <v>364</v>
      </c>
      <c r="M171" s="2" t="s">
        <v>397</v>
      </c>
      <c r="O171" s="2" t="s">
        <v>60</v>
      </c>
    </row>
    <row r="172" spans="10:15" x14ac:dyDescent="0.3">
      <c r="J172" s="3" t="s">
        <v>383</v>
      </c>
      <c r="K172" s="3" t="s">
        <v>383</v>
      </c>
      <c r="L172" s="3" t="s">
        <v>110</v>
      </c>
      <c r="M172" s="3" t="s">
        <v>372</v>
      </c>
      <c r="O172" s="3" t="s">
        <v>385</v>
      </c>
    </row>
    <row r="173" spans="10:15" x14ac:dyDescent="0.3">
      <c r="J173" s="2" t="s">
        <v>241</v>
      </c>
      <c r="K173" s="2" t="s">
        <v>241</v>
      </c>
      <c r="L173" s="2" t="s">
        <v>208</v>
      </c>
      <c r="M173" s="2" t="s">
        <v>94</v>
      </c>
      <c r="O173" s="2" t="s">
        <v>41</v>
      </c>
    </row>
    <row r="174" spans="10:15" x14ac:dyDescent="0.3">
      <c r="J174" s="3" t="s">
        <v>411</v>
      </c>
      <c r="K174" s="3" t="s">
        <v>411</v>
      </c>
      <c r="L174" s="3" t="s">
        <v>408</v>
      </c>
      <c r="M174" s="3" t="s">
        <v>405</v>
      </c>
      <c r="O174" s="3" t="s">
        <v>469</v>
      </c>
    </row>
    <row r="175" spans="10:15" x14ac:dyDescent="0.3">
      <c r="J175" s="2" t="s">
        <v>407</v>
      </c>
      <c r="K175" s="2" t="s">
        <v>407</v>
      </c>
      <c r="L175" s="2" t="s">
        <v>167</v>
      </c>
      <c r="M175" s="2" t="s">
        <v>434</v>
      </c>
      <c r="O175" s="2" t="s">
        <v>361</v>
      </c>
    </row>
    <row r="176" spans="10:15" x14ac:dyDescent="0.3">
      <c r="J176" s="3" t="s">
        <v>160</v>
      </c>
      <c r="K176" s="3" t="s">
        <v>160</v>
      </c>
      <c r="L176" s="3" t="s">
        <v>80</v>
      </c>
      <c r="M176" s="3" t="s">
        <v>113</v>
      </c>
      <c r="O176" s="3" t="s">
        <v>351</v>
      </c>
    </row>
    <row r="177" spans="10:15" x14ac:dyDescent="0.3">
      <c r="J177" s="2" t="s">
        <v>367</v>
      </c>
      <c r="K177" s="2" t="s">
        <v>367</v>
      </c>
      <c r="L177" s="2" t="s">
        <v>91</v>
      </c>
      <c r="M177" s="2" t="s">
        <v>293</v>
      </c>
      <c r="O177" s="2" t="s">
        <v>238</v>
      </c>
    </row>
    <row r="178" spans="10:15" x14ac:dyDescent="0.3">
      <c r="J178" s="3" t="s">
        <v>186</v>
      </c>
      <c r="K178" s="3" t="s">
        <v>186</v>
      </c>
      <c r="L178" s="3" t="s">
        <v>326</v>
      </c>
      <c r="M178" s="3" t="s">
        <v>31</v>
      </c>
      <c r="O178" s="3" t="s">
        <v>502</v>
      </c>
    </row>
    <row r="179" spans="10:15" x14ac:dyDescent="0.3">
      <c r="J179" s="2" t="s">
        <v>296</v>
      </c>
      <c r="K179" s="2" t="s">
        <v>296</v>
      </c>
      <c r="L179" s="2" t="s">
        <v>147</v>
      </c>
      <c r="M179" s="2" t="s">
        <v>435</v>
      </c>
      <c r="O179" s="2" t="s">
        <v>354</v>
      </c>
    </row>
    <row r="180" spans="10:15" x14ac:dyDescent="0.3">
      <c r="J180" s="3" t="s">
        <v>264</v>
      </c>
      <c r="K180" s="3" t="s">
        <v>264</v>
      </c>
      <c r="L180" s="3" t="s">
        <v>422</v>
      </c>
      <c r="M180" s="3" t="s">
        <v>152</v>
      </c>
      <c r="O180" s="3" t="s">
        <v>52</v>
      </c>
    </row>
    <row r="181" spans="10:15" x14ac:dyDescent="0.3">
      <c r="J181" s="2" t="s">
        <v>344</v>
      </c>
      <c r="K181" s="2" t="s">
        <v>344</v>
      </c>
      <c r="L181" s="2" t="s">
        <v>496</v>
      </c>
      <c r="M181" s="2" t="s">
        <v>137</v>
      </c>
      <c r="O181" s="2" t="s">
        <v>488</v>
      </c>
    </row>
    <row r="182" spans="10:15" x14ac:dyDescent="0.3">
      <c r="J182" s="3" t="s">
        <v>55</v>
      </c>
      <c r="K182" s="3" t="s">
        <v>55</v>
      </c>
      <c r="L182" s="3" t="s">
        <v>190</v>
      </c>
      <c r="M182" s="3" t="s">
        <v>458</v>
      </c>
      <c r="O182" s="3" t="s">
        <v>440</v>
      </c>
    </row>
    <row r="183" spans="10:15" x14ac:dyDescent="0.3">
      <c r="J183" s="2" t="s">
        <v>315</v>
      </c>
      <c r="K183" s="2" t="s">
        <v>315</v>
      </c>
      <c r="L183" s="2" t="s">
        <v>387</v>
      </c>
      <c r="M183" s="2" t="s">
        <v>187</v>
      </c>
      <c r="O183" s="2" t="s">
        <v>497</v>
      </c>
    </row>
    <row r="184" spans="10:15" x14ac:dyDescent="0.3">
      <c r="J184" s="3" t="s">
        <v>395</v>
      </c>
      <c r="K184" s="3" t="s">
        <v>395</v>
      </c>
      <c r="L184" s="3" t="s">
        <v>128</v>
      </c>
      <c r="M184" s="3" t="s">
        <v>364</v>
      </c>
      <c r="O184" s="3" t="s">
        <v>330</v>
      </c>
    </row>
    <row r="185" spans="10:15" x14ac:dyDescent="0.3">
      <c r="J185" s="2" t="s">
        <v>195</v>
      </c>
      <c r="K185" s="2" t="s">
        <v>195</v>
      </c>
      <c r="L185" s="2" t="s">
        <v>16</v>
      </c>
      <c r="M185" s="2" t="s">
        <v>77</v>
      </c>
      <c r="O185" s="2" t="s">
        <v>175</v>
      </c>
    </row>
    <row r="186" spans="10:15" x14ac:dyDescent="0.3">
      <c r="J186" s="3" t="s">
        <v>207</v>
      </c>
      <c r="K186" s="3" t="s">
        <v>207</v>
      </c>
      <c r="L186" s="3" t="s">
        <v>374</v>
      </c>
      <c r="M186" s="3" t="s">
        <v>50</v>
      </c>
      <c r="O186" s="3" t="s">
        <v>90</v>
      </c>
    </row>
    <row r="187" spans="10:15" x14ac:dyDescent="0.3">
      <c r="J187" s="2" t="s">
        <v>84</v>
      </c>
      <c r="K187" s="2" t="s">
        <v>84</v>
      </c>
      <c r="L187" s="2" t="s">
        <v>281</v>
      </c>
      <c r="M187" s="2" t="s">
        <v>200</v>
      </c>
      <c r="O187" s="2" t="s">
        <v>49</v>
      </c>
    </row>
    <row r="188" spans="10:15" x14ac:dyDescent="0.3">
      <c r="J188" s="3" t="s">
        <v>267</v>
      </c>
      <c r="K188" s="3" t="s">
        <v>267</v>
      </c>
      <c r="L188" s="3" t="s">
        <v>327</v>
      </c>
      <c r="M188" s="3" t="s">
        <v>110</v>
      </c>
      <c r="O188" s="3" t="s">
        <v>348</v>
      </c>
    </row>
    <row r="189" spans="10:15" x14ac:dyDescent="0.3">
      <c r="J189" s="2" t="s">
        <v>263</v>
      </c>
      <c r="K189" s="2" t="s">
        <v>263</v>
      </c>
      <c r="L189" s="2" t="s">
        <v>261</v>
      </c>
      <c r="M189" s="2" t="s">
        <v>184</v>
      </c>
      <c r="O189" s="2" t="s">
        <v>101</v>
      </c>
    </row>
    <row r="190" spans="10:15" x14ac:dyDescent="0.3">
      <c r="J190" s="3" t="s">
        <v>169</v>
      </c>
      <c r="K190" s="3" t="s">
        <v>169</v>
      </c>
      <c r="L190" s="3" t="s">
        <v>242</v>
      </c>
      <c r="M190" s="3" t="s">
        <v>270</v>
      </c>
      <c r="O190" s="3" t="s">
        <v>146</v>
      </c>
    </row>
    <row r="191" spans="10:15" x14ac:dyDescent="0.3">
      <c r="J191" s="2" t="s">
        <v>112</v>
      </c>
      <c r="K191" s="2" t="s">
        <v>112</v>
      </c>
      <c r="L191" s="2" t="s">
        <v>418</v>
      </c>
      <c r="M191" s="2" t="s">
        <v>408</v>
      </c>
      <c r="O191" s="2" t="s">
        <v>282</v>
      </c>
    </row>
    <row r="192" spans="10:15" x14ac:dyDescent="0.3">
      <c r="J192" s="3" t="s">
        <v>290</v>
      </c>
      <c r="K192" s="3" t="s">
        <v>290</v>
      </c>
      <c r="L192" s="3" t="s">
        <v>168</v>
      </c>
      <c r="M192" s="3" t="s">
        <v>167</v>
      </c>
      <c r="O192" s="3" t="s">
        <v>283</v>
      </c>
    </row>
    <row r="193" spans="10:15" x14ac:dyDescent="0.3">
      <c r="J193" s="2" t="s">
        <v>447</v>
      </c>
      <c r="K193" s="2" t="s">
        <v>447</v>
      </c>
      <c r="L193" s="2" t="s">
        <v>185</v>
      </c>
      <c r="M193" s="2" t="s">
        <v>326</v>
      </c>
      <c r="O193" s="2" t="s">
        <v>151</v>
      </c>
    </row>
    <row r="194" spans="10:15" x14ac:dyDescent="0.3">
      <c r="J194" s="3" t="s">
        <v>346</v>
      </c>
      <c r="K194" s="3" t="s">
        <v>346</v>
      </c>
      <c r="L194" s="3" t="s">
        <v>297</v>
      </c>
      <c r="M194" s="3" t="s">
        <v>375</v>
      </c>
      <c r="O194" s="3" t="s">
        <v>397</v>
      </c>
    </row>
    <row r="195" spans="10:15" x14ac:dyDescent="0.3">
      <c r="J195" s="2" t="s">
        <v>445</v>
      </c>
      <c r="K195" s="2" t="s">
        <v>445</v>
      </c>
      <c r="L195" s="2" t="s">
        <v>215</v>
      </c>
      <c r="M195" s="2" t="s">
        <v>496</v>
      </c>
      <c r="O195" s="2" t="s">
        <v>366</v>
      </c>
    </row>
    <row r="196" spans="10:15" x14ac:dyDescent="0.3">
      <c r="J196" s="3" t="s">
        <v>276</v>
      </c>
      <c r="K196" s="3" t="s">
        <v>276</v>
      </c>
      <c r="L196" s="3" t="s">
        <v>491</v>
      </c>
      <c r="M196" s="3" t="s">
        <v>487</v>
      </c>
      <c r="O196" s="3" t="s">
        <v>372</v>
      </c>
    </row>
    <row r="197" spans="10:15" x14ac:dyDescent="0.3">
      <c r="J197" s="2" t="s">
        <v>176</v>
      </c>
      <c r="K197" s="2" t="s">
        <v>176</v>
      </c>
      <c r="L197" s="2" t="s">
        <v>18</v>
      </c>
      <c r="M197" s="2" t="s">
        <v>128</v>
      </c>
      <c r="O197" s="2" t="s">
        <v>444</v>
      </c>
    </row>
    <row r="198" spans="10:15" x14ac:dyDescent="0.3">
      <c r="J198" s="3" t="s">
        <v>85</v>
      </c>
      <c r="K198" s="3" t="s">
        <v>85</v>
      </c>
      <c r="L198" s="3" t="s">
        <v>27</v>
      </c>
      <c r="M198" s="3" t="s">
        <v>16</v>
      </c>
      <c r="O198" s="3" t="s">
        <v>78</v>
      </c>
    </row>
    <row r="199" spans="10:15" x14ac:dyDescent="0.3">
      <c r="J199" s="2" t="s">
        <v>473</v>
      </c>
      <c r="K199" s="2" t="s">
        <v>473</v>
      </c>
      <c r="L199" s="2" t="s">
        <v>22</v>
      </c>
      <c r="M199" s="2" t="s">
        <v>472</v>
      </c>
      <c r="O199" s="2" t="s">
        <v>405</v>
      </c>
    </row>
    <row r="200" spans="10:15" x14ac:dyDescent="0.3">
      <c r="J200" s="3" t="s">
        <v>254</v>
      </c>
      <c r="K200" s="3" t="s">
        <v>254</v>
      </c>
      <c r="L200" s="3" t="s">
        <v>246</v>
      </c>
      <c r="M200" s="3" t="s">
        <v>374</v>
      </c>
      <c r="O200" s="3" t="s">
        <v>380</v>
      </c>
    </row>
    <row r="201" spans="10:15" x14ac:dyDescent="0.3">
      <c r="J201" s="2" t="s">
        <v>198</v>
      </c>
      <c r="K201" s="2" t="s">
        <v>198</v>
      </c>
      <c r="L201" s="2" t="s">
        <v>103</v>
      </c>
      <c r="M201" s="2" t="s">
        <v>281</v>
      </c>
      <c r="O201" s="2" t="s">
        <v>434</v>
      </c>
    </row>
    <row r="202" spans="10:15" x14ac:dyDescent="0.3">
      <c r="J202" s="3" t="s">
        <v>325</v>
      </c>
      <c r="K202" s="3" t="s">
        <v>325</v>
      </c>
      <c r="L202" s="3" t="s">
        <v>164</v>
      </c>
      <c r="M202" s="3" t="s">
        <v>430</v>
      </c>
      <c r="O202" s="3" t="s">
        <v>113</v>
      </c>
    </row>
    <row r="203" spans="10:15" x14ac:dyDescent="0.3">
      <c r="J203" s="2" t="s">
        <v>173</v>
      </c>
      <c r="K203" s="2" t="s">
        <v>173</v>
      </c>
      <c r="L203" s="2" t="s">
        <v>255</v>
      </c>
      <c r="M203" s="2" t="s">
        <v>221</v>
      </c>
      <c r="O203" s="2" t="s">
        <v>293</v>
      </c>
    </row>
    <row r="204" spans="10:15" x14ac:dyDescent="0.3">
      <c r="J204" s="3" t="s">
        <v>144</v>
      </c>
      <c r="K204" s="3" t="s">
        <v>144</v>
      </c>
      <c r="L204" s="3" t="s">
        <v>257</v>
      </c>
      <c r="M204" s="3" t="s">
        <v>261</v>
      </c>
      <c r="O204" s="3" t="s">
        <v>31</v>
      </c>
    </row>
    <row r="205" spans="10:15" x14ac:dyDescent="0.3">
      <c r="J205" s="2" t="s">
        <v>74</v>
      </c>
      <c r="K205" s="2" t="s">
        <v>74</v>
      </c>
      <c r="L205" s="2" t="s">
        <v>67</v>
      </c>
      <c r="M205" s="2" t="s">
        <v>378</v>
      </c>
      <c r="O205" s="2" t="s">
        <v>216</v>
      </c>
    </row>
    <row r="206" spans="10:15" x14ac:dyDescent="0.3">
      <c r="J206" s="3" t="s">
        <v>108</v>
      </c>
      <c r="K206" s="3" t="s">
        <v>108</v>
      </c>
      <c r="L206" s="3" t="s">
        <v>468</v>
      </c>
      <c r="M206" s="3" t="s">
        <v>485</v>
      </c>
      <c r="O206" s="3" t="s">
        <v>152</v>
      </c>
    </row>
    <row r="207" spans="10:15" x14ac:dyDescent="0.3">
      <c r="K207" s="2" t="s">
        <v>295</v>
      </c>
      <c r="L207" s="2" t="s">
        <v>433</v>
      </c>
      <c r="M207" s="2" t="s">
        <v>242</v>
      </c>
      <c r="O207" s="2" t="s">
        <v>268</v>
      </c>
    </row>
    <row r="208" spans="10:15" x14ac:dyDescent="0.3">
      <c r="K208" s="3" t="s">
        <v>262</v>
      </c>
      <c r="L208" s="3" t="s">
        <v>39</v>
      </c>
      <c r="M208" s="3" t="s">
        <v>399</v>
      </c>
      <c r="O208" s="3" t="s">
        <v>137</v>
      </c>
    </row>
    <row r="209" spans="11:15" x14ac:dyDescent="0.3">
      <c r="K209" s="2" t="s">
        <v>272</v>
      </c>
      <c r="L209" s="2" t="s">
        <v>459</v>
      </c>
      <c r="M209" s="2" t="s">
        <v>40</v>
      </c>
      <c r="O209" s="2" t="s">
        <v>458</v>
      </c>
    </row>
    <row r="210" spans="11:15" x14ac:dyDescent="0.3">
      <c r="K210" s="3" t="s">
        <v>454</v>
      </c>
      <c r="L210" s="3" t="s">
        <v>446</v>
      </c>
      <c r="M210" s="3" t="s">
        <v>418</v>
      </c>
      <c r="O210" s="3" t="s">
        <v>187</v>
      </c>
    </row>
    <row r="211" spans="11:15" x14ac:dyDescent="0.3">
      <c r="K211" s="2" t="s">
        <v>322</v>
      </c>
      <c r="L211" s="2" t="s">
        <v>24</v>
      </c>
      <c r="M211" s="2" t="s">
        <v>362</v>
      </c>
      <c r="O211" s="2" t="s">
        <v>364</v>
      </c>
    </row>
    <row r="212" spans="11:15" x14ac:dyDescent="0.3">
      <c r="K212" s="3" t="s">
        <v>223</v>
      </c>
      <c r="L212" s="3" t="s">
        <v>275</v>
      </c>
      <c r="M212" s="3" t="s">
        <v>215</v>
      </c>
      <c r="O212" s="3" t="s">
        <v>110</v>
      </c>
    </row>
    <row r="213" spans="11:15" x14ac:dyDescent="0.3">
      <c r="K213" s="2" t="s">
        <v>429</v>
      </c>
      <c r="L213" s="2" t="s">
        <v>20</v>
      </c>
      <c r="M213" s="2" t="s">
        <v>22</v>
      </c>
      <c r="O213" s="2" t="s">
        <v>208</v>
      </c>
    </row>
    <row r="214" spans="11:15" x14ac:dyDescent="0.3">
      <c r="K214" s="3" t="s">
        <v>329</v>
      </c>
      <c r="L214" s="3" t="s">
        <v>470</v>
      </c>
      <c r="M214" s="3" t="s">
        <v>246</v>
      </c>
      <c r="O214" s="3" t="s">
        <v>270</v>
      </c>
    </row>
    <row r="215" spans="11:15" x14ac:dyDescent="0.3">
      <c r="K215" s="2" t="s">
        <v>62</v>
      </c>
      <c r="L215" s="2" t="s">
        <v>427</v>
      </c>
      <c r="M215" s="2" t="s">
        <v>123</v>
      </c>
      <c r="O215" s="2" t="s">
        <v>408</v>
      </c>
    </row>
    <row r="216" spans="11:15" x14ac:dyDescent="0.3">
      <c r="K216" s="3" t="s">
        <v>386</v>
      </c>
      <c r="L216" s="3" t="s">
        <v>256</v>
      </c>
      <c r="M216" s="3" t="s">
        <v>365</v>
      </c>
      <c r="O216" s="3" t="s">
        <v>167</v>
      </c>
    </row>
    <row r="217" spans="11:15" x14ac:dyDescent="0.3">
      <c r="K217" s="2" t="s">
        <v>311</v>
      </c>
      <c r="L217" s="2" t="s">
        <v>450</v>
      </c>
      <c r="M217" s="2" t="s">
        <v>164</v>
      </c>
      <c r="O217" s="2" t="s">
        <v>80</v>
      </c>
    </row>
    <row r="218" spans="11:15" x14ac:dyDescent="0.3">
      <c r="K218" s="3" t="s">
        <v>471</v>
      </c>
      <c r="L218" s="3" t="s">
        <v>56</v>
      </c>
      <c r="M218" s="3" t="s">
        <v>11</v>
      </c>
      <c r="O218" s="3" t="s">
        <v>91</v>
      </c>
    </row>
    <row r="219" spans="11:15" x14ac:dyDescent="0.3">
      <c r="K219" s="2" t="s">
        <v>350</v>
      </c>
      <c r="L219" s="2" t="s">
        <v>490</v>
      </c>
      <c r="M219" s="2" t="s">
        <v>229</v>
      </c>
      <c r="O219" s="2" t="s">
        <v>326</v>
      </c>
    </row>
    <row r="220" spans="11:15" x14ac:dyDescent="0.3">
      <c r="K220" s="3" t="s">
        <v>339</v>
      </c>
      <c r="L220" s="3" t="s">
        <v>343</v>
      </c>
      <c r="M220" s="3" t="s">
        <v>255</v>
      </c>
      <c r="O220" s="3" t="s">
        <v>147</v>
      </c>
    </row>
    <row r="221" spans="11:15" x14ac:dyDescent="0.3">
      <c r="K221" s="2" t="s">
        <v>506</v>
      </c>
      <c r="L221" s="2" t="s">
        <v>197</v>
      </c>
      <c r="M221" s="2" t="s">
        <v>222</v>
      </c>
      <c r="O221" s="2" t="s">
        <v>422</v>
      </c>
    </row>
    <row r="222" spans="11:15" x14ac:dyDescent="0.3">
      <c r="K222" s="3" t="s">
        <v>393</v>
      </c>
      <c r="L222" s="3" t="s">
        <v>443</v>
      </c>
      <c r="M222" s="3" t="s">
        <v>355</v>
      </c>
      <c r="O222" s="3" t="s">
        <v>496</v>
      </c>
    </row>
    <row r="223" spans="11:15" x14ac:dyDescent="0.3">
      <c r="K223" s="2" t="s">
        <v>192</v>
      </c>
      <c r="L223" s="2" t="s">
        <v>401</v>
      </c>
      <c r="M223" s="2" t="s">
        <v>67</v>
      </c>
      <c r="O223" s="2" t="s">
        <v>190</v>
      </c>
    </row>
    <row r="224" spans="11:15" x14ac:dyDescent="0.3">
      <c r="K224" s="3" t="s">
        <v>120</v>
      </c>
      <c r="L224" s="3" t="s">
        <v>370</v>
      </c>
      <c r="M224" s="3" t="s">
        <v>87</v>
      </c>
      <c r="O224" s="3" t="s">
        <v>387</v>
      </c>
    </row>
    <row r="225" spans="11:15" x14ac:dyDescent="0.3">
      <c r="K225" s="2" t="s">
        <v>424</v>
      </c>
      <c r="L225" s="2" t="s">
        <v>291</v>
      </c>
      <c r="M225" s="2" t="s">
        <v>459</v>
      </c>
      <c r="O225" s="2" t="s">
        <v>128</v>
      </c>
    </row>
    <row r="226" spans="11:15" x14ac:dyDescent="0.3">
      <c r="K226" s="3" t="s">
        <v>258</v>
      </c>
      <c r="L226" s="3" t="s">
        <v>479</v>
      </c>
      <c r="M226" s="3" t="s">
        <v>294</v>
      </c>
      <c r="O226" s="3" t="s">
        <v>16</v>
      </c>
    </row>
    <row r="227" spans="11:15" x14ac:dyDescent="0.3">
      <c r="K227" s="2" t="s">
        <v>463</v>
      </c>
      <c r="L227" s="2" t="s">
        <v>37</v>
      </c>
      <c r="M227" s="2" t="s">
        <v>275</v>
      </c>
      <c r="O227" s="2" t="s">
        <v>57</v>
      </c>
    </row>
    <row r="228" spans="11:15" x14ac:dyDescent="0.3">
      <c r="K228" s="3" t="s">
        <v>260</v>
      </c>
      <c r="L228" s="3" t="s">
        <v>437</v>
      </c>
      <c r="M228" s="3" t="s">
        <v>70</v>
      </c>
      <c r="O228" s="3" t="s">
        <v>472</v>
      </c>
    </row>
    <row r="229" spans="11:15" x14ac:dyDescent="0.3">
      <c r="K229" s="2" t="s">
        <v>126</v>
      </c>
      <c r="L229" s="2" t="s">
        <v>25</v>
      </c>
      <c r="M229" s="2" t="s">
        <v>20</v>
      </c>
      <c r="O229" s="2" t="s">
        <v>374</v>
      </c>
    </row>
    <row r="230" spans="11:15" x14ac:dyDescent="0.3">
      <c r="K230" s="3" t="s">
        <v>373</v>
      </c>
      <c r="L230" s="3" t="s">
        <v>61</v>
      </c>
      <c r="M230" s="3" t="s">
        <v>307</v>
      </c>
      <c r="O230" s="3" t="s">
        <v>281</v>
      </c>
    </row>
    <row r="231" spans="11:15" x14ac:dyDescent="0.3">
      <c r="K231" s="2" t="s">
        <v>377</v>
      </c>
      <c r="L231" s="2" t="s">
        <v>505</v>
      </c>
      <c r="M231" s="2" t="s">
        <v>427</v>
      </c>
      <c r="O231" s="2" t="s">
        <v>474</v>
      </c>
    </row>
    <row r="232" spans="11:15" x14ac:dyDescent="0.3">
      <c r="K232" s="3" t="s">
        <v>69</v>
      </c>
      <c r="L232" s="3" t="s">
        <v>480</v>
      </c>
      <c r="M232" s="3" t="s">
        <v>450</v>
      </c>
      <c r="O232" s="3" t="s">
        <v>327</v>
      </c>
    </row>
    <row r="233" spans="11:15" x14ac:dyDescent="0.3">
      <c r="K233" s="2" t="s">
        <v>320</v>
      </c>
      <c r="L233" s="2" t="s">
        <v>143</v>
      </c>
      <c r="M233" s="2" t="s">
        <v>99</v>
      </c>
      <c r="O233" s="2" t="s">
        <v>261</v>
      </c>
    </row>
    <row r="234" spans="11:15" x14ac:dyDescent="0.3">
      <c r="K234" s="3" t="s">
        <v>419</v>
      </c>
      <c r="L234" s="3" t="s">
        <v>476</v>
      </c>
      <c r="M234" s="3" t="s">
        <v>490</v>
      </c>
      <c r="O234" s="3" t="s">
        <v>485</v>
      </c>
    </row>
    <row r="235" spans="11:15" x14ac:dyDescent="0.3">
      <c r="K235" s="2" t="s">
        <v>145</v>
      </c>
      <c r="L235" s="4" t="s">
        <v>406</v>
      </c>
      <c r="M235" s="2" t="s">
        <v>343</v>
      </c>
      <c r="O235" s="2" t="s">
        <v>461</v>
      </c>
    </row>
    <row r="236" spans="11:15" x14ac:dyDescent="0.3">
      <c r="K236" s="3" t="s">
        <v>449</v>
      </c>
      <c r="M236" s="3" t="s">
        <v>197</v>
      </c>
      <c r="O236" s="3" t="s">
        <v>242</v>
      </c>
    </row>
    <row r="237" spans="11:15" x14ac:dyDescent="0.3">
      <c r="K237" s="2" t="s">
        <v>382</v>
      </c>
      <c r="M237" s="2" t="s">
        <v>33</v>
      </c>
      <c r="O237" s="2" t="s">
        <v>399</v>
      </c>
    </row>
    <row r="238" spans="11:15" x14ac:dyDescent="0.3">
      <c r="K238" s="3" t="s">
        <v>451</v>
      </c>
      <c r="M238" s="3" t="s">
        <v>332</v>
      </c>
      <c r="O238" s="3" t="s">
        <v>418</v>
      </c>
    </row>
    <row r="239" spans="11:15" x14ac:dyDescent="0.3">
      <c r="K239" s="2" t="s">
        <v>65</v>
      </c>
      <c r="M239" s="2" t="s">
        <v>291</v>
      </c>
      <c r="O239" s="2" t="s">
        <v>168</v>
      </c>
    </row>
    <row r="240" spans="11:15" x14ac:dyDescent="0.3">
      <c r="K240" s="3" t="s">
        <v>81</v>
      </c>
      <c r="M240" s="3" t="s">
        <v>157</v>
      </c>
      <c r="O240" s="3" t="s">
        <v>185</v>
      </c>
    </row>
    <row r="241" spans="11:15" x14ac:dyDescent="0.3">
      <c r="K241" s="2" t="s">
        <v>335</v>
      </c>
      <c r="M241" s="2" t="s">
        <v>479</v>
      </c>
      <c r="O241" s="2" t="s">
        <v>297</v>
      </c>
    </row>
    <row r="242" spans="11:15" x14ac:dyDescent="0.3">
      <c r="K242" s="3" t="s">
        <v>201</v>
      </c>
      <c r="M242" s="3" t="s">
        <v>37</v>
      </c>
      <c r="O242" s="3" t="s">
        <v>215</v>
      </c>
    </row>
    <row r="243" spans="11:15" x14ac:dyDescent="0.3">
      <c r="K243" s="2" t="s">
        <v>460</v>
      </c>
      <c r="M243" s="2" t="s">
        <v>437</v>
      </c>
      <c r="O243" s="2" t="s">
        <v>319</v>
      </c>
    </row>
    <row r="244" spans="11:15" x14ac:dyDescent="0.3">
      <c r="K244" s="3" t="s">
        <v>219</v>
      </c>
      <c r="M244" s="3" t="s">
        <v>499</v>
      </c>
      <c r="O244" s="3" t="s">
        <v>491</v>
      </c>
    </row>
    <row r="245" spans="11:15" x14ac:dyDescent="0.3">
      <c r="K245" s="2" t="s">
        <v>323</v>
      </c>
      <c r="M245" s="2" t="s">
        <v>237</v>
      </c>
      <c r="O245" s="2" t="s">
        <v>18</v>
      </c>
    </row>
    <row r="246" spans="11:15" x14ac:dyDescent="0.3">
      <c r="K246" s="3" t="s">
        <v>47</v>
      </c>
      <c r="M246" s="3" t="s">
        <v>61</v>
      </c>
      <c r="O246" s="3" t="s">
        <v>27</v>
      </c>
    </row>
    <row r="247" spans="11:15" x14ac:dyDescent="0.3">
      <c r="K247" s="2" t="s">
        <v>202</v>
      </c>
      <c r="M247" s="2" t="s">
        <v>149</v>
      </c>
      <c r="O247" s="2" t="s">
        <v>22</v>
      </c>
    </row>
    <row r="248" spans="11:15" x14ac:dyDescent="0.3">
      <c r="K248" s="3" t="s">
        <v>199</v>
      </c>
      <c r="M248" s="3" t="s">
        <v>505</v>
      </c>
      <c r="O248" s="3" t="s">
        <v>246</v>
      </c>
    </row>
    <row r="249" spans="11:15" x14ac:dyDescent="0.3">
      <c r="K249" s="2" t="s">
        <v>274</v>
      </c>
      <c r="M249" s="2" t="s">
        <v>406</v>
      </c>
      <c r="O249" s="2" t="s">
        <v>103</v>
      </c>
    </row>
    <row r="250" spans="11:15" x14ac:dyDescent="0.3">
      <c r="K250" s="3" t="s">
        <v>318</v>
      </c>
      <c r="M250" s="3" t="s">
        <v>313</v>
      </c>
      <c r="O250" s="3" t="s">
        <v>164</v>
      </c>
    </row>
    <row r="251" spans="11:15" x14ac:dyDescent="0.3">
      <c r="K251" s="2" t="s">
        <v>390</v>
      </c>
      <c r="M251" s="4" t="s">
        <v>189</v>
      </c>
      <c r="O251" s="2" t="s">
        <v>255</v>
      </c>
    </row>
    <row r="252" spans="11:15" x14ac:dyDescent="0.3">
      <c r="O252" s="3" t="s">
        <v>257</v>
      </c>
    </row>
    <row r="253" spans="11:15" x14ac:dyDescent="0.3">
      <c r="O253" s="2" t="s">
        <v>67</v>
      </c>
    </row>
    <row r="254" spans="11:15" x14ac:dyDescent="0.3">
      <c r="O254" s="3" t="s">
        <v>87</v>
      </c>
    </row>
    <row r="255" spans="11:15" x14ac:dyDescent="0.3">
      <c r="O255" s="2" t="s">
        <v>468</v>
      </c>
    </row>
    <row r="256" spans="11:15" x14ac:dyDescent="0.3">
      <c r="O256" s="3" t="s">
        <v>433</v>
      </c>
    </row>
    <row r="257" spans="15:15" x14ac:dyDescent="0.3">
      <c r="O257" s="2" t="s">
        <v>39</v>
      </c>
    </row>
    <row r="258" spans="15:15" x14ac:dyDescent="0.3">
      <c r="O258" s="3" t="s">
        <v>459</v>
      </c>
    </row>
    <row r="259" spans="15:15" x14ac:dyDescent="0.3">
      <c r="O259" s="2" t="s">
        <v>446</v>
      </c>
    </row>
    <row r="260" spans="15:15" x14ac:dyDescent="0.3">
      <c r="O260" s="3" t="s">
        <v>24</v>
      </c>
    </row>
    <row r="261" spans="15:15" x14ac:dyDescent="0.3">
      <c r="O261" s="2" t="s">
        <v>275</v>
      </c>
    </row>
    <row r="262" spans="15:15" x14ac:dyDescent="0.3">
      <c r="O262" s="3" t="s">
        <v>70</v>
      </c>
    </row>
    <row r="263" spans="15:15" x14ac:dyDescent="0.3">
      <c r="O263" s="2" t="s">
        <v>20</v>
      </c>
    </row>
    <row r="264" spans="15:15" x14ac:dyDescent="0.3">
      <c r="O264" s="3" t="s">
        <v>470</v>
      </c>
    </row>
    <row r="265" spans="15:15" x14ac:dyDescent="0.3">
      <c r="O265" s="2" t="s">
        <v>427</v>
      </c>
    </row>
    <row r="266" spans="15:15" x14ac:dyDescent="0.3">
      <c r="O266" s="3" t="s">
        <v>256</v>
      </c>
    </row>
    <row r="267" spans="15:15" x14ac:dyDescent="0.3">
      <c r="O267" s="2" t="s">
        <v>450</v>
      </c>
    </row>
    <row r="268" spans="15:15" x14ac:dyDescent="0.3">
      <c r="O268" s="3" t="s">
        <v>56</v>
      </c>
    </row>
    <row r="269" spans="15:15" x14ac:dyDescent="0.3">
      <c r="O269" s="2" t="s">
        <v>490</v>
      </c>
    </row>
    <row r="270" spans="15:15" x14ac:dyDescent="0.3">
      <c r="O270" s="3" t="s">
        <v>343</v>
      </c>
    </row>
    <row r="271" spans="15:15" x14ac:dyDescent="0.3">
      <c r="O271" s="2" t="s">
        <v>197</v>
      </c>
    </row>
    <row r="272" spans="15:15" x14ac:dyDescent="0.3">
      <c r="O272" s="3" t="s">
        <v>443</v>
      </c>
    </row>
    <row r="273" spans="15:15" x14ac:dyDescent="0.3">
      <c r="O273" s="2" t="s">
        <v>401</v>
      </c>
    </row>
    <row r="274" spans="15:15" x14ac:dyDescent="0.3">
      <c r="O274" s="3" t="s">
        <v>370</v>
      </c>
    </row>
    <row r="275" spans="15:15" x14ac:dyDescent="0.3">
      <c r="O275" s="2" t="s">
        <v>291</v>
      </c>
    </row>
    <row r="276" spans="15:15" x14ac:dyDescent="0.3">
      <c r="O276" s="3" t="s">
        <v>226</v>
      </c>
    </row>
    <row r="277" spans="15:15" x14ac:dyDescent="0.3">
      <c r="O277" s="2" t="s">
        <v>479</v>
      </c>
    </row>
    <row r="278" spans="15:15" x14ac:dyDescent="0.3">
      <c r="O278" s="3" t="s">
        <v>37</v>
      </c>
    </row>
    <row r="279" spans="15:15" x14ac:dyDescent="0.3">
      <c r="O279" s="2" t="s">
        <v>437</v>
      </c>
    </row>
    <row r="280" spans="15:15" x14ac:dyDescent="0.3">
      <c r="O280" s="3" t="s">
        <v>25</v>
      </c>
    </row>
    <row r="281" spans="15:15" x14ac:dyDescent="0.3">
      <c r="O281" s="2" t="s">
        <v>499</v>
      </c>
    </row>
    <row r="282" spans="15:15" x14ac:dyDescent="0.3">
      <c r="O282" s="3" t="s">
        <v>61</v>
      </c>
    </row>
    <row r="283" spans="15:15" x14ac:dyDescent="0.3">
      <c r="O283" s="2" t="s">
        <v>505</v>
      </c>
    </row>
    <row r="284" spans="15:15" x14ac:dyDescent="0.3">
      <c r="O284" s="3" t="s">
        <v>480</v>
      </c>
    </row>
    <row r="285" spans="15:15" x14ac:dyDescent="0.3">
      <c r="O285" s="2" t="s">
        <v>143</v>
      </c>
    </row>
    <row r="286" spans="15:15" x14ac:dyDescent="0.3">
      <c r="O286" s="3" t="s">
        <v>476</v>
      </c>
    </row>
    <row r="287" spans="15:15" x14ac:dyDescent="0.3">
      <c r="O287" s="4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 yadav</dc:creator>
  <cp:lastModifiedBy>shwet yadav</cp:lastModifiedBy>
  <dcterms:created xsi:type="dcterms:W3CDTF">2025-09-08T05:11:10Z</dcterms:created>
  <dcterms:modified xsi:type="dcterms:W3CDTF">2026-08-28T11:01:51Z</dcterms:modified>
</cp:coreProperties>
</file>